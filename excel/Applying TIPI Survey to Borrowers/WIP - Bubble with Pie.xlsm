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defaultThemeVersion="166925"/>
  <mc:AlternateContent xmlns:mc="http://schemas.openxmlformats.org/markup-compatibility/2006">
    <mc:Choice Requires="x15">
      <x15ac:absPath xmlns:x15ac="http://schemas.microsoft.com/office/spreadsheetml/2010/11/ac" url="https://d.docs.live.net/5f935aac0ae3d77b/Documents/Trinetra/Sparks/"/>
    </mc:Choice>
  </mc:AlternateContent>
  <xr:revisionPtr revIDLastSave="31" documentId="13_ncr:1_{D1AE2A11-7B46-8542-989A-8F0A7301A9FA}" xr6:coauthVersionLast="47" xr6:coauthVersionMax="47" xr10:uidLastSave="{765E8EDC-31C8-9742-9367-403EFFC464FF}"/>
  <bookViews>
    <workbookView xWindow="1180" yWindow="1500" windowWidth="27240" windowHeight="14820" xr2:uid="{040893E2-FFCA-5448-A674-6CE9D09B679A}"/>
  </bookViews>
  <sheets>
    <sheet name="Sheet1" sheetId="1" r:id="rId1"/>
    <sheet name="Sheet2" sheetId="2" r:id="rId2"/>
  </sheets>
  <definedNames>
    <definedName name="PieChartValues">Sheet1!$E$2:$H$15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2" i="2" l="1"/>
  <c r="O11" i="2"/>
  <c r="O10" i="2"/>
  <c r="O9" i="2"/>
  <c r="O8" i="2"/>
  <c r="O7" i="2"/>
  <c r="O6" i="2"/>
  <c r="O5" i="2"/>
  <c r="O4" i="2"/>
  <c r="M12" i="2"/>
  <c r="L12" i="2"/>
  <c r="K12" i="2"/>
  <c r="M11" i="2"/>
  <c r="L11" i="2"/>
  <c r="K11" i="2"/>
  <c r="M10" i="2"/>
  <c r="L10" i="2"/>
  <c r="K10" i="2"/>
  <c r="M9" i="2"/>
  <c r="L9" i="2"/>
  <c r="K9" i="2"/>
  <c r="M8" i="2"/>
  <c r="L8" i="2"/>
  <c r="K8" i="2"/>
  <c r="M7" i="2"/>
  <c r="L7" i="2"/>
  <c r="K7" i="2"/>
  <c r="M6" i="2"/>
  <c r="L6" i="2"/>
  <c r="K6" i="2"/>
  <c r="M5" i="2"/>
  <c r="L5" i="2"/>
  <c r="K5" i="2"/>
  <c r="M4" i="2"/>
  <c r="L4" i="2"/>
  <c r="K4" i="2"/>
  <c r="J12" i="2"/>
  <c r="J11" i="2"/>
  <c r="J10" i="2"/>
  <c r="J9" i="2"/>
  <c r="J8" i="2"/>
  <c r="J7" i="2"/>
  <c r="J6" i="2"/>
  <c r="J5" i="2"/>
  <c r="J4" i="2"/>
  <c r="G39" i="2"/>
  <c r="G38" i="2"/>
  <c r="G37" i="2"/>
  <c r="G36" i="2"/>
  <c r="G35" i="2"/>
  <c r="G34" i="2"/>
  <c r="G33" i="2"/>
  <c r="G32" i="2"/>
  <c r="G31" i="2"/>
  <c r="G30" i="2"/>
  <c r="G29" i="2"/>
  <c r="G28" i="2"/>
  <c r="G27" i="2"/>
  <c r="G26" i="2"/>
  <c r="H39" i="2"/>
  <c r="H38" i="2"/>
  <c r="H37" i="2"/>
  <c r="H36" i="2"/>
  <c r="H35" i="2"/>
  <c r="H34" i="2"/>
  <c r="H33" i="2"/>
  <c r="H32" i="2"/>
  <c r="H31" i="2"/>
  <c r="H30" i="2"/>
  <c r="H29" i="2"/>
  <c r="H28" i="2"/>
  <c r="H27" i="2"/>
  <c r="H26" i="2"/>
  <c r="F12" i="2"/>
  <c r="F11" i="2"/>
  <c r="F10" i="2"/>
  <c r="F9" i="2"/>
  <c r="F8" i="2"/>
  <c r="F7" i="2"/>
  <c r="F6" i="2"/>
  <c r="F5" i="2"/>
  <c r="F4" i="2"/>
</calcChain>
</file>

<file path=xl/sharedStrings.xml><?xml version="1.0" encoding="utf-8"?>
<sst xmlns="http://schemas.openxmlformats.org/spreadsheetml/2006/main" count="86" uniqueCount="60">
  <si>
    <t>A</t>
  </si>
  <si>
    <t>F1</t>
  </si>
  <si>
    <t>F2</t>
  </si>
  <si>
    <t>Size</t>
  </si>
  <si>
    <t>BofA</t>
  </si>
  <si>
    <t>Chase</t>
  </si>
  <si>
    <t>Freedom</t>
  </si>
  <si>
    <t>Loan Depot</t>
  </si>
  <si>
    <t>Quicken</t>
  </si>
  <si>
    <t>US Bank</t>
  </si>
  <si>
    <t>Wells</t>
  </si>
  <si>
    <t>Credit Unions</t>
  </si>
  <si>
    <t>Community Banks</t>
  </si>
  <si>
    <t>EXTRAVERSION</t>
  </si>
  <si>
    <t>AGREEABLENESS</t>
  </si>
  <si>
    <t>CONSCIENTIOUSNESS</t>
  </si>
  <si>
    <t>EMOTIONAL_STABILITY</t>
  </si>
  <si>
    <t>OPENNESS_TO_EXPERIENCE</t>
  </si>
  <si>
    <t>Refi</t>
  </si>
  <si>
    <t>Pur</t>
  </si>
  <si>
    <t>Row Labels</t>
  </si>
  <si>
    <t>Grand Total</t>
  </si>
  <si>
    <t>1.	Bank of America
2.	Caliber Home Loans
3.	Chase
4.	Fairway Independent
5.	Freedom Mortgage
6.	LoanDepot
7.	Quicken Loans
8.	United Shore Financial
9.	U.S. Bank
10.	Wells Fargo
11.	Credit Union (please specify)
12.	Community/local bank (please specify)
13.	Other (please specify)
14.	Prefer not to answer</t>
  </si>
  <si>
    <t>1.	Bank of America~2.	Caliber Home Loans~3.	Chase~4.	Fairway Independent~5.	Freedom Mortgage~6.	LoanDepot~7.	Quicken Loans~8.	United Shore Financial~9.	U.S. Bank~10.	Wells Fargo~11.	Credit Union (please specify)~12.	Community/local bank (please specify)~13.	Other (please specify)~14.	Prefer not to answer</t>
  </si>
  <si>
    <t>1.	Bank of America</t>
  </si>
  <si>
    <t>2.	Caliber Home Loans</t>
  </si>
  <si>
    <t>3.	Chase</t>
  </si>
  <si>
    <t>4.	Fairway Independent</t>
  </si>
  <si>
    <t>5.	Freedom Mortgage</t>
  </si>
  <si>
    <t>6.	LoanDepot</t>
  </si>
  <si>
    <t>7.	Quicken Loans</t>
  </si>
  <si>
    <t>8.	United Shore Financial</t>
  </si>
  <si>
    <t>9.	U.S. Bank</t>
  </si>
  <si>
    <t>10.	Wells Fargo</t>
  </si>
  <si>
    <t>11.	Credit Union (please specify)</t>
  </si>
  <si>
    <t>12.	Community/local bank (please specify)</t>
  </si>
  <si>
    <t>13.	Other (please specify)</t>
  </si>
  <si>
    <t>14.	Prefer not to answer</t>
  </si>
  <si>
    <t xml:space="preserve">	Bank of America</t>
  </si>
  <si>
    <t xml:space="preserve">	Chase</t>
  </si>
  <si>
    <t xml:space="preserve">	Freedom Mortgage</t>
  </si>
  <si>
    <t xml:space="preserve">	LoanDepot</t>
  </si>
  <si>
    <t xml:space="preserve">	Quicken Loans</t>
  </si>
  <si>
    <t xml:space="preserve">	U.S. Bank</t>
  </si>
  <si>
    <t xml:space="preserve">	Wells Fargo</t>
  </si>
  <si>
    <t xml:space="preserve">	Credit Union</t>
  </si>
  <si>
    <t xml:space="preserve">	Community Bank</t>
  </si>
  <si>
    <t>LoanDepot</t>
  </si>
  <si>
    <t>Quicken Loans</t>
  </si>
  <si>
    <t>U.S. Bank</t>
  </si>
  <si>
    <t>Wells Fargo</t>
  </si>
  <si>
    <t>Credit Union</t>
  </si>
  <si>
    <t>Community Bank</t>
  </si>
  <si>
    <t>Bank of America</t>
  </si>
  <si>
    <t>Freedom Mortgage</t>
  </si>
  <si>
    <t>FTHB</t>
  </si>
  <si>
    <t>Web</t>
  </si>
  <si>
    <t>Phone</t>
  </si>
  <si>
    <t>Others</t>
  </si>
  <si>
    <t>InPerson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</si>
</sst>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2"/>
      <color theme="1"/>
      <name val="Calibri"/>
      <family val="2"/>
      <scheme val="minor"/>
    </font>
    <font>
      <sz val="12"/>
      <color theme="1"/>
      <name val="Calibri"/>
      <family val="2"/>
      <scheme val="minor"/>
    </font>
    <font>
      <b/>
      <sz val="14"/>
      <color rgb="FF505050"/>
      <name val="Courier New"/>
      <family val="1"/>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4">
    <xf numFmtId="0" fontId="0" fillId="0" borderId="0" xfId="0"/>
    <xf numFmtId="0" fontId="2" fillId="0" borderId="0" xfId="0" applyFont="1"/>
    <xf numFmtId="9" fontId="0" fillId="0" borderId="0" xfId="1" applyFont="1"/>
    <xf numFmtId="164" fontId="0" fillId="0" borderId="0" xfId="1" applyNumberFormat="1"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1.emf"/><Relationship Id="rId3" Type="http://schemas.openxmlformats.org/officeDocument/2006/relationships/image" Target="../media/image1.emf"/><Relationship Id="rId7" Type="http://schemas.openxmlformats.org/officeDocument/2006/relationships/image" Target="../media/image5.emf"/><Relationship Id="rId12" Type="http://schemas.openxmlformats.org/officeDocument/2006/relationships/image" Target="../media/image10.emf"/><Relationship Id="rId2" Type="http://schemas.microsoft.com/office/2011/relationships/chartColorStyle" Target="colors2.xml"/><Relationship Id="rId16" Type="http://schemas.openxmlformats.org/officeDocument/2006/relationships/image" Target="../media/image14.emf"/><Relationship Id="rId1" Type="http://schemas.microsoft.com/office/2011/relationships/chartStyle" Target="style2.xml"/><Relationship Id="rId6" Type="http://schemas.openxmlformats.org/officeDocument/2006/relationships/image" Target="../media/image4.emf"/><Relationship Id="rId11" Type="http://schemas.openxmlformats.org/officeDocument/2006/relationships/image" Target="../media/image9.emf"/><Relationship Id="rId5" Type="http://schemas.openxmlformats.org/officeDocument/2006/relationships/image" Target="../media/image3.emf"/><Relationship Id="rId15" Type="http://schemas.openxmlformats.org/officeDocument/2006/relationships/image" Target="../media/image13.emf"/><Relationship Id="rId10" Type="http://schemas.openxmlformats.org/officeDocument/2006/relationships/image" Target="../media/image8.emf"/><Relationship Id="rId4" Type="http://schemas.openxmlformats.org/officeDocument/2006/relationships/image" Target="../media/image2.emf"/><Relationship Id="rId9" Type="http://schemas.openxmlformats.org/officeDocument/2006/relationships/image" Target="../media/image7.emf"/><Relationship Id="rId14" Type="http://schemas.openxmlformats.org/officeDocument/2006/relationships/image" Target="../media/image12.emf"/></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A33-944C-A45D-27F9AB263D0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33-944C-A45D-27F9AB263D0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940-614A-A89A-444AA393827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940-614A-A89A-444AA3938271}"/>
              </c:ext>
            </c:extLst>
          </c:dPt>
          <c:val>
            <c:numRef>
              <c:f>Sheet1!$E$15:$H$15</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0-D2B9-7A46-9D4D-E544C1300DA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Traits</a:t>
            </a:r>
            <a:r>
              <a:rPr lang="en-US" sz="1600" b="1" baseline="0"/>
              <a:t> By Lenders</a:t>
            </a:r>
            <a:br>
              <a:rPr lang="en-US" baseline="0"/>
            </a:br>
            <a:r>
              <a:rPr lang="en-US" sz="1200" i="1" baseline="0"/>
              <a:t>Sample = Bubble Size; Blue = Web; Orange = Phone; Yellow = In Person; Gray = Others (Email/ mail)</a:t>
            </a:r>
            <a:endParaRPr lang="en-US" sz="1200"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7209250915828036E-2"/>
          <c:y val="6.4687707157755181E-2"/>
          <c:w val="0.96025712368913529"/>
          <c:h val="0.90755501301557018"/>
        </c:manualLayout>
      </c:layout>
      <c:bubbleChart>
        <c:varyColors val="0"/>
        <c:ser>
          <c:idx val="0"/>
          <c:order val="0"/>
          <c:spPr>
            <a:solidFill>
              <a:schemeClr val="accent1">
                <a:alpha val="75000"/>
              </a:schemeClr>
            </a:solidFill>
            <a:ln w="25400">
              <a:noFill/>
            </a:ln>
            <a:effectLst/>
          </c:spPr>
          <c:invertIfNegative val="0"/>
          <c:dPt>
            <c:idx val="0"/>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6-55BD-0D4C-BF77-1DCB646AE6B1}"/>
              </c:ext>
            </c:extLst>
          </c:dPt>
          <c:dPt>
            <c:idx val="1"/>
            <c:invertIfNegative val="0"/>
            <c:bubble3D val="0"/>
            <c:spPr>
              <a:blipFill>
                <a:blip xmlns:r="http://schemas.openxmlformats.org/officeDocument/2006/relationships" r:embed="rId4"/>
                <a:stretch>
                  <a:fillRect/>
                </a:stretch>
              </a:blipFill>
              <a:ln>
                <a:noFill/>
              </a:ln>
              <a:effectLst/>
            </c:spPr>
            <c:extLst>
              <c:ext xmlns:c16="http://schemas.microsoft.com/office/drawing/2014/chart" uri="{C3380CC4-5D6E-409C-BE32-E72D297353CC}">
                <c16:uniqueId val="{00000017-55BD-0D4C-BF77-1DCB646AE6B1}"/>
              </c:ext>
            </c:extLst>
          </c:dPt>
          <c:dPt>
            <c:idx val="2"/>
            <c:invertIfNegative val="0"/>
            <c:bubble3D val="0"/>
            <c:spPr>
              <a:blipFill>
                <a:blip xmlns:r="http://schemas.openxmlformats.org/officeDocument/2006/relationships" r:embed="rId5"/>
                <a:stretch>
                  <a:fillRect/>
                </a:stretch>
              </a:blipFill>
              <a:ln>
                <a:noFill/>
              </a:ln>
              <a:effectLst/>
            </c:spPr>
            <c:extLst>
              <c:ext xmlns:c16="http://schemas.microsoft.com/office/drawing/2014/chart" uri="{C3380CC4-5D6E-409C-BE32-E72D297353CC}">
                <c16:uniqueId val="{00000018-55BD-0D4C-BF77-1DCB646AE6B1}"/>
              </c:ext>
            </c:extLst>
          </c:dPt>
          <c:dPt>
            <c:idx val="3"/>
            <c:invertIfNegative val="0"/>
            <c:bubble3D val="0"/>
            <c:spPr>
              <a:blipFill>
                <a:blip xmlns:r="http://schemas.openxmlformats.org/officeDocument/2006/relationships" r:embed="rId6"/>
                <a:stretch>
                  <a:fillRect/>
                </a:stretch>
              </a:blipFill>
              <a:ln>
                <a:noFill/>
              </a:ln>
              <a:effectLst/>
            </c:spPr>
            <c:extLst>
              <c:ext xmlns:c16="http://schemas.microsoft.com/office/drawing/2014/chart" uri="{C3380CC4-5D6E-409C-BE32-E72D297353CC}">
                <c16:uniqueId val="{00000019-55BD-0D4C-BF77-1DCB646AE6B1}"/>
              </c:ext>
            </c:extLst>
          </c:dPt>
          <c:dPt>
            <c:idx val="4"/>
            <c:invertIfNegative val="0"/>
            <c:bubble3D val="0"/>
            <c:spPr>
              <a:blipFill>
                <a:blip xmlns:r="http://schemas.openxmlformats.org/officeDocument/2006/relationships" r:embed="rId7"/>
                <a:stretch>
                  <a:fillRect/>
                </a:stretch>
              </a:blipFill>
              <a:ln w="25400">
                <a:noFill/>
              </a:ln>
              <a:effectLst/>
            </c:spPr>
            <c:extLst>
              <c:ext xmlns:c16="http://schemas.microsoft.com/office/drawing/2014/chart" uri="{C3380CC4-5D6E-409C-BE32-E72D297353CC}">
                <c16:uniqueId val="{0000001A-55BD-0D4C-BF77-1DCB646AE6B1}"/>
              </c:ext>
            </c:extLst>
          </c:dPt>
          <c:dPt>
            <c:idx val="5"/>
            <c:invertIfNegative val="0"/>
            <c:bubble3D val="0"/>
            <c:spPr>
              <a:blipFill>
                <a:blip xmlns:r="http://schemas.openxmlformats.org/officeDocument/2006/relationships" r:embed="rId8"/>
                <a:stretch>
                  <a:fillRect/>
                </a:stretch>
              </a:blipFill>
              <a:ln w="25400">
                <a:noFill/>
              </a:ln>
              <a:effectLst/>
            </c:spPr>
            <c:extLst>
              <c:ext xmlns:c16="http://schemas.microsoft.com/office/drawing/2014/chart" uri="{C3380CC4-5D6E-409C-BE32-E72D297353CC}">
                <c16:uniqueId val="{0000001B-55BD-0D4C-BF77-1DCB646AE6B1}"/>
              </c:ext>
            </c:extLst>
          </c:dPt>
          <c:dPt>
            <c:idx val="6"/>
            <c:invertIfNegative val="0"/>
            <c:bubble3D val="0"/>
            <c:spPr>
              <a:blipFill>
                <a:blip xmlns:r="http://schemas.openxmlformats.org/officeDocument/2006/relationships" r:embed="rId9"/>
                <a:stretch>
                  <a:fillRect/>
                </a:stretch>
              </a:blipFill>
              <a:ln w="25400">
                <a:noFill/>
              </a:ln>
              <a:effectLst/>
            </c:spPr>
            <c:extLst>
              <c:ext xmlns:c16="http://schemas.microsoft.com/office/drawing/2014/chart" uri="{C3380CC4-5D6E-409C-BE32-E72D297353CC}">
                <c16:uniqueId val="{0000001C-55BD-0D4C-BF77-1DCB646AE6B1}"/>
              </c:ext>
            </c:extLst>
          </c:dPt>
          <c:dPt>
            <c:idx val="7"/>
            <c:invertIfNegative val="0"/>
            <c:bubble3D val="0"/>
            <c:spPr>
              <a:blipFill>
                <a:blip xmlns:r="http://schemas.openxmlformats.org/officeDocument/2006/relationships" r:embed="rId10"/>
                <a:stretch>
                  <a:fillRect/>
                </a:stretch>
              </a:blipFill>
              <a:ln w="25400">
                <a:noFill/>
              </a:ln>
              <a:effectLst/>
            </c:spPr>
            <c:extLst>
              <c:ext xmlns:c16="http://schemas.microsoft.com/office/drawing/2014/chart" uri="{C3380CC4-5D6E-409C-BE32-E72D297353CC}">
                <c16:uniqueId val="{0000001D-55BD-0D4C-BF77-1DCB646AE6B1}"/>
              </c:ext>
            </c:extLst>
          </c:dPt>
          <c:dPt>
            <c:idx val="8"/>
            <c:invertIfNegative val="0"/>
            <c:bubble3D val="0"/>
            <c:spPr>
              <a:blipFill>
                <a:blip xmlns:r="http://schemas.openxmlformats.org/officeDocument/2006/relationships" r:embed="rId11"/>
                <a:stretch>
                  <a:fillRect/>
                </a:stretch>
              </a:blipFill>
              <a:ln w="25400">
                <a:noFill/>
              </a:ln>
              <a:effectLst/>
            </c:spPr>
            <c:extLst>
              <c:ext xmlns:c16="http://schemas.microsoft.com/office/drawing/2014/chart" uri="{C3380CC4-5D6E-409C-BE32-E72D297353CC}">
                <c16:uniqueId val="{0000001E-55BD-0D4C-BF77-1DCB646AE6B1}"/>
              </c:ext>
            </c:extLst>
          </c:dPt>
          <c:dPt>
            <c:idx val="9"/>
            <c:invertIfNegative val="0"/>
            <c:bubble3D val="0"/>
            <c:spPr>
              <a:blipFill>
                <a:blip xmlns:r="http://schemas.openxmlformats.org/officeDocument/2006/relationships" r:embed="rId12"/>
                <a:stretch>
                  <a:fillRect/>
                </a:stretch>
              </a:blipFill>
              <a:ln w="25400">
                <a:noFill/>
              </a:ln>
              <a:effectLst/>
            </c:spPr>
            <c:extLst>
              <c:ext xmlns:c16="http://schemas.microsoft.com/office/drawing/2014/chart" uri="{C3380CC4-5D6E-409C-BE32-E72D297353CC}">
                <c16:uniqueId val="{0000001F-55BD-0D4C-BF77-1DCB646AE6B1}"/>
              </c:ext>
            </c:extLst>
          </c:dPt>
          <c:dPt>
            <c:idx val="10"/>
            <c:invertIfNegative val="0"/>
            <c:bubble3D val="0"/>
            <c:spPr>
              <a:blipFill>
                <a:blip xmlns:r="http://schemas.openxmlformats.org/officeDocument/2006/relationships" r:embed="rId13"/>
                <a:stretch>
                  <a:fillRect/>
                </a:stretch>
              </a:blipFill>
              <a:ln w="25400">
                <a:noFill/>
              </a:ln>
              <a:effectLst/>
            </c:spPr>
            <c:extLst>
              <c:ext xmlns:c16="http://schemas.microsoft.com/office/drawing/2014/chart" uri="{C3380CC4-5D6E-409C-BE32-E72D297353CC}">
                <c16:uniqueId val="{00000020-55BD-0D4C-BF77-1DCB646AE6B1}"/>
              </c:ext>
            </c:extLst>
          </c:dPt>
          <c:dPt>
            <c:idx val="11"/>
            <c:invertIfNegative val="0"/>
            <c:bubble3D val="0"/>
            <c:spPr>
              <a:blipFill>
                <a:blip xmlns:r="http://schemas.openxmlformats.org/officeDocument/2006/relationships" r:embed="rId14"/>
                <a:stretch>
                  <a:fillRect/>
                </a:stretch>
              </a:blipFill>
              <a:ln w="25400">
                <a:noFill/>
              </a:ln>
              <a:effectLst/>
            </c:spPr>
            <c:extLst>
              <c:ext xmlns:c16="http://schemas.microsoft.com/office/drawing/2014/chart" uri="{C3380CC4-5D6E-409C-BE32-E72D297353CC}">
                <c16:uniqueId val="{00000021-55BD-0D4C-BF77-1DCB646AE6B1}"/>
              </c:ext>
            </c:extLst>
          </c:dPt>
          <c:dPt>
            <c:idx val="12"/>
            <c:invertIfNegative val="0"/>
            <c:bubble3D val="0"/>
            <c:spPr>
              <a:blipFill>
                <a:blip xmlns:r="http://schemas.openxmlformats.org/officeDocument/2006/relationships" r:embed="rId15"/>
                <a:stretch>
                  <a:fillRect/>
                </a:stretch>
              </a:blipFill>
              <a:ln w="25400">
                <a:noFill/>
              </a:ln>
              <a:effectLst/>
            </c:spPr>
            <c:extLst>
              <c:ext xmlns:c16="http://schemas.microsoft.com/office/drawing/2014/chart" uri="{C3380CC4-5D6E-409C-BE32-E72D297353CC}">
                <c16:uniqueId val="{00000022-55BD-0D4C-BF77-1DCB646AE6B1}"/>
              </c:ext>
            </c:extLst>
          </c:dPt>
          <c:dPt>
            <c:idx val="13"/>
            <c:invertIfNegative val="0"/>
            <c:bubble3D val="0"/>
            <c:spPr>
              <a:blipFill>
                <a:blip xmlns:r="http://schemas.openxmlformats.org/officeDocument/2006/relationships" r:embed="rId16"/>
                <a:stretch>
                  <a:fillRect/>
                </a:stretch>
              </a:blipFill>
              <a:ln w="25400">
                <a:noFill/>
              </a:ln>
              <a:effectLst/>
            </c:spPr>
            <c:extLst>
              <c:ext xmlns:c16="http://schemas.microsoft.com/office/drawing/2014/chart" uri="{C3380CC4-5D6E-409C-BE32-E72D297353CC}">
                <c16:uniqueId val="{00000023-55BD-0D4C-BF77-1DCB646AE6B1}"/>
              </c:ext>
            </c:extLst>
          </c:dPt>
          <c:dLbls>
            <c:dLbl>
              <c:idx val="0"/>
              <c:tx>
                <c:rich>
                  <a:bodyPr/>
                  <a:lstStyle/>
                  <a:p>
                    <a:fld id="{A6CF1139-030B-AB48-BC39-D07464F2F49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55BD-0D4C-BF77-1DCB646AE6B1}"/>
                </c:ext>
              </c:extLst>
            </c:dLbl>
            <c:dLbl>
              <c:idx val="1"/>
              <c:tx>
                <c:rich>
                  <a:bodyPr/>
                  <a:lstStyle/>
                  <a:p>
                    <a:fld id="{DD038D46-7DFD-E54B-8772-91C16EDEC9E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55BD-0D4C-BF77-1DCB646AE6B1}"/>
                </c:ext>
              </c:extLst>
            </c:dLbl>
            <c:dLbl>
              <c:idx val="2"/>
              <c:tx>
                <c:rich>
                  <a:bodyPr/>
                  <a:lstStyle/>
                  <a:p>
                    <a:fld id="{09F3BC3D-FCA2-884E-9D0F-BEFE106562C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55BD-0D4C-BF77-1DCB646AE6B1}"/>
                </c:ext>
              </c:extLst>
            </c:dLbl>
            <c:dLbl>
              <c:idx val="3"/>
              <c:tx>
                <c:rich>
                  <a:bodyPr/>
                  <a:lstStyle/>
                  <a:p>
                    <a:fld id="{7B3753AA-73B0-154A-881F-C9C9165EA45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55BD-0D4C-BF77-1DCB646AE6B1}"/>
                </c:ext>
              </c:extLst>
            </c:dLbl>
            <c:dLbl>
              <c:idx val="4"/>
              <c:tx>
                <c:rich>
                  <a:bodyPr/>
                  <a:lstStyle/>
                  <a:p>
                    <a:fld id="{6EC82B45-FD42-A543-93BD-82873105F1B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55BD-0D4C-BF77-1DCB646AE6B1}"/>
                </c:ext>
              </c:extLst>
            </c:dLbl>
            <c:dLbl>
              <c:idx val="5"/>
              <c:tx>
                <c:rich>
                  <a:bodyPr/>
                  <a:lstStyle/>
                  <a:p>
                    <a:fld id="{0C3EADCA-4107-9A4E-A68B-F144A9B8411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55BD-0D4C-BF77-1DCB646AE6B1}"/>
                </c:ext>
              </c:extLst>
            </c:dLbl>
            <c:dLbl>
              <c:idx val="6"/>
              <c:tx>
                <c:rich>
                  <a:bodyPr/>
                  <a:lstStyle/>
                  <a:p>
                    <a:fld id="{955090E5-E631-3543-AC4E-D46783EE456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55BD-0D4C-BF77-1DCB646AE6B1}"/>
                </c:ext>
              </c:extLst>
            </c:dLbl>
            <c:dLbl>
              <c:idx val="7"/>
              <c:tx>
                <c:rich>
                  <a:bodyPr/>
                  <a:lstStyle/>
                  <a:p>
                    <a:fld id="{498A59C3-43B7-8D42-82AD-7C5BF0C53F1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55BD-0D4C-BF77-1DCB646AE6B1}"/>
                </c:ext>
              </c:extLst>
            </c:dLbl>
            <c:dLbl>
              <c:idx val="8"/>
              <c:tx>
                <c:rich>
                  <a:bodyPr/>
                  <a:lstStyle/>
                  <a:p>
                    <a:fld id="{B07E458D-4951-224E-B169-ECAF1DDCA70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55BD-0D4C-BF77-1DCB646AE6B1}"/>
                </c:ext>
              </c:extLst>
            </c:dLbl>
            <c:dLbl>
              <c:idx val="9"/>
              <c:tx>
                <c:rich>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fld id="{DBA60158-8277-0D46-8155-5CC6B477BB45}" type="CELLRANGE">
                      <a:rPr lang="en-US"/>
                      <a:pPr>
                        <a:defRPr>
                          <a:solidFill>
                            <a:schemeClr val="accent2">
                              <a:lumMod val="75000"/>
                            </a:schemeClr>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55BD-0D4C-BF77-1DCB646AE6B1}"/>
                </c:ext>
              </c:extLst>
            </c:dLbl>
            <c:dLbl>
              <c:idx val="10"/>
              <c:tx>
                <c:rich>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fld id="{30AC91B9-98D5-E947-8F41-8414DDAFB6E7}" type="CELLRANGE">
                      <a:rPr lang="en-US"/>
                      <a:pPr>
                        <a:defRPr>
                          <a:solidFill>
                            <a:schemeClr val="accent2">
                              <a:lumMod val="75000"/>
                            </a:schemeClr>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55BD-0D4C-BF77-1DCB646AE6B1}"/>
                </c:ext>
              </c:extLst>
            </c:dLbl>
            <c:dLbl>
              <c:idx val="11"/>
              <c:tx>
                <c:rich>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fld id="{83E15897-526D-7741-87D6-0B93BF31D8FB}" type="CELLRANGE">
                      <a:rPr lang="en-US"/>
                      <a:pPr>
                        <a:defRPr>
                          <a:solidFill>
                            <a:schemeClr val="accent2">
                              <a:lumMod val="75000"/>
                            </a:schemeClr>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55BD-0D4C-BF77-1DCB646AE6B1}"/>
                </c:ext>
              </c:extLst>
            </c:dLbl>
            <c:dLbl>
              <c:idx val="12"/>
              <c:tx>
                <c:rich>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fld id="{2499217B-2DA0-6B49-A497-970CA0B3EF04}" type="CELLRANGE">
                      <a:rPr lang="en-US"/>
                      <a:pPr>
                        <a:defRPr>
                          <a:solidFill>
                            <a:schemeClr val="accent2">
                              <a:lumMod val="75000"/>
                            </a:schemeClr>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55BD-0D4C-BF77-1DCB646AE6B1}"/>
                </c:ext>
              </c:extLst>
            </c:dLbl>
            <c:dLbl>
              <c:idx val="13"/>
              <c:tx>
                <c:rich>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fld id="{DE1B2B45-55E2-B546-BCD2-393CB7B111C6}" type="CELLRANGE">
                      <a:rPr lang="en-US"/>
                      <a:pPr>
                        <a:defRPr>
                          <a:solidFill>
                            <a:schemeClr val="accent2">
                              <a:lumMod val="75000"/>
                            </a:schemeClr>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55BD-0D4C-BF77-1DCB646AE6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Sheet1!$B$2:$B$15</c:f>
              <c:numCache>
                <c:formatCode>General</c:formatCode>
                <c:ptCount val="14"/>
                <c:pt idx="0">
                  <c:v>3.5707079187528773E-2</c:v>
                </c:pt>
                <c:pt idx="1">
                  <c:v>2.4110448225988148E-3</c:v>
                </c:pt>
                <c:pt idx="2">
                  <c:v>5.1015824976957898E-2</c:v>
                </c:pt>
                <c:pt idx="3">
                  <c:v>1.0345060021577219E-2</c:v>
                </c:pt>
                <c:pt idx="4">
                  <c:v>-2.4065176348332478E-2</c:v>
                </c:pt>
                <c:pt idx="5">
                  <c:v>1.97481106876688E-2</c:v>
                </c:pt>
                <c:pt idx="6">
                  <c:v>-1.0019746427272267E-2</c:v>
                </c:pt>
                <c:pt idx="7">
                  <c:v>-4.9069671879378822E-2</c:v>
                </c:pt>
                <c:pt idx="8">
                  <c:v>-2.5425397102480839E-2</c:v>
                </c:pt>
                <c:pt idx="9">
                  <c:v>5.7737666875471154E-2</c:v>
                </c:pt>
                <c:pt idx="10">
                  <c:v>-3.2423215835353368E-2</c:v>
                </c:pt>
                <c:pt idx="11">
                  <c:v>-1.8653290739007431E-2</c:v>
                </c:pt>
                <c:pt idx="12">
                  <c:v>1.3855023724936017E-2</c:v>
                </c:pt>
                <c:pt idx="13">
                  <c:v>-5.2794620360316451E-3</c:v>
                </c:pt>
              </c:numCache>
            </c:numRef>
          </c:xVal>
          <c:yVal>
            <c:numRef>
              <c:f>Sheet1!$C$2:$C$15</c:f>
              <c:numCache>
                <c:formatCode>General</c:formatCode>
                <c:ptCount val="14"/>
                <c:pt idx="0">
                  <c:v>-1.2529914749559511E-2</c:v>
                </c:pt>
                <c:pt idx="1">
                  <c:v>-4.4435679918967503E-3</c:v>
                </c:pt>
                <c:pt idx="2">
                  <c:v>1.7991926631914498E-2</c:v>
                </c:pt>
                <c:pt idx="3">
                  <c:v>1.7067489368531197E-2</c:v>
                </c:pt>
                <c:pt idx="4">
                  <c:v>1.9381410313744695E-2</c:v>
                </c:pt>
                <c:pt idx="5">
                  <c:v>-2.3557866787226045E-2</c:v>
                </c:pt>
                <c:pt idx="6">
                  <c:v>-5.8158650718661692E-3</c:v>
                </c:pt>
                <c:pt idx="7">
                  <c:v>-8.0791447124581826E-3</c:v>
                </c:pt>
                <c:pt idx="8">
                  <c:v>2.598014699238451E-3</c:v>
                </c:pt>
                <c:pt idx="9">
                  <c:v>1.1965979814531021E-2</c:v>
                </c:pt>
                <c:pt idx="10">
                  <c:v>1.0691052835047782E-2</c:v>
                </c:pt>
                <c:pt idx="11">
                  <c:v>1.0004233248141307E-2</c:v>
                </c:pt>
                <c:pt idx="12">
                  <c:v>-8.3032913191420435E-3</c:v>
                </c:pt>
                <c:pt idx="13">
                  <c:v>-2.3946143878835372E-2</c:v>
                </c:pt>
              </c:numCache>
            </c:numRef>
          </c:yVal>
          <c:bubbleSize>
            <c:numRef>
              <c:f>Sheet1!$D$2:$D$15</c:f>
              <c:numCache>
                <c:formatCode>General</c:formatCode>
                <c:ptCount val="14"/>
                <c:pt idx="0">
                  <c:v>3630</c:v>
                </c:pt>
                <c:pt idx="1">
                  <c:v>1510</c:v>
                </c:pt>
                <c:pt idx="2">
                  <c:v>240</c:v>
                </c:pt>
                <c:pt idx="3">
                  <c:v>170</c:v>
                </c:pt>
                <c:pt idx="4">
                  <c:v>480</c:v>
                </c:pt>
                <c:pt idx="5">
                  <c:v>900</c:v>
                </c:pt>
                <c:pt idx="6">
                  <c:v>1250</c:v>
                </c:pt>
                <c:pt idx="7">
                  <c:v>600</c:v>
                </c:pt>
                <c:pt idx="8">
                  <c:v>550</c:v>
                </c:pt>
                <c:pt idx="9">
                  <c:v>0.1</c:v>
                </c:pt>
                <c:pt idx="10">
                  <c:v>0.1</c:v>
                </c:pt>
                <c:pt idx="11">
                  <c:v>0.1</c:v>
                </c:pt>
                <c:pt idx="12">
                  <c:v>0.1</c:v>
                </c:pt>
                <c:pt idx="13">
                  <c:v>0.1</c:v>
                </c:pt>
              </c:numCache>
            </c:numRef>
          </c:bubbleSize>
          <c:bubble3D val="0"/>
          <c:extLst>
            <c:ext xmlns:c15="http://schemas.microsoft.com/office/drawing/2012/chart" uri="{02D57815-91ED-43cb-92C2-25804820EDAC}">
              <c15:datalabelsRange>
                <c15:f>Sheet1!$A$2:$A$15</c15:f>
                <c15:dlblRangeCache>
                  <c:ptCount val="14"/>
                  <c:pt idx="0">
                    <c:v>Bank of America</c:v>
                  </c:pt>
                  <c:pt idx="1">
                    <c:v>Chase</c:v>
                  </c:pt>
                  <c:pt idx="2">
                    <c:v>Freedom Mortgage</c:v>
                  </c:pt>
                  <c:pt idx="3">
                    <c:v>LoanDepot</c:v>
                  </c:pt>
                  <c:pt idx="4">
                    <c:v>Quicken Loans</c:v>
                  </c:pt>
                  <c:pt idx="5">
                    <c:v>U.S. Bank</c:v>
                  </c:pt>
                  <c:pt idx="6">
                    <c:v>Wells Fargo</c:v>
                  </c:pt>
                  <c:pt idx="7">
                    <c:v>Credit Union</c:v>
                  </c:pt>
                  <c:pt idx="8">
                    <c:v>Community Bank</c:v>
                  </c:pt>
                  <c:pt idx="9">
                    <c:v>EXTRAVERSION</c:v>
                  </c:pt>
                  <c:pt idx="10">
                    <c:v>AGREEABLENESS</c:v>
                  </c:pt>
                  <c:pt idx="11">
                    <c:v>CONSCIENTIOUSNESS</c:v>
                  </c:pt>
                  <c:pt idx="12">
                    <c:v>EMOTIONAL_STABILITY</c:v>
                  </c:pt>
                  <c:pt idx="13">
                    <c:v>OPENNESS_TO_EXPERIENCE</c:v>
                  </c:pt>
                </c15:dlblRangeCache>
              </c15:datalabelsRange>
            </c:ext>
            <c:ext xmlns:c16="http://schemas.microsoft.com/office/drawing/2014/chart" uri="{C3380CC4-5D6E-409C-BE32-E72D297353CC}">
              <c16:uniqueId val="{00000015-55BD-0D4C-BF77-1DCB646AE6B1}"/>
            </c:ext>
          </c:extLst>
        </c:ser>
        <c:dLbls>
          <c:dLblPos val="ctr"/>
          <c:showLegendKey val="0"/>
          <c:showVal val="1"/>
          <c:showCatName val="0"/>
          <c:showSerName val="0"/>
          <c:showPercent val="0"/>
          <c:showBubbleSize val="0"/>
        </c:dLbls>
        <c:bubbleScale val="100"/>
        <c:showNegBubbles val="0"/>
        <c:axId val="1272636655"/>
        <c:axId val="1272882367"/>
      </c:bubbleChart>
      <c:valAx>
        <c:axId val="1272636655"/>
        <c:scaling>
          <c:orientation val="minMax"/>
          <c:max val="6.0000000000000012E-2"/>
          <c:min val="-6.0000000000000012E-2"/>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72882367"/>
        <c:crosses val="autoZero"/>
        <c:crossBetween val="midCat"/>
      </c:valAx>
      <c:valAx>
        <c:axId val="1272882367"/>
        <c:scaling>
          <c:orientation val="minMax"/>
          <c:max val="2.5000000000000005E-2"/>
          <c:min val="-3.0000000000000006E-2"/>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726366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336550</xdr:colOff>
      <xdr:row>0</xdr:row>
      <xdr:rowOff>25400</xdr:rowOff>
    </xdr:from>
    <xdr:to>
      <xdr:col>14</xdr:col>
      <xdr:colOff>203200</xdr:colOff>
      <xdr:row>12</xdr:row>
      <xdr:rowOff>12700</xdr:rowOff>
    </xdr:to>
    <xdr:graphicFrame macro="">
      <xdr:nvGraphicFramePr>
        <xdr:cNvPr id="2" name="chtMarker">
          <a:extLst>
            <a:ext uri="{FF2B5EF4-FFF2-40B4-BE49-F238E27FC236}">
              <a16:creationId xmlns:a16="http://schemas.microsoft.com/office/drawing/2014/main" id="{F66CA1DC-9162-2C4C-8C57-2AACC82345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1752600</xdr:colOff>
      <xdr:row>19</xdr:row>
      <xdr:rowOff>38100</xdr:rowOff>
    </xdr:from>
    <xdr:to>
      <xdr:col>14</xdr:col>
      <xdr:colOff>165100</xdr:colOff>
      <xdr:row>48</xdr:row>
      <xdr:rowOff>76200</xdr:rowOff>
    </xdr:to>
    <xdr:graphicFrame macro="">
      <xdr:nvGraphicFramePr>
        <xdr:cNvPr id="3" name="chtMain">
          <a:extLst>
            <a:ext uri="{FF2B5EF4-FFF2-40B4-BE49-F238E27FC236}">
              <a16:creationId xmlns:a16="http://schemas.microsoft.com/office/drawing/2014/main" id="{C247504E-FECA-F947-BB71-1A8E699C10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1A9C5-8CC0-C048-8883-B612D5DEEEED}">
  <sheetPr codeName="Sheet1"/>
  <dimension ref="A1:H15"/>
  <sheetViews>
    <sheetView tabSelected="1" workbookViewId="0">
      <selection activeCell="D2" sqref="D2:D10"/>
    </sheetView>
  </sheetViews>
  <sheetFormatPr baseColWidth="10" defaultRowHeight="16" x14ac:dyDescent="0.2"/>
  <cols>
    <col min="1" max="1" width="24.83203125" bestFit="1" customWidth="1"/>
  </cols>
  <sheetData>
    <row r="1" spans="1:8" x14ac:dyDescent="0.2">
      <c r="A1" t="s">
        <v>0</v>
      </c>
      <c r="B1" t="s">
        <v>1</v>
      </c>
      <c r="C1" t="s">
        <v>2</v>
      </c>
      <c r="D1" t="s">
        <v>3</v>
      </c>
      <c r="E1" t="s">
        <v>56</v>
      </c>
      <c r="F1" t="s">
        <v>57</v>
      </c>
      <c r="G1" t="s">
        <v>58</v>
      </c>
      <c r="H1" t="s">
        <v>59</v>
      </c>
    </row>
    <row r="2" spans="1:8" x14ac:dyDescent="0.2">
      <c r="A2" t="s">
        <v>53</v>
      </c>
      <c r="B2">
        <v>3.5707079187528773E-2</v>
      </c>
      <c r="C2">
        <v>-1.2529914749559511E-2</v>
      </c>
      <c r="D2">
        <v>3630</v>
      </c>
      <c r="E2" s="2">
        <v>0.55922865013774103</v>
      </c>
      <c r="F2" s="2">
        <v>0.14600550964187328</v>
      </c>
      <c r="G2" s="2">
        <v>0.17630853994490359</v>
      </c>
      <c r="H2" s="2">
        <v>0.1184573002754821</v>
      </c>
    </row>
    <row r="3" spans="1:8" x14ac:dyDescent="0.2">
      <c r="A3" t="s">
        <v>5</v>
      </c>
      <c r="B3">
        <v>2.4110448225988148E-3</v>
      </c>
      <c r="C3">
        <v>-4.4435679918967503E-3</v>
      </c>
      <c r="D3">
        <v>1510</v>
      </c>
      <c r="E3" s="2">
        <v>0.48344370860927155</v>
      </c>
      <c r="F3" s="2">
        <v>0.2185430463576159</v>
      </c>
      <c r="G3" s="2">
        <v>0.1589403973509933</v>
      </c>
      <c r="H3" s="2">
        <v>0.13907284768211919</v>
      </c>
    </row>
    <row r="4" spans="1:8" x14ac:dyDescent="0.2">
      <c r="A4" t="s">
        <v>54</v>
      </c>
      <c r="B4">
        <v>5.1015824976957898E-2</v>
      </c>
      <c r="C4">
        <v>1.7991926631914498E-2</v>
      </c>
      <c r="D4">
        <v>240</v>
      </c>
      <c r="E4" s="2">
        <v>0.66666666666666663</v>
      </c>
      <c r="F4" s="2">
        <v>0.125</v>
      </c>
      <c r="G4" s="2">
        <v>0.16666666666666674</v>
      </c>
      <c r="H4" s="2">
        <v>4.1666666666666664E-2</v>
      </c>
    </row>
    <row r="5" spans="1:8" x14ac:dyDescent="0.2">
      <c r="A5" t="s">
        <v>47</v>
      </c>
      <c r="B5">
        <v>1.0345060021577219E-2</v>
      </c>
      <c r="C5">
        <v>1.7067489368531197E-2</v>
      </c>
      <c r="D5">
        <v>170</v>
      </c>
      <c r="E5" s="2">
        <v>0.41176470588235292</v>
      </c>
      <c r="F5" s="2">
        <v>0.41176470588235292</v>
      </c>
      <c r="G5" s="2">
        <v>0</v>
      </c>
      <c r="H5" s="2">
        <v>0.17647058823529413</v>
      </c>
    </row>
    <row r="6" spans="1:8" x14ac:dyDescent="0.2">
      <c r="A6" t="s">
        <v>48</v>
      </c>
      <c r="B6">
        <v>-2.4065176348332478E-2</v>
      </c>
      <c r="C6">
        <v>1.9381410313744695E-2</v>
      </c>
      <c r="D6">
        <v>480</v>
      </c>
      <c r="E6" s="2">
        <v>0.45833333333333331</v>
      </c>
      <c r="F6" s="2">
        <v>0.29166666666666669</v>
      </c>
      <c r="G6" s="2">
        <v>0.14583333333333337</v>
      </c>
      <c r="H6" s="2">
        <v>0.10416666666666667</v>
      </c>
    </row>
    <row r="7" spans="1:8" x14ac:dyDescent="0.2">
      <c r="A7" t="s">
        <v>49</v>
      </c>
      <c r="B7">
        <v>1.97481106876688E-2</v>
      </c>
      <c r="C7">
        <v>-2.3557866787226045E-2</v>
      </c>
      <c r="D7">
        <v>900</v>
      </c>
      <c r="E7" s="2">
        <v>0.51111111111111107</v>
      </c>
      <c r="F7" s="2">
        <v>0.21111111111111111</v>
      </c>
      <c r="G7" s="2">
        <v>0.19999999999999996</v>
      </c>
      <c r="H7" s="2">
        <v>7.7777777777777779E-2</v>
      </c>
    </row>
    <row r="8" spans="1:8" x14ac:dyDescent="0.2">
      <c r="A8" t="s">
        <v>50</v>
      </c>
      <c r="B8">
        <v>-1.0019746427272267E-2</v>
      </c>
      <c r="C8">
        <v>-5.8158650718661692E-3</v>
      </c>
      <c r="D8">
        <v>1250</v>
      </c>
      <c r="E8" s="2">
        <v>0.36799999999999999</v>
      </c>
      <c r="F8" s="2">
        <v>0.248</v>
      </c>
      <c r="G8" s="2">
        <v>0.21599999999999997</v>
      </c>
      <c r="H8" s="2">
        <v>0.16800000000000001</v>
      </c>
    </row>
    <row r="9" spans="1:8" x14ac:dyDescent="0.2">
      <c r="A9" t="s">
        <v>51</v>
      </c>
      <c r="B9">
        <v>-4.9069671879378822E-2</v>
      </c>
      <c r="C9">
        <v>-8.0791447124581826E-3</v>
      </c>
      <c r="D9">
        <v>600</v>
      </c>
      <c r="E9" s="2">
        <v>0.35</v>
      </c>
      <c r="F9" s="2">
        <v>0.21666666666666667</v>
      </c>
      <c r="G9" s="2">
        <v>0.19999999999999996</v>
      </c>
      <c r="H9" s="2">
        <v>0.23333333333333334</v>
      </c>
    </row>
    <row r="10" spans="1:8" x14ac:dyDescent="0.2">
      <c r="A10" t="s">
        <v>52</v>
      </c>
      <c r="B10">
        <v>-2.5425397102480839E-2</v>
      </c>
      <c r="C10">
        <v>2.598014699238451E-3</v>
      </c>
      <c r="D10">
        <v>550</v>
      </c>
      <c r="E10" s="2">
        <v>0.2181818181818182</v>
      </c>
      <c r="F10" s="2">
        <v>0.25454545454545452</v>
      </c>
      <c r="G10" s="2">
        <v>0.23636363636363633</v>
      </c>
      <c r="H10" s="2">
        <v>0.29090909090909089</v>
      </c>
    </row>
    <row r="11" spans="1:8" x14ac:dyDescent="0.2">
      <c r="A11" t="s">
        <v>13</v>
      </c>
      <c r="B11">
        <v>5.7737666875471154E-2</v>
      </c>
      <c r="C11">
        <v>1.1965979814531021E-2</v>
      </c>
      <c r="D11">
        <v>0.1</v>
      </c>
      <c r="E11">
        <v>1</v>
      </c>
      <c r="F11">
        <v>1</v>
      </c>
      <c r="G11">
        <v>1</v>
      </c>
      <c r="H11">
        <v>1</v>
      </c>
    </row>
    <row r="12" spans="1:8" x14ac:dyDescent="0.2">
      <c r="A12" t="s">
        <v>14</v>
      </c>
      <c r="B12">
        <v>-3.2423215835353368E-2</v>
      </c>
      <c r="C12">
        <v>1.0691052835047782E-2</v>
      </c>
      <c r="D12">
        <v>0.1</v>
      </c>
      <c r="E12">
        <v>1</v>
      </c>
      <c r="F12">
        <v>1</v>
      </c>
      <c r="G12">
        <v>1</v>
      </c>
      <c r="H12">
        <v>1</v>
      </c>
    </row>
    <row r="13" spans="1:8" x14ac:dyDescent="0.2">
      <c r="A13" t="s">
        <v>15</v>
      </c>
      <c r="B13">
        <v>-1.8653290739007431E-2</v>
      </c>
      <c r="C13">
        <v>1.0004233248141307E-2</v>
      </c>
      <c r="D13">
        <v>0.1</v>
      </c>
      <c r="E13">
        <v>1</v>
      </c>
      <c r="F13">
        <v>1</v>
      </c>
      <c r="G13">
        <v>1</v>
      </c>
      <c r="H13">
        <v>1</v>
      </c>
    </row>
    <row r="14" spans="1:8" x14ac:dyDescent="0.2">
      <c r="A14" t="s">
        <v>16</v>
      </c>
      <c r="B14">
        <v>1.3855023724936017E-2</v>
      </c>
      <c r="C14">
        <v>-8.3032913191420435E-3</v>
      </c>
      <c r="D14">
        <v>0.1</v>
      </c>
      <c r="E14">
        <v>1</v>
      </c>
      <c r="F14">
        <v>1</v>
      </c>
      <c r="G14">
        <v>1</v>
      </c>
      <c r="H14">
        <v>1</v>
      </c>
    </row>
    <row r="15" spans="1:8" x14ac:dyDescent="0.2">
      <c r="A15" t="s">
        <v>17</v>
      </c>
      <c r="B15">
        <v>-5.2794620360316451E-3</v>
      </c>
      <c r="C15">
        <v>-2.3946143878835372E-2</v>
      </c>
      <c r="D15">
        <v>0.1</v>
      </c>
      <c r="E15">
        <v>1</v>
      </c>
      <c r="F15">
        <v>1</v>
      </c>
      <c r="G15">
        <v>1</v>
      </c>
      <c r="H15">
        <v>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CF8B8-E7C4-EB4B-9A61-BC36AA40B48A}">
  <sheetPr codeName="Sheet2"/>
  <dimension ref="A3:O39"/>
  <sheetViews>
    <sheetView workbookViewId="0">
      <selection activeCell="O4" sqref="O4:O12"/>
    </sheetView>
  </sheetViews>
  <sheetFormatPr baseColWidth="10" defaultRowHeight="16" x14ac:dyDescent="0.2"/>
  <cols>
    <col min="1" max="1" width="30" customWidth="1"/>
    <col min="7" max="7" width="36.1640625" bestFit="1" customWidth="1"/>
    <col min="9" max="9" width="15.83203125" bestFit="1" customWidth="1"/>
  </cols>
  <sheetData>
    <row r="3" spans="1:15" x14ac:dyDescent="0.2">
      <c r="B3" t="s">
        <v>20</v>
      </c>
      <c r="C3" t="s">
        <v>19</v>
      </c>
      <c r="D3" t="s">
        <v>18</v>
      </c>
      <c r="E3" t="s">
        <v>21</v>
      </c>
    </row>
    <row r="4" spans="1:15" x14ac:dyDescent="0.2">
      <c r="A4" t="s">
        <v>38</v>
      </c>
      <c r="B4">
        <v>1</v>
      </c>
      <c r="C4">
        <v>340</v>
      </c>
      <c r="D4">
        <v>23</v>
      </c>
      <c r="E4">
        <v>363</v>
      </c>
      <c r="F4">
        <f>D4/E4</f>
        <v>6.3360881542699726E-2</v>
      </c>
      <c r="G4" t="s">
        <v>24</v>
      </c>
      <c r="I4" t="s">
        <v>4</v>
      </c>
      <c r="J4" s="2">
        <f>VLOOKUP($G4,$A$26:$L$39,9,FALSE)</f>
        <v>0.55922865013774103</v>
      </c>
      <c r="K4" s="2">
        <f>VLOOKUP($G4,$A$26:$L$39,10,FALSE)</f>
        <v>0.14600550964187328</v>
      </c>
      <c r="L4" s="2">
        <f>VLOOKUP($G4,$A$26:$L$39,11,FALSE)</f>
        <v>0.17630853994490359</v>
      </c>
      <c r="M4" s="2">
        <f>VLOOKUP($G4,$A$26:$L$39,12,FALSE)</f>
        <v>0.1184573002754821</v>
      </c>
      <c r="O4">
        <f>E4*10</f>
        <v>3630</v>
      </c>
    </row>
    <row r="5" spans="1:15" x14ac:dyDescent="0.2">
      <c r="A5" t="s">
        <v>39</v>
      </c>
      <c r="B5">
        <v>3</v>
      </c>
      <c r="C5">
        <v>125</v>
      </c>
      <c r="D5">
        <v>26</v>
      </c>
      <c r="E5">
        <v>151</v>
      </c>
      <c r="F5">
        <f t="shared" ref="F5:F12" si="0">D5/E5</f>
        <v>0.17218543046357615</v>
      </c>
      <c r="G5" t="s">
        <v>26</v>
      </c>
      <c r="I5" t="s">
        <v>5</v>
      </c>
      <c r="J5" s="2">
        <f t="shared" ref="J5:J12" si="1">VLOOKUP($G5,$A$26:$L$39,9,FALSE)</f>
        <v>0.48344370860927155</v>
      </c>
      <c r="K5" s="2">
        <f t="shared" ref="K5:K12" si="2">VLOOKUP($G5,$A$26:$L$39,10,FALSE)</f>
        <v>0.2185430463576159</v>
      </c>
      <c r="L5" s="2">
        <f t="shared" ref="L5:L12" si="3">VLOOKUP($G5,$A$26:$L$39,11,FALSE)</f>
        <v>0.1589403973509933</v>
      </c>
      <c r="M5" s="2">
        <f t="shared" ref="M5:M12" si="4">VLOOKUP($G5,$A$26:$L$39,12,FALSE)</f>
        <v>0.13907284768211919</v>
      </c>
      <c r="O5">
        <f t="shared" ref="O5:O12" si="5">E5*10</f>
        <v>1510</v>
      </c>
    </row>
    <row r="6" spans="1:15" x14ac:dyDescent="0.2">
      <c r="A6" t="s">
        <v>40</v>
      </c>
      <c r="B6">
        <v>5</v>
      </c>
      <c r="C6">
        <v>20</v>
      </c>
      <c r="D6">
        <v>4</v>
      </c>
      <c r="E6">
        <v>24</v>
      </c>
      <c r="F6">
        <f t="shared" si="0"/>
        <v>0.16666666666666666</v>
      </c>
      <c r="G6" t="s">
        <v>28</v>
      </c>
      <c r="I6" t="s">
        <v>6</v>
      </c>
      <c r="J6" s="2">
        <f t="shared" si="1"/>
        <v>0.66666666666666663</v>
      </c>
      <c r="K6" s="2">
        <f t="shared" si="2"/>
        <v>0.125</v>
      </c>
      <c r="L6" s="2">
        <f t="shared" si="3"/>
        <v>0.16666666666666674</v>
      </c>
      <c r="M6" s="2">
        <f t="shared" si="4"/>
        <v>4.1666666666666664E-2</v>
      </c>
      <c r="O6">
        <f t="shared" si="5"/>
        <v>240</v>
      </c>
    </row>
    <row r="7" spans="1:15" x14ac:dyDescent="0.2">
      <c r="A7" t="s">
        <v>41</v>
      </c>
      <c r="B7">
        <v>6</v>
      </c>
      <c r="C7">
        <v>14</v>
      </c>
      <c r="D7">
        <v>3</v>
      </c>
      <c r="E7">
        <v>17</v>
      </c>
      <c r="F7">
        <f t="shared" si="0"/>
        <v>0.17647058823529413</v>
      </c>
      <c r="G7" t="s">
        <v>29</v>
      </c>
      <c r="I7" t="s">
        <v>7</v>
      </c>
      <c r="J7" s="2">
        <f t="shared" si="1"/>
        <v>0.41176470588235292</v>
      </c>
      <c r="K7" s="2">
        <f t="shared" si="2"/>
        <v>0.41176470588235292</v>
      </c>
      <c r="L7" s="2">
        <f t="shared" si="3"/>
        <v>0</v>
      </c>
      <c r="M7" s="2">
        <f t="shared" si="4"/>
        <v>0.17647058823529413</v>
      </c>
      <c r="O7">
        <f t="shared" si="5"/>
        <v>170</v>
      </c>
    </row>
    <row r="8" spans="1:15" x14ac:dyDescent="0.2">
      <c r="A8" t="s">
        <v>42</v>
      </c>
      <c r="B8">
        <v>7</v>
      </c>
      <c r="C8">
        <v>25</v>
      </c>
      <c r="D8">
        <v>23</v>
      </c>
      <c r="E8">
        <v>48</v>
      </c>
      <c r="F8">
        <f t="shared" si="0"/>
        <v>0.47916666666666669</v>
      </c>
      <c r="G8" t="s">
        <v>30</v>
      </c>
      <c r="I8" t="s">
        <v>8</v>
      </c>
      <c r="J8" s="2">
        <f t="shared" si="1"/>
        <v>0.45833333333333331</v>
      </c>
      <c r="K8" s="2">
        <f t="shared" si="2"/>
        <v>0.29166666666666669</v>
      </c>
      <c r="L8" s="2">
        <f t="shared" si="3"/>
        <v>0.14583333333333337</v>
      </c>
      <c r="M8" s="2">
        <f t="shared" si="4"/>
        <v>0.10416666666666667</v>
      </c>
      <c r="O8">
        <f t="shared" si="5"/>
        <v>480</v>
      </c>
    </row>
    <row r="9" spans="1:15" x14ac:dyDescent="0.2">
      <c r="A9" t="s">
        <v>43</v>
      </c>
      <c r="B9">
        <v>9</v>
      </c>
      <c r="C9">
        <v>78</v>
      </c>
      <c r="D9">
        <v>12</v>
      </c>
      <c r="E9">
        <v>90</v>
      </c>
      <c r="F9">
        <f t="shared" si="0"/>
        <v>0.13333333333333333</v>
      </c>
      <c r="G9" t="s">
        <v>32</v>
      </c>
      <c r="I9" t="s">
        <v>9</v>
      </c>
      <c r="J9" s="2">
        <f t="shared" si="1"/>
        <v>0.51111111111111107</v>
      </c>
      <c r="K9" s="2">
        <f t="shared" si="2"/>
        <v>0.21111111111111111</v>
      </c>
      <c r="L9" s="2">
        <f t="shared" si="3"/>
        <v>0.19999999999999996</v>
      </c>
      <c r="M9" s="2">
        <f t="shared" si="4"/>
        <v>7.7777777777777779E-2</v>
      </c>
      <c r="O9">
        <f t="shared" si="5"/>
        <v>900</v>
      </c>
    </row>
    <row r="10" spans="1:15" x14ac:dyDescent="0.2">
      <c r="A10" t="s">
        <v>44</v>
      </c>
      <c r="B10">
        <v>10</v>
      </c>
      <c r="C10">
        <v>101</v>
      </c>
      <c r="D10">
        <v>24</v>
      </c>
      <c r="E10">
        <v>125</v>
      </c>
      <c r="F10">
        <f t="shared" si="0"/>
        <v>0.192</v>
      </c>
      <c r="G10" t="s">
        <v>33</v>
      </c>
      <c r="I10" t="s">
        <v>10</v>
      </c>
      <c r="J10" s="2">
        <f t="shared" si="1"/>
        <v>0.36799999999999999</v>
      </c>
      <c r="K10" s="2">
        <f t="shared" si="2"/>
        <v>0.248</v>
      </c>
      <c r="L10" s="2">
        <f t="shared" si="3"/>
        <v>0.21599999999999997</v>
      </c>
      <c r="M10" s="2">
        <f t="shared" si="4"/>
        <v>0.16800000000000001</v>
      </c>
      <c r="O10">
        <f t="shared" si="5"/>
        <v>1250</v>
      </c>
    </row>
    <row r="11" spans="1:15" x14ac:dyDescent="0.2">
      <c r="A11" t="s">
        <v>45</v>
      </c>
      <c r="B11">
        <v>11</v>
      </c>
      <c r="C11">
        <v>42</v>
      </c>
      <c r="D11">
        <v>18</v>
      </c>
      <c r="E11">
        <v>60</v>
      </c>
      <c r="F11">
        <f t="shared" si="0"/>
        <v>0.3</v>
      </c>
      <c r="G11" t="s">
        <v>34</v>
      </c>
      <c r="I11" t="s">
        <v>11</v>
      </c>
      <c r="J11" s="2">
        <f t="shared" si="1"/>
        <v>0.35</v>
      </c>
      <c r="K11" s="2">
        <f t="shared" si="2"/>
        <v>0.21666666666666667</v>
      </c>
      <c r="L11" s="2">
        <f t="shared" si="3"/>
        <v>0.19999999999999996</v>
      </c>
      <c r="M11" s="2">
        <f t="shared" si="4"/>
        <v>0.23333333333333334</v>
      </c>
      <c r="O11">
        <f t="shared" si="5"/>
        <v>600</v>
      </c>
    </row>
    <row r="12" spans="1:15" x14ac:dyDescent="0.2">
      <c r="A12" t="s">
        <v>46</v>
      </c>
      <c r="B12">
        <v>12</v>
      </c>
      <c r="C12">
        <v>39</v>
      </c>
      <c r="D12">
        <v>16</v>
      </c>
      <c r="E12">
        <v>55</v>
      </c>
      <c r="F12">
        <f t="shared" si="0"/>
        <v>0.29090909090909089</v>
      </c>
      <c r="G12" t="s">
        <v>35</v>
      </c>
      <c r="I12" t="s">
        <v>12</v>
      </c>
      <c r="J12" s="2">
        <f t="shared" si="1"/>
        <v>0.2181818181818182</v>
      </c>
      <c r="K12" s="2">
        <f t="shared" si="2"/>
        <v>0.25454545454545452</v>
      </c>
      <c r="L12" s="2">
        <f t="shared" si="3"/>
        <v>0.23636363636363633</v>
      </c>
      <c r="M12" s="2">
        <f t="shared" si="4"/>
        <v>0.29090909090909089</v>
      </c>
      <c r="O12">
        <f t="shared" si="5"/>
        <v>550</v>
      </c>
    </row>
    <row r="17" spans="1:14" x14ac:dyDescent="0.2">
      <c r="A17" t="s">
        <v>22</v>
      </c>
    </row>
    <row r="19" spans="1:14" ht="19" x14ac:dyDescent="0.25">
      <c r="A19" s="1" t="s">
        <v>23</v>
      </c>
    </row>
    <row r="20" spans="1:14" x14ac:dyDescent="0.2">
      <c r="A20" t="s">
        <v>24</v>
      </c>
      <c r="B20" t="s">
        <v>25</v>
      </c>
      <c r="C20" t="s">
        <v>26</v>
      </c>
      <c r="D20" t="s">
        <v>27</v>
      </c>
      <c r="E20" t="s">
        <v>28</v>
      </c>
      <c r="F20" t="s">
        <v>29</v>
      </c>
      <c r="G20" t="s">
        <v>30</v>
      </c>
      <c r="H20" t="s">
        <v>31</v>
      </c>
      <c r="I20" t="s">
        <v>32</v>
      </c>
      <c r="J20" t="s">
        <v>33</v>
      </c>
      <c r="K20" t="s">
        <v>34</v>
      </c>
      <c r="L20" t="s">
        <v>35</v>
      </c>
      <c r="M20" t="s">
        <v>36</v>
      </c>
      <c r="N20" t="s">
        <v>37</v>
      </c>
    </row>
    <row r="24" spans="1:14" x14ac:dyDescent="0.2">
      <c r="C24" t="s">
        <v>55</v>
      </c>
    </row>
    <row r="25" spans="1:14" x14ac:dyDescent="0.2">
      <c r="B25" t="s">
        <v>20</v>
      </c>
      <c r="C25">
        <v>1</v>
      </c>
      <c r="D25">
        <v>2</v>
      </c>
      <c r="E25">
        <v>3</v>
      </c>
      <c r="F25">
        <v>4</v>
      </c>
      <c r="G25" t="s">
        <v>21</v>
      </c>
    </row>
    <row r="26" spans="1:14" x14ac:dyDescent="0.2">
      <c r="A26" t="s">
        <v>24</v>
      </c>
      <c r="B26">
        <v>1</v>
      </c>
      <c r="C26">
        <v>285</v>
      </c>
      <c r="D26">
        <v>55</v>
      </c>
      <c r="E26">
        <v>18</v>
      </c>
      <c r="F26">
        <v>5</v>
      </c>
      <c r="G26">
        <f>C26+D26</f>
        <v>340</v>
      </c>
      <c r="H26" s="3">
        <f>(C26)/(C26+D26)</f>
        <v>0.83823529411764708</v>
      </c>
      <c r="I26">
        <v>0.55922865013774103</v>
      </c>
      <c r="J26">
        <v>0.14600550964187328</v>
      </c>
      <c r="K26">
        <v>0.17630853994490359</v>
      </c>
      <c r="L26">
        <v>0.1184573002754821</v>
      </c>
    </row>
    <row r="27" spans="1:14" x14ac:dyDescent="0.2">
      <c r="A27" t="s">
        <v>25</v>
      </c>
      <c r="B27">
        <v>2</v>
      </c>
      <c r="C27">
        <v>10</v>
      </c>
      <c r="D27">
        <v>6</v>
      </c>
      <c r="E27">
        <v>1</v>
      </c>
      <c r="G27">
        <f t="shared" ref="G27:G39" si="6">C27+D27</f>
        <v>16</v>
      </c>
      <c r="H27" s="3">
        <f t="shared" ref="H27:H39" si="7">(C27)/(C27+D27)</f>
        <v>0.625</v>
      </c>
      <c r="I27">
        <v>0.76470588235294112</v>
      </c>
      <c r="J27">
        <v>0.11764705882352941</v>
      </c>
      <c r="K27">
        <v>5.8823529411764719E-2</v>
      </c>
      <c r="L27">
        <v>5.8823529411764705E-2</v>
      </c>
    </row>
    <row r="28" spans="1:14" x14ac:dyDescent="0.2">
      <c r="A28" t="s">
        <v>26</v>
      </c>
      <c r="B28">
        <v>3</v>
      </c>
      <c r="C28">
        <v>84</v>
      </c>
      <c r="D28">
        <v>41</v>
      </c>
      <c r="E28">
        <v>19</v>
      </c>
      <c r="F28">
        <v>7</v>
      </c>
      <c r="G28">
        <f t="shared" si="6"/>
        <v>125</v>
      </c>
      <c r="H28" s="3">
        <f t="shared" si="7"/>
        <v>0.67200000000000004</v>
      </c>
      <c r="I28">
        <v>0.48344370860927155</v>
      </c>
      <c r="J28">
        <v>0.2185430463576159</v>
      </c>
      <c r="K28">
        <v>0.1589403973509933</v>
      </c>
      <c r="L28">
        <v>0.13907284768211919</v>
      </c>
    </row>
    <row r="29" spans="1:14" x14ac:dyDescent="0.2">
      <c r="A29" t="s">
        <v>27</v>
      </c>
      <c r="B29">
        <v>4</v>
      </c>
      <c r="C29">
        <v>8</v>
      </c>
      <c r="D29">
        <v>3</v>
      </c>
      <c r="G29">
        <f t="shared" si="6"/>
        <v>11</v>
      </c>
      <c r="H29" s="3">
        <f t="shared" si="7"/>
        <v>0.72727272727272729</v>
      </c>
      <c r="I29">
        <v>0.54545454545454541</v>
      </c>
      <c r="J29">
        <v>0.27272727272727271</v>
      </c>
      <c r="K29">
        <v>9.0909090909090939E-2</v>
      </c>
      <c r="L29">
        <v>9.0909090909090912E-2</v>
      </c>
    </row>
    <row r="30" spans="1:14" x14ac:dyDescent="0.2">
      <c r="A30" t="s">
        <v>28</v>
      </c>
      <c r="B30">
        <v>5</v>
      </c>
      <c r="C30">
        <v>13</v>
      </c>
      <c r="D30">
        <v>7</v>
      </c>
      <c r="E30">
        <v>3</v>
      </c>
      <c r="F30">
        <v>1</v>
      </c>
      <c r="G30">
        <f t="shared" si="6"/>
        <v>20</v>
      </c>
      <c r="H30" s="3">
        <f t="shared" si="7"/>
        <v>0.65</v>
      </c>
      <c r="I30">
        <v>0.66666666666666663</v>
      </c>
      <c r="J30">
        <v>0.125</v>
      </c>
      <c r="K30">
        <v>0.16666666666666674</v>
      </c>
      <c r="L30">
        <v>4.1666666666666664E-2</v>
      </c>
    </row>
    <row r="31" spans="1:14" x14ac:dyDescent="0.2">
      <c r="A31" t="s">
        <v>29</v>
      </c>
      <c r="B31">
        <v>6</v>
      </c>
      <c r="C31">
        <v>10</v>
      </c>
      <c r="D31">
        <v>4</v>
      </c>
      <c r="E31">
        <v>1</v>
      </c>
      <c r="F31">
        <v>2</v>
      </c>
      <c r="G31">
        <f t="shared" si="6"/>
        <v>14</v>
      </c>
      <c r="H31" s="3">
        <f t="shared" si="7"/>
        <v>0.7142857142857143</v>
      </c>
      <c r="I31">
        <v>0.41176470588235292</v>
      </c>
      <c r="J31">
        <v>0.41176470588235292</v>
      </c>
      <c r="K31">
        <v>0</v>
      </c>
      <c r="L31">
        <v>0.17647058823529413</v>
      </c>
    </row>
    <row r="32" spans="1:14" x14ac:dyDescent="0.2">
      <c r="A32" t="s">
        <v>30</v>
      </c>
      <c r="B32">
        <v>7</v>
      </c>
      <c r="C32">
        <v>16</v>
      </c>
      <c r="D32">
        <v>9</v>
      </c>
      <c r="E32">
        <v>19</v>
      </c>
      <c r="F32">
        <v>4</v>
      </c>
      <c r="G32">
        <f t="shared" si="6"/>
        <v>25</v>
      </c>
      <c r="H32" s="3">
        <f t="shared" si="7"/>
        <v>0.64</v>
      </c>
      <c r="I32">
        <v>0.45833333333333331</v>
      </c>
      <c r="J32">
        <v>0.29166666666666669</v>
      </c>
      <c r="K32">
        <v>0.14583333333333337</v>
      </c>
      <c r="L32">
        <v>0.10416666666666667</v>
      </c>
    </row>
    <row r="33" spans="1:12" x14ac:dyDescent="0.2">
      <c r="A33" t="s">
        <v>31</v>
      </c>
      <c r="B33">
        <v>8</v>
      </c>
      <c r="C33">
        <v>3</v>
      </c>
      <c r="D33">
        <v>2</v>
      </c>
      <c r="G33">
        <f t="shared" si="6"/>
        <v>5</v>
      </c>
      <c r="H33" s="3">
        <f t="shared" si="7"/>
        <v>0.6</v>
      </c>
      <c r="I33">
        <v>0.4</v>
      </c>
      <c r="J33">
        <v>0</v>
      </c>
      <c r="K33">
        <v>0</v>
      </c>
      <c r="L33">
        <v>0.6</v>
      </c>
    </row>
    <row r="34" spans="1:12" x14ac:dyDescent="0.2">
      <c r="A34" t="s">
        <v>32</v>
      </c>
      <c r="B34">
        <v>9</v>
      </c>
      <c r="C34">
        <v>55</v>
      </c>
      <c r="D34">
        <v>23</v>
      </c>
      <c r="E34">
        <v>9</v>
      </c>
      <c r="F34">
        <v>3</v>
      </c>
      <c r="G34">
        <f t="shared" si="6"/>
        <v>78</v>
      </c>
      <c r="H34" s="3">
        <f t="shared" si="7"/>
        <v>0.70512820512820518</v>
      </c>
      <c r="I34">
        <v>0.51111111111111107</v>
      </c>
      <c r="J34">
        <v>0.21111111111111111</v>
      </c>
      <c r="K34">
        <v>0.19999999999999996</v>
      </c>
      <c r="L34">
        <v>7.7777777777777779E-2</v>
      </c>
    </row>
    <row r="35" spans="1:12" x14ac:dyDescent="0.2">
      <c r="A35" t="s">
        <v>33</v>
      </c>
      <c r="B35">
        <v>10</v>
      </c>
      <c r="C35">
        <v>72</v>
      </c>
      <c r="D35">
        <v>29</v>
      </c>
      <c r="E35">
        <v>18</v>
      </c>
      <c r="F35">
        <v>6</v>
      </c>
      <c r="G35">
        <f t="shared" si="6"/>
        <v>101</v>
      </c>
      <c r="H35" s="3">
        <f t="shared" si="7"/>
        <v>0.71287128712871284</v>
      </c>
      <c r="I35">
        <v>0.36799999999999999</v>
      </c>
      <c r="J35">
        <v>0.248</v>
      </c>
      <c r="K35">
        <v>0.21599999999999997</v>
      </c>
      <c r="L35">
        <v>0.16800000000000001</v>
      </c>
    </row>
    <row r="36" spans="1:12" x14ac:dyDescent="0.2">
      <c r="A36" t="s">
        <v>34</v>
      </c>
      <c r="B36">
        <v>11</v>
      </c>
      <c r="C36">
        <v>23</v>
      </c>
      <c r="D36">
        <v>19</v>
      </c>
      <c r="E36">
        <v>11</v>
      </c>
      <c r="F36">
        <v>7</v>
      </c>
      <c r="G36">
        <f t="shared" si="6"/>
        <v>42</v>
      </c>
      <c r="H36" s="3">
        <f t="shared" si="7"/>
        <v>0.54761904761904767</v>
      </c>
      <c r="I36">
        <v>0.35</v>
      </c>
      <c r="J36">
        <v>0.21666666666666667</v>
      </c>
      <c r="K36">
        <v>0.19999999999999996</v>
      </c>
      <c r="L36">
        <v>0.23333333333333334</v>
      </c>
    </row>
    <row r="37" spans="1:12" x14ac:dyDescent="0.2">
      <c r="A37" t="s">
        <v>35</v>
      </c>
      <c r="B37">
        <v>12</v>
      </c>
      <c r="C37">
        <v>14</v>
      </c>
      <c r="D37">
        <v>25</v>
      </c>
      <c r="E37">
        <v>14</v>
      </c>
      <c r="F37">
        <v>2</v>
      </c>
      <c r="G37">
        <f t="shared" si="6"/>
        <v>39</v>
      </c>
      <c r="H37" s="3">
        <f t="shared" si="7"/>
        <v>0.35897435897435898</v>
      </c>
      <c r="I37">
        <v>0.2181818181818182</v>
      </c>
      <c r="J37">
        <v>0.25454545454545452</v>
      </c>
      <c r="K37">
        <v>0.23636363636363633</v>
      </c>
      <c r="L37">
        <v>0.29090909090909089</v>
      </c>
    </row>
    <row r="38" spans="1:12" x14ac:dyDescent="0.2">
      <c r="A38" t="s">
        <v>36</v>
      </c>
      <c r="B38">
        <v>13</v>
      </c>
      <c r="C38">
        <v>61</v>
      </c>
      <c r="D38">
        <v>63</v>
      </c>
      <c r="E38">
        <v>47</v>
      </c>
      <c r="F38">
        <v>15</v>
      </c>
      <c r="G38">
        <f t="shared" si="6"/>
        <v>124</v>
      </c>
      <c r="H38" s="3">
        <f t="shared" si="7"/>
        <v>0.49193548387096775</v>
      </c>
      <c r="I38">
        <v>0.37634408602150538</v>
      </c>
      <c r="J38">
        <v>0.30107526881720431</v>
      </c>
      <c r="K38">
        <v>0.26881720430107525</v>
      </c>
      <c r="L38">
        <v>5.3763440860215055E-2</v>
      </c>
    </row>
    <row r="39" spans="1:12" x14ac:dyDescent="0.2">
      <c r="A39" t="s">
        <v>37</v>
      </c>
      <c r="B39">
        <v>14</v>
      </c>
      <c r="C39">
        <v>30</v>
      </c>
      <c r="D39">
        <v>15</v>
      </c>
      <c r="E39">
        <v>8</v>
      </c>
      <c r="F39">
        <v>7</v>
      </c>
      <c r="G39">
        <f t="shared" si="6"/>
        <v>45</v>
      </c>
      <c r="H39" s="3">
        <f t="shared" si="7"/>
        <v>0.66666666666666663</v>
      </c>
      <c r="I39">
        <v>0.21666666666666667</v>
      </c>
      <c r="J39">
        <v>0.21666666666666667</v>
      </c>
      <c r="K39">
        <v>0.43333333333333335</v>
      </c>
      <c r="L39">
        <v>0.13333333333333333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Sheet2</vt:lpstr>
      <vt:lpstr>PieChartValues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Anupam Tripathi</dc:creator>
  <cp:lastModifiedBy>Anupam Tripathi</cp:lastModifiedBy>
  <dcterms:created xsi:type="dcterms:W3CDTF">2021-06-21T21:19:00Z</dcterms:created>
  <dcterms:modified xsi:type="dcterms:W3CDTF">2021-06-24T13:34:09Z</dcterms:modified>
</cp:coreProperties>
</file>