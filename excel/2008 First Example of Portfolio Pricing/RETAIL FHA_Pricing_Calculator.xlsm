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65C56A31-55D7-CBBD-CD37-7C71EA340FA4}"/>
  <workbookPr codeName="ThisWorkbook" defaultThemeVersion="202300"/>
  <mc:AlternateContent xmlns:mc="http://schemas.openxmlformats.org/markup-compatibility/2006">
    <mc:Choice Requires="x15">
      <x15ac:absPath xmlns:x15ac="http://schemas.microsoft.com/office/spreadsheetml/2010/11/ac" url="/Users/anupamtripathi/Downloads/"/>
    </mc:Choice>
  </mc:AlternateContent>
  <xr:revisionPtr revIDLastSave="0" documentId="13_ncr:1_{900EF7F4-37BA-5144-BB35-1815859A6FD2}" xr6:coauthVersionLast="47" xr6:coauthVersionMax="47" xr10:uidLastSave="{00000000-0000-0000-0000-000000000000}"/>
  <workbookProtection workbookPassword="CB95" lockStructure="1"/>
  <bookViews>
    <workbookView xWindow="1880" yWindow="760" windowWidth="20440" windowHeight="14960" tabRatio="615" activeTab="2" xr2:uid="{E60C9154-25D4-A74C-8D25-FC4745DCD45A}"/>
  </bookViews>
  <sheets>
    <sheet name="Procedure" sheetId="6" state="hidden" r:id="rId1"/>
    <sheet name="EFC_PricingToolCalcs" sheetId="5" state="hidden" r:id="rId2"/>
    <sheet name="Pricing Tool" sheetId="2" r:id="rId3"/>
  </sheets>
  <externalReferences>
    <externalReference r:id="rId4"/>
    <externalReference r:id="rId5"/>
    <externalReference r:id="rId6"/>
    <externalReference r:id="rId7"/>
    <externalReference r:id="rId8"/>
  </externalReferences>
  <definedNames>
    <definedName name="adjust15yr">'[1]EFC_ratesheet '!$C$19</definedName>
    <definedName name="cap">'Pricing Tool'!$D$4</definedName>
    <definedName name="cw15f">[1]CW_rates!$L$4:$U$32</definedName>
    <definedName name="cw30f">[1]CW_rates!$L$35:$U$60</definedName>
    <definedName name="cw30f_retail">[2]CW_rates_retail!$L$42:$U$77</definedName>
    <definedName name="EFC_CW15margin">'[3]EFC_ratesheet_cwd '!$T$46:$W$60</definedName>
    <definedName name="efc_cw30margin">'[2]EFC_ratesheet_cwd '!$T$8:$W$34</definedName>
    <definedName name="EFCMargin">'[1]EFC_ratesheet '!$C$14</definedName>
    <definedName name="fico1">'Pricing Tool'!$X$15</definedName>
    <definedName name="fico2">'Pricing Tool'!$X$16</definedName>
    <definedName name="fico3">'Pricing Tool'!$X$17</definedName>
    <definedName name="fico4">'Pricing Tool'!$I$14</definedName>
    <definedName name="ficoadj">'Pricing Tool'!$B$9:$D$14</definedName>
    <definedName name="ficooption">'Pricing Tool'!$X$14</definedName>
    <definedName name="gnma215">#REF!</definedName>
    <definedName name="gnma21515">#REF!</definedName>
    <definedName name="gnma21530">#REF!</definedName>
    <definedName name="gnma21545">#REF!</definedName>
    <definedName name="gnma215first">#REF!</definedName>
    <definedName name="gnma215rates">#REF!</definedName>
    <definedName name="gnma230">#REF!</definedName>
    <definedName name="gnma23015">#REF!</definedName>
    <definedName name="gnma23030">#REF!</definedName>
    <definedName name="gnma23045">#REF!</definedName>
    <definedName name="gnma230first">#REF!</definedName>
    <definedName name="gnma230rates">#REF!</definedName>
    <definedName name="incr15yr">'[1]EFC_ratesheet '!$C$16</definedName>
    <definedName name="incr30yr">'[1]EFC_ratesheet '!$C$18</definedName>
    <definedName name="inputno">'Pricing Tool'!$X$24</definedName>
    <definedName name="Jumbo_Progams">'Pricing Tool'!$A$236</definedName>
    <definedName name="Jumbo_Programs">'Pricing Tool'!$A$236</definedName>
    <definedName name="loanamt">'Pricing Tool'!$X$10</definedName>
    <definedName name="loanamtadj">'Pricing Tool'!$B$17:$C$21</definedName>
    <definedName name="loanpradj">#REF!</definedName>
    <definedName name="lock30day">'[3]EFC_ratesheet_cwd '!$C$33</definedName>
    <definedName name="lock45day">'[3]EFC_ratesheet_cwd '!$C$34</definedName>
    <definedName name="lockperadj">#REF!</definedName>
    <definedName name="lockperiod">'Pricing Tool'!$X$19</definedName>
    <definedName name="lockperiodtable">'Pricing Tool'!$A$243:$A$245</definedName>
    <definedName name="lookups">'Pricing Tool'!$A$113:$E$124</definedName>
    <definedName name="maxSRP">[1]CW_srp!$T$1</definedName>
    <definedName name="multi_loanamtadj">'Pricing Tool'!$D$17:$E$21</definedName>
    <definedName name="options">'Pricing Tool'!$A$249:$A$250</definedName>
    <definedName name="output">'Pricing Tool'!$X$27</definedName>
    <definedName name="parrate15">'Pricing Tool'!$B$29</definedName>
    <definedName name="parrate30">'Pricing Tool'!$C$29</definedName>
    <definedName name="_xlnm.Print_Area" localSheetId="1">EFC_PricingToolCalcs!$A$1:$T$77</definedName>
    <definedName name="prog">'Pricing Tool'!$X$11</definedName>
    <definedName name="prog15yrrates">'Pricing Tool'!$D$1</definedName>
    <definedName name="prog30fjrates">'Pricing Tool'!$D$3</definedName>
    <definedName name="prog30yrrates">'Pricing Tool'!$D$2</definedName>
    <definedName name="programs">'Pricing Tool'!$A$232:$A$233</definedName>
    <definedName name="Property_Type">'Pricing Tool'!$A$256:$A$259</definedName>
    <definedName name="REFCELL">'Pricing Tool'!$B$42</definedName>
    <definedName name="result">'Pricing Tool'!$W$27</definedName>
    <definedName name="retail_spread_j30f">'[4]EFC_ratesheet_AOT '!$C$21</definedName>
    <definedName name="retail_spread_price30">'[5]EFC_ratesheet_AOT '!$C$19</definedName>
    <definedName name="selection">'Pricing Tool'!$W$24</definedName>
    <definedName name="servandguarantee">#REF!</definedName>
    <definedName name="state">'Pricing Tool'!$X$8</definedName>
    <definedName name="states">'Pricing Tool'!$A$127:$A$173</definedName>
    <definedName name="statetier">#REF!</definedName>
    <definedName name="streamline">'Pricing Tool'!$X$13</definedName>
    <definedName name="streamline_fico">'Pricing Tool'!$K$5</definedName>
    <definedName name="streamlineadj">'Pricing Tool'!$J$2:$L$4</definedName>
    <definedName name="term">'Pricing Tool'!$X$12</definedName>
    <definedName name="tier1">[1]CW_srp!$AT$17</definedName>
    <definedName name="tier2">[1]CW_srp!$AT$19</definedName>
    <definedName name="tier3">[1]CW_srp!$AT$21</definedName>
    <definedName name="tieradj">'Pricing Tool'!$B$22:$C$25</definedName>
    <definedName name="tierpradj">#REF!</definedName>
    <definedName name="tierstates">'Pricing Tool'!$A$179:$B$229</definedName>
    <definedName name="totaladj">'Pricing Tool'!$J$25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2" l="1"/>
  <c r="I14" i="2"/>
  <c r="E35" i="2" s="1"/>
  <c r="J24" i="2"/>
  <c r="J18" i="2"/>
  <c r="J25" i="2" s="1"/>
  <c r="J15" i="2"/>
  <c r="J23" i="2"/>
  <c r="J19" i="2"/>
  <c r="J16" i="2"/>
  <c r="J17" i="2"/>
  <c r="G48" i="2"/>
  <c r="G52" i="2"/>
  <c r="G82" i="2" s="1"/>
  <c r="G54" i="2"/>
  <c r="G55" i="2"/>
  <c r="G53" i="2"/>
  <c r="G49" i="2"/>
  <c r="G50" i="2"/>
  <c r="G51" i="2"/>
  <c r="G44" i="2"/>
  <c r="G45" i="2"/>
  <c r="G75" i="2" s="1"/>
  <c r="G46" i="2"/>
  <c r="G47" i="2"/>
  <c r="G42" i="2"/>
  <c r="G43" i="2"/>
  <c r="D2" i="2"/>
  <c r="G56" i="2"/>
  <c r="G57" i="2"/>
  <c r="G58" i="2"/>
  <c r="G88" i="2" s="1"/>
  <c r="G59" i="2"/>
  <c r="G60" i="2"/>
  <c r="G61" i="2"/>
  <c r="G62" i="2"/>
  <c r="G63" i="2"/>
  <c r="G64" i="2"/>
  <c r="G65" i="2"/>
  <c r="G66" i="2"/>
  <c r="G96" i="2" s="1"/>
  <c r="G67" i="2"/>
  <c r="G68" i="2"/>
  <c r="H48" i="2"/>
  <c r="H52" i="2"/>
  <c r="H54" i="2"/>
  <c r="H55" i="2"/>
  <c r="H53" i="2"/>
  <c r="H49" i="2"/>
  <c r="H79" i="2" s="1"/>
  <c r="H50" i="2"/>
  <c r="H51" i="2"/>
  <c r="H44" i="2"/>
  <c r="H45" i="2"/>
  <c r="H46" i="2"/>
  <c r="H47" i="2"/>
  <c r="H42" i="2"/>
  <c r="H43" i="2"/>
  <c r="H73" i="2" s="1"/>
  <c r="H56" i="2"/>
  <c r="H57" i="2"/>
  <c r="H58" i="2"/>
  <c r="H59" i="2"/>
  <c r="H60" i="2"/>
  <c r="H61" i="2"/>
  <c r="H62" i="2"/>
  <c r="H63" i="2"/>
  <c r="H64" i="2"/>
  <c r="H65" i="2"/>
  <c r="H66" i="2"/>
  <c r="H67" i="2"/>
  <c r="H68" i="2"/>
  <c r="I48" i="2"/>
  <c r="I52" i="2"/>
  <c r="I54" i="2"/>
  <c r="I55" i="2"/>
  <c r="I53" i="2"/>
  <c r="I49" i="2"/>
  <c r="I50" i="2"/>
  <c r="I51" i="2"/>
  <c r="I44" i="2"/>
  <c r="I45" i="2"/>
  <c r="I46" i="2"/>
  <c r="I47" i="2"/>
  <c r="I42" i="2"/>
  <c r="I43" i="2"/>
  <c r="I56" i="2"/>
  <c r="I57" i="2"/>
  <c r="I58" i="2"/>
  <c r="I59" i="2"/>
  <c r="I60" i="2"/>
  <c r="I90" i="2" s="1"/>
  <c r="I61" i="2"/>
  <c r="I62" i="2"/>
  <c r="I63" i="2"/>
  <c r="I64" i="2"/>
  <c r="I65" i="2"/>
  <c r="I66" i="2"/>
  <c r="I67" i="2"/>
  <c r="I68" i="2"/>
  <c r="I98" i="2" s="1"/>
  <c r="K50" i="2"/>
  <c r="K51" i="2"/>
  <c r="K52" i="2"/>
  <c r="K53" i="2"/>
  <c r="K54" i="2"/>
  <c r="K55" i="2"/>
  <c r="K56" i="2"/>
  <c r="K57" i="2"/>
  <c r="K58" i="2"/>
  <c r="K45" i="2"/>
  <c r="K46" i="2"/>
  <c r="K47" i="2"/>
  <c r="K48" i="2"/>
  <c r="K49" i="2"/>
  <c r="K43" i="2"/>
  <c r="K44" i="2"/>
  <c r="K42" i="2"/>
  <c r="D3" i="2"/>
  <c r="K59" i="2"/>
  <c r="K60" i="2"/>
  <c r="K61" i="2"/>
  <c r="K62" i="2"/>
  <c r="K63" i="2"/>
  <c r="K64" i="2"/>
  <c r="K65" i="2"/>
  <c r="K66" i="2"/>
  <c r="K67" i="2"/>
  <c r="K68" i="2"/>
  <c r="L50" i="2"/>
  <c r="L51" i="2"/>
  <c r="L52" i="2"/>
  <c r="L53" i="2"/>
  <c r="L54" i="2"/>
  <c r="L55" i="2"/>
  <c r="L56" i="2"/>
  <c r="L57" i="2"/>
  <c r="L58" i="2"/>
  <c r="L45" i="2"/>
  <c r="L46" i="2"/>
  <c r="L47" i="2"/>
  <c r="L48" i="2"/>
  <c r="L49" i="2"/>
  <c r="L43" i="2"/>
  <c r="L44" i="2"/>
  <c r="L42" i="2"/>
  <c r="L59" i="2"/>
  <c r="L60" i="2"/>
  <c r="L61" i="2"/>
  <c r="L91" i="2" s="1"/>
  <c r="L62" i="2"/>
  <c r="L63" i="2"/>
  <c r="L64" i="2"/>
  <c r="L65" i="2"/>
  <c r="L66" i="2"/>
  <c r="L67" i="2"/>
  <c r="L68" i="2"/>
  <c r="M50" i="2"/>
  <c r="M80" i="2" s="1"/>
  <c r="M51" i="2"/>
  <c r="M52" i="2"/>
  <c r="M53" i="2"/>
  <c r="M54" i="2"/>
  <c r="M55" i="2"/>
  <c r="M56" i="2"/>
  <c r="M57" i="2"/>
  <c r="M58" i="2"/>
  <c r="M88" i="2" s="1"/>
  <c r="M45" i="2"/>
  <c r="M46" i="2"/>
  <c r="M47" i="2"/>
  <c r="M48" i="2"/>
  <c r="M49" i="2"/>
  <c r="M43" i="2"/>
  <c r="M44" i="2"/>
  <c r="M42" i="2"/>
  <c r="M72" i="2" s="1"/>
  <c r="M59" i="2"/>
  <c r="M60" i="2"/>
  <c r="M61" i="2"/>
  <c r="M62" i="2"/>
  <c r="M63" i="2"/>
  <c r="M64" i="2"/>
  <c r="M65" i="2"/>
  <c r="M66" i="2"/>
  <c r="M67" i="2"/>
  <c r="M68" i="2"/>
  <c r="C44" i="2"/>
  <c r="C45" i="2"/>
  <c r="C46" i="2"/>
  <c r="C47" i="2"/>
  <c r="C42" i="2"/>
  <c r="C43" i="2"/>
  <c r="D1" i="2"/>
  <c r="C48" i="2"/>
  <c r="C49" i="2"/>
  <c r="C50" i="2"/>
  <c r="C51" i="2"/>
  <c r="C52" i="2"/>
  <c r="C53" i="2"/>
  <c r="C54" i="2"/>
  <c r="C55" i="2"/>
  <c r="C56" i="2"/>
  <c r="C57" i="2"/>
  <c r="C58" i="2"/>
  <c r="C59" i="2"/>
  <c r="C60" i="2"/>
  <c r="C61" i="2"/>
  <c r="C62" i="2"/>
  <c r="C63" i="2"/>
  <c r="C64" i="2"/>
  <c r="C65" i="2"/>
  <c r="C66" i="2"/>
  <c r="C67" i="2"/>
  <c r="C68" i="2"/>
  <c r="D44" i="2"/>
  <c r="D45" i="2"/>
  <c r="D75" i="2" s="1"/>
  <c r="D46" i="2"/>
  <c r="D47" i="2"/>
  <c r="D42" i="2"/>
  <c r="D43" i="2"/>
  <c r="D48" i="2"/>
  <c r="D49" i="2"/>
  <c r="D50" i="2"/>
  <c r="D51" i="2"/>
  <c r="D52" i="2"/>
  <c r="D53" i="2"/>
  <c r="D54" i="2"/>
  <c r="D55" i="2"/>
  <c r="D56" i="2"/>
  <c r="D57" i="2"/>
  <c r="D58" i="2"/>
  <c r="D59" i="2"/>
  <c r="D60" i="2"/>
  <c r="D61" i="2"/>
  <c r="D62" i="2"/>
  <c r="D63" i="2"/>
  <c r="D64" i="2"/>
  <c r="D65" i="2"/>
  <c r="D66" i="2"/>
  <c r="D67" i="2"/>
  <c r="D68" i="2"/>
  <c r="E44" i="2"/>
  <c r="E45" i="2"/>
  <c r="E46" i="2"/>
  <c r="E47" i="2"/>
  <c r="E42" i="2"/>
  <c r="E43" i="2"/>
  <c r="E48" i="2"/>
  <c r="E78" i="2" s="1"/>
  <c r="E49" i="2"/>
  <c r="E50" i="2"/>
  <c r="E51" i="2"/>
  <c r="E52" i="2"/>
  <c r="E53" i="2"/>
  <c r="E54" i="2"/>
  <c r="E55" i="2"/>
  <c r="E56" i="2"/>
  <c r="E86" i="2" s="1"/>
  <c r="E57" i="2"/>
  <c r="E58" i="2"/>
  <c r="E59" i="2"/>
  <c r="E60" i="2"/>
  <c r="E61" i="2"/>
  <c r="E62" i="2"/>
  <c r="E63" i="2"/>
  <c r="E64" i="2"/>
  <c r="E94" i="2" s="1"/>
  <c r="E65" i="2"/>
  <c r="E66" i="2"/>
  <c r="E67" i="2"/>
  <c r="E68" i="2"/>
  <c r="J43" i="2"/>
  <c r="J73" i="2"/>
  <c r="J44" i="2"/>
  <c r="J74" i="2"/>
  <c r="J45" i="2"/>
  <c r="J75" i="2" s="1"/>
  <c r="J46" i="2"/>
  <c r="J76" i="2" s="1"/>
  <c r="J47" i="2"/>
  <c r="J77" i="2"/>
  <c r="J48" i="2"/>
  <c r="J78" i="2"/>
  <c r="J49" i="2"/>
  <c r="J79" i="2" s="1"/>
  <c r="J50" i="2"/>
  <c r="J80" i="2" s="1"/>
  <c r="J51" i="2"/>
  <c r="J81" i="2"/>
  <c r="J52" i="2"/>
  <c r="J82" i="2"/>
  <c r="J53" i="2"/>
  <c r="J83" i="2" s="1"/>
  <c r="J54" i="2"/>
  <c r="J84" i="2" s="1"/>
  <c r="J55" i="2"/>
  <c r="J85" i="2"/>
  <c r="J56" i="2"/>
  <c r="J86" i="2"/>
  <c r="J57" i="2"/>
  <c r="J87" i="2" s="1"/>
  <c r="J58" i="2"/>
  <c r="J88" i="2" s="1"/>
  <c r="J59" i="2"/>
  <c r="J89" i="2"/>
  <c r="J60" i="2"/>
  <c r="J90" i="2"/>
  <c r="J61" i="2"/>
  <c r="J91" i="2" s="1"/>
  <c r="J62" i="2"/>
  <c r="J92" i="2" s="1"/>
  <c r="J63" i="2"/>
  <c r="J93" i="2"/>
  <c r="J42" i="2"/>
  <c r="J72" i="2"/>
  <c r="F43" i="2"/>
  <c r="F73" i="2" s="1"/>
  <c r="F44" i="2"/>
  <c r="F74" i="2" s="1"/>
  <c r="F45" i="2"/>
  <c r="F75" i="2"/>
  <c r="F46" i="2"/>
  <c r="F76" i="2"/>
  <c r="F47" i="2"/>
  <c r="F77" i="2" s="1"/>
  <c r="F48" i="2"/>
  <c r="F78" i="2" s="1"/>
  <c r="F49" i="2"/>
  <c r="F79" i="2"/>
  <c r="F50" i="2"/>
  <c r="F80" i="2"/>
  <c r="F51" i="2"/>
  <c r="F81" i="2" s="1"/>
  <c r="F52" i="2"/>
  <c r="F82" i="2" s="1"/>
  <c r="F53" i="2"/>
  <c r="F83" i="2"/>
  <c r="F54" i="2"/>
  <c r="F84" i="2"/>
  <c r="F55" i="2"/>
  <c r="F85" i="2" s="1"/>
  <c r="F56" i="2"/>
  <c r="F86" i="2" s="1"/>
  <c r="F57" i="2"/>
  <c r="F87" i="2"/>
  <c r="F58" i="2"/>
  <c r="F88" i="2"/>
  <c r="F59" i="2"/>
  <c r="F89" i="2" s="1"/>
  <c r="F60" i="2"/>
  <c r="F90" i="2" s="1"/>
  <c r="F61" i="2"/>
  <c r="F91" i="2"/>
  <c r="F62" i="2"/>
  <c r="F92" i="2"/>
  <c r="F63" i="2"/>
  <c r="F93" i="2" s="1"/>
  <c r="F42" i="2"/>
  <c r="F72" i="2" s="1"/>
  <c r="B43" i="2"/>
  <c r="B73" i="2"/>
  <c r="B44" i="2"/>
  <c r="B74" i="2"/>
  <c r="B45" i="2"/>
  <c r="B75" i="2" s="1"/>
  <c r="B46" i="2"/>
  <c r="B76" i="2" s="1"/>
  <c r="B47" i="2"/>
  <c r="B77" i="2"/>
  <c r="B42" i="2"/>
  <c r="B72" i="2"/>
  <c r="J68" i="2"/>
  <c r="J98" i="2" s="1"/>
  <c r="J67" i="2"/>
  <c r="J97" i="2" s="1"/>
  <c r="J66" i="2"/>
  <c r="J96" i="2"/>
  <c r="J65" i="2"/>
  <c r="J95" i="2"/>
  <c r="J64" i="2"/>
  <c r="J94" i="2" s="1"/>
  <c r="M41" i="2"/>
  <c r="M71" i="2" s="1"/>
  <c r="L41" i="2"/>
  <c r="L71" i="2"/>
  <c r="K41" i="2"/>
  <c r="K71" i="2"/>
  <c r="J41" i="2"/>
  <c r="J71" i="2" s="1"/>
  <c r="F68" i="2"/>
  <c r="F98" i="2" s="1"/>
  <c r="F67" i="2"/>
  <c r="F97" i="2"/>
  <c r="F66" i="2"/>
  <c r="F96" i="2"/>
  <c r="F65" i="2"/>
  <c r="F95" i="2" s="1"/>
  <c r="F64" i="2"/>
  <c r="F94" i="2" s="1"/>
  <c r="I41" i="2"/>
  <c r="I71" i="2"/>
  <c r="H41" i="2"/>
  <c r="H71" i="2"/>
  <c r="G41" i="2"/>
  <c r="G71" i="2" s="1"/>
  <c r="F41" i="2"/>
  <c r="F71" i="2" s="1"/>
  <c r="B66" i="2"/>
  <c r="B96" i="2"/>
  <c r="B67" i="2"/>
  <c r="B97" i="2"/>
  <c r="B68" i="2"/>
  <c r="B98" i="2" s="1"/>
  <c r="B48" i="2"/>
  <c r="B78" i="2" s="1"/>
  <c r="B49" i="2"/>
  <c r="B79" i="2"/>
  <c r="B50" i="2"/>
  <c r="B80" i="2"/>
  <c r="B51" i="2"/>
  <c r="B81" i="2" s="1"/>
  <c r="B52" i="2"/>
  <c r="B82" i="2" s="1"/>
  <c r="B53" i="2"/>
  <c r="B83" i="2"/>
  <c r="B54" i="2"/>
  <c r="B84" i="2"/>
  <c r="B55" i="2"/>
  <c r="B85" i="2" s="1"/>
  <c r="B56" i="2"/>
  <c r="B86" i="2" s="1"/>
  <c r="B57" i="2"/>
  <c r="B87" i="2"/>
  <c r="B58" i="2"/>
  <c r="B88" i="2"/>
  <c r="B59" i="2"/>
  <c r="B89" i="2" s="1"/>
  <c r="B60" i="2"/>
  <c r="B90" i="2" s="1"/>
  <c r="B61" i="2"/>
  <c r="B91" i="2"/>
  <c r="B62" i="2"/>
  <c r="B92" i="2"/>
  <c r="B63" i="2"/>
  <c r="B93" i="2" s="1"/>
  <c r="B64" i="2"/>
  <c r="B94" i="2" s="1"/>
  <c r="B65" i="2"/>
  <c r="B95" i="2"/>
  <c r="C41" i="2"/>
  <c r="C71" i="2"/>
  <c r="D41" i="2"/>
  <c r="D71" i="2" s="1"/>
  <c r="E41" i="2"/>
  <c r="E71" i="2" s="1"/>
  <c r="B41" i="2"/>
  <c r="B71" i="2"/>
  <c r="W17" i="2"/>
  <c r="W16" i="2"/>
  <c r="W15" i="2"/>
  <c r="A1" i="2"/>
  <c r="W24" i="2"/>
  <c r="W27" i="2" s="1"/>
  <c r="C123" i="2"/>
  <c r="C120" i="2"/>
  <c r="C119" i="2"/>
  <c r="B29" i="2"/>
  <c r="C29" i="2"/>
  <c r="E118" i="2" s="1"/>
  <c r="C113" i="2"/>
  <c r="E113" i="2"/>
  <c r="C114" i="2"/>
  <c r="E114" i="2"/>
  <c r="I114" i="2"/>
  <c r="C115" i="2"/>
  <c r="E115" i="2"/>
  <c r="C116" i="2"/>
  <c r="E116" i="2"/>
  <c r="C117" i="2"/>
  <c r="E117" i="2"/>
  <c r="C118" i="2"/>
  <c r="E119" i="2"/>
  <c r="C121" i="2"/>
  <c r="E121" i="2"/>
  <c r="C122" i="2"/>
  <c r="E122" i="2"/>
  <c r="E123" i="2"/>
  <c r="C124" i="2"/>
  <c r="E124" i="2"/>
  <c r="E93" i="2" l="1"/>
  <c r="E85" i="2"/>
  <c r="E73" i="2"/>
  <c r="D74" i="2"/>
  <c r="C91" i="2"/>
  <c r="C83" i="2"/>
  <c r="C72" i="2"/>
  <c r="M95" i="2"/>
  <c r="L98" i="2"/>
  <c r="L90" i="2"/>
  <c r="K93" i="2"/>
  <c r="E98" i="2"/>
  <c r="E90" i="2"/>
  <c r="E82" i="2"/>
  <c r="D73" i="2"/>
  <c r="M78" i="2"/>
  <c r="M84" i="2"/>
  <c r="L95" i="2"/>
  <c r="I94" i="2"/>
  <c r="I86" i="2"/>
  <c r="H75" i="2"/>
  <c r="H82" i="2"/>
  <c r="G92" i="2"/>
  <c r="G73" i="2"/>
  <c r="G79" i="2"/>
  <c r="E97" i="2"/>
  <c r="E89" i="2"/>
  <c r="E81" i="2"/>
  <c r="E75" i="2"/>
  <c r="D72" i="2"/>
  <c r="C95" i="2"/>
  <c r="C87" i="2"/>
  <c r="C79" i="2"/>
  <c r="C74" i="2"/>
  <c r="M91" i="2"/>
  <c r="L94" i="2"/>
  <c r="K97" i="2"/>
  <c r="K89" i="2"/>
  <c r="K76" i="2"/>
  <c r="K82" i="2"/>
  <c r="I93" i="2"/>
  <c r="G91" i="2"/>
  <c r="G72" i="2"/>
  <c r="G83" i="2"/>
  <c r="E74" i="2"/>
  <c r="M98" i="2"/>
  <c r="M90" i="2"/>
  <c r="L79" i="2"/>
  <c r="L85" i="2"/>
  <c r="K96" i="2"/>
  <c r="K75" i="2"/>
  <c r="K81" i="2"/>
  <c r="I72" i="2"/>
  <c r="I83" i="2"/>
  <c r="H95" i="2"/>
  <c r="H87" i="2"/>
  <c r="G98" i="2"/>
  <c r="G90" i="2"/>
  <c r="G77" i="2"/>
  <c r="G85" i="2"/>
  <c r="D98" i="2"/>
  <c r="D90" i="2"/>
  <c r="D82" i="2"/>
  <c r="D76" i="2"/>
  <c r="M97" i="2"/>
  <c r="M89" i="2"/>
  <c r="L92" i="2"/>
  <c r="K95" i="2"/>
  <c r="K72" i="2"/>
  <c r="K88" i="2"/>
  <c r="K80" i="2"/>
  <c r="H94" i="2"/>
  <c r="H86" i="2"/>
  <c r="K73" i="2"/>
  <c r="K86" i="2"/>
  <c r="I97" i="2"/>
  <c r="I89" i="2"/>
  <c r="G95" i="2"/>
  <c r="G87" i="2"/>
  <c r="G74" i="2"/>
  <c r="G78" i="2"/>
  <c r="E72" i="2"/>
  <c r="M94" i="2"/>
  <c r="L75" i="2"/>
  <c r="L81" i="2"/>
  <c r="K92" i="2"/>
  <c r="K79" i="2"/>
  <c r="K85" i="2"/>
  <c r="I74" i="2"/>
  <c r="I78" i="2"/>
  <c r="H91" i="2"/>
  <c r="G94" i="2"/>
  <c r="G86" i="2"/>
  <c r="G81" i="2"/>
  <c r="E77" i="2"/>
  <c r="D94" i="2"/>
  <c r="D86" i="2"/>
  <c r="D78" i="2"/>
  <c r="M93" i="2"/>
  <c r="L96" i="2"/>
  <c r="K91" i="2"/>
  <c r="K78" i="2"/>
  <c r="K84" i="2"/>
  <c r="H98" i="2"/>
  <c r="H90" i="2"/>
  <c r="G84" i="2"/>
  <c r="G80" i="2"/>
  <c r="G76" i="2"/>
  <c r="G89" i="2"/>
  <c r="G93" i="2"/>
  <c r="G97" i="2"/>
  <c r="H88" i="2"/>
  <c r="H92" i="2"/>
  <c r="H96" i="2"/>
  <c r="I87" i="2"/>
  <c r="I91" i="2"/>
  <c r="I95" i="2"/>
  <c r="H89" i="2"/>
  <c r="H93" i="2"/>
  <c r="H97" i="2"/>
  <c r="I88" i="2"/>
  <c r="I92" i="2"/>
  <c r="I96" i="2"/>
  <c r="K83" i="2"/>
  <c r="K87" i="2"/>
  <c r="K77" i="2"/>
  <c r="K74" i="2"/>
  <c r="K90" i="2"/>
  <c r="K94" i="2"/>
  <c r="K98" i="2"/>
  <c r="L89" i="2"/>
  <c r="L93" i="2"/>
  <c r="L97" i="2"/>
  <c r="M92" i="2"/>
  <c r="M96" i="2"/>
  <c r="D77" i="2"/>
  <c r="E76" i="2"/>
  <c r="H84" i="2"/>
  <c r="H80" i="2"/>
  <c r="H76" i="2"/>
  <c r="I82" i="2"/>
  <c r="I79" i="2"/>
  <c r="I75" i="2"/>
  <c r="I73" i="2"/>
  <c r="L82" i="2"/>
  <c r="L86" i="2"/>
  <c r="L76" i="2"/>
  <c r="L73" i="2"/>
  <c r="M81" i="2"/>
  <c r="M85" i="2"/>
  <c r="M75" i="2"/>
  <c r="M79" i="2"/>
  <c r="C75" i="2"/>
  <c r="C73" i="2"/>
  <c r="C80" i="2"/>
  <c r="C84" i="2"/>
  <c r="C88" i="2"/>
  <c r="C92" i="2"/>
  <c r="C96" i="2"/>
  <c r="D79" i="2"/>
  <c r="D83" i="2"/>
  <c r="D87" i="2"/>
  <c r="D91" i="2"/>
  <c r="D95" i="2"/>
  <c r="H85" i="2"/>
  <c r="H81" i="2"/>
  <c r="H77" i="2"/>
  <c r="I84" i="2"/>
  <c r="I80" i="2"/>
  <c r="I76" i="2"/>
  <c r="L83" i="2"/>
  <c r="L87" i="2"/>
  <c r="L77" i="2"/>
  <c r="L74" i="2"/>
  <c r="M82" i="2"/>
  <c r="M86" i="2"/>
  <c r="M76" i="2"/>
  <c r="M73" i="2"/>
  <c r="M102" i="2" s="1" a="1"/>
  <c r="M102" i="2" s="1"/>
  <c r="C76" i="2"/>
  <c r="C81" i="2"/>
  <c r="C85" i="2"/>
  <c r="C89" i="2"/>
  <c r="C93" i="2"/>
  <c r="C97" i="2"/>
  <c r="D80" i="2"/>
  <c r="D84" i="2"/>
  <c r="D88" i="2"/>
  <c r="D92" i="2"/>
  <c r="D96" i="2"/>
  <c r="E79" i="2"/>
  <c r="E83" i="2"/>
  <c r="E87" i="2"/>
  <c r="E91" i="2"/>
  <c r="E95" i="2"/>
  <c r="H78" i="2"/>
  <c r="H83" i="2"/>
  <c r="H74" i="2"/>
  <c r="H72" i="2"/>
  <c r="I85" i="2"/>
  <c r="I81" i="2"/>
  <c r="I77" i="2"/>
  <c r="L80" i="2"/>
  <c r="L84" i="2"/>
  <c r="L88" i="2"/>
  <c r="L78" i="2"/>
  <c r="L72" i="2"/>
  <c r="M83" i="2"/>
  <c r="M87" i="2"/>
  <c r="M77" i="2"/>
  <c r="M74" i="2"/>
  <c r="C77" i="2"/>
  <c r="C78" i="2"/>
  <c r="C82" i="2"/>
  <c r="C86" i="2"/>
  <c r="C90" i="2"/>
  <c r="C94" i="2"/>
  <c r="C98" i="2"/>
  <c r="D81" i="2"/>
  <c r="D85" i="2"/>
  <c r="D89" i="2"/>
  <c r="D93" i="2"/>
  <c r="D97" i="2"/>
  <c r="E80" i="2"/>
  <c r="E84" i="2"/>
  <c r="E88" i="2"/>
  <c r="E92" i="2"/>
  <c r="E96" i="2"/>
  <c r="E120" i="2"/>
  <c r="X27" i="2"/>
  <c r="X28" i="2" s="1"/>
  <c r="K102" i="2" l="1" a="1"/>
  <c r="K102" i="2" s="1"/>
  <c r="I102" i="2" a="1"/>
  <c r="I102" i="2" s="1"/>
  <c r="G102" i="2" a="1"/>
  <c r="G102" i="2" s="1"/>
  <c r="E102" i="2" a="1"/>
  <c r="E102" i="2" s="1"/>
  <c r="C102" i="2" a="1"/>
  <c r="C102" i="2" s="1"/>
  <c r="L102" i="2" a="1"/>
  <c r="L102" i="2" s="1"/>
  <c r="H102" i="2" a="1"/>
  <c r="H102" i="2" s="1"/>
  <c r="D102" i="2" a="1"/>
  <c r="D102" i="2" s="1"/>
  <c r="D101" i="2"/>
  <c r="M101" i="2"/>
  <c r="M103" i="2" s="1"/>
  <c r="M104" i="2" s="1"/>
  <c r="K101" i="2"/>
  <c r="K103" i="2" s="1"/>
  <c r="M107" i="2" s="1"/>
  <c r="E101" i="2"/>
  <c r="I101" i="2"/>
  <c r="I103" i="2" s="1"/>
  <c r="I104" i="2" s="1"/>
  <c r="L101" i="2"/>
  <c r="H101" i="2"/>
  <c r="H103" i="2" s="1"/>
  <c r="H104" i="2" s="1"/>
  <c r="G101" i="2"/>
  <c r="C101" i="2"/>
  <c r="G103" i="2" l="1"/>
  <c r="G104" i="2" s="1"/>
  <c r="H105" i="2" s="1"/>
  <c r="C103" i="2"/>
  <c r="C104" i="2" s="1"/>
  <c r="D103" i="2"/>
  <c r="D104" i="2" s="1"/>
  <c r="G107" i="2"/>
  <c r="G105" i="2"/>
  <c r="I105" i="2"/>
  <c r="K104" i="2"/>
  <c r="E103" i="2"/>
  <c r="E104" i="2" s="1"/>
  <c r="L103" i="2"/>
  <c r="L104" i="2" s="1"/>
  <c r="C105" i="2" l="1"/>
  <c r="E105" i="2"/>
  <c r="G106" i="2"/>
  <c r="D105" i="2"/>
  <c r="C107" i="2"/>
  <c r="M105" i="2"/>
  <c r="L105" i="2"/>
  <c r="K107" i="2"/>
  <c r="K105" i="2"/>
  <c r="C106" i="2" l="1"/>
  <c r="K106" i="2"/>
</calcChain>
</file>

<file path=xl/sharedStrings.xml><?xml version="1.0" encoding="utf-8"?>
<sst xmlns="http://schemas.openxmlformats.org/spreadsheetml/2006/main" count="421" uniqueCount="240">
  <si>
    <t>Lock in Email</t>
  </si>
  <si>
    <t>Main Office</t>
  </si>
  <si>
    <t>15 Yr Fixed</t>
  </si>
  <si>
    <t>30 Yr Fixed</t>
  </si>
  <si>
    <t>State Tier Key</t>
  </si>
  <si>
    <t>Call Your Account Executive Today</t>
  </si>
  <si>
    <r>
      <t xml:space="preserve">Phone: </t>
    </r>
    <r>
      <rPr>
        <sz val="14"/>
        <color indexed="9"/>
        <rFont val="Arial"/>
        <family val="2"/>
      </rPr>
      <t xml:space="preserve">800.272.3477    </t>
    </r>
    <r>
      <rPr>
        <b/>
        <sz val="14"/>
        <color indexed="9"/>
        <rFont val="Arial"/>
        <family val="2"/>
      </rPr>
      <t>Fax:</t>
    </r>
    <r>
      <rPr>
        <sz val="14"/>
        <color indexed="9"/>
        <rFont val="Arial"/>
        <family val="2"/>
      </rPr>
      <t xml:space="preserve"> 704.625.4500</t>
    </r>
  </si>
  <si>
    <r>
      <t xml:space="preserve">Email:  </t>
    </r>
    <r>
      <rPr>
        <sz val="14"/>
        <color indexed="9"/>
        <rFont val="Arial"/>
        <family val="2"/>
      </rPr>
      <t>results@equifirst.com</t>
    </r>
  </si>
  <si>
    <t>Expiration Dates</t>
  </si>
  <si>
    <t>pricinglockdesk@equifirst.com</t>
  </si>
  <si>
    <t>15 Day</t>
  </si>
  <si>
    <t>30 Day</t>
  </si>
  <si>
    <t>45 Day</t>
  </si>
  <si>
    <t>RATE</t>
  </si>
  <si>
    <t>Loan Amount</t>
  </si>
  <si>
    <t>Tier 2</t>
  </si>
  <si>
    <t>Tier 3</t>
  </si>
  <si>
    <t>Tier 1</t>
  </si>
  <si>
    <t>AR, FL, IL, NJ, NY, OK, PA, TX, WI</t>
  </si>
  <si>
    <t>AL, HI, IA, KS, MO, MT, NM, NV, OH, OR, SC, VT, WA, AK, CT, DC, DE, GA, KY, LA, MD, NC, ND, NE, TN, VA</t>
  </si>
  <si>
    <t>CO, IN, MA, ME, MI, MN, NH, RI, UT, AZ, CA, ID, MS, SD, WV, WY</t>
  </si>
  <si>
    <t>State</t>
  </si>
  <si>
    <t>MA</t>
  </si>
  <si>
    <t>Lock Days</t>
  </si>
  <si>
    <t>Rate</t>
  </si>
  <si>
    <t>AK</t>
  </si>
  <si>
    <t>AL</t>
  </si>
  <si>
    <t>AR</t>
  </si>
  <si>
    <t>AZ</t>
  </si>
  <si>
    <t>CA</t>
  </si>
  <si>
    <t>CO</t>
  </si>
  <si>
    <t>CT</t>
  </si>
  <si>
    <t>DC</t>
  </si>
  <si>
    <t>FL</t>
  </si>
  <si>
    <t>GA</t>
  </si>
  <si>
    <t>HI</t>
  </si>
  <si>
    <t>IA</t>
  </si>
  <si>
    <t>ID</t>
  </si>
  <si>
    <t>IL</t>
  </si>
  <si>
    <t>IN</t>
  </si>
  <si>
    <t>KS</t>
  </si>
  <si>
    <t>KY</t>
  </si>
  <si>
    <t>LA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</si>
  <si>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</si>
  <si>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</si>
  <si>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</si>
  <si>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</si>
  <si>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</si>
  <si>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</si>
  <si>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</si>
  <si>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</si>
  <si>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</si>
  <si>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</si>
  <si>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</si>
  <si>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</si>
  <si>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</si>
  <si>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</si>
  <si>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</si>
  <si>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</si>
  <si>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</si>
  <si>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</si>
  <si>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</si>
  <si>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</si>
  <si>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</si>
  <si>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</si>
  <si>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</si>
  <si>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</si>
  <si>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</si>
  <si>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</si>
  <si>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</si>
  <si>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</si>
  <si>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</si>
  <si>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</si>
  <si>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</si>
  <si>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Loan Program</t>
  </si>
  <si>
    <t>DE</t>
  </si>
  <si>
    <t>15 YEAR FIXED</t>
  </si>
  <si>
    <t>30 YEAR FIXED</t>
  </si>
  <si>
    <t>15 Year Fixed</t>
  </si>
  <si>
    <t>30 Year Fixed</t>
  </si>
  <si>
    <t>Programs</t>
  </si>
  <si>
    <t>Lock Period</t>
  </si>
  <si>
    <t>Total Adjustment</t>
  </si>
  <si>
    <t># of Rates in 15 Year Program</t>
  </si>
  <si>
    <t># of Rates in 30 Year Program</t>
  </si>
  <si>
    <t>Rate30 Year Fixed15 Day</t>
  </si>
  <si>
    <t>Rate30 Year Fixed30 Day</t>
  </si>
  <si>
    <t>Rate30 Year Fixed45 Day</t>
  </si>
  <si>
    <t>Rate15 Year Fixed15 Day</t>
  </si>
  <si>
    <t>Rate15 Year Fixed30 Day</t>
  </si>
  <si>
    <t>Rate15 Year Fixed45 Day</t>
  </si>
  <si>
    <t>Lookup Table</t>
  </si>
  <si>
    <t>Length of the Look up</t>
  </si>
  <si>
    <t>Result</t>
  </si>
  <si>
    <t>State Adjustment</t>
  </si>
  <si>
    <t>Loan Size Adjustment</t>
  </si>
  <si>
    <t>Fico Adjustment</t>
  </si>
  <si>
    <t>Total Adjustments</t>
  </si>
  <si>
    <t>CAP</t>
  </si>
  <si>
    <t>Effective Date: 02/22/2008</t>
  </si>
  <si>
    <t>Rate Locks must be received by 8:00 PM EDT</t>
  </si>
  <si>
    <t>800-272-3477</t>
  </si>
  <si>
    <t>Rate Sheet ID:</t>
  </si>
  <si>
    <t xml:space="preserve">Secondary has created a tool to map to the rate sheet that will return a rate (or yield) for given inputs.  This tool will be updated with each rate sheet posting and posted on the portal for use by internal personnel and approved brokers. </t>
  </si>
  <si>
    <r>
      <t>1.</t>
    </r>
    <r>
      <rPr>
        <sz val="7"/>
        <color indexed="12"/>
        <rFont val="Times New Roman"/>
        <family val="1"/>
      </rPr>
      <t xml:space="preserve">      </t>
    </r>
    <r>
      <rPr>
        <sz val="9"/>
        <color indexed="12"/>
        <rFont val="Verdana"/>
        <family val="2"/>
      </rPr>
      <t>The pricing tool is located in the following folder;</t>
    </r>
  </si>
  <si>
    <t>“K:\pricing&amp;pooling\3.5 - pricing\Rates\FHA Master Rate Sheets” and the pricing tool is named FHA_pricing_Tool.</t>
  </si>
  <si>
    <r>
      <t>4.</t>
    </r>
    <r>
      <rPr>
        <sz val="7"/>
        <color indexed="12"/>
        <rFont val="Times New Roman"/>
        <family val="1"/>
      </rPr>
      <t xml:space="preserve">      </t>
    </r>
    <r>
      <rPr>
        <sz val="9"/>
        <color indexed="12"/>
        <rFont val="Verdana"/>
        <family val="2"/>
      </rPr>
      <t>The sections to be updated in the rate sheet is the rates, FICO, loan amount and tier adjustments. Every time there is a change to the tier group of a state(Group1 through Group5 in the master ratesheet), the change should be reflected in the area covered by cells “A129 and B179 of the “pricing tool” tab which shows the states and the tiers.</t>
    </r>
  </si>
  <si>
    <t>After these five inputs, the user has two options</t>
  </si>
  <si>
    <t>If “a” option is selected, then the user will enter the rate and get the price and in “b” option, the user will enter the yield spread and get the rate.</t>
  </si>
  <si>
    <t>Updating Pricing Tool</t>
  </si>
  <si>
    <t>Premium Loan Indicator</t>
  </si>
  <si>
    <t>OUTPUT</t>
  </si>
  <si>
    <t>INPUT</t>
  </si>
  <si>
    <t>Premium Loan Indicator Calculation</t>
  </si>
  <si>
    <t>FICO ADJUSTMENTS</t>
  </si>
  <si>
    <t>1) Yes, FICO is available</t>
  </si>
  <si>
    <t>2) No, FICO is not available</t>
  </si>
  <si>
    <t>Make your selection below *</t>
  </si>
  <si>
    <t>15 Year</t>
  </si>
  <si>
    <t>30 Year</t>
  </si>
  <si>
    <t>Ginnie Mae II- Par Rates</t>
  </si>
  <si>
    <t>Zone 1</t>
  </si>
  <si>
    <t>Zone 2</t>
  </si>
  <si>
    <t>Zone 3</t>
  </si>
  <si>
    <t>GNMAII 30, F1</t>
  </si>
  <si>
    <t>GNMAII 15, F1</t>
  </si>
  <si>
    <t>FICO Score Flag</t>
  </si>
  <si>
    <t xml:space="preserve">5. Clear the 30 and 15 year rates starting with the D18 and D52 cells. Do not delete, just clear the contents of the two blue area. </t>
  </si>
  <si>
    <t xml:space="preserve">10. Select 10 loans from the file located at </t>
  </si>
  <si>
    <t>For the selected 10 loans, run the pricing and then for the yield spread premiums which is your adjusted price less 100, enter your requested yield spread premium along with your other adjustment and check if you are getting the same rate.</t>
  </si>
  <si>
    <t>7.      On the pricing tool tab, cells D5 and D6 are calculated show the number of available rates for 15 and 30 year fixed programs. Make sure they show the current number of rates available.</t>
  </si>
  <si>
    <t>11.      There are 6 input to the pricing tool;</t>
  </si>
  <si>
    <t>·          State</t>
  </si>
  <si>
    <t>·          Loan Amount</t>
  </si>
  <si>
    <t>·          Loan Program</t>
  </si>
  <si>
    <t>·          FICO</t>
  </si>
  <si>
    <t>·          Lock Days</t>
  </si>
  <si>
    <t>·          b) I will enter the Yield Spread and get the rate</t>
  </si>
  <si>
    <t>·          a) I will enter the Rate and get the Price</t>
  </si>
  <si>
    <r>
      <t>2.</t>
    </r>
    <r>
      <rPr>
        <sz val="7"/>
        <color indexed="12"/>
        <rFont val="Times New Roman"/>
        <family val="1"/>
      </rPr>
      <t xml:space="preserve">      </t>
    </r>
    <r>
      <rPr>
        <sz val="9"/>
        <color indexed="12"/>
        <rFont val="Verdana"/>
        <family val="2"/>
      </rPr>
      <t>The tab  "EFC_ratesheet_pricing_tool" in the FHA master ratesheet is created for the purpose of updating the pricing tool. On this sheet, the cells C20 and C22 reflects the maximum rates available in Countrywide rate sheets found on tab CW_rates. If these maximum rates change in Countrywide rate sheets, the changes should be reflected on the "EFC_ratesheet_pricing tool" tab of the master rate sheet.</t>
    </r>
  </si>
  <si>
    <r>
      <t>3.</t>
    </r>
    <r>
      <rPr>
        <sz val="7"/>
        <color indexed="12"/>
        <rFont val="Times New Roman"/>
        <family val="1"/>
      </rPr>
      <t>     In</t>
    </r>
    <r>
      <rPr>
        <sz val="9"/>
        <color indexed="12"/>
        <rFont val="Verdana"/>
        <family val="2"/>
      </rPr>
      <t xml:space="preserve"> the "EFC_ratesheet_pricing_tool" tab of the pricing tool, the inputs are automated to capture all the rates from cwd ratesheet. Make sure they reflect the rates from the cwd ratesheet.</t>
    </r>
  </si>
  <si>
    <t>6. Copy the 30 and 15 year rates from the FHA Master Rate sheet file/EFC_ratesheet_pricing_tool tab and paste it to the EFC_pricingToolCalcs. For 30 year rates, paste starting with  D18 cell and paste the 15 year rates starting with D52 cell for the 15 year program.</t>
  </si>
  <si>
    <t>8.      The cell D7 on the EFC_PricingToolCalcs tab shows the cap for the yield spread which is equal to 3. If this cap changes, change the value in this cell.</t>
  </si>
  <si>
    <t>\\efcltfile01\123data.old\pricing&amp;pooling\3.5 - pricing\Rates\FHA Master Rate Sheets\process\FHA_Pricing_Tool_Testing_dummyloans.xls</t>
  </si>
  <si>
    <t>1.5 Begin by unlocking both the sheet and the workbook.</t>
  </si>
  <si>
    <t xml:space="preserve">Press CTRL+ U, to unhide the hidden sections. </t>
  </si>
  <si>
    <t>9. After you paste your rates from the FHA ratesheet model to the EFC_PricinToolCalcs tab of this file, click the hide sheets and rows button.</t>
  </si>
  <si>
    <t>9.5 After these are hidden lock both the sheet and the workbook, then make sure we have the same rates as our ratesheet.</t>
  </si>
  <si>
    <t>The Interest Rate shown above is for informational purposes only and is not an approval by EquiFirst to make a loan on any specific terms or a commitment to originate a loan at the disclosed Interest Rate.  The actual Interest Rate that your client will receive will be determined once a completed loan application has been received and or registered by EquiFirst. It may be necessary to clear your web browser’s cache if you are having issues viewing the most recent version of this document.</t>
  </si>
  <si>
    <t>EFC RETAIL PRICING CALCULATOR</t>
  </si>
  <si>
    <t>Points30 Year Fixed15 Day</t>
  </si>
  <si>
    <t>Points30 Year Fixed30 Day</t>
  </si>
  <si>
    <t>Points30 Year Fixed45 Day</t>
  </si>
  <si>
    <t>Points15 Year Fixed15 Day</t>
  </si>
  <si>
    <t>Points15 Year Fixed30 Day</t>
  </si>
  <si>
    <t>Points15 Year Fixed45 Day</t>
  </si>
  <si>
    <t>Points</t>
  </si>
  <si>
    <t>2) I will enter the Points and get the rate</t>
  </si>
  <si>
    <t>Rates</t>
  </si>
  <si>
    <t>Price In Points</t>
  </si>
  <si>
    <t>15 Day Lock</t>
  </si>
  <si>
    <t>30 Day Lock</t>
  </si>
  <si>
    <t>45 Day Lock</t>
  </si>
  <si>
    <r>
      <t xml:space="preserve">1) I will enter the </t>
    </r>
    <r>
      <rPr>
        <b/>
        <sz val="10"/>
        <rFont val="Arial"/>
        <family val="2"/>
      </rPr>
      <t>Rate</t>
    </r>
    <r>
      <rPr>
        <sz val="10"/>
        <rFont val="Arial"/>
        <family val="2"/>
      </rPr>
      <t xml:space="preserve"> and get the Points</t>
    </r>
  </si>
  <si>
    <r>
      <t xml:space="preserve">2) I will enter the </t>
    </r>
    <r>
      <rPr>
        <b/>
        <sz val="10"/>
        <rFont val="Arial"/>
        <family val="2"/>
      </rPr>
      <t>Points</t>
    </r>
    <r>
      <rPr>
        <sz val="10"/>
        <rFont val="Arial"/>
        <family val="2"/>
      </rPr>
      <t xml:space="preserve"> and get the rate</t>
    </r>
  </si>
  <si>
    <t>30 YEAR FIXED JUMBO</t>
  </si>
  <si>
    <t>30 Yr Fixed-Jumbo</t>
  </si>
  <si>
    <t>Retail Yield</t>
  </si>
  <si>
    <t>Par Rates</t>
  </si>
  <si>
    <t># of Rates in 30 Year Jumbo Program</t>
  </si>
  <si>
    <t>Lower</t>
  </si>
  <si>
    <t>Par Rate</t>
  </si>
  <si>
    <t>Position of Par Rates</t>
  </si>
  <si>
    <t>Position of less than 4</t>
  </si>
  <si>
    <t>30 Year Fixed-Jumbo</t>
  </si>
  <si>
    <t>Starting row</t>
  </si>
  <si>
    <t>Last Row</t>
  </si>
  <si>
    <t>Property Type</t>
  </si>
  <si>
    <t>Jumbo Loan Size</t>
  </si>
  <si>
    <t>1 Unit</t>
  </si>
  <si>
    <t>2 Unit</t>
  </si>
  <si>
    <t>3 Unit</t>
  </si>
  <si>
    <t>4 Unit</t>
  </si>
  <si>
    <t>Jumbo Programs</t>
  </si>
  <si>
    <t>FICO 4 - 1000 for no score</t>
  </si>
  <si>
    <t>standard</t>
  </si>
  <si>
    <t>jumbo</t>
  </si>
  <si>
    <t>Lender Paid Closing Costs</t>
  </si>
  <si>
    <t>Simplified Refinance Title Rates</t>
  </si>
  <si>
    <t>$1-</t>
  </si>
  <si>
    <t>$100,001-</t>
  </si>
  <si>
    <t>$175,001-</t>
  </si>
  <si>
    <t>$200,000-</t>
  </si>
  <si>
    <t>$260,001-</t>
  </si>
  <si>
    <t>$300,001-</t>
  </si>
  <si>
    <t>$375,001-</t>
  </si>
  <si>
    <t>$400,001-</t>
  </si>
  <si>
    <t>$500,001-</t>
  </si>
  <si>
    <t>$600,001-</t>
  </si>
  <si>
    <t>$659,001-</t>
  </si>
  <si>
    <t>$800,001-</t>
  </si>
  <si>
    <t>$1,000,001-</t>
  </si>
  <si>
    <t>$1,250,001-</t>
  </si>
  <si>
    <t>$1,500,000-</t>
  </si>
  <si>
    <t>Title Insurance</t>
  </si>
  <si>
    <t>Fixed Costs</t>
  </si>
  <si>
    <t>Lead Type</t>
  </si>
  <si>
    <t>Warm Transfer</t>
  </si>
  <si>
    <t>Back Book</t>
  </si>
  <si>
    <t>Loan Amount Adjustment</t>
  </si>
  <si>
    <t>&gt; 1 Unit Loan Amount Adjustment</t>
  </si>
  <si>
    <t>1 Unit 620+ FICO if &gt;=362,790 and &lt;417,000</t>
  </si>
  <si>
    <t>Zone 4</t>
  </si>
  <si>
    <t>Streamline Fico Adjustment &lt;540</t>
  </si>
  <si>
    <t>Term</t>
  </si>
  <si>
    <t>Terms</t>
  </si>
  <si>
    <t>25 Year</t>
  </si>
  <si>
    <t>20 Year</t>
  </si>
  <si>
    <t>10 Year</t>
  </si>
  <si>
    <t>20 Year Term Adjustment</t>
  </si>
  <si>
    <t xml:space="preserve"> </t>
  </si>
  <si>
    <t>streamlineadj</t>
  </si>
  <si>
    <t>Streamline Adjustment</t>
  </si>
  <si>
    <t>Blue</t>
  </si>
  <si>
    <t>Green</t>
  </si>
  <si>
    <t>Purple</t>
  </si>
  <si>
    <t>Gold</t>
  </si>
  <si>
    <t>Pink</t>
  </si>
  <si>
    <t>Calculator Colors</t>
  </si>
  <si>
    <t>Back Book Min FICO</t>
  </si>
  <si>
    <t>Warm Transfer Min FICO</t>
  </si>
  <si>
    <t>Origination Costs</t>
  </si>
  <si>
    <t>Equifirst</t>
  </si>
  <si>
    <t>Borrower</t>
  </si>
  <si>
    <t>Income Doc Type</t>
  </si>
  <si>
    <t>Full</t>
  </si>
  <si>
    <t>Streamline - Non-Credit Qualifying</t>
  </si>
  <si>
    <t>Streamline - Credit Qualifying</t>
  </si>
  <si>
    <t>* Note: If you can't see Yield Spread, check the "Automatic" radio button at Tools, Options, Calculation.</t>
  </si>
  <si>
    <t>Higher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</si>
</sst>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_);[Red]\(&quot;$&quot;#,##0\)"/>
    <numFmt numFmtId="43" formatCode="_(* #,##0.00_);_(* \(#,##0.00\);_(* &quot;-&quot;??_);_(@_)"/>
    <numFmt numFmtId="164" formatCode="0.000"/>
    <numFmt numFmtId="165" formatCode="0.000_);\(0.000\)"/>
    <numFmt numFmtId="166" formatCode="&quot;$&quot;#,##0"/>
    <numFmt numFmtId="167" formatCode="0.0000000000000"/>
    <numFmt numFmtId="168" formatCode="0.0000000000000000"/>
    <numFmt numFmtId="169" formatCode="0.00000000000000000000"/>
    <numFmt numFmtId="170" formatCode="_(* #,##0.000_);_(* \(#,##0.000\);_(* &quot;-&quot;??_);_(@_)"/>
    <numFmt numFmtId="171" formatCode="##\ &quot;Day&quot;"/>
    <numFmt numFmtId="172" formatCode="##\ &quot;Days&quot;"/>
  </numFmts>
  <fonts count="51">
    <font>
      <sz val="10"/>
      <name val="Arial"/>
    </font>
    <font>
      <sz val="10"/>
      <name val="Arial"/>
      <family val="2"/>
    </font>
    <font>
      <b/>
      <sz val="9"/>
      <color indexed="8"/>
      <name val="Arial"/>
      <family val="2"/>
    </font>
    <font>
      <sz val="6"/>
      <name val="Arial"/>
      <family val="2"/>
    </font>
    <font>
      <u/>
      <sz val="10"/>
      <color indexed="12"/>
      <name val="Arial"/>
      <family val="2"/>
    </font>
    <font>
      <b/>
      <sz val="7"/>
      <name val="Arial"/>
      <family val="2"/>
    </font>
    <font>
      <b/>
      <sz val="6"/>
      <name val="Arial"/>
      <family val="2"/>
    </font>
    <font>
      <b/>
      <sz val="14"/>
      <color indexed="9"/>
      <name val="Arial"/>
      <family val="2"/>
    </font>
    <font>
      <b/>
      <sz val="16"/>
      <color indexed="9"/>
      <name val="Arial"/>
      <family val="2"/>
    </font>
    <font>
      <sz val="5"/>
      <name val="Arial"/>
      <family val="2"/>
    </font>
    <font>
      <sz val="16"/>
      <name val="Arial"/>
      <family val="2"/>
    </font>
    <font>
      <b/>
      <sz val="20"/>
      <color indexed="9"/>
      <name val="Arial"/>
      <family val="2"/>
    </font>
    <font>
      <sz val="7"/>
      <name val="Arial"/>
      <family val="2"/>
    </font>
    <font>
      <b/>
      <sz val="22"/>
      <color indexed="8"/>
      <name val="Arial"/>
      <family val="2"/>
    </font>
    <font>
      <sz val="8"/>
      <name val="Arial"/>
      <family val="2"/>
    </font>
    <font>
      <sz val="8"/>
      <color indexed="9"/>
      <name val="Arial"/>
      <family val="2"/>
    </font>
    <font>
      <sz val="8"/>
      <name val="Arial"/>
      <family val="2"/>
    </font>
    <font>
      <sz val="14"/>
      <color indexed="9"/>
      <name val="Arial"/>
      <family val="2"/>
    </font>
    <font>
      <sz val="6"/>
      <color indexed="10"/>
      <name val="Arial"/>
      <family val="2"/>
    </font>
    <font>
      <b/>
      <sz val="10"/>
      <name val="Arial"/>
      <family val="2"/>
    </font>
    <font>
      <sz val="10"/>
      <name val="Arial"/>
      <family val="2"/>
    </font>
    <font>
      <sz val="10"/>
      <color indexed="12"/>
      <name val="Arial"/>
      <family val="2"/>
    </font>
    <font>
      <u/>
      <sz val="8"/>
      <name val="Arial"/>
      <family val="2"/>
    </font>
    <font>
      <b/>
      <sz val="8"/>
      <color indexed="12"/>
      <name val="Arial"/>
      <family val="2"/>
    </font>
    <font>
      <sz val="10"/>
      <color indexed="9"/>
      <name val="Arial"/>
      <family val="2"/>
    </font>
    <font>
      <sz val="9"/>
      <color indexed="12"/>
      <name val="Verdana"/>
      <family val="2"/>
    </font>
    <font>
      <sz val="7"/>
      <color indexed="12"/>
      <name val="Times New Roman"/>
      <family val="1"/>
    </font>
    <font>
      <b/>
      <sz val="11"/>
      <color indexed="9"/>
      <name val="Arial"/>
      <family val="2"/>
    </font>
    <font>
      <sz val="11"/>
      <name val="Arial"/>
      <family val="2"/>
    </font>
    <font>
      <b/>
      <sz val="11"/>
      <color indexed="18"/>
      <name val="Arial"/>
      <family val="2"/>
    </font>
    <font>
      <b/>
      <sz val="11"/>
      <name val="Arial"/>
      <family val="2"/>
    </font>
    <font>
      <i/>
      <sz val="10"/>
      <name val="Arial"/>
      <family val="2"/>
    </font>
    <font>
      <b/>
      <i/>
      <sz val="11"/>
      <color indexed="9"/>
      <name val="Arial"/>
      <family val="2"/>
    </font>
    <font>
      <i/>
      <sz val="11"/>
      <name val="Arial"/>
      <family val="2"/>
    </font>
    <font>
      <b/>
      <i/>
      <sz val="11"/>
      <color indexed="18"/>
      <name val="Arial"/>
      <family val="2"/>
    </font>
    <font>
      <i/>
      <sz val="11"/>
      <color indexed="62"/>
      <name val="Arial"/>
      <family val="2"/>
    </font>
    <font>
      <u/>
      <sz val="10"/>
      <name val="Arial"/>
      <family val="2"/>
    </font>
    <font>
      <i/>
      <sz val="8"/>
      <color indexed="12"/>
      <name val="Arial"/>
      <family val="2"/>
    </font>
    <font>
      <i/>
      <sz val="7"/>
      <color indexed="12"/>
      <name val="Arial"/>
      <family val="2"/>
    </font>
    <font>
      <u/>
      <sz val="10"/>
      <name val="Arial"/>
      <family val="2"/>
    </font>
    <font>
      <i/>
      <sz val="10"/>
      <name val="Arial"/>
      <family val="2"/>
    </font>
    <font>
      <sz val="10"/>
      <name val="Arial"/>
      <family val="2"/>
    </font>
    <font>
      <b/>
      <sz val="10"/>
      <name val="Arial"/>
      <family val="2"/>
    </font>
    <font>
      <sz val="10"/>
      <name val="Arial"/>
      <family val="2"/>
    </font>
    <font>
      <sz val="6"/>
      <name val="Arial"/>
      <family val="2"/>
    </font>
    <font>
      <sz val="8"/>
      <name val="Times New Roman"/>
      <family val="1"/>
    </font>
    <font>
      <sz val="10"/>
      <name val="Arial"/>
      <family val="2"/>
    </font>
    <font>
      <b/>
      <u/>
      <sz val="10"/>
      <name val="Arial"/>
      <family val="2"/>
    </font>
    <font>
      <b/>
      <sz val="10"/>
      <color rgb="FF000080"/>
      <name val="Arial"/>
      <family val="2"/>
    </font>
    <font>
      <b/>
      <sz val="10"/>
      <color rgb="FF000000"/>
      <name val="Arial"/>
      <family val="2"/>
    </font>
    <font>
      <sz val="16"/>
      <color rgb="FF000000"/>
      <name val="Arial"/>
      <family val="2"/>
    </font>
  </fonts>
  <fills count="13">
    <fill>
      <patternFill patternType="none"/>
    </fill>
    <fill>
      <patternFill patternType="gray125"/>
    </fill>
    <fill>
      <patternFill patternType="solid">
        <fgColor indexed="9"/>
        <bgColor indexed="64"/>
      </patternFill>
    </fill>
    <fill>
      <patternFill patternType="solid">
        <fgColor indexed="8"/>
        <bgColor indexed="64"/>
      </patternFill>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13"/>
        <bgColor indexed="64"/>
      </patternFill>
    </fill>
    <fill>
      <patternFill patternType="solid">
        <fgColor indexed="62"/>
        <bgColor indexed="64"/>
      </patternFill>
    </fill>
    <fill>
      <patternFill patternType="solid">
        <fgColor indexed="51"/>
        <bgColor indexed="64"/>
      </patternFill>
    </fill>
    <fill>
      <patternFill patternType="solid">
        <fgColor indexed="14"/>
        <bgColor indexed="64"/>
      </patternFill>
    </fill>
    <fill>
      <patternFill patternType="solid">
        <fgColor indexed="17"/>
        <bgColor indexed="64"/>
      </patternFill>
    </fill>
    <fill>
      <patternFill patternType="solid">
        <fgColor indexed="61"/>
        <bgColor indexed="64"/>
      </patternFill>
    </fill>
  </fills>
  <borders count="38">
    <border>
      <left/>
      <right/>
      <top/>
      <bottom/>
      <diagonal/>
    </border>
    <border>
      <left/>
      <right style="thin">
        <color indexed="64"/>
      </right>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double">
        <color indexed="64"/>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double">
        <color indexed="64"/>
      </left>
      <right style="medium">
        <color indexed="64"/>
      </right>
      <top style="double">
        <color indexed="64"/>
      </top>
      <bottom style="double">
        <color indexed="64"/>
      </bottom>
      <diagonal/>
    </border>
    <border>
      <left/>
      <right style="medium">
        <color indexed="64"/>
      </right>
      <top/>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double">
        <color indexed="64"/>
      </right>
      <top style="double">
        <color indexed="64"/>
      </top>
      <bottom style="double">
        <color indexed="64"/>
      </bottom>
      <diagonal/>
    </border>
    <border>
      <left style="medium">
        <color indexed="64"/>
      </left>
      <right/>
      <top/>
      <bottom style="thin">
        <color indexed="64"/>
      </bottom>
      <diagonal/>
    </border>
    <border>
      <left style="double">
        <color indexed="64"/>
      </left>
      <right style="medium">
        <color indexed="64"/>
      </right>
      <top/>
      <bottom style="double">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top/>
      <bottom style="medium">
        <color indexed="64"/>
      </bottom>
      <diagonal/>
    </border>
  </borders>
  <cellStyleXfs count="3">
    <xf numFmtId="0" fontId="0" fillId="0" borderId="0">
      <alignment horizontal="left" wrapText="1"/>
    </xf>
    <xf numFmtId="43" fontId="1" fillId="0" borderId="0" applyFont="0" applyFill="0" applyBorder="0" applyAlignment="0" applyProtection="0"/>
    <xf numFmtId="0" fontId="4" fillId="0" borderId="0" applyNumberFormat="0" applyFill="0" applyBorder="0" applyAlignment="0" applyProtection="0">
      <alignment vertical="top"/>
      <protection locked="0"/>
    </xf>
  </cellStyleXfs>
  <cellXfs count="301">
    <xf numFmtId="0" fontId="0" fillId="0" borderId="0" xfId="0" applyAlignment="1"/>
    <xf numFmtId="0" fontId="0" fillId="0" borderId="0" xfId="0" applyAlignment="1">
      <alignment horizontal="center"/>
    </xf>
    <xf numFmtId="0" fontId="0" fillId="0" borderId="1" xfId="0" applyBorder="1" applyAlignment="1">
      <alignment horizontal="center"/>
    </xf>
    <xf numFmtId="0" fontId="0" fillId="0" borderId="2" xfId="0" applyBorder="1" applyAlignment="1"/>
    <xf numFmtId="0" fontId="0" fillId="0" borderId="3" xfId="0" applyBorder="1" applyAlignment="1">
      <alignment horizontal="left" vertical="top"/>
    </xf>
    <xf numFmtId="0" fontId="0" fillId="0" borderId="3" xfId="0" applyBorder="1" applyAlignment="1">
      <alignment horizontal="center" vertical="top"/>
    </xf>
    <xf numFmtId="0" fontId="0" fillId="0" borderId="4" xfId="0" applyBorder="1" applyAlignment="1">
      <alignment horizontal="center" vertical="top"/>
    </xf>
    <xf numFmtId="0" fontId="0" fillId="0" borderId="0" xfId="0" applyAlignment="1">
      <alignment horizontal="left" vertical="top"/>
    </xf>
    <xf numFmtId="0" fontId="0" fillId="0" borderId="2" xfId="0" applyBorder="1" applyAlignment="1">
      <alignment horizontal="center"/>
    </xf>
    <xf numFmtId="0" fontId="0" fillId="0" borderId="5" xfId="0" applyBorder="1" applyAlignment="1">
      <alignment horizontal="center"/>
    </xf>
    <xf numFmtId="0" fontId="0" fillId="0" borderId="6" xfId="0" applyBorder="1" applyAlignment="1"/>
    <xf numFmtId="0" fontId="0" fillId="0" borderId="3" xfId="0" applyBorder="1" applyAlignment="1"/>
    <xf numFmtId="0" fontId="0" fillId="0" borderId="4" xfId="0" applyBorder="1" applyAlignment="1"/>
    <xf numFmtId="0" fontId="0" fillId="2" borderId="0" xfId="0" applyFill="1" applyAlignment="1"/>
    <xf numFmtId="2" fontId="0" fillId="2" borderId="0" xfId="0" applyNumberFormat="1" applyFill="1" applyAlignment="1"/>
    <xf numFmtId="0" fontId="0" fillId="2" borderId="7" xfId="0" applyFill="1" applyBorder="1" applyAlignment="1"/>
    <xf numFmtId="0" fontId="0" fillId="0" borderId="8" xfId="0" applyBorder="1" applyAlignment="1"/>
    <xf numFmtId="0" fontId="0" fillId="0" borderId="1" xfId="0" applyBorder="1" applyAlignment="1"/>
    <xf numFmtId="0" fontId="0" fillId="2" borderId="6" xfId="0" applyFill="1" applyBorder="1" applyAlignment="1"/>
    <xf numFmtId="0" fontId="0" fillId="2" borderId="3" xfId="0" applyFill="1" applyBorder="1" applyAlignment="1"/>
    <xf numFmtId="0" fontId="0" fillId="2" borderId="3" xfId="0" applyFill="1" applyBorder="1" applyAlignment="1">
      <alignment horizontal="center"/>
    </xf>
    <xf numFmtId="0" fontId="0" fillId="2" borderId="4" xfId="0" applyFill="1" applyBorder="1" applyAlignment="1">
      <alignment horizontal="center"/>
    </xf>
    <xf numFmtId="0" fontId="2" fillId="2" borderId="0" xfId="0" applyFont="1" applyFill="1" applyAlignment="1">
      <alignment horizontal="center" vertical="center" wrapText="1"/>
    </xf>
    <xf numFmtId="0" fontId="3" fillId="2" borderId="7" xfId="0" applyFont="1" applyFill="1" applyBorder="1" applyAlignment="1"/>
    <xf numFmtId="0" fontId="0" fillId="2" borderId="8" xfId="0" applyFill="1" applyBorder="1" applyAlignment="1"/>
    <xf numFmtId="0" fontId="0" fillId="2" borderId="0" xfId="0" applyFill="1" applyAlignment="1">
      <alignment horizontal="center"/>
    </xf>
    <xf numFmtId="0" fontId="0" fillId="2" borderId="1" xfId="0" applyFill="1" applyBorder="1" applyAlignment="1">
      <alignment horizontal="center"/>
    </xf>
    <xf numFmtId="0" fontId="0" fillId="2" borderId="1" xfId="0" applyFill="1" applyBorder="1" applyAlignment="1"/>
    <xf numFmtId="0" fontId="4" fillId="2" borderId="0" xfId="2" applyFill="1" applyBorder="1" applyAlignment="1" applyProtection="1"/>
    <xf numFmtId="0" fontId="21" fillId="2" borderId="0" xfId="0" applyFont="1" applyFill="1" applyAlignment="1"/>
    <xf numFmtId="14" fontId="21" fillId="2" borderId="0" xfId="0" applyNumberFormat="1" applyFont="1" applyFill="1" applyAlignment="1"/>
    <xf numFmtId="2" fontId="5" fillId="2" borderId="0" xfId="0" applyNumberFormat="1" applyFont="1" applyFill="1" applyAlignment="1">
      <alignment horizontal="center" vertical="center"/>
    </xf>
    <xf numFmtId="22" fontId="14" fillId="2" borderId="0" xfId="0" applyNumberFormat="1" applyFont="1" applyFill="1" applyAlignment="1"/>
    <xf numFmtId="2" fontId="6" fillId="2" borderId="0" xfId="0" applyNumberFormat="1" applyFont="1" applyFill="1" applyAlignment="1">
      <alignment horizontal="center" vertical="center"/>
    </xf>
    <xf numFmtId="0" fontId="1" fillId="2" borderId="9" xfId="0" applyFont="1" applyFill="1" applyBorder="1" applyAlignment="1">
      <alignment horizontal="center"/>
    </xf>
    <xf numFmtId="171" fontId="1" fillId="2" borderId="10" xfId="0" applyNumberFormat="1" applyFont="1" applyFill="1" applyBorder="1" applyAlignment="1">
      <alignment horizontal="center"/>
    </xf>
    <xf numFmtId="0" fontId="2" fillId="2" borderId="0" xfId="0" applyFont="1" applyFill="1" applyAlignment="1">
      <alignment vertical="center" textRotation="90"/>
    </xf>
    <xf numFmtId="0" fontId="9" fillId="2" borderId="0" xfId="0" quotePrefix="1" applyFont="1" applyFill="1" applyAlignment="1">
      <alignment vertical="center"/>
    </xf>
    <xf numFmtId="0" fontId="1" fillId="2" borderId="10" xfId="0" applyFont="1" applyFill="1" applyBorder="1" applyAlignment="1">
      <alignment horizontal="center"/>
    </xf>
    <xf numFmtId="0" fontId="11" fillId="2" borderId="0" xfId="0" applyFont="1" applyFill="1" applyAlignment="1">
      <alignment vertical="top"/>
    </xf>
    <xf numFmtId="0" fontId="12" fillId="2" borderId="0" xfId="0" applyFont="1" applyFill="1" applyAlignment="1">
      <alignment vertical="center"/>
    </xf>
    <xf numFmtId="0" fontId="7" fillId="2" borderId="0" xfId="0" applyFont="1" applyFill="1" applyAlignment="1">
      <alignment vertical="center"/>
    </xf>
    <xf numFmtId="0" fontId="13" fillId="2" borderId="0" xfId="0" applyFont="1" applyFill="1" applyAlignment="1">
      <alignment vertical="center" wrapText="1"/>
    </xf>
    <xf numFmtId="0" fontId="16" fillId="2" borderId="0" xfId="0" applyFont="1" applyFill="1" applyAlignment="1">
      <alignment horizontal="left" vertical="center" wrapText="1"/>
    </xf>
    <xf numFmtId="0" fontId="1" fillId="2" borderId="0" xfId="0" applyFont="1" applyFill="1" applyAlignment="1">
      <alignment vertical="center"/>
    </xf>
    <xf numFmtId="0" fontId="7" fillId="3" borderId="8" xfId="0" applyFont="1" applyFill="1" applyBorder="1" applyAlignment="1">
      <alignment vertical="center"/>
    </xf>
    <xf numFmtId="0" fontId="7" fillId="3" borderId="0" xfId="0" applyFont="1" applyFill="1" applyAlignment="1">
      <alignment vertical="center"/>
    </xf>
    <xf numFmtId="0" fontId="7" fillId="3" borderId="1" xfId="0" applyFont="1" applyFill="1" applyBorder="1" applyAlignment="1">
      <alignment vertical="center"/>
    </xf>
    <xf numFmtId="0" fontId="7" fillId="3" borderId="11" xfId="0" applyFont="1" applyFill="1" applyBorder="1" applyAlignment="1">
      <alignment vertical="center"/>
    </xf>
    <xf numFmtId="0" fontId="7" fillId="3" borderId="2" xfId="0" applyFont="1" applyFill="1" applyBorder="1" applyAlignment="1">
      <alignment vertical="center"/>
    </xf>
    <xf numFmtId="0" fontId="7" fillId="3" borderId="5" xfId="0" applyFont="1" applyFill="1" applyBorder="1" applyAlignment="1">
      <alignment vertical="center"/>
    </xf>
    <xf numFmtId="0" fontId="7" fillId="3" borderId="0" xfId="0" applyFont="1" applyFill="1" applyAlignment="1" applyProtection="1">
      <alignment vertical="center"/>
      <protection locked="0"/>
    </xf>
    <xf numFmtId="0" fontId="0" fillId="4" borderId="0" xfId="0" applyFill="1" applyAlignment="1">
      <alignment horizontal="center"/>
    </xf>
    <xf numFmtId="0" fontId="0" fillId="4" borderId="0" xfId="0" applyFill="1" applyAlignment="1"/>
    <xf numFmtId="0" fontId="0" fillId="4" borderId="8" xfId="0" applyFill="1" applyBorder="1" applyAlignment="1"/>
    <xf numFmtId="0" fontId="0" fillId="4" borderId="1" xfId="0" applyFill="1" applyBorder="1" applyAlignment="1"/>
    <xf numFmtId="0" fontId="0" fillId="4" borderId="11" xfId="0" applyFill="1" applyBorder="1" applyAlignment="1"/>
    <xf numFmtId="0" fontId="0" fillId="4" borderId="2" xfId="0" applyFill="1" applyBorder="1" applyAlignment="1"/>
    <xf numFmtId="165" fontId="1" fillId="4" borderId="0" xfId="0" applyNumberFormat="1" applyFont="1" applyFill="1" applyAlignment="1">
      <alignment horizontal="right"/>
    </xf>
    <xf numFmtId="0" fontId="8" fillId="4" borderId="1" xfId="0" applyFont="1" applyFill="1" applyBorder="1" applyAlignment="1">
      <alignment vertical="center"/>
    </xf>
    <xf numFmtId="164" fontId="0" fillId="4" borderId="1" xfId="0" applyNumberFormat="1" applyFill="1" applyBorder="1" applyAlignment="1">
      <alignment vertical="center"/>
    </xf>
    <xf numFmtId="0" fontId="15" fillId="4" borderId="0" xfId="0" applyFont="1" applyFill="1" applyAlignment="1"/>
    <xf numFmtId="0" fontId="16" fillId="4" borderId="1" xfId="0" applyFont="1" applyFill="1" applyBorder="1" applyAlignment="1">
      <alignment vertical="center" wrapText="1"/>
    </xf>
    <xf numFmtId="0" fontId="7" fillId="4" borderId="1" xfId="0" applyFont="1" applyFill="1" applyBorder="1" applyAlignment="1" applyProtection="1">
      <alignment vertical="center"/>
      <protection locked="0"/>
    </xf>
    <xf numFmtId="0" fontId="7" fillId="4" borderId="1" xfId="0" applyFont="1" applyFill="1" applyBorder="1" applyAlignment="1">
      <alignment horizontal="center" vertical="center"/>
    </xf>
    <xf numFmtId="0" fontId="16" fillId="4" borderId="0" xfId="0" applyFont="1" applyFill="1" applyAlignment="1">
      <alignment horizontal="left" vertical="center"/>
    </xf>
    <xf numFmtId="14" fontId="16" fillId="4" borderId="0" xfId="0" applyNumberFormat="1" applyFont="1" applyFill="1" applyAlignment="1">
      <alignment horizontal="left" vertical="center"/>
    </xf>
    <xf numFmtId="0" fontId="16" fillId="4" borderId="1" xfId="0" applyFont="1" applyFill="1" applyBorder="1" applyAlignment="1">
      <alignment horizontal="left" vertical="center" wrapText="1"/>
    </xf>
    <xf numFmtId="0" fontId="16" fillId="4" borderId="0" xfId="0" applyFont="1" applyFill="1" applyAlignment="1">
      <alignment horizontal="left" vertical="center" wrapText="1"/>
    </xf>
    <xf numFmtId="0" fontId="0" fillId="4" borderId="0" xfId="0" applyFill="1" applyAlignment="1">
      <alignment vertical="center"/>
    </xf>
    <xf numFmtId="0" fontId="18" fillId="4" borderId="1" xfId="0" applyFont="1" applyFill="1" applyBorder="1" applyAlignment="1">
      <alignment vertical="center" wrapText="1"/>
    </xf>
    <xf numFmtId="0" fontId="0" fillId="4" borderId="5" xfId="0" applyFill="1" applyBorder="1" applyAlignment="1"/>
    <xf numFmtId="43" fontId="1" fillId="2" borderId="12" xfId="1" applyFill="1" applyBorder="1" applyProtection="1"/>
    <xf numFmtId="170" fontId="23" fillId="4" borderId="0" xfId="1" applyNumberFormat="1" applyFont="1" applyFill="1" applyBorder="1" applyAlignment="1">
      <alignment horizontal="center"/>
    </xf>
    <xf numFmtId="0" fontId="10" fillId="4" borderId="8" xfId="0" applyFont="1" applyFill="1" applyBorder="1" applyAlignment="1">
      <alignment vertical="center"/>
    </xf>
    <xf numFmtId="0" fontId="14" fillId="4" borderId="8" xfId="0" applyFont="1" applyFill="1" applyBorder="1" applyAlignment="1"/>
    <xf numFmtId="0" fontId="16" fillId="4" borderId="8" xfId="0" applyFont="1" applyFill="1" applyBorder="1" applyAlignment="1">
      <alignment vertical="center" wrapText="1"/>
    </xf>
    <xf numFmtId="0" fontId="0" fillId="4" borderId="6" xfId="0" applyFill="1" applyBorder="1" applyAlignment="1"/>
    <xf numFmtId="170" fontId="16" fillId="4" borderId="0" xfId="1" applyNumberFormat="1" applyFont="1" applyFill="1" applyBorder="1"/>
    <xf numFmtId="170" fontId="16" fillId="4" borderId="0" xfId="1" applyNumberFormat="1" applyFont="1" applyFill="1" applyBorder="1" applyAlignment="1">
      <alignment horizontal="center"/>
    </xf>
    <xf numFmtId="0" fontId="14" fillId="4" borderId="0" xfId="0" applyFont="1" applyFill="1" applyAlignment="1"/>
    <xf numFmtId="0" fontId="14" fillId="4" borderId="0" xfId="0" applyFont="1" applyFill="1" applyAlignment="1">
      <alignment horizontal="right"/>
    </xf>
    <xf numFmtId="0" fontId="22" fillId="4" borderId="0" xfId="0" applyFont="1" applyFill="1" applyAlignment="1"/>
    <xf numFmtId="164" fontId="1" fillId="5" borderId="10" xfId="0" applyNumberFormat="1" applyFont="1" applyFill="1" applyBorder="1" applyAlignment="1">
      <alignment horizontal="center"/>
    </xf>
    <xf numFmtId="0" fontId="0" fillId="2" borderId="13" xfId="0" applyFill="1" applyBorder="1" applyAlignment="1"/>
    <xf numFmtId="0" fontId="0" fillId="0" borderId="0" xfId="0" applyAlignment="1">
      <alignment wrapText="1"/>
    </xf>
    <xf numFmtId="0" fontId="25" fillId="0" borderId="0" xfId="0" applyFont="1" applyAlignment="1">
      <alignment horizontal="justify" wrapText="1"/>
    </xf>
    <xf numFmtId="0" fontId="19" fillId="0" borderId="0" xfId="0" applyFont="1" applyAlignment="1">
      <alignment wrapText="1"/>
    </xf>
    <xf numFmtId="164" fontId="0" fillId="0" borderId="0" xfId="0" applyNumberFormat="1" applyAlignment="1">
      <alignment horizontal="center"/>
    </xf>
    <xf numFmtId="164" fontId="1" fillId="0" borderId="0" xfId="0" applyNumberFormat="1" applyFont="1" applyAlignment="1">
      <alignment horizontal="center"/>
    </xf>
    <xf numFmtId="0" fontId="19" fillId="0" borderId="0" xfId="0" applyFont="1" applyAlignment="1"/>
    <xf numFmtId="0" fontId="20" fillId="0" borderId="0" xfId="0" applyFont="1" applyAlignment="1"/>
    <xf numFmtId="164" fontId="20" fillId="0" borderId="0" xfId="0" applyNumberFormat="1" applyFont="1" applyAlignment="1">
      <alignment horizontal="center"/>
    </xf>
    <xf numFmtId="1" fontId="20" fillId="0" borderId="0" xfId="0" applyNumberFormat="1" applyFont="1" applyAlignment="1">
      <alignment horizontal="center"/>
    </xf>
    <xf numFmtId="164" fontId="0" fillId="0" borderId="0" xfId="0" applyNumberFormat="1" applyAlignment="1"/>
    <xf numFmtId="1" fontId="1" fillId="0" borderId="0" xfId="0" applyNumberFormat="1" applyFont="1" applyAlignment="1">
      <alignment horizontal="center"/>
    </xf>
    <xf numFmtId="0" fontId="19" fillId="0" borderId="0" xfId="0" applyFont="1" applyAlignment="1">
      <alignment horizontal="center"/>
    </xf>
    <xf numFmtId="169" fontId="1" fillId="0" borderId="0" xfId="0" applyNumberFormat="1" applyFont="1" applyAlignment="1">
      <alignment horizontal="center"/>
    </xf>
    <xf numFmtId="3" fontId="0" fillId="0" borderId="0" xfId="0" applyNumberFormat="1" applyAlignment="1"/>
    <xf numFmtId="169" fontId="0" fillId="0" borderId="0" xfId="0" applyNumberFormat="1" applyAlignment="1"/>
    <xf numFmtId="168" fontId="0" fillId="0" borderId="0" xfId="0" applyNumberFormat="1" applyAlignment="1"/>
    <xf numFmtId="167" fontId="0" fillId="0" borderId="0" xfId="0" applyNumberFormat="1" applyAlignment="1"/>
    <xf numFmtId="0" fontId="1" fillId="0" borderId="0" xfId="0" applyFont="1" applyAlignment="1"/>
    <xf numFmtId="0" fontId="28" fillId="5" borderId="14" xfId="0" applyFont="1" applyFill="1" applyBorder="1" applyAlignment="1" applyProtection="1">
      <alignment horizontal="center"/>
      <protection locked="0"/>
    </xf>
    <xf numFmtId="14" fontId="1" fillId="0" borderId="0" xfId="0" applyNumberFormat="1" applyFont="1" applyAlignment="1">
      <alignment horizontal="center"/>
    </xf>
    <xf numFmtId="164" fontId="0" fillId="2" borderId="0" xfId="0" applyNumberFormat="1" applyFill="1" applyAlignment="1">
      <alignment horizontal="center"/>
    </xf>
    <xf numFmtId="164" fontId="20" fillId="2" borderId="0" xfId="0" applyNumberFormat="1" applyFont="1" applyFill="1" applyAlignment="1">
      <alignment horizontal="center"/>
    </xf>
    <xf numFmtId="164" fontId="1" fillId="0" borderId="0" xfId="0" applyNumberFormat="1" applyFont="1" applyAlignment="1">
      <alignment horizontal="right"/>
    </xf>
    <xf numFmtId="1" fontId="20" fillId="6" borderId="15" xfId="0" applyNumberFormat="1" applyFont="1" applyFill="1" applyBorder="1" applyAlignment="1">
      <alignment horizontal="center"/>
    </xf>
    <xf numFmtId="1" fontId="1" fillId="6" borderId="16" xfId="0" applyNumberFormat="1" applyFont="1" applyFill="1" applyBorder="1" applyAlignment="1">
      <alignment horizontal="center"/>
    </xf>
    <xf numFmtId="164" fontId="1" fillId="6" borderId="17" xfId="0" applyNumberFormat="1" applyFont="1" applyFill="1" applyBorder="1" applyAlignment="1">
      <alignment horizontal="center"/>
    </xf>
    <xf numFmtId="164" fontId="0" fillId="7" borderId="0" xfId="0" applyNumberFormat="1" applyFill="1" applyAlignment="1"/>
    <xf numFmtId="0" fontId="27" fillId="8" borderId="18" xfId="0" applyFont="1" applyFill="1" applyBorder="1" applyAlignment="1">
      <alignment horizontal="center"/>
    </xf>
    <xf numFmtId="164" fontId="28" fillId="5" borderId="19" xfId="0" applyNumberFormat="1" applyFont="1" applyFill="1" applyBorder="1" applyAlignment="1" applyProtection="1">
      <alignment horizontal="center"/>
      <protection locked="0"/>
    </xf>
    <xf numFmtId="0" fontId="28" fillId="5" borderId="19" xfId="0" applyFont="1" applyFill="1" applyBorder="1" applyAlignment="1" applyProtection="1">
      <alignment horizontal="center"/>
      <protection locked="0"/>
    </xf>
    <xf numFmtId="166" fontId="28" fillId="5" borderId="19" xfId="0" applyNumberFormat="1" applyFont="1" applyFill="1" applyBorder="1" applyAlignment="1" applyProtection="1">
      <alignment horizontal="center"/>
      <protection locked="0"/>
    </xf>
    <xf numFmtId="0" fontId="28" fillId="5" borderId="19" xfId="0" applyFont="1" applyFill="1" applyBorder="1" applyAlignment="1" applyProtection="1">
      <alignment horizontal="center" vertical="center"/>
      <protection locked="0"/>
    </xf>
    <xf numFmtId="0" fontId="28" fillId="2" borderId="20" xfId="0" applyFont="1" applyFill="1" applyBorder="1" applyAlignment="1">
      <alignment horizontal="center"/>
    </xf>
    <xf numFmtId="164" fontId="30" fillId="2" borderId="21" xfId="0" applyNumberFormat="1" applyFont="1" applyFill="1" applyBorder="1" applyAlignment="1">
      <alignment horizontal="center"/>
    </xf>
    <xf numFmtId="0" fontId="28" fillId="5" borderId="20" xfId="0" applyFont="1" applyFill="1" applyBorder="1" applyAlignment="1" applyProtection="1">
      <alignment horizontal="left"/>
      <protection locked="0"/>
    </xf>
    <xf numFmtId="0" fontId="0" fillId="6" borderId="6" xfId="0" applyFill="1" applyBorder="1" applyAlignment="1"/>
    <xf numFmtId="0" fontId="0" fillId="6" borderId="8" xfId="0" applyFill="1" applyBorder="1" applyAlignment="1"/>
    <xf numFmtId="0" fontId="0" fillId="6" borderId="8" xfId="0" applyFill="1" applyBorder="1" applyAlignment="1">
      <alignment horizontal="right"/>
    </xf>
    <xf numFmtId="0" fontId="0" fillId="6" borderId="11" xfId="0" applyFill="1" applyBorder="1" applyAlignment="1"/>
    <xf numFmtId="0" fontId="0" fillId="6" borderId="12" xfId="0" applyFill="1" applyBorder="1" applyAlignment="1"/>
    <xf numFmtId="0" fontId="0" fillId="6" borderId="18" xfId="0" applyFill="1" applyBorder="1" applyAlignment="1"/>
    <xf numFmtId="0" fontId="0" fillId="6" borderId="7" xfId="0" applyFill="1" applyBorder="1" applyAlignment="1"/>
    <xf numFmtId="0" fontId="0" fillId="6" borderId="20" xfId="0" applyFill="1" applyBorder="1" applyAlignment="1"/>
    <xf numFmtId="0" fontId="0" fillId="6" borderId="22" xfId="0" applyFill="1" applyBorder="1" applyAlignment="1"/>
    <xf numFmtId="0" fontId="0" fillId="6" borderId="23" xfId="0" applyFill="1" applyBorder="1" applyAlignment="1"/>
    <xf numFmtId="0" fontId="0" fillId="4" borderId="0" xfId="0" applyFill="1" applyAlignment="1">
      <alignment horizontal="right"/>
    </xf>
    <xf numFmtId="0" fontId="32" fillId="8" borderId="24" xfId="0" applyFont="1" applyFill="1" applyBorder="1" applyAlignment="1">
      <alignment horizontal="right" vertical="center"/>
    </xf>
    <xf numFmtId="0" fontId="32" fillId="8" borderId="25" xfId="0" applyFont="1" applyFill="1" applyBorder="1" applyAlignment="1">
      <alignment horizontal="right"/>
    </xf>
    <xf numFmtId="0" fontId="31" fillId="2" borderId="0" xfId="0" applyFont="1" applyFill="1" applyAlignment="1"/>
    <xf numFmtId="0" fontId="32" fillId="8" borderId="24" xfId="0" applyFont="1" applyFill="1" applyBorder="1" applyAlignment="1">
      <alignment horizontal="right"/>
    </xf>
    <xf numFmtId="0" fontId="34" fillId="0" borderId="25" xfId="0" applyFont="1" applyBorder="1" applyAlignment="1">
      <alignment horizontal="right"/>
    </xf>
    <xf numFmtId="0" fontId="33" fillId="2" borderId="7" xfId="0" applyFont="1" applyFill="1" applyBorder="1" applyAlignment="1">
      <alignment horizontal="right"/>
    </xf>
    <xf numFmtId="0" fontId="32" fillId="8" borderId="26" xfId="0" applyFont="1" applyFill="1" applyBorder="1" applyAlignment="1">
      <alignment horizontal="right"/>
    </xf>
    <xf numFmtId="0" fontId="35" fillId="5" borderId="27" xfId="0" applyFont="1" applyFill="1" applyBorder="1" applyAlignment="1" applyProtection="1">
      <alignment horizontal="right" wrapText="1"/>
      <protection locked="0"/>
    </xf>
    <xf numFmtId="0" fontId="32" fillId="8" borderId="7" xfId="0" applyFont="1" applyFill="1" applyBorder="1" applyAlignment="1">
      <alignment horizontal="right"/>
    </xf>
    <xf numFmtId="0" fontId="32" fillId="8" borderId="12" xfId="0" applyFont="1" applyFill="1" applyBorder="1" applyAlignment="1">
      <alignment horizontal="left"/>
    </xf>
    <xf numFmtId="0" fontId="32" fillId="8" borderId="17" xfId="0" applyFont="1" applyFill="1" applyBorder="1" applyAlignment="1">
      <alignment horizontal="right"/>
    </xf>
    <xf numFmtId="0" fontId="32" fillId="8" borderId="28" xfId="0" applyFont="1" applyFill="1" applyBorder="1" applyAlignment="1">
      <alignment horizontal="right"/>
    </xf>
    <xf numFmtId="0" fontId="28" fillId="5" borderId="29" xfId="0" applyFont="1" applyFill="1" applyBorder="1" applyAlignment="1" applyProtection="1">
      <alignment horizontal="center"/>
      <protection locked="0"/>
    </xf>
    <xf numFmtId="0" fontId="33" fillId="0" borderId="30" xfId="0" applyFont="1" applyBorder="1" applyAlignment="1"/>
    <xf numFmtId="0" fontId="28" fillId="0" borderId="21" xfId="0" applyFont="1" applyBorder="1" applyAlignment="1"/>
    <xf numFmtId="0" fontId="30" fillId="2" borderId="31" xfId="0" applyFont="1" applyFill="1" applyBorder="1" applyAlignment="1" applyProtection="1">
      <alignment horizontal="center"/>
      <protection hidden="1"/>
    </xf>
    <xf numFmtId="0" fontId="0" fillId="2" borderId="12" xfId="0" applyFill="1" applyBorder="1" applyAlignment="1"/>
    <xf numFmtId="0" fontId="0" fillId="2" borderId="18" xfId="0" applyFill="1" applyBorder="1" applyAlignment="1"/>
    <xf numFmtId="0" fontId="0" fillId="2" borderId="25" xfId="0" applyFill="1" applyBorder="1" applyAlignment="1">
      <alignment horizontal="center"/>
    </xf>
    <xf numFmtId="0" fontId="0" fillId="2" borderId="32" xfId="0" applyFill="1" applyBorder="1" applyAlignment="1">
      <alignment horizontal="center"/>
    </xf>
    <xf numFmtId="164" fontId="0" fillId="2" borderId="33" xfId="0" applyNumberFormat="1" applyFill="1" applyBorder="1" applyAlignment="1">
      <alignment horizontal="center"/>
    </xf>
    <xf numFmtId="164" fontId="0" fillId="2" borderId="34" xfId="0" applyNumberFormat="1" applyFill="1" applyBorder="1" applyAlignment="1">
      <alignment horizontal="center"/>
    </xf>
    <xf numFmtId="0" fontId="0" fillId="5" borderId="0" xfId="0" applyFill="1" applyAlignment="1"/>
    <xf numFmtId="0" fontId="36" fillId="4" borderId="0" xfId="0" applyFont="1" applyFill="1" applyAlignment="1"/>
    <xf numFmtId="0" fontId="37" fillId="2" borderId="0" xfId="0" applyFont="1" applyFill="1" applyAlignment="1"/>
    <xf numFmtId="0" fontId="0" fillId="0" borderId="0" xfId="0" applyAlignment="1">
      <alignment horizontal="right"/>
    </xf>
    <xf numFmtId="0" fontId="25" fillId="0" borderId="0" xfId="0" applyFont="1" applyAlignment="1">
      <alignment wrapText="1"/>
    </xf>
    <xf numFmtId="0" fontId="4" fillId="0" borderId="0" xfId="2" applyAlignment="1" applyProtection="1">
      <alignment wrapText="1"/>
    </xf>
    <xf numFmtId="0" fontId="38" fillId="2" borderId="0" xfId="0" applyFont="1" applyFill="1" applyAlignment="1"/>
    <xf numFmtId="0" fontId="20" fillId="2" borderId="0" xfId="0" applyFont="1" applyFill="1" applyAlignment="1">
      <alignment horizontal="center"/>
    </xf>
    <xf numFmtId="0" fontId="24" fillId="2" borderId="0" xfId="0" applyFont="1" applyFill="1" applyAlignment="1"/>
    <xf numFmtId="0" fontId="20" fillId="2" borderId="0" xfId="0" applyFont="1" applyFill="1" applyAlignment="1">
      <alignment horizontal="left"/>
    </xf>
    <xf numFmtId="22" fontId="0" fillId="0" borderId="0" xfId="0" applyNumberFormat="1" applyAlignment="1"/>
    <xf numFmtId="0" fontId="34" fillId="2" borderId="25" xfId="0" applyFont="1" applyFill="1" applyBorder="1" applyAlignment="1" applyProtection="1">
      <alignment horizontal="right"/>
      <protection hidden="1"/>
    </xf>
    <xf numFmtId="164" fontId="20" fillId="2" borderId="0" xfId="0" applyNumberFormat="1" applyFont="1" applyFill="1" applyAlignment="1"/>
    <xf numFmtId="0" fontId="36" fillId="0" borderId="0" xfId="0" applyFont="1" applyAlignment="1"/>
    <xf numFmtId="0" fontId="39" fillId="2" borderId="0" xfId="0" applyFont="1" applyFill="1" applyAlignment="1">
      <alignment horizontal="center"/>
    </xf>
    <xf numFmtId="0" fontId="39" fillId="2" borderId="0" xfId="0" applyFont="1" applyFill="1" applyAlignment="1"/>
    <xf numFmtId="0" fontId="36" fillId="2" borderId="0" xfId="0" applyFont="1" applyFill="1" applyAlignment="1"/>
    <xf numFmtId="164" fontId="1" fillId="0" borderId="0" xfId="0" applyNumberFormat="1" applyFont="1" applyAlignment="1"/>
    <xf numFmtId="0" fontId="1" fillId="2" borderId="0" xfId="0" applyFont="1" applyFill="1" applyAlignment="1"/>
    <xf numFmtId="0" fontId="40" fillId="0" borderId="0" xfId="0" applyFont="1" applyAlignment="1"/>
    <xf numFmtId="0" fontId="41" fillId="0" borderId="0" xfId="0" applyFont="1" applyAlignment="1"/>
    <xf numFmtId="164" fontId="41" fillId="0" borderId="0" xfId="0" applyNumberFormat="1" applyFont="1" applyAlignment="1"/>
    <xf numFmtId="0" fontId="41" fillId="7" borderId="0" xfId="0" applyFont="1" applyFill="1" applyAlignment="1"/>
    <xf numFmtId="0" fontId="42" fillId="0" borderId="0" xfId="0" applyFont="1" applyAlignment="1"/>
    <xf numFmtId="0" fontId="43" fillId="0" borderId="0" xfId="0" applyFont="1" applyAlignment="1"/>
    <xf numFmtId="0" fontId="43" fillId="2" borderId="0" xfId="0" applyFont="1" applyFill="1" applyAlignment="1"/>
    <xf numFmtId="2" fontId="41" fillId="5" borderId="7" xfId="0" applyNumberFormat="1" applyFont="1" applyFill="1" applyBorder="1" applyAlignment="1"/>
    <xf numFmtId="2" fontId="41" fillId="5" borderId="0" xfId="0" applyNumberFormat="1" applyFont="1" applyFill="1" applyAlignment="1"/>
    <xf numFmtId="164" fontId="41" fillId="5" borderId="0" xfId="0" applyNumberFormat="1" applyFont="1" applyFill="1" applyAlignment="1"/>
    <xf numFmtId="0" fontId="41" fillId="2" borderId="0" xfId="0" applyFont="1" applyFill="1" applyAlignment="1"/>
    <xf numFmtId="0" fontId="42" fillId="0" borderId="0" xfId="0" applyFont="1" applyAlignment="1">
      <alignment horizontal="center"/>
    </xf>
    <xf numFmtId="0" fontId="41" fillId="5" borderId="0" xfId="0" applyFont="1" applyFill="1" applyAlignment="1"/>
    <xf numFmtId="1" fontId="41" fillId="5" borderId="0" xfId="0" applyNumberFormat="1" applyFont="1" applyFill="1" applyAlignment="1"/>
    <xf numFmtId="0" fontId="42" fillId="5" borderId="0" xfId="0" applyFont="1" applyFill="1" applyAlignment="1"/>
    <xf numFmtId="164" fontId="43" fillId="0" borderId="0" xfId="0" applyNumberFormat="1" applyFont="1" applyAlignment="1"/>
    <xf numFmtId="2" fontId="43" fillId="0" borderId="0" xfId="0" applyNumberFormat="1" applyFont="1" applyAlignment="1"/>
    <xf numFmtId="0" fontId="19" fillId="2" borderId="10" xfId="0" applyFont="1" applyFill="1" applyBorder="1" applyAlignment="1" applyProtection="1">
      <protection locked="0"/>
    </xf>
    <xf numFmtId="164" fontId="20" fillId="2" borderId="0" xfId="0" applyNumberFormat="1" applyFont="1" applyFill="1" applyAlignment="1" applyProtection="1">
      <protection locked="0"/>
    </xf>
    <xf numFmtId="0" fontId="40" fillId="2" borderId="0" xfId="0" applyFont="1" applyFill="1" applyAlignment="1"/>
    <xf numFmtId="0" fontId="20" fillId="2" borderId="0" xfId="0" applyFont="1" applyFill="1" applyAlignment="1"/>
    <xf numFmtId="0" fontId="20" fillId="2" borderId="0" xfId="0" applyFont="1" applyFill="1" applyAlignment="1" applyProtection="1">
      <protection locked="0"/>
    </xf>
    <xf numFmtId="164" fontId="20" fillId="2" borderId="0" xfId="0" applyNumberFormat="1" applyFont="1" applyFill="1" applyAlignment="1" applyProtection="1">
      <alignment horizontal="center"/>
      <protection locked="0"/>
    </xf>
    <xf numFmtId="0" fontId="19" fillId="2" borderId="35" xfId="0" applyFont="1" applyFill="1" applyBorder="1" applyAlignment="1" applyProtection="1">
      <protection locked="0"/>
    </xf>
    <xf numFmtId="0" fontId="16" fillId="4" borderId="0" xfId="0" applyFont="1" applyFill="1" applyAlignment="1">
      <alignment horizontal="center" vertical="center" wrapText="1"/>
    </xf>
    <xf numFmtId="0" fontId="16" fillId="4" borderId="1" xfId="0" applyFont="1" applyFill="1" applyBorder="1" applyAlignment="1">
      <alignment horizontal="center" vertical="center" wrapText="1"/>
    </xf>
    <xf numFmtId="0" fontId="19" fillId="2" borderId="35" xfId="0" applyFont="1" applyFill="1" applyBorder="1" applyAlignment="1" applyProtection="1">
      <alignment horizontal="center"/>
      <protection locked="0"/>
    </xf>
    <xf numFmtId="164" fontId="1" fillId="4" borderId="0" xfId="0" applyNumberFormat="1" applyFont="1" applyFill="1" applyAlignment="1">
      <alignment horizontal="center"/>
    </xf>
    <xf numFmtId="172" fontId="41" fillId="5" borderId="0" xfId="0" applyNumberFormat="1" applyFont="1" applyFill="1" applyAlignment="1"/>
    <xf numFmtId="2" fontId="41" fillId="0" borderId="0" xfId="0" applyNumberFormat="1" applyFont="1" applyAlignment="1"/>
    <xf numFmtId="2" fontId="41" fillId="7" borderId="0" xfId="0" applyNumberFormat="1" applyFont="1" applyFill="1" applyAlignment="1"/>
    <xf numFmtId="164" fontId="41" fillId="7" borderId="0" xfId="0" applyNumberFormat="1" applyFont="1" applyFill="1" applyAlignment="1"/>
    <xf numFmtId="0" fontId="40" fillId="7" borderId="0" xfId="0" applyFont="1" applyFill="1" applyAlignment="1"/>
    <xf numFmtId="164" fontId="42" fillId="0" borderId="30" xfId="0" applyNumberFormat="1" applyFont="1" applyBorder="1" applyAlignment="1"/>
    <xf numFmtId="164" fontId="42" fillId="0" borderId="36" xfId="0" applyNumberFormat="1" applyFont="1" applyBorder="1" applyAlignment="1"/>
    <xf numFmtId="164" fontId="42" fillId="0" borderId="21" xfId="0" applyNumberFormat="1" applyFont="1" applyBorder="1" applyAlignment="1"/>
    <xf numFmtId="0" fontId="42" fillId="0" borderId="30" xfId="0" applyFont="1" applyBorder="1" applyAlignment="1"/>
    <xf numFmtId="0" fontId="42" fillId="0" borderId="36" xfId="0" applyFont="1" applyBorder="1" applyAlignment="1"/>
    <xf numFmtId="164" fontId="42" fillId="0" borderId="0" xfId="0" applyNumberFormat="1" applyFont="1" applyAlignment="1"/>
    <xf numFmtId="164" fontId="42" fillId="0" borderId="30" xfId="0" applyNumberFormat="1" applyFont="1" applyBorder="1" applyAlignment="1">
      <alignment horizontal="right"/>
    </xf>
    <xf numFmtId="164" fontId="42" fillId="0" borderId="36" xfId="0" applyNumberFormat="1" applyFont="1" applyBorder="1" applyAlignment="1">
      <alignment horizontal="right"/>
    </xf>
    <xf numFmtId="0" fontId="0" fillId="2" borderId="0" xfId="0" applyFill="1" applyAlignment="1" applyProtection="1">
      <protection locked="0"/>
    </xf>
    <xf numFmtId="0" fontId="41" fillId="2" borderId="0" xfId="0" applyFont="1" applyFill="1" applyAlignment="1" applyProtection="1">
      <protection locked="0"/>
    </xf>
    <xf numFmtId="0" fontId="41" fillId="0" borderId="0" xfId="0" applyFont="1" applyAlignment="1">
      <alignment horizontal="right"/>
    </xf>
    <xf numFmtId="164" fontId="20" fillId="0" borderId="0" xfId="0" applyNumberFormat="1" applyFont="1" applyAlignment="1"/>
    <xf numFmtId="0" fontId="44" fillId="2" borderId="0" xfId="0" applyFont="1" applyFill="1" applyAlignment="1">
      <alignment horizontal="center" wrapText="1" shrinkToFit="1"/>
    </xf>
    <xf numFmtId="0" fontId="20" fillId="6" borderId="4" xfId="0" applyFont="1" applyFill="1" applyBorder="1" applyAlignment="1"/>
    <xf numFmtId="0" fontId="0" fillId="6" borderId="1" xfId="0" applyFill="1" applyBorder="1" applyAlignment="1"/>
    <xf numFmtId="0" fontId="20" fillId="6" borderId="1" xfId="0" applyFont="1" applyFill="1" applyBorder="1" applyAlignment="1"/>
    <xf numFmtId="0" fontId="0" fillId="6" borderId="5" xfId="0" applyFill="1" applyBorder="1" applyAlignment="1"/>
    <xf numFmtId="0" fontId="29" fillId="0" borderId="25" xfId="0" applyFont="1" applyBorder="1" applyAlignment="1" applyProtection="1">
      <alignment horizontal="center"/>
      <protection locked="0"/>
    </xf>
    <xf numFmtId="164" fontId="1" fillId="9" borderId="0" xfId="0" applyNumberFormat="1" applyFont="1" applyFill="1" applyAlignment="1">
      <alignment horizontal="center"/>
    </xf>
    <xf numFmtId="2" fontId="0" fillId="6" borderId="3" xfId="0" applyNumberFormat="1" applyFill="1" applyBorder="1" applyAlignment="1"/>
    <xf numFmtId="2" fontId="0" fillId="6" borderId="0" xfId="0" applyNumberFormat="1" applyFill="1" applyAlignment="1"/>
    <xf numFmtId="0" fontId="20" fillId="6" borderId="3" xfId="0" applyFont="1" applyFill="1" applyBorder="1" applyAlignment="1"/>
    <xf numFmtId="0" fontId="20" fillId="6" borderId="0" xfId="0" applyFont="1" applyFill="1" applyAlignment="1"/>
    <xf numFmtId="0" fontId="20" fillId="6" borderId="2" xfId="0" applyFont="1" applyFill="1" applyBorder="1" applyAlignment="1"/>
    <xf numFmtId="0" fontId="0" fillId="6" borderId="4" xfId="0" applyFill="1" applyBorder="1" applyAlignment="1"/>
    <xf numFmtId="0" fontId="20" fillId="0" borderId="0" xfId="0" applyFont="1" applyAlignment="1">
      <alignment horizontal="right"/>
    </xf>
    <xf numFmtId="49" fontId="45" fillId="0" borderId="6" xfId="0" applyNumberFormat="1" applyFont="1" applyBorder="1" applyAlignment="1"/>
    <xf numFmtId="0" fontId="46" fillId="0" borderId="3" xfId="0" applyFont="1" applyBorder="1" applyAlignment="1"/>
    <xf numFmtId="0" fontId="46" fillId="0" borderId="4" xfId="0" applyFont="1" applyBorder="1" applyAlignment="1"/>
    <xf numFmtId="0" fontId="46" fillId="0" borderId="8" xfId="0" applyFont="1" applyBorder="1" applyAlignment="1"/>
    <xf numFmtId="0" fontId="46" fillId="0" borderId="0" xfId="0" applyFont="1" applyAlignment="1"/>
    <xf numFmtId="0" fontId="46" fillId="0" borderId="1" xfId="0" applyFont="1" applyBorder="1" applyAlignment="1"/>
    <xf numFmtId="6" fontId="45" fillId="0" borderId="0" xfId="0" applyNumberFormat="1" applyFont="1" applyAlignment="1"/>
    <xf numFmtId="6" fontId="45" fillId="0" borderId="1" xfId="0" applyNumberFormat="1" applyFont="1" applyBorder="1" applyAlignment="1"/>
    <xf numFmtId="49" fontId="45" fillId="0" borderId="0" xfId="0" applyNumberFormat="1" applyFont="1" applyAlignment="1"/>
    <xf numFmtId="49" fontId="45" fillId="0" borderId="1" xfId="0" applyNumberFormat="1" applyFont="1" applyBorder="1" applyAlignment="1"/>
    <xf numFmtId="49" fontId="45" fillId="0" borderId="8" xfId="0" applyNumberFormat="1" applyFont="1" applyBorder="1" applyAlignment="1"/>
    <xf numFmtId="1" fontId="14" fillId="0" borderId="0" xfId="0" applyNumberFormat="1" applyFont="1" applyAlignment="1"/>
    <xf numFmtId="6" fontId="14" fillId="0" borderId="0" xfId="0" applyNumberFormat="1" applyFont="1" applyAlignment="1"/>
    <xf numFmtId="6" fontId="14" fillId="0" borderId="1" xfId="0" applyNumberFormat="1" applyFont="1" applyBorder="1" applyAlignment="1"/>
    <xf numFmtId="0" fontId="41" fillId="0" borderId="8" xfId="0" applyFont="1" applyBorder="1" applyAlignment="1"/>
    <xf numFmtId="0" fontId="41" fillId="0" borderId="1" xfId="0" applyFont="1" applyBorder="1" applyAlignment="1"/>
    <xf numFmtId="0" fontId="41" fillId="0" borderId="11" xfId="0" applyFont="1" applyBorder="1" applyAlignment="1"/>
    <xf numFmtId="0" fontId="41" fillId="0" borderId="2" xfId="0" applyFont="1" applyBorder="1" applyAlignment="1"/>
    <xf numFmtId="0" fontId="41" fillId="0" borderId="5" xfId="0" applyFont="1" applyBorder="1" applyAlignment="1"/>
    <xf numFmtId="0" fontId="0" fillId="6" borderId="10" xfId="0" applyFill="1" applyBorder="1" applyAlignment="1"/>
    <xf numFmtId="0" fontId="0" fillId="6" borderId="9" xfId="0" applyFill="1" applyBorder="1" applyAlignment="1"/>
    <xf numFmtId="164" fontId="0" fillId="6" borderId="22" xfId="0" applyNumberFormat="1" applyFill="1" applyBorder="1" applyAlignment="1"/>
    <xf numFmtId="164" fontId="0" fillId="6" borderId="2" xfId="0" applyNumberFormat="1" applyFill="1" applyBorder="1" applyAlignment="1"/>
    <xf numFmtId="164" fontId="0" fillId="6" borderId="5" xfId="0" applyNumberFormat="1" applyFill="1" applyBorder="1" applyAlignment="1"/>
    <xf numFmtId="0" fontId="31" fillId="0" borderId="0" xfId="0" applyFont="1" applyAlignment="1"/>
    <xf numFmtId="0" fontId="31" fillId="5" borderId="0" xfId="0" applyFont="1" applyFill="1" applyAlignment="1"/>
    <xf numFmtId="164" fontId="1" fillId="6" borderId="18" xfId="0" applyNumberFormat="1" applyFont="1" applyFill="1" applyBorder="1" applyAlignment="1">
      <alignment horizontal="center"/>
    </xf>
    <xf numFmtId="164" fontId="1" fillId="6" borderId="22" xfId="0" applyNumberFormat="1" applyFont="1" applyFill="1" applyBorder="1" applyAlignment="1">
      <alignment horizontal="center"/>
    </xf>
    <xf numFmtId="164" fontId="1" fillId="6" borderId="23" xfId="0" applyNumberFormat="1" applyFont="1" applyFill="1" applyBorder="1" applyAlignment="1">
      <alignment horizontal="center"/>
    </xf>
    <xf numFmtId="0" fontId="1" fillId="10" borderId="10" xfId="0" applyFont="1" applyFill="1" applyBorder="1">
      <alignment horizontal="left" wrapText="1"/>
    </xf>
    <xf numFmtId="0" fontId="1" fillId="7" borderId="10" xfId="0" applyFont="1" applyFill="1" applyBorder="1">
      <alignment horizontal="left" wrapText="1"/>
    </xf>
    <xf numFmtId="0" fontId="32" fillId="8" borderId="7" xfId="0" applyFont="1" applyFill="1" applyBorder="1" applyAlignment="1">
      <alignment horizontal="center"/>
    </xf>
    <xf numFmtId="0" fontId="27" fillId="8" borderId="20" xfId="0" applyFont="1" applyFill="1" applyBorder="1" applyAlignment="1"/>
    <xf numFmtId="2" fontId="20" fillId="6" borderId="1" xfId="0" applyNumberFormat="1" applyFont="1" applyFill="1" applyBorder="1" applyAlignment="1"/>
    <xf numFmtId="0" fontId="1" fillId="0" borderId="0" xfId="0" applyFont="1">
      <alignment horizontal="left" wrapText="1"/>
    </xf>
    <xf numFmtId="0" fontId="1" fillId="8" borderId="10" xfId="0" applyFont="1" applyFill="1" applyBorder="1">
      <alignment horizontal="left" wrapText="1"/>
    </xf>
    <xf numFmtId="0" fontId="1" fillId="11" borderId="10" xfId="0" applyFont="1" applyFill="1" applyBorder="1">
      <alignment horizontal="left" wrapText="1"/>
    </xf>
    <xf numFmtId="0" fontId="1" fillId="12" borderId="10" xfId="0" applyFont="1" applyFill="1" applyBorder="1">
      <alignment horizontal="left" wrapText="1"/>
    </xf>
    <xf numFmtId="1" fontId="1" fillId="6" borderId="12" xfId="0" applyNumberFormat="1" applyFont="1" applyFill="1" applyBorder="1" applyAlignment="1">
      <alignment horizontal="center"/>
    </xf>
    <xf numFmtId="0" fontId="28" fillId="2" borderId="20" xfId="0" applyFont="1" applyFill="1" applyBorder="1" applyAlignment="1" applyProtection="1">
      <alignment horizontal="center"/>
      <protection locked="0"/>
    </xf>
    <xf numFmtId="0" fontId="47" fillId="2" borderId="0" xfId="0" applyFont="1" applyFill="1" applyAlignment="1">
      <alignment horizontal="right"/>
    </xf>
    <xf numFmtId="164" fontId="1" fillId="6" borderId="20" xfId="0" applyNumberFormat="1" applyFont="1" applyFill="1" applyBorder="1" applyAlignment="1">
      <alignment horizontal="center"/>
    </xf>
    <xf numFmtId="0" fontId="0" fillId="6" borderId="12" xfId="0" applyFill="1" applyBorder="1" applyAlignment="1">
      <alignment horizontal="left"/>
    </xf>
    <xf numFmtId="164" fontId="1" fillId="6" borderId="7" xfId="0" applyNumberFormat="1" applyFont="1" applyFill="1" applyBorder="1" applyAlignment="1">
      <alignment horizontal="left"/>
    </xf>
    <xf numFmtId="164" fontId="1" fillId="6" borderId="22" xfId="0" applyNumberFormat="1" applyFont="1" applyFill="1" applyBorder="1" applyAlignment="1">
      <alignment horizontal="left"/>
    </xf>
    <xf numFmtId="164" fontId="1" fillId="6" borderId="13" xfId="0" applyNumberFormat="1" applyFont="1" applyFill="1" applyBorder="1" applyAlignment="1"/>
    <xf numFmtId="164" fontId="1" fillId="6" borderId="0" xfId="0" applyNumberFormat="1" applyFont="1" applyFill="1" applyAlignment="1"/>
    <xf numFmtId="164" fontId="1" fillId="6" borderId="37" xfId="0" applyNumberFormat="1" applyFont="1" applyFill="1" applyBorder="1" applyAlignment="1"/>
    <xf numFmtId="0" fontId="16" fillId="4" borderId="0" xfId="0" applyFont="1" applyFill="1" applyAlignment="1">
      <alignment horizontal="center" vertical="center" wrapText="1"/>
    </xf>
    <xf numFmtId="0" fontId="16" fillId="4" borderId="1" xfId="0" applyFont="1" applyFill="1" applyBorder="1" applyAlignment="1">
      <alignment horizontal="center" vertical="center" wrapText="1"/>
    </xf>
    <xf numFmtId="0" fontId="7" fillId="3" borderId="3" xfId="0" applyFont="1" applyFill="1" applyBorder="1" applyAlignment="1">
      <alignment horizontal="center" vertical="center"/>
    </xf>
    <xf numFmtId="0" fontId="7" fillId="3" borderId="4" xfId="0" applyFont="1" applyFill="1" applyBorder="1" applyAlignment="1">
      <alignment horizontal="center" vertical="center"/>
    </xf>
    <xf numFmtId="0" fontId="7" fillId="3" borderId="0" xfId="0" applyFont="1" applyFill="1" applyAlignment="1">
      <alignment horizontal="center" vertical="center"/>
    </xf>
    <xf numFmtId="0" fontId="7" fillId="3" borderId="1"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5" xfId="0" applyFont="1" applyFill="1" applyBorder="1" applyAlignment="1">
      <alignment horizontal="center" vertical="center"/>
    </xf>
    <xf numFmtId="0" fontId="0" fillId="2" borderId="3" xfId="0" applyFill="1" applyBorder="1" applyAlignment="1">
      <alignment horizontal="center"/>
    </xf>
    <xf numFmtId="0" fontId="0" fillId="2" borderId="0" xfId="0" applyFill="1" applyAlignment="1">
      <alignment horizontal="center"/>
    </xf>
    <xf numFmtId="0" fontId="8" fillId="4" borderId="0" xfId="0" applyFont="1" applyFill="1" applyAlignment="1">
      <alignment horizontal="center" vertical="center"/>
    </xf>
    <xf numFmtId="0" fontId="42" fillId="0" borderId="0" xfId="0" applyFont="1" applyAlignment="1">
      <alignment horizontal="center"/>
    </xf>
    <xf numFmtId="0" fontId="41" fillId="0" borderId="0" xfId="0" applyFont="1" applyAlignment="1">
      <alignment horizontal="center"/>
    </xf>
    <xf numFmtId="0" fontId="27" fillId="8" borderId="12" xfId="0" applyFont="1" applyFill="1" applyBorder="1" applyAlignment="1">
      <alignment horizontal="center"/>
    </xf>
    <xf numFmtId="0" fontId="27" fillId="8" borderId="18" xfId="0" applyFont="1" applyFill="1" applyBorder="1" applyAlignment="1">
      <alignment horizontal="center"/>
    </xf>
    <xf numFmtId="0" fontId="19" fillId="2" borderId="10" xfId="0" applyFont="1" applyFill="1" applyBorder="1" applyAlignment="1" applyProtection="1">
      <alignment horizontal="center" wrapText="1"/>
      <protection locked="0"/>
    </xf>
    <xf numFmtId="22" fontId="27" fillId="8" borderId="7" xfId="0" applyNumberFormat="1" applyFont="1" applyFill="1" applyBorder="1" applyAlignment="1">
      <alignment horizontal="center"/>
    </xf>
    <xf numFmtId="22" fontId="27" fillId="8" borderId="20" xfId="0" applyNumberFormat="1" applyFont="1" applyFill="1" applyBorder="1" applyAlignment="1">
      <alignment horizontal="center"/>
    </xf>
    <xf numFmtId="0" fontId="44" fillId="2" borderId="0" xfId="0" applyFont="1" applyFill="1" applyAlignment="1">
      <alignment horizontal="center" wrapText="1" shrinkToFit="1"/>
    </xf>
    <xf numFmtId="164" fontId="20" fillId="2" borderId="0" xfId="0" applyNumberFormat="1" applyFont="1" applyFill="1" applyBorder="1" applyAlignment="1" applyProtection="1">
      <alignment horizontal="center"/>
      <protection locked="0"/>
    </xf>
    <xf numFmtId="0" fontId="20" fillId="2" borderId="0" xfId="0" applyFont="1" applyFill="1" applyBorder="1" applyAlignment="1" applyProtection="1">
      <protection locked="0"/>
    </xf>
    <xf numFmtId="0" fontId="0" fillId="2" borderId="0" xfId="0" applyFill="1" applyBorder="1" applyAlignment="1" applyProtection="1">
      <protection locked="0"/>
    </xf>
  </cellXfs>
  <cellStyles count="3">
    <cellStyle name="Comma" xfId="1" builtinId="3"/>
    <cellStyle name="Hyperlink" xfId="2" builtinId="8"/>
    <cellStyle name="Normal" xfId="0" builtinId="0"/>
  </cellStyles>
  <dxfs count="3">
    <dxf>
      <font>
        <b/>
        <i val="0"/>
        <condense val="0"/>
        <extend val="0"/>
      </font>
      <fill>
        <patternFill>
          <bgColor indexed="44"/>
        </patternFill>
      </fill>
    </dxf>
    <dxf>
      <font>
        <condense val="0"/>
        <extend val="0"/>
        <color indexed="9"/>
      </font>
    </dxf>
    <dxf>
      <font>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33AB"/>
      <rgbColor rgb="00FFFFFF"/>
      <rgbColor rgb="00B21811"/>
      <rgbColor rgb="0000FF00"/>
      <rgbColor rgb="000000FF"/>
      <rgbColor rgb="00FFFF00"/>
      <rgbColor rgb="00FF00FF"/>
      <rgbColor rgb="0000FFFF"/>
      <rgbColor rgb="00B21811"/>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DDDDDD"/>
      <rgbColor rgb="00EAEAEA"/>
      <rgbColor rgb="00000080"/>
      <rgbColor rgb="00FF00FF"/>
      <rgbColor rgb="00FFFF00"/>
      <rgbColor rgb="0000FFFF"/>
      <rgbColor rgb="00800080"/>
      <rgbColor rgb="00800000"/>
      <rgbColor rgb="00008080"/>
      <rgbColor rgb="000000FF"/>
      <rgbColor rgb="004F89C0"/>
      <rgbColor rgb="00CCFFFF"/>
      <rgbColor rgb="00CCFFCC"/>
      <rgbColor rgb="00A1A19F"/>
      <rgbColor rgb="0099CCFF"/>
      <rgbColor rgb="00DDDDDD"/>
      <rgbColor rgb="00CC99FF"/>
      <rgbColor rgb="00C0C0C0"/>
      <rgbColor rgb="003366FF"/>
      <rgbColor rgb="0033CCCC"/>
      <rgbColor rgb="0099CC00"/>
      <rgbColor rgb="00FFCC00"/>
      <rgbColor rgb="00FF9900"/>
      <rgbColor rgb="00FF6600"/>
      <rgbColor rgb="00666699"/>
      <rgbColor rgb="00969696"/>
      <rgbColor rgb="00003366"/>
      <rgbColor rgb="005BB718"/>
      <rgbColor rgb="00003300"/>
      <rgbColor rgb="00333300"/>
      <rgbColor rgb="008F8F8C"/>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sharedStrings" Target="sharedStrings.xml"/><Relationship Id="rId5" Type="http://schemas.openxmlformats.org/officeDocument/2006/relationships/externalLink" Target="externalLinks/externalLink2.xml"/><Relationship Id="rId10" Type="http://schemas.openxmlformats.org/officeDocument/2006/relationships/styles" Target="styles.xml"/><Relationship Id="rId4" Type="http://schemas.openxmlformats.org/officeDocument/2006/relationships/externalLink" Target="externalLinks/externalLink1.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76200</xdr:colOff>
          <xdr:row>25</xdr:row>
          <xdr:rowOff>101600</xdr:rowOff>
        </xdr:from>
        <xdr:to>
          <xdr:col>15</xdr:col>
          <xdr:colOff>12700</xdr:colOff>
          <xdr:row>27</xdr:row>
          <xdr:rowOff>127000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80"/>
                  </a:solidFill>
                  <a:latin typeface="Arial" pitchFamily="2" charset="0"/>
                  <a:cs typeface="Arial" pitchFamily="2" charset="0"/>
                </a:rPr>
                <a:t>hide the sheets and rows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101600</xdr:colOff>
          <xdr:row>4</xdr:row>
          <xdr:rowOff>38100</xdr:rowOff>
        </xdr:from>
        <xdr:to>
          <xdr:col>23</xdr:col>
          <xdr:colOff>2870200</xdr:colOff>
          <xdr:row>4</xdr:row>
          <xdr:rowOff>393700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200-00001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Arial" pitchFamily="2" charset="0"/>
                  <a:cs typeface="Arial" pitchFamily="2" charset="0"/>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xdr:from>
          <xdr:col>22</xdr:col>
          <xdr:colOff>12700</xdr:colOff>
          <xdr:row>20</xdr:row>
          <xdr:rowOff>25400</xdr:rowOff>
        </xdr:from>
        <xdr:to>
          <xdr:col>24</xdr:col>
          <xdr:colOff>12700</xdr:colOff>
          <xdr:row>23</xdr:row>
          <xdr:rowOff>190500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200-00004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Show Rates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fcltfile01/123data.old/Documents%20and%20Settings/sperkin.EQUIFIRST/Desktop/FHA%20Rate%20Sheet%20draft_V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fcltfile01/123data.old/PRICIN~4/35612~1.5-P/Rates/FHA%20Master%20Rate%20Sheets/FHA%20Rate%20Sheet%20Model%20draft_V20-with%20retail_od.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efcltfile01/123data.old/Documents%20and%20Settings/sperkin.EQUIFIRST/Desktop/FHA%20Rate%20Sheet%20Model%20draft_V1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ricing&amp;pooling/3.5%20-%20pricing/Rates/FHA%20Master%20Rate%20Sheets/FHA%20Original%20Rate%20Sheet%20Excel/FHA%20Rate%20Sheet%20Model%20static_012909%201032_AOT-v3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ricing&amp;pooling/3.5%20-%20pricing/Rates/FHA%20Master%20Rate%20Sheets/FHA%20Original%20Rate%20Sheet%20Excel/FHA%20Rate%20Sheet%20Model%20static_010209%201402_AOT-v3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ources"/>
      <sheetName val="process"/>
      <sheetName val="Bloomberg"/>
      <sheetName val="GNMA data"/>
      <sheetName val="EFC_PricingToolCalcs"/>
      <sheetName val="EFC_ratesheet "/>
      <sheetName val="EFC_ratesheet FINAL"/>
      <sheetName val="CW_srp"/>
      <sheetName val="CW_rates"/>
      <sheetName val="CITI_srp"/>
      <sheetName val="CITI_rates"/>
      <sheetName val="Rate Sheet Comparison"/>
    </sheetNames>
    <sheetDataSet>
      <sheetData sheetId="0" refreshError="1"/>
      <sheetData sheetId="1" refreshError="1"/>
      <sheetData sheetId="2" refreshError="1"/>
      <sheetData sheetId="3" refreshError="1"/>
      <sheetData sheetId="4" refreshError="1"/>
      <sheetData sheetId="5" refreshError="1">
        <row r="14">
          <cell r="C14">
            <v>1</v>
          </cell>
        </row>
        <row r="16">
          <cell r="C16">
            <v>0.25</v>
          </cell>
        </row>
        <row r="18">
          <cell r="C18">
            <v>0.125</v>
          </cell>
        </row>
        <row r="19">
          <cell r="C19">
            <v>-0.77500000000000002</v>
          </cell>
        </row>
      </sheetData>
      <sheetData sheetId="6" refreshError="1"/>
      <sheetData sheetId="7" refreshError="1">
        <row r="1">
          <cell r="T1">
            <v>3.0249999999999999</v>
          </cell>
        </row>
        <row r="17">
          <cell r="AT17">
            <v>0</v>
          </cell>
        </row>
        <row r="19">
          <cell r="AT19">
            <v>-0.30000000000000004</v>
          </cell>
        </row>
        <row r="21">
          <cell r="AT21">
            <v>-0.45</v>
          </cell>
        </row>
      </sheetData>
      <sheetData sheetId="8" refreshError="1">
        <row r="4">
          <cell r="L4">
            <v>4.5</v>
          </cell>
          <cell r="M4">
            <v>94.9</v>
          </cell>
          <cell r="N4">
            <v>94.78</v>
          </cell>
          <cell r="O4">
            <v>94.674999999999997</v>
          </cell>
          <cell r="P4">
            <v>94.504000000000005</v>
          </cell>
          <cell r="Q4">
            <v>94.424999999999997</v>
          </cell>
          <cell r="R4">
            <v>94.326999999999998</v>
          </cell>
          <cell r="S4">
            <v>94.2</v>
          </cell>
          <cell r="T4">
            <v>94.097999999999999</v>
          </cell>
          <cell r="U4">
            <v>94.082999999999998</v>
          </cell>
        </row>
        <row r="5">
          <cell r="L5">
            <v>4.625</v>
          </cell>
          <cell r="M5">
            <v>94.944999999999993</v>
          </cell>
          <cell r="N5">
            <v>94.825999999999993</v>
          </cell>
          <cell r="O5">
            <v>94.72</v>
          </cell>
          <cell r="P5">
            <v>94.549000000000007</v>
          </cell>
          <cell r="Q5">
            <v>94.430999999999997</v>
          </cell>
          <cell r="R5">
            <v>94.373000000000005</v>
          </cell>
          <cell r="S5">
            <v>94.245000000000005</v>
          </cell>
          <cell r="T5">
            <v>94.143000000000001</v>
          </cell>
          <cell r="U5">
            <v>94.128</v>
          </cell>
        </row>
        <row r="6">
          <cell r="L6">
            <v>4.75</v>
          </cell>
          <cell r="M6">
            <v>96.176000000000002</v>
          </cell>
          <cell r="N6">
            <v>96.037999999999997</v>
          </cell>
          <cell r="O6">
            <v>95.963999999999999</v>
          </cell>
          <cell r="P6">
            <v>95.766000000000005</v>
          </cell>
          <cell r="Q6">
            <v>95.677999999999997</v>
          </cell>
          <cell r="R6">
            <v>95.593000000000004</v>
          </cell>
          <cell r="S6">
            <v>95.462999999999994</v>
          </cell>
          <cell r="T6">
            <v>95.366</v>
          </cell>
          <cell r="U6">
            <v>95.355000000000004</v>
          </cell>
        </row>
        <row r="7">
          <cell r="L7">
            <v>4.875</v>
          </cell>
          <cell r="M7">
            <v>96.634</v>
          </cell>
          <cell r="N7">
            <v>96.495999999999995</v>
          </cell>
          <cell r="O7">
            <v>96.421999999999997</v>
          </cell>
          <cell r="P7">
            <v>96.224999999999994</v>
          </cell>
          <cell r="Q7">
            <v>96.135999999999996</v>
          </cell>
          <cell r="R7">
            <v>96.051000000000002</v>
          </cell>
          <cell r="S7">
            <v>95.921000000000006</v>
          </cell>
          <cell r="T7">
            <v>95.823999999999998</v>
          </cell>
          <cell r="U7">
            <v>95.813999999999993</v>
          </cell>
        </row>
        <row r="8">
          <cell r="L8">
            <v>5</v>
          </cell>
          <cell r="M8">
            <v>97.494</v>
          </cell>
          <cell r="N8">
            <v>97.355000000000004</v>
          </cell>
          <cell r="O8">
            <v>97.281000000000006</v>
          </cell>
          <cell r="P8">
            <v>97.084000000000003</v>
          </cell>
          <cell r="Q8">
            <v>96.995000000000005</v>
          </cell>
          <cell r="R8">
            <v>96.91</v>
          </cell>
          <cell r="S8">
            <v>96.78</v>
          </cell>
          <cell r="T8">
            <v>96.683999999999997</v>
          </cell>
          <cell r="U8">
            <v>96.673000000000002</v>
          </cell>
        </row>
        <row r="9">
          <cell r="L9">
            <v>5.125</v>
          </cell>
          <cell r="M9">
            <v>97.492999999999995</v>
          </cell>
          <cell r="N9">
            <v>97.355000000000004</v>
          </cell>
          <cell r="O9">
            <v>97.281000000000006</v>
          </cell>
          <cell r="P9">
            <v>97.084000000000003</v>
          </cell>
          <cell r="Q9">
            <v>96.995000000000005</v>
          </cell>
          <cell r="R9">
            <v>96.91</v>
          </cell>
          <cell r="S9">
            <v>96.78</v>
          </cell>
          <cell r="T9">
            <v>96.683000000000007</v>
          </cell>
          <cell r="U9">
            <v>96.673000000000002</v>
          </cell>
        </row>
        <row r="10">
          <cell r="L10">
            <v>5.25</v>
          </cell>
          <cell r="M10">
            <v>97.884</v>
          </cell>
          <cell r="N10">
            <v>97.745999999999995</v>
          </cell>
          <cell r="O10">
            <v>97.671999999999997</v>
          </cell>
          <cell r="P10">
            <v>97.474000000000004</v>
          </cell>
          <cell r="Q10">
            <v>97.385999999999996</v>
          </cell>
          <cell r="R10">
            <v>97.301000000000002</v>
          </cell>
          <cell r="S10">
            <v>97.171000000000006</v>
          </cell>
          <cell r="T10">
            <v>97.073999999999998</v>
          </cell>
          <cell r="U10">
            <v>97.063999999999993</v>
          </cell>
        </row>
        <row r="11">
          <cell r="L11">
            <v>5.375</v>
          </cell>
          <cell r="M11">
            <v>97.52</v>
          </cell>
          <cell r="N11">
            <v>97.361999999999995</v>
          </cell>
          <cell r="O11">
            <v>97.43</v>
          </cell>
          <cell r="P11">
            <v>97.204999999999998</v>
          </cell>
          <cell r="Q11">
            <v>97.254999999999995</v>
          </cell>
          <cell r="R11">
            <v>97.144000000000005</v>
          </cell>
          <cell r="S11">
            <v>97.12</v>
          </cell>
          <cell r="T11">
            <v>97.138999999999996</v>
          </cell>
          <cell r="U11">
            <v>97.242000000000004</v>
          </cell>
        </row>
        <row r="12">
          <cell r="L12">
            <v>5.5</v>
          </cell>
          <cell r="M12">
            <v>98.543000000000006</v>
          </cell>
          <cell r="N12">
            <v>98.385000000000005</v>
          </cell>
          <cell r="O12">
            <v>98.453000000000003</v>
          </cell>
          <cell r="P12">
            <v>98.228999999999999</v>
          </cell>
          <cell r="Q12">
            <v>98.129000000000005</v>
          </cell>
          <cell r="R12">
            <v>98.168000000000006</v>
          </cell>
          <cell r="S12">
            <v>98.144000000000005</v>
          </cell>
          <cell r="T12">
            <v>98.162000000000006</v>
          </cell>
          <cell r="U12">
            <v>98.265000000000001</v>
          </cell>
        </row>
        <row r="13">
          <cell r="L13">
            <v>5.625</v>
          </cell>
          <cell r="M13">
            <v>98.304000000000002</v>
          </cell>
          <cell r="N13">
            <v>98.146000000000001</v>
          </cell>
          <cell r="O13">
            <v>98.213999999999999</v>
          </cell>
          <cell r="P13">
            <v>97.99</v>
          </cell>
          <cell r="Q13">
            <v>98.04</v>
          </cell>
          <cell r="R13">
            <v>97.927999999999997</v>
          </cell>
          <cell r="S13">
            <v>97.905000000000001</v>
          </cell>
          <cell r="T13">
            <v>97.923000000000002</v>
          </cell>
          <cell r="U13">
            <v>98.025999999999996</v>
          </cell>
        </row>
        <row r="14">
          <cell r="L14">
            <v>5.75</v>
          </cell>
          <cell r="M14">
            <v>98.799000000000007</v>
          </cell>
          <cell r="N14">
            <v>98.622</v>
          </cell>
          <cell r="O14">
            <v>98.584999999999994</v>
          </cell>
          <cell r="P14">
            <v>98.361000000000004</v>
          </cell>
          <cell r="Q14">
            <v>98.411000000000001</v>
          </cell>
          <cell r="R14">
            <v>98.3</v>
          </cell>
          <cell r="S14">
            <v>98.275999999999996</v>
          </cell>
          <cell r="T14">
            <v>98.295000000000002</v>
          </cell>
          <cell r="U14">
            <v>98.397999999999996</v>
          </cell>
        </row>
        <row r="15">
          <cell r="L15">
            <v>5.875</v>
          </cell>
          <cell r="M15">
            <v>99.19</v>
          </cell>
          <cell r="N15">
            <v>99.012</v>
          </cell>
          <cell r="O15">
            <v>98.971000000000004</v>
          </cell>
          <cell r="P15">
            <v>98.721000000000004</v>
          </cell>
          <cell r="Q15">
            <v>98.659000000000006</v>
          </cell>
          <cell r="R15">
            <v>98.522000000000006</v>
          </cell>
          <cell r="S15">
            <v>98.353999999999999</v>
          </cell>
          <cell r="T15">
            <v>98.238</v>
          </cell>
          <cell r="U15">
            <v>98.203999999999994</v>
          </cell>
        </row>
        <row r="16">
          <cell r="L16">
            <v>6</v>
          </cell>
          <cell r="M16">
            <v>99.989000000000004</v>
          </cell>
          <cell r="N16">
            <v>99.811999999999998</v>
          </cell>
          <cell r="O16">
            <v>99.771000000000001</v>
          </cell>
          <cell r="P16">
            <v>99.52</v>
          </cell>
          <cell r="Q16">
            <v>99.409000000000006</v>
          </cell>
          <cell r="R16">
            <v>99.320999999999998</v>
          </cell>
          <cell r="S16">
            <v>99.153999999999996</v>
          </cell>
          <cell r="T16">
            <v>99.037999999999997</v>
          </cell>
          <cell r="U16">
            <v>99.004000000000005</v>
          </cell>
        </row>
        <row r="17">
          <cell r="L17">
            <v>6.125</v>
          </cell>
          <cell r="M17">
            <v>100.059</v>
          </cell>
          <cell r="N17">
            <v>99.881</v>
          </cell>
          <cell r="O17">
            <v>99.84</v>
          </cell>
          <cell r="P17">
            <v>99.59</v>
          </cell>
          <cell r="Q17">
            <v>99.528000000000006</v>
          </cell>
          <cell r="R17">
            <v>99.391000000000005</v>
          </cell>
          <cell r="S17">
            <v>99.222999999999999</v>
          </cell>
          <cell r="T17">
            <v>99.106999999999999</v>
          </cell>
          <cell r="U17">
            <v>99.072999999999993</v>
          </cell>
        </row>
        <row r="18">
          <cell r="L18">
            <v>6.25</v>
          </cell>
          <cell r="M18">
            <v>100.432</v>
          </cell>
          <cell r="N18">
            <v>100.255</v>
          </cell>
          <cell r="O18">
            <v>100.214</v>
          </cell>
          <cell r="P18">
            <v>99.962999999999994</v>
          </cell>
          <cell r="Q18">
            <v>99.902000000000001</v>
          </cell>
          <cell r="R18">
            <v>99.763999999999996</v>
          </cell>
          <cell r="S18">
            <v>99.596999999999994</v>
          </cell>
          <cell r="T18">
            <v>99.48</v>
          </cell>
          <cell r="U18">
            <v>99.447000000000003</v>
          </cell>
        </row>
        <row r="19">
          <cell r="L19">
            <v>6.375</v>
          </cell>
          <cell r="M19">
            <v>100.57899999999999</v>
          </cell>
          <cell r="N19">
            <v>100.383</v>
          </cell>
          <cell r="O19">
            <v>100.374</v>
          </cell>
          <cell r="P19">
            <v>100.09699999999999</v>
          </cell>
          <cell r="Q19">
            <v>100.06399999999999</v>
          </cell>
          <cell r="R19">
            <v>99.9</v>
          </cell>
          <cell r="S19">
            <v>99.73</v>
          </cell>
          <cell r="T19">
            <v>99.619</v>
          </cell>
          <cell r="U19">
            <v>99.59</v>
          </cell>
        </row>
        <row r="20">
          <cell r="L20">
            <v>6.5</v>
          </cell>
          <cell r="M20">
            <v>101.42400000000001</v>
          </cell>
          <cell r="N20">
            <v>101.22799999999999</v>
          </cell>
          <cell r="O20">
            <v>101.21899999999999</v>
          </cell>
          <cell r="P20">
            <v>100.94199999999999</v>
          </cell>
          <cell r="Q20">
            <v>100.819</v>
          </cell>
          <cell r="R20">
            <v>100.745</v>
          </cell>
          <cell r="S20">
            <v>100.575</v>
          </cell>
          <cell r="T20">
            <v>100.464</v>
          </cell>
          <cell r="U20">
            <v>100.435</v>
          </cell>
        </row>
        <row r="21">
          <cell r="L21">
            <v>6.625</v>
          </cell>
          <cell r="M21">
            <v>101.36799999999999</v>
          </cell>
          <cell r="N21">
            <v>101.17100000000001</v>
          </cell>
          <cell r="O21">
            <v>101.16200000000001</v>
          </cell>
          <cell r="P21">
            <v>100.88500000000001</v>
          </cell>
          <cell r="Q21">
            <v>100.852</v>
          </cell>
          <cell r="R21">
            <v>100.688</v>
          </cell>
          <cell r="S21">
            <v>100.518</v>
          </cell>
          <cell r="T21">
            <v>100.407</v>
          </cell>
          <cell r="U21">
            <v>100.378</v>
          </cell>
        </row>
        <row r="22">
          <cell r="L22">
            <v>6.75</v>
          </cell>
          <cell r="M22">
            <v>101.717</v>
          </cell>
          <cell r="N22">
            <v>101.52</v>
          </cell>
          <cell r="O22">
            <v>101.511</v>
          </cell>
          <cell r="P22">
            <v>101.23399999999999</v>
          </cell>
          <cell r="Q22">
            <v>101.202</v>
          </cell>
          <cell r="R22">
            <v>101.038</v>
          </cell>
          <cell r="S22">
            <v>100.867</v>
          </cell>
          <cell r="T22">
            <v>100.75700000000001</v>
          </cell>
          <cell r="U22">
            <v>100.727</v>
          </cell>
        </row>
        <row r="23">
          <cell r="L23">
            <v>6.875</v>
          </cell>
          <cell r="M23">
            <v>101.825</v>
          </cell>
          <cell r="N23">
            <v>101.60899999999999</v>
          </cell>
          <cell r="O23">
            <v>101.63200000000001</v>
          </cell>
          <cell r="P23">
            <v>101.32899999999999</v>
          </cell>
          <cell r="Q23">
            <v>101.325</v>
          </cell>
          <cell r="R23">
            <v>101.13500000000001</v>
          </cell>
          <cell r="S23">
            <v>100.962</v>
          </cell>
          <cell r="T23">
            <v>100.857</v>
          </cell>
          <cell r="U23">
            <v>100.83199999999999</v>
          </cell>
        </row>
        <row r="24">
          <cell r="L24">
            <v>7</v>
          </cell>
          <cell r="M24">
            <v>102.25</v>
          </cell>
          <cell r="N24">
            <v>102.25</v>
          </cell>
          <cell r="O24">
            <v>102.25</v>
          </cell>
          <cell r="P24">
            <v>102.12</v>
          </cell>
          <cell r="Q24">
            <v>101.986</v>
          </cell>
          <cell r="R24">
            <v>101.926</v>
          </cell>
          <cell r="S24">
            <v>101.753</v>
          </cell>
          <cell r="T24">
            <v>101.648</v>
          </cell>
          <cell r="U24">
            <v>101.623</v>
          </cell>
        </row>
        <row r="25">
          <cell r="L25">
            <v>7.125</v>
          </cell>
          <cell r="M25">
            <v>102.25</v>
          </cell>
          <cell r="N25">
            <v>102.238</v>
          </cell>
          <cell r="O25">
            <v>102.25</v>
          </cell>
          <cell r="P25">
            <v>101.958</v>
          </cell>
          <cell r="Q25">
            <v>101.955</v>
          </cell>
          <cell r="R25">
            <v>101.764</v>
          </cell>
          <cell r="S25">
            <v>101.59099999999999</v>
          </cell>
          <cell r="T25">
            <v>101.486</v>
          </cell>
          <cell r="U25">
            <v>101.461</v>
          </cell>
        </row>
        <row r="26">
          <cell r="L26">
            <v>7.25</v>
          </cell>
          <cell r="M26">
            <v>102.25</v>
          </cell>
          <cell r="N26">
            <v>102.25</v>
          </cell>
          <cell r="O26">
            <v>102.25</v>
          </cell>
          <cell r="P26">
            <v>102.057</v>
          </cell>
          <cell r="Q26">
            <v>102.054</v>
          </cell>
          <cell r="R26">
            <v>101.863</v>
          </cell>
          <cell r="S26">
            <v>101.69</v>
          </cell>
          <cell r="T26">
            <v>101.58499999999999</v>
          </cell>
          <cell r="U26">
            <v>101.56</v>
          </cell>
        </row>
        <row r="27">
          <cell r="L27">
            <v>7.375</v>
          </cell>
          <cell r="M27">
            <v>101.14</v>
          </cell>
          <cell r="N27">
            <v>100.904</v>
          </cell>
          <cell r="O27">
            <v>100.959</v>
          </cell>
          <cell r="P27">
            <v>100.63</v>
          </cell>
          <cell r="Q27">
            <v>100.65600000000001</v>
          </cell>
          <cell r="R27">
            <v>100.43899999999999</v>
          </cell>
          <cell r="S27">
            <v>100.26300000000001</v>
          </cell>
          <cell r="T27">
            <v>100.163</v>
          </cell>
          <cell r="U27">
            <v>100.142</v>
          </cell>
        </row>
        <row r="28">
          <cell r="L28">
            <v>7.5</v>
          </cell>
          <cell r="M28">
            <v>102.238</v>
          </cell>
          <cell r="N28">
            <v>102.002</v>
          </cell>
          <cell r="O28">
            <v>102.057</v>
          </cell>
          <cell r="P28">
            <v>101.727</v>
          </cell>
          <cell r="Q28">
            <v>101.583</v>
          </cell>
          <cell r="R28">
            <v>101.53700000000001</v>
          </cell>
          <cell r="S28">
            <v>101.361</v>
          </cell>
          <cell r="T28">
            <v>101.261</v>
          </cell>
          <cell r="U28">
            <v>101.24</v>
          </cell>
        </row>
        <row r="29">
          <cell r="L29">
            <v>7.625</v>
          </cell>
          <cell r="M29">
            <v>101.411</v>
          </cell>
          <cell r="N29">
            <v>101.175</v>
          </cell>
          <cell r="O29">
            <v>101.23</v>
          </cell>
          <cell r="P29">
            <v>100.9</v>
          </cell>
          <cell r="Q29">
            <v>100.926</v>
          </cell>
          <cell r="R29">
            <v>100.709</v>
          </cell>
          <cell r="S29">
            <v>100.53400000000001</v>
          </cell>
          <cell r="T29">
            <v>100.434</v>
          </cell>
          <cell r="U29">
            <v>100.413</v>
          </cell>
        </row>
        <row r="30">
          <cell r="L30">
            <v>7.75</v>
          </cell>
          <cell r="M30">
            <v>101.673</v>
          </cell>
          <cell r="N30">
            <v>101.437</v>
          </cell>
          <cell r="O30">
            <v>101.492</v>
          </cell>
          <cell r="P30">
            <v>101.16200000000001</v>
          </cell>
          <cell r="Q30">
            <v>101.188</v>
          </cell>
          <cell r="R30">
            <v>100.97199999999999</v>
          </cell>
          <cell r="S30">
            <v>100.79600000000001</v>
          </cell>
          <cell r="T30">
            <v>100.696</v>
          </cell>
          <cell r="U30">
            <v>100.675</v>
          </cell>
        </row>
        <row r="31">
          <cell r="L31">
            <v>7.875</v>
          </cell>
          <cell r="M31">
            <v>100.96</v>
          </cell>
          <cell r="N31">
            <v>100.70399999999999</v>
          </cell>
          <cell r="O31">
            <v>100.791</v>
          </cell>
          <cell r="P31">
            <v>100.435</v>
          </cell>
          <cell r="Q31">
            <v>100.49</v>
          </cell>
          <cell r="R31">
            <v>100.247</v>
          </cell>
          <cell r="S31">
            <v>100.069</v>
          </cell>
          <cell r="T31">
            <v>99.974000000000004</v>
          </cell>
          <cell r="U31">
            <v>99.956999999999994</v>
          </cell>
        </row>
        <row r="32">
          <cell r="L32">
            <v>8</v>
          </cell>
          <cell r="M32">
            <v>102.25</v>
          </cell>
          <cell r="N32">
            <v>102.036</v>
          </cell>
          <cell r="O32">
            <v>102.123</v>
          </cell>
          <cell r="P32">
            <v>101.767</v>
          </cell>
          <cell r="Q32">
            <v>101.611</v>
          </cell>
          <cell r="R32">
            <v>101.57899999999999</v>
          </cell>
          <cell r="S32">
            <v>101.4</v>
          </cell>
          <cell r="T32">
            <v>101.306</v>
          </cell>
          <cell r="U32">
            <v>101.289</v>
          </cell>
        </row>
        <row r="35">
          <cell r="L35">
            <v>4.875</v>
          </cell>
          <cell r="M35">
            <v>90.87</v>
          </cell>
          <cell r="N35">
            <v>90.715000000000003</v>
          </cell>
          <cell r="O35">
            <v>90.536000000000001</v>
          </cell>
          <cell r="P35">
            <v>90.331999999999994</v>
          </cell>
          <cell r="Q35">
            <v>90.16</v>
          </cell>
          <cell r="R35">
            <v>90.022999999999996</v>
          </cell>
          <cell r="S35">
            <v>89.789000000000001</v>
          </cell>
          <cell r="T35">
            <v>89.576999999999998</v>
          </cell>
          <cell r="U35">
            <v>89.5</v>
          </cell>
        </row>
        <row r="36">
          <cell r="L36">
            <v>5</v>
          </cell>
          <cell r="M36">
            <v>92.293999999999997</v>
          </cell>
          <cell r="N36">
            <v>92.138999999999996</v>
          </cell>
          <cell r="O36">
            <v>92.037999999999997</v>
          </cell>
          <cell r="P36">
            <v>91.756</v>
          </cell>
          <cell r="Q36">
            <v>91.658000000000001</v>
          </cell>
          <cell r="R36">
            <v>91.447000000000003</v>
          </cell>
          <cell r="S36">
            <v>91.213999999999999</v>
          </cell>
          <cell r="T36">
            <v>91.001999999999995</v>
          </cell>
          <cell r="U36">
            <v>90.924000000000007</v>
          </cell>
        </row>
        <row r="37">
          <cell r="L37">
            <v>5.125</v>
          </cell>
          <cell r="M37">
            <v>92.326999999999998</v>
          </cell>
          <cell r="N37">
            <v>92.171000000000006</v>
          </cell>
          <cell r="O37">
            <v>91.992999999999995</v>
          </cell>
          <cell r="P37">
            <v>91.789000000000001</v>
          </cell>
          <cell r="Q37">
            <v>91.617000000000004</v>
          </cell>
          <cell r="R37">
            <v>91.48</v>
          </cell>
          <cell r="S37">
            <v>91.245999999999995</v>
          </cell>
          <cell r="T37">
            <v>91.034000000000006</v>
          </cell>
          <cell r="U37">
            <v>90.956999999999994</v>
          </cell>
        </row>
        <row r="38">
          <cell r="L38">
            <v>5.25</v>
          </cell>
          <cell r="M38">
            <v>94.572999999999993</v>
          </cell>
          <cell r="N38">
            <v>94.397000000000006</v>
          </cell>
          <cell r="O38">
            <v>94.247</v>
          </cell>
          <cell r="P38">
            <v>94.016000000000005</v>
          </cell>
          <cell r="Q38">
            <v>93.875</v>
          </cell>
          <cell r="R38">
            <v>93.710999999999999</v>
          </cell>
          <cell r="S38">
            <v>93.477999999999994</v>
          </cell>
          <cell r="T38">
            <v>93.269000000000005</v>
          </cell>
          <cell r="U38">
            <v>93.200999999999993</v>
          </cell>
        </row>
        <row r="39">
          <cell r="L39">
            <v>5.375</v>
          </cell>
          <cell r="M39">
            <v>95.158000000000001</v>
          </cell>
          <cell r="N39">
            <v>94.983000000000004</v>
          </cell>
          <cell r="O39">
            <v>94.831999999999994</v>
          </cell>
          <cell r="P39">
            <v>94.602000000000004</v>
          </cell>
          <cell r="Q39">
            <v>94.46</v>
          </cell>
          <cell r="R39">
            <v>94.296999999999997</v>
          </cell>
          <cell r="S39">
            <v>94.063999999999993</v>
          </cell>
          <cell r="T39">
            <v>93.853999999999999</v>
          </cell>
          <cell r="U39">
            <v>93.787000000000006</v>
          </cell>
        </row>
        <row r="40">
          <cell r="L40">
            <v>5.5</v>
          </cell>
          <cell r="M40">
            <v>96.522000000000006</v>
          </cell>
          <cell r="N40">
            <v>96.346999999999994</v>
          </cell>
          <cell r="O40">
            <v>96.233000000000004</v>
          </cell>
          <cell r="P40">
            <v>95.965000000000003</v>
          </cell>
          <cell r="Q40">
            <v>95.855999999999995</v>
          </cell>
          <cell r="R40">
            <v>95.661000000000001</v>
          </cell>
          <cell r="S40">
            <v>95.427000000000007</v>
          </cell>
          <cell r="T40">
            <v>95.218000000000004</v>
          </cell>
          <cell r="U40">
            <v>95.15</v>
          </cell>
        </row>
        <row r="41">
          <cell r="L41">
            <v>5.625</v>
          </cell>
          <cell r="M41">
            <v>96.421999999999997</v>
          </cell>
          <cell r="N41">
            <v>96.247</v>
          </cell>
          <cell r="O41">
            <v>96.096000000000004</v>
          </cell>
          <cell r="P41">
            <v>95.864999999999995</v>
          </cell>
          <cell r="Q41">
            <v>95.724000000000004</v>
          </cell>
          <cell r="R41">
            <v>95.561000000000007</v>
          </cell>
          <cell r="S41">
            <v>95.326999999999998</v>
          </cell>
          <cell r="T41">
            <v>95.117999999999995</v>
          </cell>
          <cell r="U41">
            <v>95.05</v>
          </cell>
        </row>
        <row r="42">
          <cell r="L42">
            <v>5.75</v>
          </cell>
          <cell r="M42">
            <v>97.596000000000004</v>
          </cell>
          <cell r="N42">
            <v>97.402000000000001</v>
          </cell>
          <cell r="O42">
            <v>97.263000000000005</v>
          </cell>
          <cell r="P42">
            <v>97.006</v>
          </cell>
          <cell r="Q42">
            <v>96.88</v>
          </cell>
          <cell r="R42">
            <v>96.69</v>
          </cell>
          <cell r="S42">
            <v>96.441000000000003</v>
          </cell>
          <cell r="T42">
            <v>96.218999999999994</v>
          </cell>
          <cell r="U42">
            <v>96.144999999999996</v>
          </cell>
        </row>
        <row r="43">
          <cell r="L43">
            <v>5.875</v>
          </cell>
          <cell r="M43">
            <v>98.094999999999999</v>
          </cell>
          <cell r="N43">
            <v>97.900999999999996</v>
          </cell>
          <cell r="O43">
            <v>97.762</v>
          </cell>
          <cell r="P43">
            <v>97.504999999999995</v>
          </cell>
          <cell r="Q43">
            <v>97.379000000000005</v>
          </cell>
          <cell r="R43">
            <v>97.188999999999993</v>
          </cell>
          <cell r="S43">
            <v>96.94</v>
          </cell>
          <cell r="T43">
            <v>96.718000000000004</v>
          </cell>
          <cell r="U43">
            <v>96.644000000000005</v>
          </cell>
        </row>
        <row r="44">
          <cell r="L44">
            <v>6</v>
          </cell>
          <cell r="M44">
            <v>99.159000000000006</v>
          </cell>
          <cell r="N44">
            <v>98.965000000000003</v>
          </cell>
          <cell r="O44">
            <v>98.838999999999999</v>
          </cell>
          <cell r="P44">
            <v>98.569000000000003</v>
          </cell>
          <cell r="Q44">
            <v>98.448999999999998</v>
          </cell>
          <cell r="R44">
            <v>98.253</v>
          </cell>
          <cell r="S44">
            <v>98.004000000000005</v>
          </cell>
          <cell r="T44">
            <v>97.781999999999996</v>
          </cell>
          <cell r="U44">
            <v>97.707999999999998</v>
          </cell>
        </row>
        <row r="45">
          <cell r="L45">
            <v>6.125</v>
          </cell>
          <cell r="M45">
            <v>98.933999999999997</v>
          </cell>
          <cell r="N45">
            <v>98.74</v>
          </cell>
          <cell r="O45">
            <v>98.600999999999999</v>
          </cell>
          <cell r="P45">
            <v>98.343999999999994</v>
          </cell>
          <cell r="Q45">
            <v>98.218000000000004</v>
          </cell>
          <cell r="R45">
            <v>98.028000000000006</v>
          </cell>
          <cell r="S45">
            <v>97.778999999999996</v>
          </cell>
          <cell r="T45">
            <v>97.557000000000002</v>
          </cell>
          <cell r="U45">
            <v>97.483000000000004</v>
          </cell>
        </row>
        <row r="46">
          <cell r="L46">
            <v>6.25</v>
          </cell>
          <cell r="M46">
            <v>99.456999999999994</v>
          </cell>
          <cell r="N46">
            <v>99.242999999999995</v>
          </cell>
          <cell r="O46">
            <v>99.147999999999996</v>
          </cell>
          <cell r="P46">
            <v>98.864000000000004</v>
          </cell>
          <cell r="Q46">
            <v>98.784000000000006</v>
          </cell>
          <cell r="R46">
            <v>98.567999999999998</v>
          </cell>
          <cell r="S46">
            <v>98.334000000000003</v>
          </cell>
          <cell r="T46">
            <v>98.131</v>
          </cell>
          <cell r="U46">
            <v>98.081999999999994</v>
          </cell>
        </row>
        <row r="47">
          <cell r="L47">
            <v>6.375</v>
          </cell>
          <cell r="M47">
            <v>99.869</v>
          </cell>
          <cell r="N47">
            <v>99.653999999999996</v>
          </cell>
          <cell r="O47">
            <v>99.558999999999997</v>
          </cell>
          <cell r="P47">
            <v>99.275999999999996</v>
          </cell>
          <cell r="Q47">
            <v>99.195999999999998</v>
          </cell>
          <cell r="R47">
            <v>98.98</v>
          </cell>
          <cell r="S47">
            <v>98.745999999999995</v>
          </cell>
          <cell r="T47">
            <v>98.542000000000002</v>
          </cell>
          <cell r="U47">
            <v>98.494</v>
          </cell>
        </row>
        <row r="48">
          <cell r="L48">
            <v>6.5</v>
          </cell>
          <cell r="M48">
            <v>100.333</v>
          </cell>
          <cell r="N48">
            <v>100.119</v>
          </cell>
          <cell r="O48">
            <v>99.980999999999995</v>
          </cell>
          <cell r="P48">
            <v>99.741</v>
          </cell>
          <cell r="Q48">
            <v>99.608999999999995</v>
          </cell>
          <cell r="R48">
            <v>99.444999999999993</v>
          </cell>
          <cell r="S48">
            <v>99.210999999999999</v>
          </cell>
          <cell r="T48">
            <v>99.007000000000005</v>
          </cell>
          <cell r="U48">
            <v>98.959000000000003</v>
          </cell>
        </row>
        <row r="49">
          <cell r="L49">
            <v>6.625</v>
          </cell>
          <cell r="M49">
            <v>100.378</v>
          </cell>
          <cell r="N49">
            <v>100.164</v>
          </cell>
          <cell r="O49">
            <v>100.069</v>
          </cell>
          <cell r="P49">
            <v>99.786000000000001</v>
          </cell>
          <cell r="Q49">
            <v>99.706000000000003</v>
          </cell>
          <cell r="R49">
            <v>99.49</v>
          </cell>
          <cell r="S49">
            <v>99.256</v>
          </cell>
          <cell r="T49">
            <v>99.052000000000007</v>
          </cell>
          <cell r="U49">
            <v>99.004000000000005</v>
          </cell>
        </row>
        <row r="50">
          <cell r="L50">
            <v>6.75</v>
          </cell>
          <cell r="M50">
            <v>100.502</v>
          </cell>
          <cell r="N50">
            <v>100.288</v>
          </cell>
          <cell r="O50">
            <v>100.193</v>
          </cell>
          <cell r="P50">
            <v>99.909000000000006</v>
          </cell>
          <cell r="Q50">
            <v>99.828999999999994</v>
          </cell>
          <cell r="R50">
            <v>99.613</v>
          </cell>
          <cell r="S50">
            <v>99.379000000000005</v>
          </cell>
          <cell r="T50">
            <v>99.176000000000002</v>
          </cell>
          <cell r="U50">
            <v>99.126999999999995</v>
          </cell>
        </row>
        <row r="51">
          <cell r="L51">
            <v>6.875</v>
          </cell>
          <cell r="M51">
            <v>100.681</v>
          </cell>
          <cell r="N51">
            <v>100.447</v>
          </cell>
          <cell r="O51">
            <v>100.364</v>
          </cell>
          <cell r="P51">
            <v>100.054</v>
          </cell>
          <cell r="Q51">
            <v>99.989000000000004</v>
          </cell>
          <cell r="R51">
            <v>99.747</v>
          </cell>
          <cell r="S51">
            <v>99.498000000000005</v>
          </cell>
          <cell r="T51">
            <v>99.281000000000006</v>
          </cell>
          <cell r="U51">
            <v>99.227000000000004</v>
          </cell>
        </row>
        <row r="52">
          <cell r="L52">
            <v>7</v>
          </cell>
          <cell r="M52">
            <v>100.952</v>
          </cell>
          <cell r="N52">
            <v>100.718</v>
          </cell>
          <cell r="O52">
            <v>100.56699999999999</v>
          </cell>
          <cell r="P52">
            <v>100.325</v>
          </cell>
          <cell r="Q52">
            <v>100.18300000000001</v>
          </cell>
          <cell r="R52">
            <v>100.018</v>
          </cell>
          <cell r="S52">
            <v>99.769000000000005</v>
          </cell>
          <cell r="T52">
            <v>99.552000000000007</v>
          </cell>
          <cell r="U52">
            <v>99.498000000000005</v>
          </cell>
        </row>
        <row r="53">
          <cell r="L53">
            <v>7.125</v>
          </cell>
          <cell r="M53">
            <v>101.18</v>
          </cell>
          <cell r="N53">
            <v>100.947</v>
          </cell>
          <cell r="O53">
            <v>100.864</v>
          </cell>
          <cell r="P53">
            <v>100.554</v>
          </cell>
          <cell r="Q53">
            <v>100.489</v>
          </cell>
          <cell r="R53">
            <v>100.246</v>
          </cell>
          <cell r="S53">
            <v>99.997</v>
          </cell>
          <cell r="T53">
            <v>99.781000000000006</v>
          </cell>
          <cell r="U53">
            <v>99.725999999999999</v>
          </cell>
        </row>
        <row r="54">
          <cell r="L54">
            <v>7.25</v>
          </cell>
          <cell r="M54">
            <v>101.40300000000001</v>
          </cell>
          <cell r="N54">
            <v>101.169</v>
          </cell>
          <cell r="O54">
            <v>101.086</v>
          </cell>
          <cell r="P54">
            <v>100.776</v>
          </cell>
          <cell r="Q54">
            <v>100.711</v>
          </cell>
          <cell r="R54">
            <v>100.46899999999999</v>
          </cell>
          <cell r="S54">
            <v>100.22</v>
          </cell>
          <cell r="T54">
            <v>100.003</v>
          </cell>
          <cell r="U54">
            <v>99.948999999999998</v>
          </cell>
        </row>
        <row r="55">
          <cell r="L55">
            <v>7.375</v>
          </cell>
          <cell r="M55">
            <v>101.402</v>
          </cell>
          <cell r="N55">
            <v>101.149</v>
          </cell>
          <cell r="O55">
            <v>100.985</v>
          </cell>
          <cell r="P55">
            <v>100.648</v>
          </cell>
          <cell r="Q55">
            <v>100.504</v>
          </cell>
          <cell r="R55">
            <v>100.235</v>
          </cell>
          <cell r="S55">
            <v>99.876999999999995</v>
          </cell>
          <cell r="T55">
            <v>99.554000000000002</v>
          </cell>
          <cell r="U55">
            <v>99.4</v>
          </cell>
        </row>
        <row r="56">
          <cell r="L56">
            <v>7.5</v>
          </cell>
          <cell r="M56">
            <v>101.812</v>
          </cell>
          <cell r="N56">
            <v>101.559</v>
          </cell>
          <cell r="O56">
            <v>101.396</v>
          </cell>
          <cell r="P56">
            <v>101.059</v>
          </cell>
          <cell r="Q56">
            <v>100.905</v>
          </cell>
          <cell r="R56">
            <v>100.646</v>
          </cell>
          <cell r="S56">
            <v>100.28700000000001</v>
          </cell>
          <cell r="T56">
            <v>99.963999999999999</v>
          </cell>
          <cell r="U56">
            <v>99.81</v>
          </cell>
        </row>
        <row r="57">
          <cell r="L57">
            <v>7.625</v>
          </cell>
          <cell r="M57">
            <v>101.57</v>
          </cell>
          <cell r="N57">
            <v>101.31699999999999</v>
          </cell>
          <cell r="O57">
            <v>101.15300000000001</v>
          </cell>
          <cell r="P57">
            <v>100.816</v>
          </cell>
          <cell r="Q57">
            <v>100.672</v>
          </cell>
          <cell r="R57">
            <v>100.404</v>
          </cell>
          <cell r="S57">
            <v>100.045</v>
          </cell>
          <cell r="T57">
            <v>99.721999999999994</v>
          </cell>
          <cell r="U57">
            <v>99.567999999999998</v>
          </cell>
        </row>
        <row r="58">
          <cell r="L58">
            <v>7.75</v>
          </cell>
          <cell r="M58">
            <v>101.86199999999999</v>
          </cell>
          <cell r="N58">
            <v>101.60899999999999</v>
          </cell>
          <cell r="O58">
            <v>101.444</v>
          </cell>
          <cell r="P58">
            <v>101.108</v>
          </cell>
          <cell r="Q58">
            <v>100.964</v>
          </cell>
          <cell r="R58">
            <v>100.69499999999999</v>
          </cell>
          <cell r="S58">
            <v>100.337</v>
          </cell>
          <cell r="T58">
            <v>100.10899999999999</v>
          </cell>
          <cell r="U58">
            <v>100.074</v>
          </cell>
        </row>
        <row r="59">
          <cell r="L59">
            <v>7.875</v>
          </cell>
          <cell r="M59">
            <v>101.843</v>
          </cell>
          <cell r="N59">
            <v>101.571</v>
          </cell>
          <cell r="O59">
            <v>101.54300000000001</v>
          </cell>
          <cell r="P59">
            <v>101.181</v>
          </cell>
          <cell r="Q59">
            <v>101.17700000000001</v>
          </cell>
          <cell r="R59">
            <v>100.881</v>
          </cell>
          <cell r="S59">
            <v>100.63200000000001</v>
          </cell>
          <cell r="T59">
            <v>100.42100000000001</v>
          </cell>
          <cell r="U59">
            <v>100.386</v>
          </cell>
        </row>
        <row r="60">
          <cell r="L60">
            <v>8</v>
          </cell>
          <cell r="M60">
            <v>102.449</v>
          </cell>
          <cell r="N60">
            <v>102.176</v>
          </cell>
          <cell r="O60">
            <v>102</v>
          </cell>
          <cell r="P60">
            <v>101.786</v>
          </cell>
          <cell r="Q60">
            <v>101.621</v>
          </cell>
          <cell r="R60">
            <v>101.48699999999999</v>
          </cell>
          <cell r="S60">
            <v>101.238</v>
          </cell>
          <cell r="T60">
            <v>101.027</v>
          </cell>
          <cell r="U60">
            <v>100.992</v>
          </cell>
        </row>
      </sheetData>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sheetName val="Resources"/>
      <sheetName val="Bloomberg"/>
      <sheetName val="GNMA_lastprices"/>
      <sheetName val="GNMA_interp_pr"/>
      <sheetName val="EFC_ratesheet_BB"/>
      <sheetName val="EFC_ratesheet FINAL_BB"/>
      <sheetName val="EFC_ratesheet_cwd "/>
      <sheetName val="EFC_ratesheet_cwd_retail"/>
      <sheetName val="EFC_ratesheet FINAL_cwd"/>
      <sheetName val="Check_Rates"/>
      <sheetName val="CW_rates"/>
      <sheetName val="CW_rates_retail"/>
      <sheetName val="EFC_ratesheet_pricing_tool"/>
      <sheetName val="EFC_ratesheet_pricing_tool_r"/>
      <sheetName val="Rate Sheet Comparis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8">
          <cell r="T8">
            <v>4.75</v>
          </cell>
          <cell r="U8">
            <v>1.375</v>
          </cell>
          <cell r="V8">
            <v>1.375</v>
          </cell>
          <cell r="W8">
            <v>1.625</v>
          </cell>
        </row>
        <row r="9">
          <cell r="T9">
            <v>4.875</v>
          </cell>
          <cell r="U9">
            <v>1.375</v>
          </cell>
          <cell r="V9">
            <v>1.375</v>
          </cell>
          <cell r="W9">
            <v>1.625</v>
          </cell>
        </row>
        <row r="10">
          <cell r="T10">
            <v>5</v>
          </cell>
          <cell r="U10">
            <v>1.375</v>
          </cell>
          <cell r="V10">
            <v>1.375</v>
          </cell>
          <cell r="W10">
            <v>1.625</v>
          </cell>
        </row>
        <row r="11">
          <cell r="T11">
            <v>5.125</v>
          </cell>
          <cell r="U11">
            <v>1.375</v>
          </cell>
          <cell r="V11">
            <v>1.375</v>
          </cell>
          <cell r="W11">
            <v>1.625</v>
          </cell>
        </row>
        <row r="12">
          <cell r="T12">
            <v>5.25</v>
          </cell>
          <cell r="U12">
            <v>1.375</v>
          </cell>
          <cell r="V12">
            <v>1.375</v>
          </cell>
          <cell r="W12">
            <v>1.625</v>
          </cell>
        </row>
        <row r="13">
          <cell r="T13">
            <v>5.375</v>
          </cell>
          <cell r="U13">
            <v>1.375</v>
          </cell>
          <cell r="V13">
            <v>1.375</v>
          </cell>
          <cell r="W13">
            <v>1.625</v>
          </cell>
        </row>
        <row r="14">
          <cell r="T14">
            <v>5.5</v>
          </cell>
          <cell r="U14">
            <v>1</v>
          </cell>
          <cell r="V14">
            <v>1</v>
          </cell>
          <cell r="W14">
            <v>1.125</v>
          </cell>
        </row>
        <row r="15">
          <cell r="T15">
            <v>5.625</v>
          </cell>
          <cell r="U15">
            <v>1</v>
          </cell>
          <cell r="V15">
            <v>1</v>
          </cell>
          <cell r="W15">
            <v>1</v>
          </cell>
        </row>
        <row r="16">
          <cell r="T16">
            <v>5.75</v>
          </cell>
          <cell r="U16">
            <v>1</v>
          </cell>
          <cell r="V16">
            <v>1</v>
          </cell>
          <cell r="W16">
            <v>1</v>
          </cell>
        </row>
        <row r="17">
          <cell r="T17">
            <v>5.875</v>
          </cell>
          <cell r="U17">
            <v>1.125</v>
          </cell>
          <cell r="V17">
            <v>1.125</v>
          </cell>
          <cell r="W17">
            <v>1</v>
          </cell>
        </row>
        <row r="18">
          <cell r="T18">
            <v>6</v>
          </cell>
          <cell r="U18">
            <v>0.875</v>
          </cell>
          <cell r="V18">
            <v>0.875</v>
          </cell>
          <cell r="W18">
            <v>1</v>
          </cell>
        </row>
        <row r="19">
          <cell r="T19">
            <v>6.125</v>
          </cell>
          <cell r="U19">
            <v>1</v>
          </cell>
          <cell r="V19">
            <v>1</v>
          </cell>
          <cell r="W19">
            <v>0.875</v>
          </cell>
        </row>
        <row r="20">
          <cell r="T20">
            <v>6.25</v>
          </cell>
          <cell r="U20">
            <v>1</v>
          </cell>
          <cell r="V20">
            <v>1</v>
          </cell>
          <cell r="W20">
            <v>0.875</v>
          </cell>
        </row>
        <row r="21">
          <cell r="T21">
            <v>6.375</v>
          </cell>
          <cell r="U21">
            <v>1</v>
          </cell>
          <cell r="V21">
            <v>1</v>
          </cell>
          <cell r="W21">
            <v>0.875</v>
          </cell>
        </row>
        <row r="22">
          <cell r="T22">
            <v>6.5</v>
          </cell>
          <cell r="U22">
            <v>1</v>
          </cell>
          <cell r="V22">
            <v>1</v>
          </cell>
          <cell r="W22">
            <v>0.875</v>
          </cell>
        </row>
        <row r="23">
          <cell r="T23">
            <v>6.625</v>
          </cell>
          <cell r="U23">
            <v>1</v>
          </cell>
          <cell r="V23">
            <v>1</v>
          </cell>
          <cell r="W23">
            <v>0.875</v>
          </cell>
        </row>
        <row r="24">
          <cell r="T24">
            <v>6.75</v>
          </cell>
          <cell r="U24">
            <v>0.75</v>
          </cell>
          <cell r="V24">
            <v>0.75</v>
          </cell>
          <cell r="W24">
            <v>0.75</v>
          </cell>
        </row>
        <row r="25">
          <cell r="T25">
            <v>6.875</v>
          </cell>
          <cell r="U25">
            <v>1</v>
          </cell>
          <cell r="V25">
            <v>1</v>
          </cell>
          <cell r="W25">
            <v>1</v>
          </cell>
        </row>
        <row r="26">
          <cell r="T26">
            <v>7</v>
          </cell>
          <cell r="U26">
            <v>1.125</v>
          </cell>
          <cell r="V26">
            <v>1.125</v>
          </cell>
          <cell r="W26">
            <v>1.125</v>
          </cell>
        </row>
        <row r="27">
          <cell r="T27">
            <v>7.125</v>
          </cell>
          <cell r="U27">
            <v>1</v>
          </cell>
          <cell r="V27">
            <v>1</v>
          </cell>
          <cell r="W27">
            <v>1</v>
          </cell>
        </row>
        <row r="28">
          <cell r="T28">
            <v>7.25</v>
          </cell>
          <cell r="U28">
            <v>1</v>
          </cell>
          <cell r="V28">
            <v>1</v>
          </cell>
          <cell r="W28">
            <v>1</v>
          </cell>
        </row>
        <row r="29">
          <cell r="T29">
            <v>7.375</v>
          </cell>
          <cell r="U29">
            <v>1</v>
          </cell>
          <cell r="V29">
            <v>0.875</v>
          </cell>
          <cell r="W29">
            <v>0.75</v>
          </cell>
        </row>
        <row r="30">
          <cell r="T30">
            <v>7.5</v>
          </cell>
          <cell r="U30">
            <v>1.125</v>
          </cell>
          <cell r="V30">
            <v>1.125</v>
          </cell>
          <cell r="W30">
            <v>1</v>
          </cell>
        </row>
        <row r="31">
          <cell r="T31">
            <v>7.625</v>
          </cell>
          <cell r="U31">
            <v>1.125</v>
          </cell>
          <cell r="V31">
            <v>1.125</v>
          </cell>
          <cell r="W31">
            <v>1</v>
          </cell>
        </row>
        <row r="32">
          <cell r="T32">
            <v>7.75</v>
          </cell>
          <cell r="U32">
            <v>1</v>
          </cell>
          <cell r="V32">
            <v>1</v>
          </cell>
          <cell r="W32">
            <v>0.875</v>
          </cell>
        </row>
        <row r="33">
          <cell r="T33">
            <v>7.875</v>
          </cell>
          <cell r="U33">
            <v>1</v>
          </cell>
          <cell r="V33">
            <v>1</v>
          </cell>
          <cell r="W33">
            <v>0.875</v>
          </cell>
        </row>
        <row r="34">
          <cell r="T34">
            <v>8</v>
          </cell>
          <cell r="U34">
            <v>1</v>
          </cell>
          <cell r="V34">
            <v>1</v>
          </cell>
          <cell r="W34">
            <v>0.875</v>
          </cell>
        </row>
      </sheetData>
      <sheetData sheetId="8" refreshError="1"/>
      <sheetData sheetId="9" refreshError="1"/>
      <sheetData sheetId="10" refreshError="1"/>
      <sheetData sheetId="11" refreshError="1"/>
      <sheetData sheetId="12" refreshError="1">
        <row r="42">
          <cell r="L42">
            <v>4.875</v>
          </cell>
          <cell r="M42">
            <v>89.873999999999995</v>
          </cell>
          <cell r="N42">
            <v>89.716999999999999</v>
          </cell>
          <cell r="O42">
            <v>89.631</v>
          </cell>
          <cell r="P42">
            <v>89.009</v>
          </cell>
          <cell r="Q42">
            <v>88.908000000000001</v>
          </cell>
          <cell r="R42">
            <v>88.5</v>
          </cell>
          <cell r="S42">
            <v>88.049000000000007</v>
          </cell>
          <cell r="T42">
            <v>87.629000000000005</v>
          </cell>
          <cell r="U42">
            <v>87.290999999999997</v>
          </cell>
        </row>
        <row r="43">
          <cell r="L43">
            <v>5</v>
          </cell>
          <cell r="M43">
            <v>91.516999999999996</v>
          </cell>
          <cell r="N43">
            <v>91.070999999999998</v>
          </cell>
          <cell r="O43">
            <v>90.984999999999999</v>
          </cell>
          <cell r="P43">
            <v>90.363</v>
          </cell>
          <cell r="Q43">
            <v>90.262</v>
          </cell>
          <cell r="R43">
            <v>89.853999999999999</v>
          </cell>
          <cell r="S43">
            <v>89.403000000000006</v>
          </cell>
          <cell r="T43">
            <v>88.983000000000004</v>
          </cell>
          <cell r="U43">
            <v>88.644999999999996</v>
          </cell>
        </row>
        <row r="44">
          <cell r="L44">
            <v>5.125</v>
          </cell>
          <cell r="M44">
            <v>91.222999999999999</v>
          </cell>
          <cell r="N44">
            <v>91.064999999999998</v>
          </cell>
          <cell r="O44">
            <v>90.98</v>
          </cell>
          <cell r="P44">
            <v>90.358000000000004</v>
          </cell>
          <cell r="Q44">
            <v>90.257000000000005</v>
          </cell>
          <cell r="R44">
            <v>89.847999999999999</v>
          </cell>
          <cell r="S44">
            <v>89.397999999999996</v>
          </cell>
          <cell r="T44">
            <v>88.977999999999994</v>
          </cell>
          <cell r="U44">
            <v>88.638999999999996</v>
          </cell>
        </row>
        <row r="45">
          <cell r="L45">
            <v>5.25</v>
          </cell>
          <cell r="M45">
            <v>93.563999999999993</v>
          </cell>
          <cell r="N45">
            <v>93.387</v>
          </cell>
          <cell r="O45">
            <v>93.289000000000001</v>
          </cell>
          <cell r="P45">
            <v>92.745000000000005</v>
          </cell>
          <cell r="Q45">
            <v>92.632999999999996</v>
          </cell>
          <cell r="R45">
            <v>92.244</v>
          </cell>
          <cell r="S45">
            <v>91.790999999999997</v>
          </cell>
          <cell r="T45">
            <v>91.37</v>
          </cell>
          <cell r="U45">
            <v>91.036000000000001</v>
          </cell>
        </row>
        <row r="46">
          <cell r="L46">
            <v>5.375</v>
          </cell>
          <cell r="M46">
            <v>94.159000000000006</v>
          </cell>
          <cell r="N46">
            <v>93.981999999999999</v>
          </cell>
          <cell r="O46">
            <v>93.884</v>
          </cell>
          <cell r="P46">
            <v>93.34</v>
          </cell>
          <cell r="Q46">
            <v>93.227999999999994</v>
          </cell>
          <cell r="R46">
            <v>92.838999999999999</v>
          </cell>
          <cell r="S46">
            <v>92.385999999999996</v>
          </cell>
          <cell r="T46">
            <v>91.965000000000003</v>
          </cell>
          <cell r="U46">
            <v>91.631</v>
          </cell>
        </row>
        <row r="47">
          <cell r="L47">
            <v>5.5</v>
          </cell>
          <cell r="M47">
            <v>95.322999999999993</v>
          </cell>
          <cell r="N47">
            <v>94.963999999999999</v>
          </cell>
          <cell r="O47">
            <v>94.866</v>
          </cell>
          <cell r="P47">
            <v>94.322000000000003</v>
          </cell>
          <cell r="Q47">
            <v>94.21</v>
          </cell>
          <cell r="R47">
            <v>93.820999999999998</v>
          </cell>
          <cell r="S47">
            <v>93.367999999999995</v>
          </cell>
          <cell r="T47">
            <v>92.947999999999993</v>
          </cell>
          <cell r="U47">
            <v>92.614000000000004</v>
          </cell>
        </row>
        <row r="48">
          <cell r="L48">
            <v>5.625</v>
          </cell>
          <cell r="M48">
            <v>95.251999999999995</v>
          </cell>
          <cell r="N48">
            <v>95.075000000000003</v>
          </cell>
          <cell r="O48">
            <v>94.977000000000004</v>
          </cell>
          <cell r="P48">
            <v>94.433000000000007</v>
          </cell>
          <cell r="Q48">
            <v>94.320999999999998</v>
          </cell>
          <cell r="R48">
            <v>93.932000000000002</v>
          </cell>
          <cell r="S48">
            <v>93.478999999999999</v>
          </cell>
          <cell r="T48">
            <v>93.058000000000007</v>
          </cell>
          <cell r="U48">
            <v>92.724000000000004</v>
          </cell>
        </row>
        <row r="49">
          <cell r="L49">
            <v>5.75</v>
          </cell>
          <cell r="M49">
            <v>96.108000000000004</v>
          </cell>
          <cell r="N49">
            <v>95.912000000000006</v>
          </cell>
          <cell r="O49">
            <v>95.802000000000007</v>
          </cell>
          <cell r="P49">
            <v>95.272000000000006</v>
          </cell>
          <cell r="Q49">
            <v>95.15</v>
          </cell>
          <cell r="R49">
            <v>94.748999999999995</v>
          </cell>
          <cell r="S49">
            <v>94.262</v>
          </cell>
          <cell r="T49">
            <v>93.81</v>
          </cell>
          <cell r="U49">
            <v>93.448999999999998</v>
          </cell>
        </row>
        <row r="50">
          <cell r="L50">
            <v>5.875</v>
          </cell>
          <cell r="M50">
            <v>96.671999999999997</v>
          </cell>
          <cell r="N50">
            <v>96.475999999999999</v>
          </cell>
          <cell r="O50">
            <v>96.364999999999995</v>
          </cell>
          <cell r="P50">
            <v>95.835999999999999</v>
          </cell>
          <cell r="Q50">
            <v>95.712999999999994</v>
          </cell>
          <cell r="R50">
            <v>95.311999999999998</v>
          </cell>
          <cell r="S50">
            <v>94.825000000000003</v>
          </cell>
          <cell r="T50">
            <v>94.373000000000005</v>
          </cell>
          <cell r="U50">
            <v>94.012</v>
          </cell>
        </row>
        <row r="51">
          <cell r="L51">
            <v>6</v>
          </cell>
          <cell r="M51">
            <v>97.472999999999999</v>
          </cell>
          <cell r="N51">
            <v>97.14</v>
          </cell>
          <cell r="O51">
            <v>97.028999999999996</v>
          </cell>
          <cell r="P51">
            <v>96.5</v>
          </cell>
          <cell r="Q51">
            <v>96.376999999999995</v>
          </cell>
          <cell r="R51">
            <v>95.975999999999999</v>
          </cell>
          <cell r="S51">
            <v>95.489000000000004</v>
          </cell>
          <cell r="T51">
            <v>95.037000000000006</v>
          </cell>
          <cell r="U51">
            <v>94.676000000000002</v>
          </cell>
        </row>
        <row r="52">
          <cell r="L52">
            <v>6.125</v>
          </cell>
          <cell r="M52">
            <v>97.591999999999999</v>
          </cell>
          <cell r="N52">
            <v>97.394999999999996</v>
          </cell>
          <cell r="O52">
            <v>97.284999999999997</v>
          </cell>
          <cell r="P52">
            <v>96.756</v>
          </cell>
          <cell r="Q52">
            <v>96.632999999999996</v>
          </cell>
          <cell r="R52">
            <v>96.231999999999999</v>
          </cell>
          <cell r="S52">
            <v>95.745000000000005</v>
          </cell>
          <cell r="T52">
            <v>95.293000000000006</v>
          </cell>
          <cell r="U52">
            <v>94.932000000000002</v>
          </cell>
        </row>
        <row r="53">
          <cell r="L53">
            <v>6.25</v>
          </cell>
          <cell r="M53">
            <v>97.911000000000001</v>
          </cell>
          <cell r="N53">
            <v>97.694999999999993</v>
          </cell>
          <cell r="O53">
            <v>97.572000000000003</v>
          </cell>
          <cell r="P53">
            <v>97.120999999999995</v>
          </cell>
          <cell r="Q53">
            <v>96.986999999999995</v>
          </cell>
          <cell r="R53">
            <v>96.605000000000004</v>
          </cell>
          <cell r="S53">
            <v>96.114999999999995</v>
          </cell>
          <cell r="T53">
            <v>95.664000000000001</v>
          </cell>
          <cell r="U53">
            <v>95.307000000000002</v>
          </cell>
        </row>
        <row r="54">
          <cell r="L54">
            <v>6.375</v>
          </cell>
          <cell r="M54">
            <v>98.381</v>
          </cell>
          <cell r="N54">
            <v>98.165000000000006</v>
          </cell>
          <cell r="O54">
            <v>98.042000000000002</v>
          </cell>
          <cell r="P54">
            <v>97.59</v>
          </cell>
          <cell r="Q54">
            <v>97.456999999999994</v>
          </cell>
          <cell r="R54">
            <v>97.075000000000003</v>
          </cell>
          <cell r="S54">
            <v>96.584999999999994</v>
          </cell>
          <cell r="T54">
            <v>96.134</v>
          </cell>
          <cell r="U54">
            <v>95.775999999999996</v>
          </cell>
        </row>
        <row r="55">
          <cell r="L55">
            <v>6.5</v>
          </cell>
          <cell r="M55">
            <v>98.938000000000002</v>
          </cell>
          <cell r="N55">
            <v>98.691999999999993</v>
          </cell>
          <cell r="O55">
            <v>98.569000000000003</v>
          </cell>
          <cell r="P55">
            <v>98.117000000000004</v>
          </cell>
          <cell r="Q55">
            <v>97.983000000000004</v>
          </cell>
          <cell r="R55">
            <v>97.602000000000004</v>
          </cell>
          <cell r="S55">
            <v>97.111999999999995</v>
          </cell>
          <cell r="T55">
            <v>96.66</v>
          </cell>
          <cell r="U55">
            <v>96.302999999999997</v>
          </cell>
        </row>
        <row r="56">
          <cell r="L56">
            <v>6.625</v>
          </cell>
          <cell r="M56">
            <v>99.111999999999995</v>
          </cell>
          <cell r="N56">
            <v>98.896000000000001</v>
          </cell>
          <cell r="O56">
            <v>98.772999999999996</v>
          </cell>
          <cell r="P56">
            <v>98.322000000000003</v>
          </cell>
          <cell r="Q56">
            <v>98.188000000000002</v>
          </cell>
          <cell r="R56">
            <v>97.805999999999997</v>
          </cell>
          <cell r="S56">
            <v>97.316999999999993</v>
          </cell>
          <cell r="T56">
            <v>96.864999999999995</v>
          </cell>
          <cell r="U56">
            <v>96.507999999999996</v>
          </cell>
        </row>
        <row r="57">
          <cell r="L57">
            <v>6.75</v>
          </cell>
          <cell r="M57">
            <v>99.125</v>
          </cell>
          <cell r="N57">
            <v>98.89</v>
          </cell>
          <cell r="O57">
            <v>98.754000000000005</v>
          </cell>
          <cell r="P57">
            <v>98.334000000000003</v>
          </cell>
          <cell r="Q57">
            <v>98.188999999999993</v>
          </cell>
          <cell r="R57">
            <v>97.826999999999998</v>
          </cell>
          <cell r="S57">
            <v>97.334000000000003</v>
          </cell>
          <cell r="T57">
            <v>96.882000000000005</v>
          </cell>
          <cell r="U57">
            <v>96.528999999999996</v>
          </cell>
        </row>
        <row r="58">
          <cell r="L58">
            <v>6.875</v>
          </cell>
          <cell r="M58">
            <v>99.572000000000003</v>
          </cell>
          <cell r="N58">
            <v>99.337000000000003</v>
          </cell>
          <cell r="O58">
            <v>99.200999999999993</v>
          </cell>
          <cell r="P58">
            <v>98.78</v>
          </cell>
          <cell r="Q58">
            <v>98.635999999999996</v>
          </cell>
          <cell r="R58">
            <v>98.272999999999996</v>
          </cell>
          <cell r="S58">
            <v>97.781000000000006</v>
          </cell>
          <cell r="T58">
            <v>97.328999999999994</v>
          </cell>
          <cell r="U58">
            <v>96.975999999999999</v>
          </cell>
        </row>
        <row r="59">
          <cell r="L59">
            <v>7</v>
          </cell>
          <cell r="M59">
            <v>99.882999999999996</v>
          </cell>
          <cell r="N59">
            <v>99.677000000000007</v>
          </cell>
          <cell r="O59">
            <v>99.542000000000002</v>
          </cell>
          <cell r="P59">
            <v>99.120999999999995</v>
          </cell>
          <cell r="Q59">
            <v>98.975999999999999</v>
          </cell>
          <cell r="R59">
            <v>98.614000000000004</v>
          </cell>
          <cell r="S59">
            <v>98.120999999999995</v>
          </cell>
          <cell r="T59">
            <v>97.67</v>
          </cell>
          <cell r="U59">
            <v>97.316999999999993</v>
          </cell>
        </row>
        <row r="60">
          <cell r="L60">
            <v>7.125</v>
          </cell>
          <cell r="M60">
            <v>100.021</v>
          </cell>
          <cell r="N60">
            <v>99.786000000000001</v>
          </cell>
          <cell r="O60">
            <v>99.65</v>
          </cell>
          <cell r="P60">
            <v>99.23</v>
          </cell>
          <cell r="Q60">
            <v>99.084999999999994</v>
          </cell>
          <cell r="R60">
            <v>98.722999999999999</v>
          </cell>
          <cell r="S60">
            <v>98.23</v>
          </cell>
          <cell r="T60">
            <v>97.778999999999996</v>
          </cell>
          <cell r="U60">
            <v>97.426000000000002</v>
          </cell>
        </row>
        <row r="61">
          <cell r="L61">
            <v>7.25</v>
          </cell>
          <cell r="M61">
            <v>100.16200000000001</v>
          </cell>
          <cell r="N61">
            <v>99.906999999999996</v>
          </cell>
          <cell r="O61">
            <v>99.759</v>
          </cell>
          <cell r="P61">
            <v>99.37</v>
          </cell>
          <cell r="Q61">
            <v>99.213999999999999</v>
          </cell>
          <cell r="R61">
            <v>98.870999999999995</v>
          </cell>
          <cell r="S61">
            <v>98.375</v>
          </cell>
          <cell r="T61">
            <v>97.924000000000007</v>
          </cell>
          <cell r="U61">
            <v>97.575000000000003</v>
          </cell>
        </row>
        <row r="62">
          <cell r="L62">
            <v>7.375</v>
          </cell>
          <cell r="M62">
            <v>100.208</v>
          </cell>
          <cell r="N62">
            <v>99.953999999999994</v>
          </cell>
          <cell r="O62">
            <v>99.805000000000007</v>
          </cell>
          <cell r="P62">
            <v>99.415999999999997</v>
          </cell>
          <cell r="Q62">
            <v>99.26</v>
          </cell>
          <cell r="R62">
            <v>98.917000000000002</v>
          </cell>
          <cell r="S62">
            <v>98.421999999999997</v>
          </cell>
          <cell r="T62">
            <v>97.97</v>
          </cell>
          <cell r="U62">
            <v>97.620999999999995</v>
          </cell>
        </row>
        <row r="63">
          <cell r="L63">
            <v>7.5</v>
          </cell>
          <cell r="M63">
            <v>100.11799999999999</v>
          </cell>
          <cell r="N63">
            <v>99.953000000000003</v>
          </cell>
          <cell r="O63">
            <v>99.804000000000002</v>
          </cell>
          <cell r="P63">
            <v>99.415000000000006</v>
          </cell>
          <cell r="Q63">
            <v>99.259</v>
          </cell>
          <cell r="R63">
            <v>98.915999999999997</v>
          </cell>
          <cell r="S63">
            <v>98.421000000000006</v>
          </cell>
          <cell r="T63">
            <v>97.968999999999994</v>
          </cell>
          <cell r="U63">
            <v>97.62</v>
          </cell>
        </row>
        <row r="64">
          <cell r="L64">
            <v>7.625</v>
          </cell>
          <cell r="M64">
            <v>100.217</v>
          </cell>
          <cell r="N64">
            <v>99.962000000000003</v>
          </cell>
          <cell r="O64">
            <v>99.813999999999993</v>
          </cell>
          <cell r="P64">
            <v>99.424999999999997</v>
          </cell>
          <cell r="Q64">
            <v>99.269000000000005</v>
          </cell>
          <cell r="R64">
            <v>98.926000000000002</v>
          </cell>
          <cell r="S64">
            <v>98.43</v>
          </cell>
          <cell r="T64">
            <v>97.978999999999999</v>
          </cell>
          <cell r="U64">
            <v>97.63</v>
          </cell>
        </row>
        <row r="65">
          <cell r="L65">
            <v>7.75</v>
          </cell>
          <cell r="M65">
            <v>100.22799999999999</v>
          </cell>
          <cell r="N65">
            <v>99.953999999999994</v>
          </cell>
          <cell r="O65">
            <v>99.793000000000006</v>
          </cell>
          <cell r="P65">
            <v>99.418999999999997</v>
          </cell>
          <cell r="Q65">
            <v>99.251999999999995</v>
          </cell>
          <cell r="R65">
            <v>98.927999999999997</v>
          </cell>
          <cell r="S65">
            <v>98.43</v>
          </cell>
          <cell r="T65">
            <v>97.977999999999994</v>
          </cell>
          <cell r="U65">
            <v>97.634</v>
          </cell>
        </row>
        <row r="66">
          <cell r="L66">
            <v>7.875</v>
          </cell>
          <cell r="M66">
            <v>100.21899999999999</v>
          </cell>
          <cell r="N66">
            <v>99.945999999999998</v>
          </cell>
          <cell r="O66">
            <v>99.784999999999997</v>
          </cell>
          <cell r="P66">
            <v>99.411000000000001</v>
          </cell>
          <cell r="Q66">
            <v>99.242999999999995</v>
          </cell>
          <cell r="R66">
            <v>98.92</v>
          </cell>
          <cell r="S66">
            <v>98.421999999999997</v>
          </cell>
          <cell r="T66">
            <v>97.97</v>
          </cell>
          <cell r="U66">
            <v>97.626000000000005</v>
          </cell>
        </row>
        <row r="67">
          <cell r="L67">
            <v>8</v>
          </cell>
          <cell r="M67">
            <v>100.08799999999999</v>
          </cell>
          <cell r="N67">
            <v>99.947999999999993</v>
          </cell>
          <cell r="O67">
            <v>99.787000000000006</v>
          </cell>
          <cell r="P67">
            <v>99.412999999999997</v>
          </cell>
          <cell r="Q67">
            <v>99.245999999999995</v>
          </cell>
          <cell r="R67">
            <v>98.921999999999997</v>
          </cell>
          <cell r="S67">
            <v>98.424000000000007</v>
          </cell>
          <cell r="T67">
            <v>97.972999999999999</v>
          </cell>
          <cell r="U67">
            <v>97.628</v>
          </cell>
        </row>
      </sheetData>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sheetName val="Resources"/>
      <sheetName val="Bloomberg"/>
      <sheetName val="GNMA_lastprices"/>
      <sheetName val="GNMA_interp_pr"/>
      <sheetName val="EFC_ratesheet_BB"/>
      <sheetName val="EFC_ratesheet FINAL_BB"/>
      <sheetName val="EFC_ratesheet_cwd "/>
      <sheetName val="EFC_ratesheet FINAL_cwd"/>
      <sheetName val="Check_Rates"/>
      <sheetName val="CW_srp"/>
      <sheetName val="CW_rates"/>
      <sheetName val="CITI_srp"/>
      <sheetName val="CITI_rates"/>
      <sheetName val="EFC_ratesheet_pricing_tool"/>
      <sheetName val="Rate Sheet Comparis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3">
          <cell r="C33">
            <v>-0.375</v>
          </cell>
        </row>
        <row r="46">
          <cell r="T46">
            <v>4.5</v>
          </cell>
          <cell r="U46">
            <v>1</v>
          </cell>
          <cell r="V46">
            <v>1</v>
          </cell>
          <cell r="W46">
            <v>0.875</v>
          </cell>
        </row>
        <row r="47">
          <cell r="T47">
            <v>4.75</v>
          </cell>
          <cell r="U47">
            <v>1</v>
          </cell>
          <cell r="V47">
            <v>1</v>
          </cell>
          <cell r="W47">
            <v>0.875</v>
          </cell>
        </row>
        <row r="48">
          <cell r="T48">
            <v>5</v>
          </cell>
          <cell r="U48">
            <v>0.875</v>
          </cell>
          <cell r="V48">
            <v>0.875</v>
          </cell>
          <cell r="W48">
            <v>0.75</v>
          </cell>
        </row>
        <row r="49">
          <cell r="T49">
            <v>5.25</v>
          </cell>
          <cell r="U49">
            <v>1.25</v>
          </cell>
          <cell r="V49">
            <v>1.25</v>
          </cell>
          <cell r="W49">
            <v>1</v>
          </cell>
        </row>
        <row r="50">
          <cell r="T50">
            <v>5.5</v>
          </cell>
          <cell r="U50">
            <v>0.75</v>
          </cell>
          <cell r="V50">
            <v>0.75</v>
          </cell>
          <cell r="W50">
            <v>0.75</v>
          </cell>
        </row>
        <row r="51">
          <cell r="T51">
            <v>5.75</v>
          </cell>
          <cell r="U51">
            <v>0.875</v>
          </cell>
          <cell r="V51">
            <v>0.875</v>
          </cell>
          <cell r="W51">
            <v>0.875</v>
          </cell>
        </row>
        <row r="52">
          <cell r="T52">
            <v>6</v>
          </cell>
          <cell r="U52">
            <v>0.5</v>
          </cell>
          <cell r="V52">
            <v>0.5</v>
          </cell>
          <cell r="W52">
            <v>0.5</v>
          </cell>
        </row>
        <row r="53">
          <cell r="T53">
            <v>6.25</v>
          </cell>
          <cell r="U53">
            <v>0.75</v>
          </cell>
          <cell r="V53">
            <v>0.75</v>
          </cell>
          <cell r="W53">
            <v>0.75</v>
          </cell>
        </row>
        <row r="54">
          <cell r="T54">
            <v>6.5</v>
          </cell>
          <cell r="U54">
            <v>0.5</v>
          </cell>
          <cell r="V54">
            <v>0.5</v>
          </cell>
          <cell r="W54">
            <v>0.5</v>
          </cell>
        </row>
        <row r="55">
          <cell r="T55">
            <v>6.75</v>
          </cell>
          <cell r="U55">
            <v>0.5</v>
          </cell>
          <cell r="V55">
            <v>0.5</v>
          </cell>
          <cell r="W55">
            <v>0.5</v>
          </cell>
        </row>
        <row r="56">
          <cell r="T56">
            <v>7</v>
          </cell>
          <cell r="U56">
            <v>0.625</v>
          </cell>
          <cell r="V56">
            <v>0.625</v>
          </cell>
          <cell r="W56">
            <v>0.625</v>
          </cell>
        </row>
        <row r="57">
          <cell r="T57">
            <v>7.25</v>
          </cell>
          <cell r="U57">
            <v>0.75</v>
          </cell>
          <cell r="V57">
            <v>0.75</v>
          </cell>
          <cell r="W57">
            <v>0.75</v>
          </cell>
        </row>
        <row r="58">
          <cell r="T58">
            <v>7.5</v>
          </cell>
          <cell r="U58">
            <v>0.875</v>
          </cell>
          <cell r="V58">
            <v>0.875</v>
          </cell>
          <cell r="W58">
            <v>0.875</v>
          </cell>
        </row>
        <row r="59">
          <cell r="T59">
            <v>7.75</v>
          </cell>
          <cell r="U59">
            <v>0.875</v>
          </cell>
          <cell r="V59">
            <v>0.875</v>
          </cell>
          <cell r="W59">
            <v>0.875</v>
          </cell>
        </row>
        <row r="60">
          <cell r="T60">
            <v>8</v>
          </cell>
          <cell r="U60">
            <v>0.875</v>
          </cell>
          <cell r="V60">
            <v>0.875</v>
          </cell>
          <cell r="W60">
            <v>0.875</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sheetName val="Resources"/>
      <sheetName val="GNMA_mapped"/>
      <sheetName val="Bloomberg"/>
      <sheetName val="Bloomberg Live!"/>
      <sheetName val="CW AOT"/>
      <sheetName val="CW_rates"/>
      <sheetName val="EFC_ratesheet_AOT "/>
      <sheetName val="EFC_ratesheet FINAL_AOT"/>
      <sheetName val="EFC_Wholesale_Calculator"/>
      <sheetName val="EFC_ratesheet FINAL_Retail"/>
      <sheetName val="EFC_Retail_Calculator"/>
      <sheetName val="Check_Rates"/>
    </sheetNames>
    <sheetDataSet>
      <sheetData sheetId="0"/>
      <sheetData sheetId="1"/>
      <sheetData sheetId="2"/>
      <sheetData sheetId="3"/>
      <sheetData sheetId="4"/>
      <sheetData sheetId="5"/>
      <sheetData sheetId="6"/>
      <sheetData sheetId="7">
        <row r="21">
          <cell r="C21">
            <v>-1.375</v>
          </cell>
        </row>
      </sheetData>
      <sheetData sheetId="8"/>
      <sheetData sheetId="9"/>
      <sheetData sheetId="10"/>
      <sheetData sheetId="11"/>
      <sheetData sheetId="1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sheetName val="Resources"/>
      <sheetName val="GNMA_mapped"/>
      <sheetName val="Bloomberg"/>
      <sheetName val="Bloomberg Live!"/>
      <sheetName val="CW AOT"/>
      <sheetName val="CW_rates"/>
      <sheetName val="EFC_ratesheet_AOT "/>
      <sheetName val="EFC_ratesheet FINAL_AOT"/>
      <sheetName val="EFC_Wholesale_Calculator"/>
      <sheetName val="EFC_ratesheet FINAL_Retail"/>
      <sheetName val="EFC_Retail_Calculator"/>
      <sheetName val="Check_Rates"/>
    </sheetNames>
    <sheetDataSet>
      <sheetData sheetId="0"/>
      <sheetData sheetId="1"/>
      <sheetData sheetId="2"/>
      <sheetData sheetId="3"/>
      <sheetData sheetId="4"/>
      <sheetData sheetId="5"/>
      <sheetData sheetId="6"/>
      <sheetData sheetId="7">
        <row r="19">
          <cell r="C19">
            <v>-1.375</v>
          </cell>
        </row>
      </sheetData>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hyperlink" Target="file:///Volumes/SimpleDrive/OLD%20COMP%20DATA/Desktop/Anupam%202009/EF%20Work/retail/odulger/Local%20Settings/sperkin.EQUIFIRST/Desktop/process/FHA_Pricing_Tool_Testing_dummyloans.xls"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pricinglockdesk@equifirst.com" TargetMode="Externa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20CF3-8138-614D-B795-079ACA851370}">
  <sheetPr codeName="Sheet1"/>
  <dimension ref="B3:B30"/>
  <sheetViews>
    <sheetView topLeftCell="C25" workbookViewId="0">
      <selection activeCell="B22" sqref="B22"/>
    </sheetView>
  </sheetViews>
  <sheetFormatPr baseColWidth="10" defaultRowHeight="13"/>
  <cols>
    <col min="1" max="1" width="8.83203125" customWidth="1"/>
    <col min="2" max="2" width="78.5" style="85" customWidth="1"/>
    <col min="3" max="256" width="8.83203125" customWidth="1"/>
  </cols>
  <sheetData>
    <row r="3" spans="2:2" ht="14">
      <c r="B3" s="87" t="s">
        <v>109</v>
      </c>
    </row>
    <row r="4" spans="2:2" ht="39">
      <c r="B4" s="86" t="s">
        <v>103</v>
      </c>
    </row>
    <row r="5" spans="2:2">
      <c r="B5" s="86" t="s">
        <v>104</v>
      </c>
    </row>
    <row r="6" spans="2:2" ht="26">
      <c r="B6" s="86" t="s">
        <v>105</v>
      </c>
    </row>
    <row r="7" spans="2:2">
      <c r="B7" s="86" t="s">
        <v>144</v>
      </c>
    </row>
    <row r="8" spans="2:2">
      <c r="B8" s="86" t="s">
        <v>145</v>
      </c>
    </row>
    <row r="9" spans="2:2" ht="65">
      <c r="B9" s="86" t="s">
        <v>139</v>
      </c>
    </row>
    <row r="10" spans="2:2" ht="26">
      <c r="B10" s="86" t="s">
        <v>140</v>
      </c>
    </row>
    <row r="11" spans="2:2" ht="52">
      <c r="B11" s="86" t="s">
        <v>106</v>
      </c>
    </row>
    <row r="12" spans="2:2" ht="26">
      <c r="B12" s="86" t="s">
        <v>127</v>
      </c>
    </row>
    <row r="13" spans="2:2" ht="39">
      <c r="B13" s="86" t="s">
        <v>141</v>
      </c>
    </row>
    <row r="14" spans="2:2" ht="26">
      <c r="B14" s="86" t="s">
        <v>130</v>
      </c>
    </row>
    <row r="15" spans="2:2" ht="26">
      <c r="B15" s="86" t="s">
        <v>142</v>
      </c>
    </row>
    <row r="16" spans="2:2" ht="26">
      <c r="B16" s="157" t="s">
        <v>146</v>
      </c>
    </row>
    <row r="17" spans="2:2" ht="26">
      <c r="B17" s="157" t="s">
        <v>147</v>
      </c>
    </row>
    <row r="18" spans="2:2">
      <c r="B18" s="157" t="s">
        <v>128</v>
      </c>
    </row>
    <row r="19" spans="2:2" ht="28">
      <c r="B19" s="158" t="s">
        <v>143</v>
      </c>
    </row>
    <row r="20" spans="2:2" ht="39">
      <c r="B20" s="157" t="s">
        <v>129</v>
      </c>
    </row>
    <row r="21" spans="2:2">
      <c r="B21" s="86" t="s">
        <v>131</v>
      </c>
    </row>
    <row r="22" spans="2:2">
      <c r="B22" s="86" t="s">
        <v>132</v>
      </c>
    </row>
    <row r="23" spans="2:2">
      <c r="B23" s="86" t="s">
        <v>133</v>
      </c>
    </row>
    <row r="24" spans="2:2">
      <c r="B24" s="86" t="s">
        <v>134</v>
      </c>
    </row>
    <row r="25" spans="2:2">
      <c r="B25" s="86" t="s">
        <v>135</v>
      </c>
    </row>
    <row r="26" spans="2:2">
      <c r="B26" s="86" t="s">
        <v>136</v>
      </c>
    </row>
    <row r="27" spans="2:2">
      <c r="B27" s="86" t="s">
        <v>107</v>
      </c>
    </row>
    <row r="28" spans="2:2">
      <c r="B28" s="86" t="s">
        <v>138</v>
      </c>
    </row>
    <row r="29" spans="2:2">
      <c r="B29" s="86" t="s">
        <v>137</v>
      </c>
    </row>
    <row r="30" spans="2:2" ht="26">
      <c r="B30" s="86" t="s">
        <v>108</v>
      </c>
    </row>
  </sheetData>
  <phoneticPr fontId="14" type="noConversion"/>
  <hyperlinks>
    <hyperlink ref="B19" r:id="rId1" xr:uid="{F295CF9F-FC13-094D-9331-43985FAD5808}"/>
  </hyperlinks>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DB1B0-703B-BC4B-88EB-48716C69877C}">
  <sheetPr codeName="Sheet12">
    <pageSetUpPr fitToPage="1"/>
  </sheetPr>
  <dimension ref="A1:T103"/>
  <sheetViews>
    <sheetView topLeftCell="A25" zoomScale="70" zoomScaleNormal="100" workbookViewId="0">
      <selection activeCell="J52" sqref="J52:M55"/>
    </sheetView>
  </sheetViews>
  <sheetFormatPr baseColWidth="10" defaultColWidth="9.33203125" defaultRowHeight="13"/>
  <cols>
    <col min="1" max="1" width="1.6640625" style="13" customWidth="1"/>
    <col min="2" max="2" width="11.1640625" style="13" customWidth="1"/>
    <col min="3" max="3" width="9.5" style="13" customWidth="1"/>
    <col min="4" max="4" width="13.6640625" style="13" customWidth="1"/>
    <col min="5" max="5" width="14.1640625" style="13" customWidth="1"/>
    <col min="6" max="6" width="18.5" style="13" customWidth="1"/>
    <col min="7" max="7" width="14.1640625" style="13" customWidth="1"/>
    <col min="8" max="8" width="6.6640625" style="13" customWidth="1"/>
    <col min="9" max="11" width="8.6640625" style="13" customWidth="1"/>
    <col min="12" max="12" width="8" style="13" customWidth="1"/>
    <col min="13" max="13" width="14.6640625" style="13" customWidth="1"/>
    <col min="14" max="14" width="4.1640625" style="13" customWidth="1"/>
    <col min="15" max="15" width="9.1640625" style="13" customWidth="1"/>
    <col min="16" max="17" width="4.1640625" style="13" customWidth="1"/>
    <col min="18" max="18" width="1.6640625" style="13" customWidth="1"/>
    <col min="19" max="19" width="5.6640625" customWidth="1"/>
    <col min="20" max="20" width="9.33203125" style="14" customWidth="1"/>
    <col min="21" max="22" width="9.33203125" style="13" customWidth="1"/>
    <col min="23" max="23" width="33.33203125" style="13" customWidth="1"/>
    <col min="24" max="16384" width="9.33203125" style="13"/>
  </cols>
  <sheetData>
    <row r="1" spans="1:19">
      <c r="A1" s="72"/>
      <c r="B1" s="10"/>
      <c r="C1" s="11"/>
      <c r="D1" s="11"/>
      <c r="E1" s="11"/>
      <c r="F1" s="11"/>
      <c r="G1" s="11"/>
      <c r="H1" s="11"/>
      <c r="I1" s="11"/>
      <c r="J1" s="11"/>
      <c r="K1" s="11"/>
      <c r="L1" s="11"/>
      <c r="M1" s="11"/>
      <c r="N1" s="11"/>
      <c r="O1" s="11"/>
      <c r="P1" s="11"/>
      <c r="Q1" s="12"/>
      <c r="R1" s="84"/>
      <c r="S1" s="13"/>
    </row>
    <row r="2" spans="1:19">
      <c r="A2" s="15"/>
      <c r="B2" s="16"/>
      <c r="C2"/>
      <c r="D2"/>
      <c r="E2"/>
      <c r="F2"/>
      <c r="G2"/>
      <c r="H2"/>
      <c r="I2"/>
      <c r="J2"/>
      <c r="K2"/>
      <c r="L2"/>
      <c r="M2"/>
      <c r="N2"/>
      <c r="O2"/>
      <c r="P2"/>
      <c r="Q2" s="17"/>
      <c r="S2" s="13"/>
    </row>
    <row r="3" spans="1:19">
      <c r="A3" s="15"/>
      <c r="B3" s="16"/>
      <c r="C3"/>
      <c r="D3"/>
      <c r="E3"/>
      <c r="F3"/>
      <c r="G3"/>
      <c r="H3"/>
      <c r="I3"/>
      <c r="J3"/>
      <c r="K3"/>
      <c r="L3"/>
      <c r="M3"/>
      <c r="N3"/>
      <c r="O3"/>
      <c r="P3"/>
      <c r="Q3" s="17"/>
      <c r="S3" s="13"/>
    </row>
    <row r="4" spans="1:19" ht="8" customHeight="1">
      <c r="A4" s="15"/>
      <c r="B4" s="54"/>
      <c r="C4" s="53"/>
      <c r="D4" s="53"/>
      <c r="E4" s="53"/>
      <c r="F4" s="53"/>
      <c r="G4" s="53"/>
      <c r="H4" s="53"/>
      <c r="I4" s="53"/>
      <c r="J4" s="53"/>
      <c r="K4" s="53"/>
      <c r="L4" s="53"/>
      <c r="M4" s="53"/>
      <c r="N4" s="53"/>
      <c r="O4" s="53"/>
      <c r="P4" s="53"/>
      <c r="Q4" s="55"/>
      <c r="S4" s="13"/>
    </row>
    <row r="5" spans="1:19" ht="8" customHeight="1">
      <c r="A5" s="15"/>
      <c r="B5" s="54"/>
      <c r="C5" s="53"/>
      <c r="D5" s="53"/>
      <c r="E5" s="53"/>
      <c r="F5" s="53"/>
      <c r="G5" s="53"/>
      <c r="H5" s="53"/>
      <c r="I5" s="53"/>
      <c r="J5" s="53"/>
      <c r="K5" s="53"/>
      <c r="L5" s="53"/>
      <c r="M5" s="53"/>
      <c r="N5" s="53"/>
      <c r="O5" s="53"/>
      <c r="P5" s="53"/>
      <c r="Q5" s="55"/>
      <c r="S5" s="13"/>
    </row>
    <row r="6" spans="1:19" ht="30.75" customHeight="1">
      <c r="A6" s="15"/>
      <c r="B6" s="18"/>
      <c r="C6" s="19"/>
      <c r="D6" s="19"/>
      <c r="E6" s="287" t="s">
        <v>99</v>
      </c>
      <c r="F6" s="287"/>
      <c r="G6" s="287"/>
      <c r="H6" s="287"/>
      <c r="I6" s="287"/>
      <c r="J6" s="287"/>
      <c r="K6" s="287"/>
      <c r="L6" s="11"/>
      <c r="M6" s="20"/>
      <c r="N6" s="20"/>
      <c r="O6" s="20"/>
      <c r="P6" s="20"/>
      <c r="Q6" s="21"/>
      <c r="S6" s="22"/>
    </row>
    <row r="7" spans="1:19" ht="14" customHeight="1">
      <c r="A7" s="23"/>
      <c r="B7" s="24"/>
      <c r="E7" s="288" t="s">
        <v>100</v>
      </c>
      <c r="F7" s="288"/>
      <c r="G7" s="288"/>
      <c r="H7" s="288"/>
      <c r="I7" s="288"/>
      <c r="J7" s="288"/>
      <c r="K7" s="288"/>
      <c r="L7" s="288"/>
      <c r="M7" s="25"/>
      <c r="N7" s="25"/>
      <c r="O7" s="25"/>
      <c r="P7" s="25"/>
      <c r="Q7" s="26"/>
      <c r="S7" s="13"/>
    </row>
    <row r="8" spans="1:19">
      <c r="A8" s="15"/>
      <c r="B8" s="24"/>
      <c r="M8" s="13" t="s">
        <v>8</v>
      </c>
      <c r="Q8" s="27"/>
      <c r="S8" s="13"/>
    </row>
    <row r="9" spans="1:19">
      <c r="A9" s="15"/>
      <c r="B9" s="24" t="s">
        <v>0</v>
      </c>
      <c r="D9" s="28" t="s">
        <v>9</v>
      </c>
      <c r="M9" s="29" t="s">
        <v>10</v>
      </c>
      <c r="N9" s="29"/>
      <c r="O9" s="30"/>
      <c r="P9" s="29"/>
      <c r="Q9" s="27"/>
      <c r="S9" s="31"/>
    </row>
    <row r="10" spans="1:19">
      <c r="A10" s="15"/>
      <c r="B10" s="24" t="s">
        <v>1</v>
      </c>
      <c r="D10" s="13" t="s">
        <v>101</v>
      </c>
      <c r="M10" s="29" t="s">
        <v>11</v>
      </c>
      <c r="N10" s="29"/>
      <c r="O10" s="30"/>
      <c r="P10" s="29"/>
      <c r="Q10" s="27"/>
      <c r="S10" s="13"/>
    </row>
    <row r="11" spans="1:19">
      <c r="A11" s="15"/>
      <c r="B11" s="24" t="s">
        <v>102</v>
      </c>
      <c r="D11" s="32">
        <v>39506.440104166664</v>
      </c>
      <c r="M11" s="29" t="s">
        <v>12</v>
      </c>
      <c r="N11" s="29"/>
      <c r="O11" s="30"/>
      <c r="P11" s="29"/>
      <c r="Q11" s="27"/>
    </row>
    <row r="12" spans="1:19" ht="14" customHeight="1">
      <c r="A12" s="15"/>
      <c r="B12" s="54"/>
      <c r="C12" s="53"/>
      <c r="D12" s="53"/>
      <c r="E12" s="53"/>
      <c r="F12" s="53"/>
      <c r="G12" s="53"/>
      <c r="H12" s="53"/>
      <c r="I12" s="53"/>
      <c r="J12" s="53"/>
      <c r="K12" s="53"/>
      <c r="L12" s="53"/>
      <c r="M12" s="53"/>
      <c r="N12" s="53"/>
      <c r="O12" s="53"/>
      <c r="P12" s="53"/>
      <c r="Q12" s="55"/>
      <c r="S12" s="33"/>
    </row>
    <row r="13" spans="1:19" ht="14" customHeight="1">
      <c r="A13" s="15"/>
      <c r="B13" s="80"/>
      <c r="C13" s="80"/>
      <c r="D13" s="281" t="s">
        <v>3</v>
      </c>
      <c r="E13" s="281"/>
      <c r="F13" s="281"/>
      <c r="G13" s="282"/>
      <c r="H13" s="53"/>
      <c r="I13" s="53"/>
      <c r="J13" s="53"/>
      <c r="K13" s="53"/>
      <c r="L13" s="53"/>
      <c r="M13" s="53"/>
      <c r="N13" s="53"/>
      <c r="O13" s="53"/>
      <c r="P13" s="53"/>
      <c r="Q13" s="55"/>
      <c r="S13" s="33"/>
    </row>
    <row r="14" spans="1:19" ht="14" customHeight="1">
      <c r="A14" s="15"/>
      <c r="B14" s="81"/>
      <c r="C14" s="79"/>
      <c r="D14" s="283"/>
      <c r="E14" s="283"/>
      <c r="F14" s="283"/>
      <c r="G14" s="284"/>
      <c r="H14" s="53"/>
      <c r="I14" s="53"/>
      <c r="J14" s="53"/>
      <c r="K14" s="53"/>
      <c r="L14" s="53"/>
      <c r="M14" s="53"/>
      <c r="N14" s="53"/>
      <c r="O14" s="53"/>
      <c r="P14" s="53"/>
      <c r="Q14" s="55"/>
      <c r="S14" s="33"/>
    </row>
    <row r="15" spans="1:19" ht="14" customHeight="1">
      <c r="A15" s="15"/>
      <c r="B15" s="80"/>
      <c r="C15" s="79"/>
      <c r="D15" s="283"/>
      <c r="E15" s="283"/>
      <c r="F15" s="283"/>
      <c r="G15" s="284"/>
      <c r="H15" s="53"/>
      <c r="I15" s="53"/>
      <c r="J15" s="289"/>
      <c r="K15" s="289"/>
      <c r="L15" s="289"/>
      <c r="M15" s="289"/>
      <c r="N15" s="53"/>
      <c r="O15" s="53"/>
      <c r="P15" s="53"/>
      <c r="Q15" s="55"/>
      <c r="S15" s="13"/>
    </row>
    <row r="16" spans="1:19" ht="14" customHeight="1">
      <c r="A16" s="15"/>
      <c r="B16" s="80"/>
      <c r="C16" s="79"/>
      <c r="D16" s="285"/>
      <c r="E16" s="285"/>
      <c r="F16" s="285"/>
      <c r="G16" s="286"/>
      <c r="H16" s="53"/>
      <c r="I16" s="53"/>
      <c r="J16" s="289"/>
      <c r="K16" s="289"/>
      <c r="L16" s="289"/>
      <c r="M16" s="289"/>
      <c r="N16" s="53"/>
      <c r="O16" s="53"/>
      <c r="P16" s="53"/>
      <c r="Q16" s="55"/>
      <c r="S16" s="13"/>
    </row>
    <row r="17" spans="1:19" ht="14" customHeight="1">
      <c r="A17" s="15"/>
      <c r="B17" s="80"/>
      <c r="C17" s="79"/>
      <c r="D17" s="38" t="s">
        <v>13</v>
      </c>
      <c r="E17" s="35">
        <v>15</v>
      </c>
      <c r="F17" s="35">
        <v>30</v>
      </c>
      <c r="G17" s="35">
        <v>45</v>
      </c>
      <c r="H17" s="53"/>
      <c r="I17" s="53"/>
      <c r="J17" s="289"/>
      <c r="K17" s="289"/>
      <c r="L17" s="289"/>
      <c r="M17" s="289"/>
      <c r="N17" s="53"/>
      <c r="O17" s="53"/>
      <c r="P17" s="53"/>
      <c r="Q17" s="55"/>
      <c r="S17" s="36"/>
    </row>
    <row r="18" spans="1:19" ht="14" customHeight="1">
      <c r="A18" s="15"/>
      <c r="B18" s="80"/>
      <c r="C18" s="79"/>
      <c r="D18" s="83">
        <v>4.5</v>
      </c>
      <c r="E18" s="83">
        <v>98.25</v>
      </c>
      <c r="F18" s="83">
        <v>98.125</v>
      </c>
      <c r="G18" s="83">
        <v>97.875</v>
      </c>
      <c r="H18" s="53"/>
      <c r="I18" s="53"/>
      <c r="J18" s="289"/>
      <c r="K18" s="289"/>
      <c r="L18" s="289"/>
      <c r="M18" s="289"/>
      <c r="N18" s="53"/>
      <c r="O18" s="53"/>
      <c r="P18" s="53"/>
      <c r="Q18" s="55"/>
      <c r="S18" s="13"/>
    </row>
    <row r="19" spans="1:19" ht="14" customHeight="1">
      <c r="A19" s="15"/>
      <c r="B19" s="80"/>
      <c r="C19" s="79"/>
      <c r="D19" s="83">
        <v>4.875</v>
      </c>
      <c r="E19" s="83">
        <v>99.25</v>
      </c>
      <c r="F19" s="83">
        <v>99.125</v>
      </c>
      <c r="G19" s="83">
        <v>98.875</v>
      </c>
      <c r="H19" s="53"/>
      <c r="I19" s="53"/>
      <c r="J19" s="154" t="s">
        <v>120</v>
      </c>
      <c r="K19" s="53"/>
      <c r="L19" s="130"/>
      <c r="M19" s="130"/>
      <c r="N19" s="53"/>
      <c r="O19" s="53"/>
      <c r="P19" s="53"/>
      <c r="Q19" s="55"/>
      <c r="S19" s="13"/>
    </row>
    <row r="20" spans="1:19" ht="14" customHeight="1">
      <c r="A20" s="15"/>
      <c r="B20" s="82"/>
      <c r="C20" s="78"/>
      <c r="D20" s="83">
        <v>5</v>
      </c>
      <c r="E20" s="83">
        <v>100</v>
      </c>
      <c r="F20" s="83">
        <v>99.875</v>
      </c>
      <c r="G20" s="83">
        <v>99.625</v>
      </c>
      <c r="H20" s="53"/>
      <c r="I20" s="53"/>
      <c r="J20" s="53" t="s">
        <v>118</v>
      </c>
      <c r="K20" s="53"/>
      <c r="L20" s="53" t="s">
        <v>119</v>
      </c>
      <c r="M20" s="58"/>
      <c r="N20" s="53"/>
      <c r="O20" s="53"/>
      <c r="P20" s="53"/>
      <c r="Q20" s="55"/>
      <c r="S20" s="13"/>
    </row>
    <row r="21" spans="1:19" ht="14" customHeight="1">
      <c r="A21" s="15"/>
      <c r="B21" s="80"/>
      <c r="C21" s="79"/>
      <c r="D21" s="83">
        <v>5.125</v>
      </c>
      <c r="E21" s="83">
        <v>100.125</v>
      </c>
      <c r="F21" s="83">
        <v>100</v>
      </c>
      <c r="G21" s="83">
        <v>99.75</v>
      </c>
      <c r="H21" s="53"/>
      <c r="I21" s="53"/>
      <c r="J21" s="153">
        <v>3.625</v>
      </c>
      <c r="K21" s="53"/>
      <c r="L21" s="153">
        <v>4.25</v>
      </c>
      <c r="M21" s="58"/>
      <c r="N21" s="53"/>
      <c r="O21" s="53"/>
      <c r="P21" s="53"/>
      <c r="Q21" s="55"/>
      <c r="S21" s="13"/>
    </row>
    <row r="22" spans="1:19" ht="14" customHeight="1">
      <c r="A22" s="15"/>
      <c r="B22" s="80"/>
      <c r="C22" s="79"/>
      <c r="D22" s="83">
        <v>5.375</v>
      </c>
      <c r="E22" s="83">
        <v>100.25</v>
      </c>
      <c r="F22" s="83">
        <v>100.125</v>
      </c>
      <c r="G22" s="83">
        <v>99.875</v>
      </c>
      <c r="H22" s="53"/>
      <c r="I22" s="53"/>
      <c r="J22" s="53" t="s">
        <v>125</v>
      </c>
      <c r="K22" s="53"/>
      <c r="L22" s="53" t="s">
        <v>124</v>
      </c>
      <c r="M22" s="58"/>
      <c r="N22" s="53"/>
      <c r="O22" s="53"/>
      <c r="P22" s="53"/>
      <c r="Q22" s="55"/>
      <c r="S22" s="13"/>
    </row>
    <row r="23" spans="1:19" ht="14" customHeight="1">
      <c r="A23" s="15"/>
      <c r="B23" s="80"/>
      <c r="C23" s="73"/>
      <c r="D23" s="83">
        <v>5.5</v>
      </c>
      <c r="E23" s="83">
        <v>101</v>
      </c>
      <c r="F23" s="83">
        <v>100.875</v>
      </c>
      <c r="G23" s="83">
        <v>100.625</v>
      </c>
      <c r="H23" s="53"/>
      <c r="I23" s="53"/>
      <c r="J23" s="53"/>
      <c r="K23" s="53"/>
      <c r="L23" s="53"/>
      <c r="M23" s="58"/>
      <c r="N23" s="53"/>
      <c r="O23" s="53"/>
      <c r="P23" s="53"/>
      <c r="Q23" s="55"/>
      <c r="S23" s="13"/>
    </row>
    <row r="24" spans="1:19" ht="14" customHeight="1">
      <c r="A24" s="15"/>
      <c r="B24" s="80"/>
      <c r="C24" s="73"/>
      <c r="D24" s="83">
        <v>6</v>
      </c>
      <c r="E24" s="83">
        <v>101.375</v>
      </c>
      <c r="F24" s="83">
        <v>101.25</v>
      </c>
      <c r="G24" s="83">
        <v>101</v>
      </c>
      <c r="H24" s="53"/>
      <c r="I24" s="53"/>
      <c r="J24" s="53"/>
      <c r="K24" s="53"/>
      <c r="L24" s="53"/>
      <c r="M24" s="58"/>
      <c r="N24" s="53"/>
      <c r="O24" s="53"/>
      <c r="P24" s="53"/>
      <c r="Q24" s="55"/>
      <c r="S24" s="13"/>
    </row>
    <row r="25" spans="1:19" ht="14" customHeight="1">
      <c r="A25" s="15"/>
      <c r="B25" s="54"/>
      <c r="C25" s="73"/>
      <c r="D25" s="83">
        <v>6.5</v>
      </c>
      <c r="E25" s="83">
        <v>101.5</v>
      </c>
      <c r="F25" s="83">
        <v>101.375</v>
      </c>
      <c r="G25" s="83">
        <v>101.125</v>
      </c>
      <c r="H25" s="52"/>
      <c r="I25" s="53"/>
      <c r="J25" s="53"/>
      <c r="K25" s="53"/>
      <c r="L25" s="53"/>
      <c r="M25" s="58"/>
      <c r="N25" s="53"/>
      <c r="O25" s="53"/>
      <c r="P25" s="53"/>
      <c r="Q25" s="55"/>
      <c r="S25" s="13"/>
    </row>
    <row r="26" spans="1:19" ht="14" customHeight="1">
      <c r="A26" s="15"/>
      <c r="B26" s="54"/>
      <c r="C26" s="73"/>
      <c r="D26" s="83"/>
      <c r="E26" s="83"/>
      <c r="F26" s="83"/>
      <c r="G26" s="83"/>
      <c r="H26" s="52"/>
      <c r="I26" s="53"/>
      <c r="J26" s="53"/>
      <c r="K26" s="53"/>
      <c r="L26" s="53"/>
      <c r="M26" s="58"/>
      <c r="N26" s="53"/>
      <c r="O26" s="53"/>
      <c r="P26" s="53"/>
      <c r="Q26" s="55"/>
      <c r="S26" s="13"/>
    </row>
    <row r="27" spans="1:19" ht="14" customHeight="1">
      <c r="A27" s="15"/>
      <c r="B27" s="54"/>
      <c r="C27" s="53"/>
      <c r="D27" s="83"/>
      <c r="E27" s="83"/>
      <c r="F27" s="83"/>
      <c r="G27" s="83"/>
      <c r="H27" s="52"/>
      <c r="I27" s="53"/>
      <c r="J27" s="53"/>
      <c r="K27" s="53"/>
      <c r="L27" s="53"/>
      <c r="M27" s="58"/>
      <c r="N27" s="52"/>
      <c r="O27" s="52"/>
      <c r="P27" s="52"/>
      <c r="Q27" s="55"/>
      <c r="S27" s="13"/>
    </row>
    <row r="28" spans="1:19" ht="14" customHeight="1">
      <c r="A28" s="15"/>
      <c r="B28" s="54"/>
      <c r="C28" s="53"/>
      <c r="D28" s="83"/>
      <c r="E28" s="83"/>
      <c r="F28" s="83"/>
      <c r="G28" s="83"/>
      <c r="H28" s="52"/>
      <c r="I28" s="53"/>
      <c r="J28" s="53"/>
      <c r="K28" s="53"/>
      <c r="L28" s="53"/>
      <c r="M28" s="58"/>
      <c r="N28" s="52"/>
      <c r="O28" s="52"/>
      <c r="P28" s="52"/>
      <c r="Q28" s="55"/>
      <c r="S28" s="13"/>
    </row>
    <row r="29" spans="1:19" ht="14" customHeight="1">
      <c r="A29" s="15"/>
      <c r="B29" s="54"/>
      <c r="C29" s="53"/>
      <c r="D29" s="83"/>
      <c r="E29" s="83"/>
      <c r="F29" s="83"/>
      <c r="G29" s="83"/>
      <c r="H29" s="52"/>
      <c r="I29" s="53"/>
      <c r="J29" s="53"/>
      <c r="K29" s="53"/>
      <c r="L29" s="53"/>
      <c r="M29" s="53"/>
      <c r="N29" s="52"/>
      <c r="O29" s="52"/>
      <c r="P29" s="52"/>
      <c r="Q29" s="55"/>
      <c r="S29" s="13"/>
    </row>
    <row r="30" spans="1:19" ht="14" customHeight="1">
      <c r="A30" s="15"/>
      <c r="B30" s="54"/>
      <c r="C30" s="53"/>
      <c r="D30" s="83"/>
      <c r="E30" s="83"/>
      <c r="F30" s="83"/>
      <c r="G30" s="83"/>
      <c r="H30" s="52"/>
      <c r="I30" s="53"/>
      <c r="J30" s="53"/>
      <c r="K30" s="53"/>
      <c r="L30" s="53"/>
      <c r="M30" s="58"/>
      <c r="N30" s="52"/>
      <c r="O30" s="52"/>
      <c r="P30" s="52"/>
      <c r="Q30" s="55"/>
      <c r="S30" s="13"/>
    </row>
    <row r="31" spans="1:19" ht="14" customHeight="1">
      <c r="A31" s="15"/>
      <c r="B31" s="54"/>
      <c r="C31" s="53"/>
      <c r="D31" s="83"/>
      <c r="E31" s="83"/>
      <c r="F31" s="83"/>
      <c r="G31" s="83"/>
      <c r="H31" s="52"/>
      <c r="I31" s="53"/>
      <c r="J31" s="53"/>
      <c r="K31" s="53"/>
      <c r="L31" s="53"/>
      <c r="M31" s="58"/>
      <c r="N31" s="52"/>
      <c r="O31" s="52"/>
      <c r="P31" s="52"/>
      <c r="Q31" s="55"/>
      <c r="S31" s="13"/>
    </row>
    <row r="32" spans="1:19" ht="14" customHeight="1">
      <c r="A32" s="15"/>
      <c r="B32" s="54"/>
      <c r="C32" s="53"/>
      <c r="D32" s="83"/>
      <c r="E32" s="83"/>
      <c r="F32" s="83"/>
      <c r="G32" s="83"/>
      <c r="H32" s="52"/>
      <c r="I32" s="53"/>
      <c r="J32" s="53"/>
      <c r="K32" s="53"/>
      <c r="L32" s="53"/>
      <c r="M32" s="58"/>
      <c r="N32" s="52"/>
      <c r="O32" s="52"/>
      <c r="P32" s="52"/>
      <c r="Q32" s="55"/>
      <c r="S32" s="13"/>
    </row>
    <row r="33" spans="1:19" ht="14" customHeight="1">
      <c r="A33" s="15"/>
      <c r="B33" s="54"/>
      <c r="C33" s="53"/>
      <c r="D33" s="83"/>
      <c r="E33" s="83"/>
      <c r="F33" s="83"/>
      <c r="G33" s="83"/>
      <c r="H33" s="52"/>
      <c r="I33" s="53"/>
      <c r="J33" s="53"/>
      <c r="K33" s="53"/>
      <c r="L33" s="53"/>
      <c r="M33" s="58"/>
      <c r="N33" s="52"/>
      <c r="O33" s="52"/>
      <c r="P33" s="52"/>
      <c r="Q33" s="55"/>
      <c r="S33" s="13"/>
    </row>
    <row r="34" spans="1:19" ht="14" customHeight="1">
      <c r="A34" s="15"/>
      <c r="B34" s="54"/>
      <c r="C34" s="53"/>
      <c r="D34" s="83"/>
      <c r="E34" s="83"/>
      <c r="F34" s="83"/>
      <c r="G34" s="83"/>
      <c r="H34" s="52"/>
      <c r="I34" s="53"/>
      <c r="J34" s="53"/>
      <c r="K34" s="53"/>
      <c r="L34" s="53"/>
      <c r="M34" s="58"/>
      <c r="N34" s="52"/>
      <c r="O34" s="52"/>
      <c r="P34" s="52"/>
      <c r="Q34" s="55"/>
      <c r="S34" s="13"/>
    </row>
    <row r="35" spans="1:19" ht="14" customHeight="1">
      <c r="A35" s="15"/>
      <c r="B35" s="54"/>
      <c r="C35" s="53"/>
      <c r="D35" s="83"/>
      <c r="E35" s="83"/>
      <c r="F35" s="83"/>
      <c r="G35" s="83"/>
      <c r="H35" s="52"/>
      <c r="I35" s="53"/>
      <c r="J35" s="53"/>
      <c r="K35" s="53"/>
      <c r="L35" s="53"/>
      <c r="M35" s="58"/>
      <c r="N35" s="52"/>
      <c r="O35" s="52"/>
      <c r="P35" s="52"/>
      <c r="Q35" s="55"/>
      <c r="S35" s="13"/>
    </row>
    <row r="36" spans="1:19" ht="14" customHeight="1">
      <c r="A36" s="15"/>
      <c r="B36" s="54"/>
      <c r="C36" s="53"/>
      <c r="D36" s="83"/>
      <c r="E36" s="83"/>
      <c r="F36" s="83"/>
      <c r="G36" s="83"/>
      <c r="H36" s="52"/>
      <c r="I36" s="53"/>
      <c r="J36" s="53"/>
      <c r="K36" s="53"/>
      <c r="L36" s="53"/>
      <c r="M36" s="58"/>
      <c r="N36" s="52"/>
      <c r="O36" s="52"/>
      <c r="P36" s="52"/>
      <c r="Q36" s="55"/>
      <c r="S36" s="13"/>
    </row>
    <row r="37" spans="1:19" ht="14" customHeight="1">
      <c r="A37" s="15"/>
      <c r="B37" s="54"/>
      <c r="C37" s="53"/>
      <c r="D37" s="83"/>
      <c r="E37" s="83"/>
      <c r="F37" s="83"/>
      <c r="G37" s="83"/>
      <c r="H37" s="52"/>
      <c r="I37" s="53"/>
      <c r="J37" s="53"/>
      <c r="K37" s="53"/>
      <c r="L37" s="53"/>
      <c r="M37" s="58"/>
      <c r="N37" s="53"/>
      <c r="O37" s="52"/>
      <c r="P37" s="52"/>
      <c r="Q37" s="55"/>
      <c r="S37" s="37"/>
    </row>
    <row r="38" spans="1:19" ht="14" customHeight="1">
      <c r="A38" s="15"/>
      <c r="B38" s="54"/>
      <c r="C38" s="53"/>
      <c r="D38" s="83"/>
      <c r="E38" s="83"/>
      <c r="F38" s="83"/>
      <c r="G38" s="83"/>
      <c r="H38" s="52"/>
      <c r="I38" s="53"/>
      <c r="J38" s="53"/>
      <c r="K38" s="52"/>
      <c r="L38" s="52"/>
      <c r="M38" s="58"/>
      <c r="N38" s="52"/>
      <c r="O38" s="52"/>
      <c r="P38" s="52"/>
      <c r="Q38" s="55"/>
      <c r="S38" s="37"/>
    </row>
    <row r="39" spans="1:19" ht="14" customHeight="1">
      <c r="A39" s="15"/>
      <c r="B39" s="54"/>
      <c r="C39" s="53"/>
      <c r="D39" s="83"/>
      <c r="E39" s="83"/>
      <c r="F39" s="83"/>
      <c r="G39" s="83"/>
      <c r="H39" s="52"/>
      <c r="I39" s="53"/>
      <c r="J39" s="53"/>
      <c r="K39" s="53"/>
      <c r="L39" s="53"/>
      <c r="M39" s="53"/>
      <c r="N39" s="52"/>
      <c r="O39" s="52"/>
      <c r="P39" s="52"/>
      <c r="Q39" s="55"/>
      <c r="S39" s="13"/>
    </row>
    <row r="40" spans="1:19" ht="14" customHeight="1">
      <c r="A40" s="15"/>
      <c r="B40" s="54"/>
      <c r="C40" s="53"/>
      <c r="D40" s="83"/>
      <c r="E40" s="83"/>
      <c r="F40" s="83"/>
      <c r="G40" s="83"/>
      <c r="H40" s="52"/>
      <c r="I40" s="53"/>
      <c r="J40" s="52"/>
      <c r="K40" s="52"/>
      <c r="L40" s="52"/>
      <c r="M40" s="52"/>
      <c r="N40" s="52"/>
      <c r="O40" s="52"/>
      <c r="P40" s="52"/>
      <c r="Q40" s="55"/>
      <c r="S40" s="13"/>
    </row>
    <row r="41" spans="1:19" ht="14" customHeight="1">
      <c r="A41" s="15"/>
      <c r="B41" s="54"/>
      <c r="C41" s="53"/>
      <c r="D41" s="83"/>
      <c r="E41" s="83"/>
      <c r="F41" s="83"/>
      <c r="G41" s="83"/>
      <c r="H41" s="52"/>
      <c r="I41" s="52"/>
      <c r="J41" s="52"/>
      <c r="K41" s="52"/>
      <c r="L41" s="52"/>
      <c r="M41" s="52"/>
      <c r="N41" s="52"/>
      <c r="O41" s="52"/>
      <c r="P41" s="52"/>
      <c r="Q41" s="55"/>
      <c r="S41" s="37"/>
    </row>
    <row r="42" spans="1:19" ht="14" customHeight="1">
      <c r="A42" s="15"/>
      <c r="B42" s="54"/>
      <c r="C42" s="53"/>
      <c r="D42" s="83"/>
      <c r="E42" s="83"/>
      <c r="F42" s="83"/>
      <c r="G42" s="83"/>
      <c r="H42" s="52"/>
      <c r="I42" s="52"/>
      <c r="J42" s="52"/>
      <c r="K42" s="52"/>
      <c r="L42" s="52"/>
      <c r="M42" s="52"/>
      <c r="N42" s="52"/>
      <c r="O42" s="52"/>
      <c r="P42" s="52"/>
      <c r="Q42" s="55"/>
      <c r="S42" s="37"/>
    </row>
    <row r="43" spans="1:19" ht="14" customHeight="1">
      <c r="A43" s="15"/>
      <c r="B43" s="54"/>
      <c r="C43" s="53"/>
      <c r="D43" s="83"/>
      <c r="E43" s="83"/>
      <c r="F43" s="83"/>
      <c r="G43" s="83"/>
      <c r="H43" s="52"/>
      <c r="I43" s="52"/>
      <c r="J43" s="52"/>
      <c r="K43" s="52"/>
      <c r="L43" s="52"/>
      <c r="M43" s="52"/>
      <c r="N43" s="52"/>
      <c r="O43" s="52"/>
      <c r="P43" s="52"/>
      <c r="Q43" s="55"/>
      <c r="S43" s="37"/>
    </row>
    <row r="44" spans="1:19" ht="14" customHeight="1">
      <c r="A44" s="15"/>
      <c r="B44" s="54"/>
      <c r="C44" s="53"/>
      <c r="D44" s="53"/>
      <c r="E44" s="53"/>
      <c r="F44" s="53"/>
      <c r="G44" s="53"/>
      <c r="H44" s="52"/>
      <c r="I44" s="52"/>
      <c r="J44" s="52"/>
      <c r="K44" s="52"/>
      <c r="L44" s="52"/>
      <c r="M44" s="52"/>
      <c r="N44" s="52"/>
      <c r="O44" s="52"/>
      <c r="P44" s="52"/>
      <c r="Q44" s="59"/>
      <c r="S44" s="37"/>
    </row>
    <row r="45" spans="1:19" ht="14" customHeight="1">
      <c r="A45" s="15"/>
      <c r="B45" s="54"/>
      <c r="C45" s="53"/>
      <c r="D45" s="53"/>
      <c r="E45" s="53"/>
      <c r="F45" s="53"/>
      <c r="G45" s="53"/>
      <c r="H45" s="52"/>
      <c r="I45" s="52"/>
      <c r="J45" s="52"/>
      <c r="K45" s="52"/>
      <c r="L45" s="52"/>
      <c r="M45" s="52"/>
      <c r="N45" s="52"/>
      <c r="O45" s="52"/>
      <c r="P45" s="52"/>
      <c r="Q45" s="59"/>
      <c r="S45" s="37"/>
    </row>
    <row r="46" spans="1:19" ht="14" customHeight="1">
      <c r="A46" s="15"/>
      <c r="B46" s="54"/>
      <c r="C46" s="53"/>
      <c r="D46" s="53"/>
      <c r="E46" s="53"/>
      <c r="F46" s="53"/>
      <c r="G46" s="53"/>
      <c r="H46" s="52"/>
      <c r="I46" s="52"/>
      <c r="J46" s="52"/>
      <c r="K46" s="52"/>
      <c r="L46" s="52"/>
      <c r="M46" s="52"/>
      <c r="N46" s="52"/>
      <c r="O46" s="52"/>
      <c r="P46" s="52"/>
      <c r="Q46" s="59"/>
      <c r="S46" s="37"/>
    </row>
    <row r="47" spans="1:19" ht="14" customHeight="1">
      <c r="A47" s="15"/>
      <c r="B47" s="54"/>
      <c r="C47" s="53"/>
      <c r="D47" s="281" t="s">
        <v>166</v>
      </c>
      <c r="E47" s="281"/>
      <c r="F47" s="281"/>
      <c r="G47" s="282"/>
      <c r="H47" s="53"/>
      <c r="I47" s="53"/>
      <c r="J47" s="281" t="s">
        <v>2</v>
      </c>
      <c r="K47" s="281"/>
      <c r="L47" s="281"/>
      <c r="M47" s="282"/>
      <c r="N47" s="52"/>
      <c r="O47" s="52"/>
      <c r="P47" s="52"/>
      <c r="Q47" s="59"/>
      <c r="S47" s="37"/>
    </row>
    <row r="48" spans="1:19" ht="14" customHeight="1">
      <c r="A48" s="15"/>
      <c r="B48" s="54"/>
      <c r="C48" s="53"/>
      <c r="D48" s="283"/>
      <c r="E48" s="283"/>
      <c r="F48" s="283"/>
      <c r="G48" s="284"/>
      <c r="H48" s="53"/>
      <c r="I48" s="53"/>
      <c r="J48" s="283"/>
      <c r="K48" s="283"/>
      <c r="L48" s="283"/>
      <c r="M48" s="284"/>
      <c r="N48" s="53"/>
      <c r="O48" s="53"/>
      <c r="P48" s="53"/>
      <c r="Q48" s="59"/>
      <c r="S48" s="37"/>
    </row>
    <row r="49" spans="1:19" ht="14" customHeight="1">
      <c r="A49" s="15"/>
      <c r="B49" s="74"/>
      <c r="C49" s="53"/>
      <c r="D49" s="283"/>
      <c r="E49" s="283"/>
      <c r="F49" s="283"/>
      <c r="G49" s="284"/>
      <c r="H49" s="53"/>
      <c r="I49" s="53"/>
      <c r="J49" s="283"/>
      <c r="K49" s="283"/>
      <c r="L49" s="283"/>
      <c r="M49" s="284"/>
      <c r="N49" s="53"/>
      <c r="O49" s="53"/>
      <c r="P49" s="53"/>
      <c r="Q49" s="60"/>
      <c r="S49" s="39"/>
    </row>
    <row r="50" spans="1:19" ht="14" customHeight="1">
      <c r="A50" s="15"/>
      <c r="B50" s="54"/>
      <c r="C50" s="53"/>
      <c r="D50" s="285"/>
      <c r="E50" s="285"/>
      <c r="F50" s="285"/>
      <c r="G50" s="286"/>
      <c r="H50" s="53"/>
      <c r="I50" s="53"/>
      <c r="J50" s="285"/>
      <c r="K50" s="285"/>
      <c r="L50" s="285"/>
      <c r="M50" s="286"/>
      <c r="N50" s="53"/>
      <c r="O50" s="53"/>
      <c r="P50" s="53"/>
      <c r="Q50" s="55"/>
      <c r="S50" s="40"/>
    </row>
    <row r="51" spans="1:19" ht="14" customHeight="1">
      <c r="A51" s="15"/>
      <c r="B51" s="54"/>
      <c r="C51" s="53"/>
      <c r="D51" s="38" t="s">
        <v>13</v>
      </c>
      <c r="E51" s="35">
        <v>15</v>
      </c>
      <c r="F51" s="35">
        <v>30</v>
      </c>
      <c r="G51" s="35">
        <v>45</v>
      </c>
      <c r="H51" s="53"/>
      <c r="I51" s="53"/>
      <c r="J51" s="34" t="s">
        <v>13</v>
      </c>
      <c r="K51" s="35">
        <v>15</v>
      </c>
      <c r="L51" s="35">
        <v>30</v>
      </c>
      <c r="M51" s="35">
        <v>45</v>
      </c>
      <c r="N51" s="53"/>
      <c r="O51" s="53"/>
      <c r="P51" s="53"/>
      <c r="Q51" s="55"/>
      <c r="S51" s="40"/>
    </row>
    <row r="52" spans="1:19" ht="14" customHeight="1">
      <c r="A52" s="15"/>
      <c r="B52" s="54"/>
      <c r="C52" s="53"/>
      <c r="D52" s="83">
        <v>5</v>
      </c>
      <c r="E52" s="83">
        <v>99</v>
      </c>
      <c r="F52" s="83">
        <v>98.875</v>
      </c>
      <c r="G52" s="83">
        <v>98.625</v>
      </c>
      <c r="H52" s="53"/>
      <c r="I52" s="53"/>
      <c r="J52" s="83">
        <v>4.5</v>
      </c>
      <c r="K52" s="83">
        <v>99.75</v>
      </c>
      <c r="L52" s="83">
        <v>99.625</v>
      </c>
      <c r="M52" s="83">
        <v>99.375</v>
      </c>
      <c r="N52" s="53"/>
      <c r="O52" s="53"/>
      <c r="P52" s="53"/>
      <c r="Q52" s="55"/>
      <c r="S52" s="40"/>
    </row>
    <row r="53" spans="1:19" ht="14" customHeight="1">
      <c r="A53" s="15"/>
      <c r="B53" s="54"/>
      <c r="C53" s="53"/>
      <c r="D53" s="83">
        <v>5.5</v>
      </c>
      <c r="E53" s="83">
        <v>100</v>
      </c>
      <c r="F53" s="83">
        <v>99.875</v>
      </c>
      <c r="G53" s="83">
        <v>99.625</v>
      </c>
      <c r="H53" s="53"/>
      <c r="I53" s="53"/>
      <c r="J53" s="83">
        <v>5</v>
      </c>
      <c r="K53" s="83">
        <v>101</v>
      </c>
      <c r="L53" s="83">
        <v>100.875</v>
      </c>
      <c r="M53" s="83">
        <v>100.625</v>
      </c>
      <c r="N53" s="53"/>
      <c r="O53" s="53"/>
      <c r="P53" s="53"/>
      <c r="Q53" s="55"/>
      <c r="S53" s="41"/>
    </row>
    <row r="54" spans="1:19" ht="14" customHeight="1">
      <c r="A54" s="15"/>
      <c r="B54" s="54"/>
      <c r="C54" s="53"/>
      <c r="D54" s="83">
        <v>6</v>
      </c>
      <c r="E54" s="83">
        <v>100.25</v>
      </c>
      <c r="F54" s="83">
        <v>100.125</v>
      </c>
      <c r="G54" s="83">
        <v>99.875</v>
      </c>
      <c r="H54" s="53"/>
      <c r="I54" s="53"/>
      <c r="J54" s="83">
        <v>5.5</v>
      </c>
      <c r="K54" s="83">
        <v>101.125</v>
      </c>
      <c r="L54" s="83">
        <v>101</v>
      </c>
      <c r="M54" s="83">
        <v>100.75</v>
      </c>
      <c r="N54" s="53"/>
      <c r="O54" s="53"/>
      <c r="P54" s="53"/>
      <c r="Q54" s="55"/>
      <c r="S54" s="42"/>
    </row>
    <row r="55" spans="1:19" ht="14" customHeight="1">
      <c r="A55" s="15"/>
      <c r="B55" s="54"/>
      <c r="C55" s="53"/>
      <c r="D55" s="83">
        <v>6.5</v>
      </c>
      <c r="E55" s="83">
        <v>100.5</v>
      </c>
      <c r="F55" s="83">
        <v>100.375</v>
      </c>
      <c r="G55" s="83">
        <v>100.125</v>
      </c>
      <c r="H55" s="53"/>
      <c r="I55" s="53"/>
      <c r="J55" s="83">
        <v>6</v>
      </c>
      <c r="K55" s="83">
        <v>101.375</v>
      </c>
      <c r="L55" s="83">
        <v>101.25</v>
      </c>
      <c r="M55" s="83">
        <v>101</v>
      </c>
      <c r="N55" s="53"/>
      <c r="O55" s="53"/>
      <c r="P55" s="53"/>
      <c r="Q55" s="55"/>
      <c r="S55" s="42"/>
    </row>
    <row r="56" spans="1:19" ht="14" customHeight="1">
      <c r="A56" s="15"/>
      <c r="B56" s="75"/>
      <c r="C56" s="61"/>
      <c r="D56" s="83"/>
      <c r="E56" s="83"/>
      <c r="F56" s="83"/>
      <c r="G56" s="83"/>
      <c r="H56" s="53"/>
      <c r="I56" s="53"/>
      <c r="J56" s="83"/>
      <c r="K56" s="83"/>
      <c r="L56" s="83"/>
      <c r="M56" s="83"/>
      <c r="N56" s="61"/>
      <c r="O56" s="61"/>
      <c r="P56" s="61"/>
      <c r="Q56" s="62"/>
      <c r="S56" s="42"/>
    </row>
    <row r="57" spans="1:19" ht="12.5" customHeight="1">
      <c r="A57" s="15"/>
      <c r="B57" s="76"/>
      <c r="C57" s="53"/>
      <c r="D57" s="83"/>
      <c r="E57" s="83"/>
      <c r="F57" s="83"/>
      <c r="G57" s="83"/>
      <c r="H57" s="53"/>
      <c r="I57" s="53"/>
      <c r="J57" s="83"/>
      <c r="K57" s="83"/>
      <c r="L57" s="83"/>
      <c r="M57" s="83"/>
      <c r="N57" s="53"/>
      <c r="O57" s="53"/>
      <c r="P57" s="53"/>
      <c r="Q57" s="63"/>
      <c r="S57" s="42"/>
    </row>
    <row r="58" spans="1:19" ht="12.5" customHeight="1">
      <c r="A58" s="15"/>
      <c r="B58" s="76"/>
      <c r="C58" s="53"/>
      <c r="D58" s="83"/>
      <c r="E58" s="83"/>
      <c r="F58" s="83"/>
      <c r="G58" s="83"/>
      <c r="H58" s="53"/>
      <c r="I58" s="53"/>
      <c r="J58" s="83"/>
      <c r="K58" s="83"/>
      <c r="L58" s="83"/>
      <c r="M58" s="83"/>
      <c r="N58" s="53"/>
      <c r="O58" s="53"/>
      <c r="P58" s="53"/>
      <c r="Q58" s="63"/>
      <c r="S58" s="42"/>
    </row>
    <row r="59" spans="1:19" ht="12.5" customHeight="1">
      <c r="A59" s="15"/>
      <c r="B59" s="76"/>
      <c r="C59" s="53"/>
      <c r="D59" s="83"/>
      <c r="E59" s="83"/>
      <c r="F59" s="83"/>
      <c r="G59" s="83"/>
      <c r="H59" s="53"/>
      <c r="I59" s="53"/>
      <c r="J59" s="83"/>
      <c r="K59" s="83"/>
      <c r="L59" s="83"/>
      <c r="M59" s="83"/>
      <c r="N59" s="53"/>
      <c r="O59" s="53"/>
      <c r="P59" s="53"/>
      <c r="Q59" s="63"/>
      <c r="S59" s="42"/>
    </row>
    <row r="60" spans="1:19" ht="12.5" customHeight="1">
      <c r="A60" s="15"/>
      <c r="B60" s="76"/>
      <c r="C60" s="53"/>
      <c r="D60" s="83"/>
      <c r="E60" s="83"/>
      <c r="F60" s="83"/>
      <c r="G60" s="83"/>
      <c r="H60" s="53"/>
      <c r="I60" s="53"/>
      <c r="J60" s="83"/>
      <c r="K60" s="83"/>
      <c r="L60" s="83"/>
      <c r="M60" s="83"/>
      <c r="N60" s="53"/>
      <c r="O60" s="53"/>
      <c r="P60" s="53"/>
      <c r="Q60" s="63"/>
      <c r="S60" s="42"/>
    </row>
    <row r="61" spans="1:19" ht="12.5" customHeight="1">
      <c r="A61" s="15"/>
      <c r="B61" s="76"/>
      <c r="C61" s="53"/>
      <c r="D61" s="83"/>
      <c r="E61" s="83"/>
      <c r="F61" s="83"/>
      <c r="G61" s="83"/>
      <c r="H61" s="53"/>
      <c r="I61" s="53"/>
      <c r="J61" s="83"/>
      <c r="K61" s="83"/>
      <c r="L61" s="83"/>
      <c r="M61" s="83"/>
      <c r="N61" s="53"/>
      <c r="O61" s="53"/>
      <c r="P61" s="53"/>
      <c r="Q61" s="63"/>
      <c r="S61" s="42"/>
    </row>
    <row r="62" spans="1:19" ht="12.5" customHeight="1">
      <c r="A62" s="15"/>
      <c r="B62" s="76"/>
      <c r="C62" s="53"/>
      <c r="D62" s="83"/>
      <c r="E62" s="83"/>
      <c r="F62" s="83"/>
      <c r="G62" s="83"/>
      <c r="H62" s="53"/>
      <c r="I62" s="53"/>
      <c r="J62" s="83"/>
      <c r="K62" s="83"/>
      <c r="L62" s="83"/>
      <c r="M62" s="83"/>
      <c r="N62" s="53"/>
      <c r="O62" s="53"/>
      <c r="P62" s="53"/>
      <c r="Q62" s="63"/>
      <c r="S62" s="42"/>
    </row>
    <row r="63" spans="1:19" ht="12.5" customHeight="1">
      <c r="A63" s="15"/>
      <c r="B63" s="54"/>
      <c r="C63" s="53"/>
      <c r="D63" s="83"/>
      <c r="E63" s="83"/>
      <c r="F63" s="83"/>
      <c r="G63" s="83"/>
      <c r="H63" s="53"/>
      <c r="I63" s="53"/>
      <c r="J63" s="83"/>
      <c r="K63" s="83"/>
      <c r="L63" s="83"/>
      <c r="M63" s="83"/>
      <c r="N63" s="53"/>
      <c r="O63" s="53"/>
      <c r="P63" s="53"/>
      <c r="Q63" s="64"/>
      <c r="S63" s="42"/>
    </row>
    <row r="64" spans="1:19" ht="14.25" customHeight="1">
      <c r="A64" s="15"/>
      <c r="B64" s="54"/>
      <c r="C64" s="53"/>
      <c r="D64" s="83"/>
      <c r="E64" s="83"/>
      <c r="F64" s="83"/>
      <c r="G64" s="83"/>
      <c r="H64" s="53"/>
      <c r="I64" s="53"/>
      <c r="J64" s="83"/>
      <c r="K64" s="83"/>
      <c r="L64" s="83"/>
      <c r="M64" s="83"/>
      <c r="N64" s="53"/>
      <c r="O64" s="53"/>
      <c r="P64" s="65"/>
      <c r="Q64" s="62"/>
      <c r="S64" s="42"/>
    </row>
    <row r="65" spans="1:19" ht="13.75" customHeight="1">
      <c r="A65" s="15"/>
      <c r="B65" s="54"/>
      <c r="C65" s="53"/>
      <c r="D65" s="83"/>
      <c r="E65" s="83"/>
      <c r="F65" s="83"/>
      <c r="G65" s="83"/>
      <c r="H65" s="53"/>
      <c r="I65" s="53"/>
      <c r="J65" s="83"/>
      <c r="K65" s="83"/>
      <c r="L65" s="83"/>
      <c r="M65" s="83"/>
      <c r="N65" s="53"/>
      <c r="O65" s="53"/>
      <c r="P65" s="66"/>
      <c r="Q65" s="67"/>
      <c r="S65" s="42"/>
    </row>
    <row r="66" spans="1:19" ht="13.25" customHeight="1">
      <c r="A66" s="15"/>
      <c r="B66" s="54"/>
      <c r="C66" s="53"/>
      <c r="D66" s="83"/>
      <c r="E66" s="83"/>
      <c r="F66" s="83"/>
      <c r="G66" s="83"/>
      <c r="H66" s="53"/>
      <c r="I66" s="53"/>
      <c r="J66" s="83"/>
      <c r="K66" s="83"/>
      <c r="L66" s="83"/>
      <c r="M66" s="83"/>
      <c r="N66" s="53"/>
      <c r="O66" s="53"/>
      <c r="P66" s="279"/>
      <c r="Q66" s="280"/>
      <c r="S66" s="42"/>
    </row>
    <row r="67" spans="1:19">
      <c r="A67" s="15"/>
      <c r="B67" s="54"/>
      <c r="C67" s="53"/>
      <c r="D67" s="83"/>
      <c r="E67" s="83"/>
      <c r="F67" s="83"/>
      <c r="G67" s="83"/>
      <c r="H67" s="53"/>
      <c r="I67" s="53"/>
      <c r="J67" s="199"/>
      <c r="K67" s="199"/>
      <c r="L67" s="199"/>
      <c r="M67" s="199"/>
      <c r="N67" s="53"/>
      <c r="O67" s="53"/>
      <c r="P67" s="196"/>
      <c r="Q67" s="197"/>
      <c r="S67" s="43"/>
    </row>
    <row r="68" spans="1:19">
      <c r="A68" s="15"/>
      <c r="B68" s="54"/>
      <c r="C68" s="53"/>
      <c r="D68" s="83"/>
      <c r="E68" s="83"/>
      <c r="F68" s="83"/>
      <c r="G68" s="83"/>
      <c r="H68" s="53"/>
      <c r="I68" s="53"/>
      <c r="J68" s="199"/>
      <c r="K68" s="199"/>
      <c r="L68" s="199"/>
      <c r="M68" s="199"/>
      <c r="N68" s="53"/>
      <c r="O68" s="53"/>
      <c r="P68" s="196"/>
      <c r="Q68" s="197"/>
      <c r="S68" s="43"/>
    </row>
    <row r="69" spans="1:19">
      <c r="B69" s="54"/>
      <c r="C69" s="53"/>
      <c r="D69" s="83"/>
      <c r="E69" s="83"/>
      <c r="F69" s="83"/>
      <c r="G69" s="83"/>
      <c r="H69" s="53"/>
      <c r="I69" s="53"/>
      <c r="J69" s="199"/>
      <c r="K69" s="199"/>
      <c r="L69" s="199"/>
      <c r="M69" s="199"/>
      <c r="N69" s="53"/>
      <c r="O69" s="53"/>
      <c r="P69" s="196"/>
      <c r="Q69" s="197"/>
      <c r="S69" s="44"/>
    </row>
    <row r="70" spans="1:19">
      <c r="B70" s="54"/>
      <c r="C70" s="53"/>
      <c r="D70" s="83"/>
      <c r="E70" s="83"/>
      <c r="F70" s="83"/>
      <c r="G70" s="83"/>
      <c r="H70" s="53"/>
      <c r="I70" s="53"/>
      <c r="J70" s="199"/>
      <c r="K70" s="199"/>
      <c r="L70" s="199"/>
      <c r="M70" s="199"/>
      <c r="N70" s="53"/>
      <c r="O70" s="53"/>
      <c r="P70" s="196"/>
      <c r="Q70" s="197"/>
      <c r="S70" s="13"/>
    </row>
    <row r="71" spans="1:19">
      <c r="B71" s="54"/>
      <c r="C71" s="53"/>
      <c r="D71" s="83"/>
      <c r="E71" s="83"/>
      <c r="F71" s="83"/>
      <c r="G71" s="83"/>
      <c r="H71" s="53"/>
      <c r="I71" s="53"/>
      <c r="J71" s="199"/>
      <c r="K71" s="199"/>
      <c r="L71" s="199"/>
      <c r="M71" s="199"/>
      <c r="N71" s="53"/>
      <c r="O71" s="53"/>
      <c r="P71" s="196"/>
      <c r="Q71" s="197"/>
      <c r="S71" s="13"/>
    </row>
    <row r="72" spans="1:19">
      <c r="B72" s="54"/>
      <c r="C72" s="53"/>
      <c r="D72" s="83"/>
      <c r="E72" s="83"/>
      <c r="F72" s="83"/>
      <c r="G72" s="83"/>
      <c r="H72" s="53"/>
      <c r="I72" s="53"/>
      <c r="J72" s="199"/>
      <c r="K72" s="199"/>
      <c r="L72" s="199"/>
      <c r="M72" s="199"/>
      <c r="N72" s="53"/>
      <c r="O72" s="53"/>
      <c r="P72" s="196"/>
      <c r="Q72" s="197"/>
      <c r="S72" s="13"/>
    </row>
    <row r="73" spans="1:19">
      <c r="B73" s="54"/>
      <c r="C73" s="53"/>
      <c r="D73" s="83"/>
      <c r="E73" s="83"/>
      <c r="F73" s="83"/>
      <c r="G73" s="83"/>
      <c r="H73" s="53"/>
      <c r="I73" s="53"/>
      <c r="J73" s="199"/>
      <c r="K73" s="199"/>
      <c r="L73" s="199"/>
      <c r="M73" s="199"/>
      <c r="N73" s="53"/>
      <c r="O73" s="53"/>
      <c r="P73" s="196"/>
      <c r="Q73" s="197"/>
      <c r="S73" s="13"/>
    </row>
    <row r="74" spans="1:19">
      <c r="B74" s="54"/>
      <c r="C74" s="53"/>
      <c r="D74" s="83"/>
      <c r="E74" s="83"/>
      <c r="F74" s="83"/>
      <c r="G74" s="83"/>
      <c r="H74" s="53"/>
      <c r="I74" s="53"/>
      <c r="J74" s="199"/>
      <c r="K74" s="199"/>
      <c r="L74" s="199"/>
      <c r="M74" s="199"/>
      <c r="N74" s="53"/>
      <c r="O74" s="53"/>
      <c r="P74" s="196"/>
      <c r="Q74" s="197"/>
      <c r="S74" s="13"/>
    </row>
    <row r="75" spans="1:19">
      <c r="B75" s="54"/>
      <c r="C75" s="53"/>
      <c r="D75" s="83"/>
      <c r="E75" s="83"/>
      <c r="F75" s="83"/>
      <c r="G75" s="83"/>
      <c r="H75" s="53"/>
      <c r="I75" s="53"/>
      <c r="J75" s="199"/>
      <c r="K75" s="199"/>
      <c r="L75" s="199"/>
      <c r="M75" s="199"/>
      <c r="N75" s="53"/>
      <c r="O75" s="53"/>
      <c r="P75" s="196"/>
      <c r="Q75" s="197"/>
      <c r="S75" s="13"/>
    </row>
    <row r="76" spans="1:19">
      <c r="B76" s="54"/>
      <c r="C76" s="53"/>
      <c r="D76" s="83"/>
      <c r="E76" s="83"/>
      <c r="F76" s="83"/>
      <c r="G76" s="83"/>
      <c r="H76" s="53"/>
      <c r="I76" s="53"/>
      <c r="J76" s="199"/>
      <c r="K76" s="199"/>
      <c r="L76" s="199"/>
      <c r="M76" s="199"/>
      <c r="N76" s="53"/>
      <c r="O76" s="53"/>
      <c r="P76" s="196"/>
      <c r="Q76" s="197"/>
      <c r="S76" s="13"/>
    </row>
    <row r="77" spans="1:19">
      <c r="B77" s="54"/>
      <c r="C77" s="53"/>
      <c r="D77" s="83"/>
      <c r="E77" s="83"/>
      <c r="F77" s="83"/>
      <c r="G77" s="83"/>
      <c r="H77" s="53"/>
      <c r="I77" s="53"/>
      <c r="J77" s="53"/>
      <c r="K77" s="53"/>
      <c r="L77" s="53"/>
      <c r="M77" s="53"/>
      <c r="N77" s="53"/>
      <c r="O77" s="53"/>
      <c r="P77" s="68"/>
      <c r="Q77" s="62"/>
      <c r="S77" s="13"/>
    </row>
    <row r="78" spans="1:19">
      <c r="B78" s="54"/>
      <c r="C78" s="53"/>
      <c r="D78" s="53"/>
      <c r="E78" s="53"/>
      <c r="F78" s="53"/>
      <c r="G78" s="53"/>
      <c r="H78" s="53"/>
      <c r="I78" s="53"/>
      <c r="J78" s="53"/>
      <c r="K78" s="53"/>
      <c r="L78" s="53"/>
      <c r="M78" s="53"/>
      <c r="N78" s="53"/>
      <c r="O78" s="53"/>
      <c r="P78" s="69"/>
      <c r="Q78" s="70"/>
      <c r="S78" s="13"/>
    </row>
    <row r="79" spans="1:19">
      <c r="B79" s="56"/>
      <c r="C79" s="57"/>
      <c r="D79" s="57"/>
      <c r="E79" s="57"/>
      <c r="F79" s="57"/>
      <c r="G79" s="57"/>
      <c r="H79" s="57"/>
      <c r="I79" s="57"/>
      <c r="J79" s="57"/>
      <c r="K79" s="57"/>
      <c r="L79" s="57"/>
      <c r="M79" s="57"/>
      <c r="N79" s="57"/>
      <c r="O79" s="57"/>
      <c r="P79" s="57"/>
      <c r="Q79" s="71"/>
      <c r="S79" s="13"/>
    </row>
    <row r="80" spans="1:19">
      <c r="S80" s="13"/>
    </row>
    <row r="81" spans="3:19">
      <c r="S81" s="13"/>
    </row>
    <row r="82" spans="3:19">
      <c r="S82" s="13"/>
    </row>
    <row r="83" spans="3:19" ht="18">
      <c r="D83" s="45" t="s">
        <v>4</v>
      </c>
      <c r="E83" s="46"/>
      <c r="F83" s="46"/>
      <c r="G83" s="46"/>
      <c r="H83" s="46"/>
      <c r="I83" s="46"/>
      <c r="J83" s="46"/>
      <c r="K83" s="46"/>
      <c r="L83" s="46"/>
      <c r="M83" s="47"/>
      <c r="S83" s="13"/>
    </row>
    <row r="84" spans="3:19" ht="18">
      <c r="D84" s="48"/>
      <c r="E84" s="49"/>
      <c r="F84" s="49"/>
      <c r="G84" s="49"/>
      <c r="H84" s="49"/>
      <c r="I84" s="49"/>
      <c r="J84" s="49"/>
      <c r="K84" s="49"/>
      <c r="L84" s="49"/>
      <c r="M84" s="50"/>
      <c r="S84" s="13"/>
    </row>
    <row r="85" spans="3:19">
      <c r="D85" s="77" t="s">
        <v>17</v>
      </c>
      <c r="E85" s="4" t="s">
        <v>18</v>
      </c>
      <c r="F85" s="5"/>
      <c r="G85" s="5"/>
      <c r="H85" s="5"/>
      <c r="I85" s="5"/>
      <c r="J85" s="5"/>
      <c r="K85" s="5"/>
      <c r="L85" s="5"/>
      <c r="M85" s="6"/>
      <c r="S85" s="13"/>
    </row>
    <row r="86" spans="3:19">
      <c r="D86" s="54" t="s">
        <v>15</v>
      </c>
      <c r="E86" s="7" t="s">
        <v>19</v>
      </c>
      <c r="F86" s="1"/>
      <c r="G86" s="1"/>
      <c r="H86" s="1"/>
      <c r="I86" s="1"/>
      <c r="J86" s="1"/>
      <c r="K86" s="1"/>
      <c r="L86" s="1"/>
      <c r="M86" s="2"/>
      <c r="S86" s="13"/>
    </row>
    <row r="87" spans="3:19">
      <c r="D87" s="56" t="s">
        <v>16</v>
      </c>
      <c r="E87" s="3" t="s">
        <v>20</v>
      </c>
      <c r="F87" s="8"/>
      <c r="G87" s="8"/>
      <c r="H87" s="8"/>
      <c r="I87" s="8"/>
      <c r="J87" s="8"/>
      <c r="K87" s="8"/>
      <c r="L87" s="8"/>
      <c r="M87" s="9"/>
      <c r="S87" s="13"/>
    </row>
    <row r="88" spans="3:19">
      <c r="S88" s="13"/>
    </row>
    <row r="89" spans="3:19" ht="18">
      <c r="C89" s="51" t="s">
        <v>5</v>
      </c>
      <c r="D89" s="51"/>
      <c r="E89" s="51"/>
      <c r="F89" s="51"/>
      <c r="G89" s="51"/>
      <c r="H89" s="51"/>
      <c r="I89" s="51"/>
      <c r="J89" s="51"/>
      <c r="K89" s="51"/>
      <c r="L89" s="51"/>
      <c r="M89" s="51"/>
      <c r="N89" s="51"/>
      <c r="O89" s="51"/>
      <c r="P89" s="51"/>
      <c r="S89" s="13"/>
    </row>
    <row r="90" spans="3:19" ht="18">
      <c r="C90" s="51"/>
      <c r="D90" s="51"/>
      <c r="E90" s="51"/>
      <c r="F90" s="51"/>
      <c r="G90" s="51"/>
      <c r="H90" s="51"/>
      <c r="I90" s="51"/>
      <c r="J90" s="51"/>
      <c r="K90" s="51"/>
      <c r="L90" s="51"/>
      <c r="M90" s="51"/>
      <c r="N90" s="51"/>
      <c r="O90" s="51"/>
      <c r="P90" s="51"/>
      <c r="S90" s="13"/>
    </row>
    <row r="91" spans="3:19" ht="18">
      <c r="C91" s="51" t="s">
        <v>6</v>
      </c>
      <c r="D91" s="51"/>
      <c r="E91" s="51"/>
      <c r="F91" s="51"/>
      <c r="G91" s="51"/>
      <c r="H91" s="51"/>
      <c r="I91" s="51"/>
      <c r="J91" s="51"/>
      <c r="K91" s="51"/>
      <c r="L91" s="51"/>
      <c r="M91" s="51"/>
      <c r="N91" s="51"/>
      <c r="O91" s="51"/>
      <c r="P91" s="51"/>
      <c r="S91" s="13"/>
    </row>
    <row r="92" spans="3:19" ht="18">
      <c r="C92" s="51"/>
      <c r="D92" s="51"/>
      <c r="E92" s="51"/>
      <c r="F92" s="51"/>
      <c r="G92" s="51"/>
      <c r="H92" s="51"/>
      <c r="I92" s="51"/>
      <c r="J92" s="51"/>
      <c r="K92" s="51"/>
      <c r="L92" s="51"/>
      <c r="M92" s="51"/>
      <c r="N92" s="51"/>
      <c r="O92" s="51"/>
      <c r="P92" s="51"/>
      <c r="S92" s="13"/>
    </row>
    <row r="93" spans="3:19" ht="18">
      <c r="C93" s="51" t="s">
        <v>7</v>
      </c>
      <c r="D93" s="51"/>
      <c r="E93" s="51"/>
      <c r="F93" s="51"/>
      <c r="G93" s="51"/>
      <c r="H93" s="51"/>
      <c r="I93" s="51"/>
      <c r="J93" s="51"/>
      <c r="K93" s="51"/>
      <c r="L93" s="51"/>
      <c r="M93" s="51"/>
      <c r="N93" s="51"/>
      <c r="O93" s="51"/>
      <c r="P93" s="51"/>
      <c r="S93" s="13"/>
    </row>
    <row r="94" spans="3:19" ht="18">
      <c r="C94" s="51"/>
      <c r="D94" s="51"/>
      <c r="E94" s="51"/>
      <c r="F94" s="51"/>
      <c r="G94" s="51"/>
      <c r="H94" s="51"/>
      <c r="I94" s="51"/>
      <c r="J94" s="51"/>
      <c r="K94" s="51"/>
      <c r="L94" s="51"/>
      <c r="M94" s="51"/>
      <c r="N94" s="51"/>
      <c r="O94" s="51"/>
      <c r="P94" s="51"/>
      <c r="S94" s="13"/>
    </row>
    <row r="95" spans="3:19">
      <c r="S95" s="13"/>
    </row>
    <row r="96" spans="3:19">
      <c r="S96" s="13"/>
    </row>
    <row r="97" spans="19:19">
      <c r="S97" s="13"/>
    </row>
    <row r="98" spans="19:19">
      <c r="S98" s="13"/>
    </row>
    <row r="99" spans="19:19">
      <c r="S99" s="13"/>
    </row>
    <row r="100" spans="19:19">
      <c r="S100" s="13"/>
    </row>
    <row r="101" spans="19:19">
      <c r="S101" s="13"/>
    </row>
    <row r="102" spans="19:19">
      <c r="S102" s="13"/>
    </row>
    <row r="103" spans="19:19">
      <c r="S103" s="13"/>
    </row>
  </sheetData>
  <mergeCells count="7">
    <mergeCell ref="P66:Q66"/>
    <mergeCell ref="D13:G16"/>
    <mergeCell ref="E6:K6"/>
    <mergeCell ref="E7:L7"/>
    <mergeCell ref="J47:M50"/>
    <mergeCell ref="J15:M18"/>
    <mergeCell ref="D47:G50"/>
  </mergeCells>
  <phoneticPr fontId="14" type="noConversion"/>
  <hyperlinks>
    <hyperlink ref="D9" r:id="rId1" xr:uid="{C7E0C452-51CA-4B4E-96BE-3D392BE3A8C5}"/>
  </hyperlinks>
  <pageMargins left="0.75" right="0.75" top="1" bottom="1" header="0.5" footer="0.5"/>
  <pageSetup scale="51" orientation="portrait"/>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hidecolumnsandsheets">
                <anchor moveWithCells="1">
                  <from>
                    <xdr:col>9</xdr:col>
                    <xdr:colOff>76200</xdr:colOff>
                    <xdr:row>25</xdr:row>
                    <xdr:rowOff>101600</xdr:rowOff>
                  </from>
                  <to>
                    <xdr:col>15</xdr:col>
                    <xdr:colOff>12700</xdr:colOff>
                    <xdr:row>27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1CCC4-ED5A-F340-A711-BF15E4D5C20B}">
  <sheetPr codeName="Sheet2"/>
  <dimension ref="A1:IU302"/>
  <sheetViews>
    <sheetView tabSelected="1" topLeftCell="W1" zoomScale="85" workbookViewId="0">
      <selection activeCell="A18" sqref="A18:XFD20"/>
    </sheetView>
  </sheetViews>
  <sheetFormatPr baseColWidth="10" defaultColWidth="0" defaultRowHeight="13" zeroHeight="1"/>
  <cols>
    <col min="1" max="1" width="41.5" style="173" hidden="1" customWidth="1"/>
    <col min="2" max="2" width="31.6640625" style="173" hidden="1" customWidth="1"/>
    <col min="3" max="3" width="28.5" style="173" hidden="1" customWidth="1"/>
    <col min="4" max="4" width="12.1640625" style="173" hidden="1" customWidth="1"/>
    <col min="5" max="5" width="19.1640625" style="173" hidden="1" customWidth="1"/>
    <col min="6" max="6" width="18.5" style="173" hidden="1" customWidth="1"/>
    <col min="7" max="8" width="0" style="173" hidden="1" customWidth="1"/>
    <col min="9" max="9" width="25" style="173" hidden="1" customWidth="1"/>
    <col min="10" max="10" width="29.6640625" style="173" hidden="1" customWidth="1"/>
    <col min="11" max="11" width="15.5" style="173" hidden="1" customWidth="1"/>
    <col min="12" max="12" width="15.1640625" style="173" hidden="1" customWidth="1"/>
    <col min="13" max="13" width="34.83203125" style="173" hidden="1" customWidth="1"/>
    <col min="14" max="15" width="0" style="173" hidden="1" customWidth="1"/>
    <col min="16" max="16" width="11.1640625" style="173" hidden="1" customWidth="1"/>
    <col min="17" max="18" width="0" style="173" hidden="1" customWidth="1"/>
    <col min="19" max="19" width="14.5" style="173" hidden="1" customWidth="1"/>
    <col min="20" max="21" width="12.6640625" style="173" hidden="1" customWidth="1"/>
    <col min="22" max="22" width="14.83203125" style="173" hidden="1" customWidth="1"/>
    <col min="23" max="23" width="31.5" style="172" customWidth="1"/>
    <col min="24" max="24" width="38.1640625" style="173" customWidth="1"/>
    <col min="25" max="25" width="13.5" style="173" customWidth="1"/>
    <col min="26" max="26" width="11.83203125" style="173" customWidth="1"/>
    <col min="27" max="27" width="14.33203125" style="173" customWidth="1"/>
    <col min="28" max="28" width="14.5" style="173" customWidth="1"/>
    <col min="29" max="29" width="22.33203125" style="173" customWidth="1"/>
    <col min="30" max="30" width="4.5" style="182" customWidth="1"/>
    <col min="31" max="31" width="8.5" style="173" hidden="1" customWidth="1"/>
    <col min="32" max="32" width="14.83203125" style="173" hidden="1" customWidth="1"/>
    <col min="33" max="33" width="14.5" style="173" hidden="1" customWidth="1"/>
    <col min="34" max="34" width="15.5" style="173" hidden="1" customWidth="1"/>
    <col min="35" max="35" width="17.83203125" style="173" hidden="1" customWidth="1"/>
    <col min="36" max="255" width="0" style="173" hidden="1" customWidth="1"/>
    <col min="256" max="16384" width="4.6640625" style="173" hidden="1"/>
  </cols>
  <sheetData>
    <row r="1" spans="1:247" customFormat="1" ht="14" thickBot="1">
      <c r="A1" s="163">
        <f ca="1">NOW()</f>
        <v>45811.702866550928</v>
      </c>
      <c r="C1" s="91" t="s">
        <v>83</v>
      </c>
      <c r="D1" s="108">
        <f>COUNTA(EFC_PricingToolCalcs!J52:J66)</f>
        <v>4</v>
      </c>
      <c r="J1" s="89" t="s">
        <v>221</v>
      </c>
      <c r="K1" s="89" t="s">
        <v>185</v>
      </c>
      <c r="L1" t="s">
        <v>186</v>
      </c>
      <c r="V1" s="271"/>
      <c r="W1" s="133"/>
      <c r="X1" s="171"/>
      <c r="Y1" s="171"/>
      <c r="Z1" s="13"/>
      <c r="AA1" s="13"/>
      <c r="AB1" s="13"/>
      <c r="AC1" s="13"/>
      <c r="AD1" s="13"/>
      <c r="AE1" s="13"/>
      <c r="AF1" s="13"/>
      <c r="AG1" s="13"/>
      <c r="AH1" s="13"/>
      <c r="AI1" s="13"/>
    </row>
    <row r="2" spans="1:247" customFormat="1" ht="14">
      <c r="C2" t="s">
        <v>84</v>
      </c>
      <c r="D2" s="109">
        <f>COUNTA(EFC_PricingToolCalcs!D18:D43)</f>
        <v>8</v>
      </c>
      <c r="H2" s="88"/>
      <c r="I2" s="89"/>
      <c r="J2" s="273" t="s">
        <v>235</v>
      </c>
      <c r="K2" s="276">
        <v>0</v>
      </c>
      <c r="L2" s="257">
        <v>0</v>
      </c>
      <c r="M2" s="107" t="s">
        <v>115</v>
      </c>
      <c r="N2" s="89"/>
      <c r="O2" s="89"/>
      <c r="S2" s="90"/>
      <c r="V2" s="105"/>
      <c r="W2" s="292" t="s">
        <v>149</v>
      </c>
      <c r="X2" s="293"/>
      <c r="Y2" s="160"/>
      <c r="Z2" s="162"/>
      <c r="AA2" s="13"/>
      <c r="AB2" s="13"/>
      <c r="AC2" s="13"/>
      <c r="AD2" s="13"/>
      <c r="AE2" s="13"/>
      <c r="AF2" s="13"/>
      <c r="AG2" s="13"/>
      <c r="AH2" s="13"/>
      <c r="AI2" s="13"/>
    </row>
    <row r="3" spans="1:247" customFormat="1" ht="14">
      <c r="A3" s="90"/>
      <c r="C3" t="s">
        <v>169</v>
      </c>
      <c r="D3" s="109">
        <f>COUNTA(EFC_PricingToolCalcs!D52:D77)</f>
        <v>4</v>
      </c>
      <c r="H3" s="88"/>
      <c r="I3" s="89"/>
      <c r="J3" s="274" t="s">
        <v>236</v>
      </c>
      <c r="K3" s="277">
        <v>0.125</v>
      </c>
      <c r="L3" s="272">
        <v>0</v>
      </c>
      <c r="M3" s="107" t="s">
        <v>116</v>
      </c>
      <c r="N3" s="89"/>
      <c r="O3" s="89"/>
      <c r="S3" s="90"/>
      <c r="V3" s="105"/>
      <c r="W3" s="295">
        <v>39857.444907407407</v>
      </c>
      <c r="X3" s="296"/>
      <c r="Y3" s="13"/>
      <c r="Z3" s="13"/>
      <c r="AA3" s="13"/>
      <c r="AB3" s="13"/>
      <c r="AC3" s="13"/>
      <c r="AD3" s="13"/>
      <c r="AE3" s="13"/>
      <c r="AF3" s="13"/>
      <c r="AG3" s="13"/>
      <c r="AH3" s="13"/>
      <c r="AI3" s="13"/>
    </row>
    <row r="4" spans="1:247" customFormat="1" ht="15" thickBot="1">
      <c r="A4" s="91"/>
      <c r="B4" s="91"/>
      <c r="C4" s="88" t="s">
        <v>98</v>
      </c>
      <c r="D4" s="110">
        <v>3</v>
      </c>
      <c r="E4" s="91"/>
      <c r="H4" s="88"/>
      <c r="I4" s="89"/>
      <c r="J4" s="275" t="s">
        <v>237</v>
      </c>
      <c r="K4" s="278">
        <v>0</v>
      </c>
      <c r="L4" s="259">
        <v>0</v>
      </c>
      <c r="M4" s="89"/>
      <c r="N4" s="89"/>
      <c r="O4" s="89"/>
      <c r="V4" s="105"/>
      <c r="W4" s="262" t="s">
        <v>112</v>
      </c>
      <c r="X4" s="263"/>
      <c r="Y4" s="13"/>
      <c r="Z4" s="189"/>
      <c r="AA4" s="294" t="s">
        <v>159</v>
      </c>
      <c r="AB4" s="294"/>
      <c r="AC4" s="294"/>
      <c r="AD4" s="213"/>
      <c r="AE4" s="213"/>
      <c r="AF4" s="189"/>
      <c r="AG4" s="294" t="s">
        <v>159</v>
      </c>
      <c r="AH4" s="294"/>
      <c r="AI4" s="294"/>
      <c r="IM4" s="166"/>
    </row>
    <row r="5" spans="1:247" s="91" customFormat="1" ht="35.25" customHeight="1" thickBot="1">
      <c r="J5" s="89" t="s">
        <v>213</v>
      </c>
      <c r="K5" s="92">
        <v>-2.25</v>
      </c>
      <c r="L5" s="93"/>
      <c r="M5" s="93"/>
      <c r="N5" s="92"/>
      <c r="O5" s="92"/>
      <c r="S5" s="90"/>
      <c r="V5" s="106"/>
      <c r="W5" s="144"/>
      <c r="X5" s="145"/>
      <c r="Y5" s="167"/>
      <c r="Z5" s="198" t="s">
        <v>158</v>
      </c>
      <c r="AA5" s="195" t="s">
        <v>160</v>
      </c>
      <c r="AB5" s="195" t="s">
        <v>161</v>
      </c>
      <c r="AC5" s="195" t="s">
        <v>162</v>
      </c>
      <c r="AD5" s="193"/>
      <c r="AE5" s="193"/>
      <c r="AF5" s="198" t="s">
        <v>158</v>
      </c>
      <c r="AG5" s="195" t="s">
        <v>160</v>
      </c>
      <c r="AH5" s="195" t="s">
        <v>161</v>
      </c>
      <c r="AI5" s="195" t="s">
        <v>162</v>
      </c>
    </row>
    <row r="6" spans="1:247" s="91" customFormat="1" ht="15" thickBot="1">
      <c r="J6" s="89"/>
      <c r="K6" s="92"/>
      <c r="L6" s="93"/>
      <c r="M6" s="93"/>
      <c r="N6" s="92"/>
      <c r="O6" s="92"/>
      <c r="S6" s="90"/>
      <c r="V6" s="106"/>
      <c r="W6" s="142" t="s">
        <v>231</v>
      </c>
      <c r="X6" s="143"/>
      <c r="Y6" s="167"/>
      <c r="Z6" s="298"/>
      <c r="AA6" s="298"/>
      <c r="AB6" s="298"/>
      <c r="AC6" s="298"/>
      <c r="AD6" s="299"/>
      <c r="AE6" s="299"/>
      <c r="AF6" s="298"/>
      <c r="AG6" s="298"/>
      <c r="AH6" s="298"/>
      <c r="AI6" s="298"/>
    </row>
    <row r="7" spans="1:247" s="91" customFormat="1" ht="15" customHeight="1" thickTop="1" thickBot="1">
      <c r="J7" s="93"/>
      <c r="K7" s="93" t="s">
        <v>231</v>
      </c>
      <c r="M7" s="93" t="s">
        <v>206</v>
      </c>
      <c r="N7" s="92"/>
      <c r="O7" s="92"/>
      <c r="S7" s="90"/>
      <c r="V7" s="106"/>
      <c r="W7" s="142" t="s">
        <v>206</v>
      </c>
      <c r="X7" s="143"/>
      <c r="Y7" s="167"/>
      <c r="Z7" s="298"/>
      <c r="AA7" s="298"/>
      <c r="AB7" s="298"/>
      <c r="AC7" s="298"/>
      <c r="AD7" s="299"/>
      <c r="AE7" s="299"/>
      <c r="AF7" s="298"/>
      <c r="AG7" s="298"/>
      <c r="AH7" s="298"/>
      <c r="AI7" s="298"/>
    </row>
    <row r="8" spans="1:247" customFormat="1" ht="16" thickTop="1" thickBot="1">
      <c r="B8" t="s">
        <v>114</v>
      </c>
      <c r="C8" s="230" t="s">
        <v>185</v>
      </c>
      <c r="D8" s="156" t="s">
        <v>186</v>
      </c>
      <c r="E8" s="91" t="s">
        <v>178</v>
      </c>
      <c r="J8" s="95"/>
      <c r="K8" s="269" t="s">
        <v>233</v>
      </c>
      <c r="L8" s="125">
        <v>0</v>
      </c>
      <c r="M8" s="95" t="s">
        <v>207</v>
      </c>
      <c r="N8" s="89"/>
      <c r="O8" s="89"/>
      <c r="S8" s="90"/>
      <c r="V8" s="105"/>
      <c r="W8" s="142" t="s">
        <v>21</v>
      </c>
      <c r="X8" s="143"/>
      <c r="Y8" s="169"/>
      <c r="Z8" s="298"/>
      <c r="AA8" s="298"/>
      <c r="AB8" s="298"/>
      <c r="AC8" s="298"/>
      <c r="AD8" s="300"/>
      <c r="AE8" s="300"/>
      <c r="AF8" s="298"/>
      <c r="AG8" s="298"/>
      <c r="AH8" s="298"/>
      <c r="AI8" s="298"/>
    </row>
    <row r="9" spans="1:247" customFormat="1" ht="16" thickTop="1" thickBot="1">
      <c r="A9" s="156" t="s">
        <v>229</v>
      </c>
      <c r="B9" s="120">
        <v>1</v>
      </c>
      <c r="C9" s="224">
        <v>-2.25</v>
      </c>
      <c r="D9" s="229">
        <v>-2.25</v>
      </c>
      <c r="E9" s="226" t="s">
        <v>179</v>
      </c>
      <c r="F9" s="218">
        <v>417001</v>
      </c>
      <c r="J9" s="89"/>
      <c r="K9" s="258" t="s">
        <v>232</v>
      </c>
      <c r="L9" s="129">
        <v>-1</v>
      </c>
      <c r="M9" s="89" t="s">
        <v>208</v>
      </c>
      <c r="N9" s="89"/>
      <c r="O9" s="89"/>
      <c r="P9" s="90" t="s">
        <v>228</v>
      </c>
      <c r="S9" s="90"/>
      <c r="V9" s="105"/>
      <c r="W9" s="142" t="s">
        <v>177</v>
      </c>
      <c r="X9" s="143"/>
      <c r="Y9" s="168"/>
      <c r="Z9" s="298"/>
      <c r="AA9" s="298"/>
      <c r="AB9" s="298"/>
      <c r="AC9" s="298"/>
      <c r="AD9" s="300"/>
      <c r="AE9" s="300"/>
      <c r="AF9" s="298"/>
      <c r="AG9" s="298"/>
      <c r="AH9" s="298"/>
      <c r="AI9" s="298"/>
      <c r="AJ9" s="91"/>
      <c r="AK9" s="91"/>
      <c r="AL9" s="91"/>
      <c r="AM9" s="91"/>
      <c r="AN9" s="91"/>
      <c r="AO9" s="91"/>
      <c r="AP9" s="91"/>
      <c r="AQ9" s="91"/>
      <c r="AR9" s="91"/>
      <c r="AS9" s="91"/>
      <c r="AT9" s="91"/>
      <c r="AU9" s="91"/>
      <c r="AV9" s="91"/>
      <c r="AW9" s="91"/>
      <c r="AX9" s="91"/>
      <c r="AY9" s="91"/>
      <c r="AZ9" s="91"/>
      <c r="BA9" s="91"/>
      <c r="BB9" s="91"/>
      <c r="BC9" s="91"/>
    </row>
    <row r="10" spans="1:247" customFormat="1" ht="16" thickTop="1" thickBot="1">
      <c r="A10" s="91"/>
      <c r="B10" s="121">
        <v>540</v>
      </c>
      <c r="C10" s="225">
        <v>-2.25</v>
      </c>
      <c r="D10" s="220">
        <v>-2.25</v>
      </c>
      <c r="E10" s="227" t="s">
        <v>180</v>
      </c>
      <c r="F10" s="219">
        <v>533851</v>
      </c>
      <c r="H10" s="88"/>
      <c r="I10" s="89"/>
      <c r="J10" s="89"/>
      <c r="K10" s="89"/>
      <c r="L10" s="89"/>
      <c r="M10" s="89"/>
      <c r="N10" s="89"/>
      <c r="O10" s="89"/>
      <c r="S10" s="96"/>
      <c r="V10" s="105"/>
      <c r="W10" s="134" t="s">
        <v>14</v>
      </c>
      <c r="X10" s="115"/>
      <c r="Y10" s="171"/>
      <c r="Z10" s="298"/>
      <c r="AA10" s="298"/>
      <c r="AB10" s="298"/>
      <c r="AC10" s="298"/>
      <c r="AD10" s="300"/>
      <c r="AE10" s="300"/>
      <c r="AF10" s="298"/>
      <c r="AG10" s="298"/>
      <c r="AH10" s="298"/>
      <c r="AI10" s="298"/>
    </row>
    <row r="11" spans="1:247" customFormat="1" ht="58" thickTop="1" thickBot="1">
      <c r="A11" s="91"/>
      <c r="B11" s="121">
        <v>580</v>
      </c>
      <c r="C11" s="225">
        <v>-1.25</v>
      </c>
      <c r="D11" s="220">
        <v>-1.25</v>
      </c>
      <c r="E11" s="227" t="s">
        <v>181</v>
      </c>
      <c r="F11" s="220">
        <v>645301</v>
      </c>
      <c r="H11" s="88"/>
      <c r="I11" s="223" t="s">
        <v>184</v>
      </c>
      <c r="J11" s="89"/>
      <c r="K11" s="89"/>
      <c r="L11" s="89"/>
      <c r="M11" s="89"/>
      <c r="N11" s="89"/>
      <c r="O11" s="265" t="s">
        <v>223</v>
      </c>
      <c r="P11" s="266"/>
      <c r="Q11" s="266"/>
      <c r="R11" s="266"/>
      <c r="S11" s="90"/>
      <c r="V11" s="105"/>
      <c r="W11" s="131" t="s">
        <v>74</v>
      </c>
      <c r="X11" s="116"/>
      <c r="Y11" s="13"/>
      <c r="Z11" s="298"/>
      <c r="AA11" s="298"/>
      <c r="AB11" s="298"/>
      <c r="AC11" s="298"/>
      <c r="AD11" s="300"/>
      <c r="AE11" s="300"/>
      <c r="AF11" s="298"/>
      <c r="AG11" s="298"/>
      <c r="AH11" s="298"/>
      <c r="AI11" s="298"/>
    </row>
    <row r="12" spans="1:247" customFormat="1" ht="72" thickTop="1" thickBot="1">
      <c r="B12" s="121">
        <v>600</v>
      </c>
      <c r="C12" s="225">
        <v>-1</v>
      </c>
      <c r="D12" s="264">
        <v>-1</v>
      </c>
      <c r="E12" s="228" t="s">
        <v>182</v>
      </c>
      <c r="F12" s="221">
        <v>801951</v>
      </c>
      <c r="H12" s="88"/>
      <c r="I12" s="223"/>
      <c r="J12" s="89"/>
      <c r="K12" s="89"/>
      <c r="L12" s="89"/>
      <c r="M12" s="89"/>
      <c r="N12" s="89"/>
      <c r="O12" s="265" t="s">
        <v>224</v>
      </c>
      <c r="P12" s="267"/>
      <c r="Q12" s="267"/>
      <c r="R12" s="267"/>
      <c r="S12" s="90"/>
      <c r="V12" s="105"/>
      <c r="W12" s="131" t="s">
        <v>214</v>
      </c>
      <c r="X12" s="116"/>
      <c r="Y12" s="13"/>
      <c r="Z12" s="298"/>
      <c r="AA12" s="298"/>
      <c r="AB12" s="298"/>
      <c r="AC12" s="298"/>
      <c r="AD12" s="300"/>
      <c r="AE12" s="300"/>
      <c r="AF12" s="298"/>
      <c r="AG12" s="298"/>
      <c r="AH12" s="298"/>
      <c r="AI12" s="298"/>
    </row>
    <row r="13" spans="1:247" customFormat="1" ht="86" thickTop="1" thickBot="1">
      <c r="A13" s="230" t="s">
        <v>230</v>
      </c>
      <c r="B13" s="122">
        <v>620</v>
      </c>
      <c r="C13" s="225">
        <v>0</v>
      </c>
      <c r="D13" s="264">
        <v>0</v>
      </c>
      <c r="E13" s="91"/>
      <c r="F13" s="91"/>
      <c r="H13" s="88"/>
      <c r="I13" s="223"/>
      <c r="J13" s="89"/>
      <c r="K13" s="89"/>
      <c r="L13" s="89"/>
      <c r="M13" s="89"/>
      <c r="N13" s="89"/>
      <c r="O13" s="265" t="s">
        <v>225</v>
      </c>
      <c r="P13" s="268"/>
      <c r="Q13" s="268"/>
      <c r="R13" s="268"/>
      <c r="S13" s="90"/>
      <c r="V13" s="105"/>
      <c r="W13" s="131" t="s">
        <v>234</v>
      </c>
      <c r="X13" s="116"/>
      <c r="Y13" s="13"/>
      <c r="Z13" s="298"/>
      <c r="AA13" s="298"/>
      <c r="AB13" s="298"/>
      <c r="AC13" s="298"/>
      <c r="AD13" s="300"/>
      <c r="AE13" s="300"/>
      <c r="AF13" s="298"/>
      <c r="AG13" s="298"/>
      <c r="AH13" s="298"/>
      <c r="AI13" s="298"/>
    </row>
    <row r="14" spans="1:247" customFormat="1" ht="58" thickTop="1" thickBot="1">
      <c r="A14" s="91"/>
      <c r="B14" s="123">
        <v>660</v>
      </c>
      <c r="C14" s="253">
        <v>0.25</v>
      </c>
      <c r="D14" s="254">
        <v>0.25</v>
      </c>
      <c r="H14" s="88"/>
      <c r="I14" s="89">
        <f>IF(ficooption=$M$3,1000, fico1)</f>
        <v>0</v>
      </c>
      <c r="J14" s="89"/>
      <c r="K14" s="89"/>
      <c r="L14" s="89"/>
      <c r="M14" s="89"/>
      <c r="N14" s="89"/>
      <c r="O14" s="265" t="s">
        <v>226</v>
      </c>
      <c r="P14" s="261"/>
      <c r="Q14" s="261"/>
      <c r="R14" s="261"/>
      <c r="S14" s="90"/>
      <c r="V14" s="105"/>
      <c r="W14" s="132" t="s">
        <v>126</v>
      </c>
      <c r="X14" s="119"/>
      <c r="Y14" s="171"/>
      <c r="Z14" s="298"/>
      <c r="AA14" s="298"/>
      <c r="AB14" s="298"/>
      <c r="AC14" s="298"/>
      <c r="AD14" s="300"/>
      <c r="AE14" s="300"/>
      <c r="AF14" s="298"/>
      <c r="AG14" s="298"/>
      <c r="AH14" s="298"/>
      <c r="AI14" s="298"/>
    </row>
    <row r="15" spans="1:247" customFormat="1" ht="58" thickTop="1" thickBot="1">
      <c r="A15" s="91"/>
      <c r="E15" s="91"/>
      <c r="H15" s="88"/>
      <c r="I15" s="97" t="s">
        <v>231</v>
      </c>
      <c r="J15" s="89" t="e">
        <f>VLOOKUP($X$6,$K$8:$L$9,2,FALSE)</f>
        <v>#N/A</v>
      </c>
      <c r="K15" s="89"/>
      <c r="L15" s="89"/>
      <c r="M15" s="94"/>
      <c r="N15" s="89"/>
      <c r="O15" s="265" t="s">
        <v>227</v>
      </c>
      <c r="P15" s="260"/>
      <c r="Q15" s="260"/>
      <c r="R15" s="260"/>
      <c r="S15" s="90"/>
      <c r="V15" s="13"/>
      <c r="W15" s="164" t="str">
        <f>IF(ficooption=$M$2,"Borrower 1","")</f>
        <v/>
      </c>
      <c r="X15" s="103"/>
      <c r="Y15" s="161"/>
      <c r="Z15" s="298"/>
      <c r="AA15" s="298"/>
      <c r="AB15" s="298"/>
      <c r="AC15" s="298"/>
      <c r="AD15" s="300"/>
      <c r="AE15" s="300"/>
      <c r="AF15" s="298"/>
      <c r="AG15" s="298"/>
      <c r="AH15" s="298"/>
      <c r="AI15" s="298"/>
    </row>
    <row r="16" spans="1:247" customFormat="1" ht="16" thickTop="1" thickBot="1">
      <c r="A16" s="156"/>
      <c r="E16" s="227" t="s">
        <v>210</v>
      </c>
      <c r="H16" s="88"/>
      <c r="I16" s="97" t="s">
        <v>204</v>
      </c>
      <c r="J16" s="89" t="e">
        <f>((VLOOKUP(X8,L123:AA173,HLOOKUP(X10,L118:AA119,2,TRUE)+1,FALSE))/X10)*100-MOD(((VLOOKUP(X8,L123:AA173,HLOOKUP(X10,L118:AA119,2,TRUE)+1,FALSE))/X10)*100,0.125)</f>
        <v>#N/A</v>
      </c>
      <c r="K16" s="89"/>
      <c r="L16" s="89"/>
      <c r="M16" s="89"/>
      <c r="N16" s="89"/>
      <c r="O16" s="89"/>
      <c r="S16" s="90"/>
      <c r="V16" s="13"/>
      <c r="W16" s="164" t="str">
        <f>IF(ficooption=$M$2,"Borrower 2","")</f>
        <v/>
      </c>
      <c r="X16" s="103"/>
      <c r="Y16" s="169"/>
      <c r="Z16" s="298"/>
      <c r="AA16" s="298"/>
      <c r="AB16" s="298"/>
      <c r="AC16" s="298"/>
      <c r="AD16" s="300"/>
      <c r="AE16" s="300"/>
      <c r="AF16" s="298"/>
      <c r="AG16" s="298"/>
      <c r="AH16" s="298"/>
      <c r="AI16" s="298"/>
    </row>
    <row r="17" spans="1:35" customFormat="1" ht="16" thickTop="1" thickBot="1">
      <c r="A17" t="s">
        <v>209</v>
      </c>
      <c r="B17" s="124">
        <v>0</v>
      </c>
      <c r="C17" s="125">
        <v>-0.75</v>
      </c>
      <c r="D17" s="124">
        <v>0</v>
      </c>
      <c r="E17" s="125">
        <v>-0.75</v>
      </c>
      <c r="H17" s="88"/>
      <c r="I17" s="97" t="s">
        <v>205</v>
      </c>
      <c r="J17" s="89" t="e">
        <f>(VLOOKUP(X10,$F$19:$G$23,2)/X10)*100-MOD((VLOOKUP(X10,$F$19:$G$23,2)/X10)*100,0.125)</f>
        <v>#N/A</v>
      </c>
      <c r="L17" s="89"/>
      <c r="M17" s="89"/>
      <c r="N17" s="89"/>
      <c r="O17" s="89"/>
      <c r="P17" s="90"/>
      <c r="S17" s="94"/>
      <c r="T17" s="98"/>
      <c r="U17" s="98"/>
      <c r="V17" s="13"/>
      <c r="W17" s="164" t="str">
        <f>IF(ficooption=$M$2,"Borrower 3","")</f>
        <v/>
      </c>
      <c r="X17" s="103"/>
      <c r="Y17" s="13"/>
      <c r="Z17" s="298"/>
      <c r="AA17" s="298"/>
      <c r="AB17" s="298"/>
      <c r="AC17" s="298"/>
      <c r="AD17" s="300"/>
      <c r="AE17" s="300"/>
      <c r="AF17" s="298"/>
      <c r="AG17" s="298"/>
      <c r="AH17" s="298"/>
      <c r="AI17" s="298"/>
    </row>
    <row r="18" spans="1:35" customFormat="1" ht="16" hidden="1" thickTop="1" thickBot="1">
      <c r="B18" s="126">
        <v>70000</v>
      </c>
      <c r="C18" s="127">
        <v>-0.25</v>
      </c>
      <c r="D18" s="126">
        <v>70000</v>
      </c>
      <c r="E18" s="127">
        <v>-0.25</v>
      </c>
      <c r="F18" t="s">
        <v>205</v>
      </c>
      <c r="H18" s="88"/>
      <c r="I18" t="s">
        <v>222</v>
      </c>
      <c r="J18" s="88" t="e">
        <f>IF(prog="30 Year Fixed-Jumbo",VLOOKUP(streamline,streamlineadj,3,FALSE),VLOOKUP(streamline,streamlineadj,2,FALSE))</f>
        <v>#N/A</v>
      </c>
      <c r="L18" s="89"/>
      <c r="M18" s="104"/>
      <c r="N18" s="89"/>
      <c r="O18" s="89"/>
      <c r="P18" s="90"/>
      <c r="S18" s="94"/>
      <c r="V18" s="13"/>
      <c r="W18" s="135"/>
      <c r="X18" s="222"/>
      <c r="Y18" s="13"/>
      <c r="Z18" s="298"/>
      <c r="AA18" s="298"/>
      <c r="AB18" s="298"/>
      <c r="AC18" s="298"/>
      <c r="AD18" s="300"/>
      <c r="AE18" s="300"/>
      <c r="AF18" s="298"/>
      <c r="AG18" s="298"/>
      <c r="AH18" s="298"/>
      <c r="AI18" s="298"/>
    </row>
    <row r="19" spans="1:35" customFormat="1" ht="16" hidden="1" thickTop="1" thickBot="1">
      <c r="B19" s="126">
        <v>100000</v>
      </c>
      <c r="C19" s="127">
        <v>0</v>
      </c>
      <c r="D19" s="126">
        <v>100000</v>
      </c>
      <c r="E19" s="127">
        <v>0</v>
      </c>
      <c r="F19" s="251">
        <v>1</v>
      </c>
      <c r="G19" s="250">
        <v>715</v>
      </c>
      <c r="I19" s="97" t="s">
        <v>219</v>
      </c>
      <c r="J19" s="89">
        <f>IF(term="20 Year",-1,0)</f>
        <v>0</v>
      </c>
      <c r="K19" s="89"/>
      <c r="L19" s="89"/>
      <c r="M19" s="89"/>
      <c r="N19" s="89"/>
      <c r="O19" s="89"/>
      <c r="P19" s="90"/>
      <c r="S19" s="94"/>
      <c r="V19" s="13"/>
      <c r="W19" s="134" t="s">
        <v>23</v>
      </c>
      <c r="X19" s="114"/>
      <c r="Y19" s="13"/>
      <c r="Z19" s="298"/>
      <c r="AA19" s="298"/>
      <c r="AB19" s="298"/>
      <c r="AC19" s="298"/>
      <c r="AD19" s="300"/>
      <c r="AE19" s="300"/>
      <c r="AF19" s="298"/>
      <c r="AG19" s="298"/>
      <c r="AH19" s="298"/>
      <c r="AI19" s="298"/>
    </row>
    <row r="20" spans="1:35" customFormat="1" ht="15" hidden="1" thickTop="1">
      <c r="B20" s="126">
        <v>362790</v>
      </c>
      <c r="C20" s="127">
        <v>0</v>
      </c>
      <c r="D20" s="126">
        <v>362790</v>
      </c>
      <c r="E20" s="127">
        <v>0</v>
      </c>
      <c r="F20" s="251">
        <v>70000</v>
      </c>
      <c r="G20" s="250">
        <v>900</v>
      </c>
      <c r="I20" s="97" t="s">
        <v>211</v>
      </c>
      <c r="J20" s="89" t="s">
        <v>220</v>
      </c>
      <c r="K20" s="89"/>
      <c r="L20" s="89"/>
      <c r="M20" s="89"/>
      <c r="N20" s="89"/>
      <c r="O20" s="89"/>
      <c r="P20" s="90"/>
      <c r="S20" s="94"/>
      <c r="V20" s="13"/>
      <c r="W20" s="136"/>
      <c r="X20" s="117"/>
      <c r="Y20" s="13"/>
      <c r="Z20" s="298"/>
      <c r="AA20" s="298"/>
      <c r="AB20" s="298"/>
      <c r="AC20" s="298"/>
      <c r="AD20" s="300"/>
      <c r="AE20" s="300"/>
      <c r="AF20" s="298"/>
      <c r="AG20" s="298"/>
      <c r="AH20" s="298"/>
      <c r="AI20" s="298"/>
    </row>
    <row r="21" spans="1:35" customFormat="1" ht="15" customHeight="1" thickTop="1" thickBot="1">
      <c r="B21" s="128">
        <v>417000</v>
      </c>
      <c r="C21" s="129">
        <v>0</v>
      </c>
      <c r="D21" s="252"/>
      <c r="E21" s="129"/>
      <c r="F21" s="251">
        <v>100000</v>
      </c>
      <c r="G21" s="250">
        <v>1050</v>
      </c>
      <c r="H21" s="88"/>
      <c r="I21" s="97" t="s">
        <v>187</v>
      </c>
      <c r="J21" s="89">
        <v>0</v>
      </c>
      <c r="K21" s="89"/>
      <c r="L21" s="89"/>
      <c r="M21" s="89"/>
      <c r="N21" s="89"/>
      <c r="O21" s="89"/>
      <c r="P21" s="90"/>
      <c r="S21" s="94"/>
      <c r="V21" s="13"/>
      <c r="W21" s="137" t="s">
        <v>117</v>
      </c>
      <c r="X21" s="117"/>
      <c r="Y21" s="13"/>
      <c r="Z21" s="298"/>
      <c r="AA21" s="298"/>
      <c r="AB21" s="298"/>
      <c r="AC21" s="298"/>
      <c r="AD21" s="300"/>
      <c r="AE21" s="300"/>
      <c r="AF21" s="298"/>
      <c r="AG21" s="298"/>
      <c r="AH21" s="298"/>
      <c r="AI21" s="298"/>
    </row>
    <row r="22" spans="1:35" customFormat="1" ht="22.5" customHeight="1" thickTop="1" thickBot="1">
      <c r="B22" s="124" t="s">
        <v>121</v>
      </c>
      <c r="C22" s="125">
        <v>0</v>
      </c>
      <c r="F22" s="250">
        <v>200000</v>
      </c>
      <c r="G22" s="250">
        <v>1050</v>
      </c>
      <c r="H22" s="88"/>
      <c r="I22" s="97" t="s">
        <v>94</v>
      </c>
      <c r="J22" s="89" t="e">
        <f>VLOOKUP(VLOOKUP(state,tierstates,2,FALSE),tieradj,2,FALSE)</f>
        <v>#N/A</v>
      </c>
      <c r="K22" s="89"/>
      <c r="L22" s="89"/>
      <c r="M22" s="89"/>
      <c r="N22" s="89"/>
      <c r="O22" s="89"/>
      <c r="P22" s="90"/>
      <c r="V22" s="13"/>
      <c r="W22" s="138" t="s">
        <v>157</v>
      </c>
      <c r="X22" s="270"/>
      <c r="Y22" s="13"/>
      <c r="Z22" s="298"/>
      <c r="AA22" s="298"/>
      <c r="AB22" s="298"/>
      <c r="AC22" s="298"/>
      <c r="AD22" s="300"/>
      <c r="AE22" s="300"/>
      <c r="AF22" s="298"/>
      <c r="AG22" s="298"/>
      <c r="AH22" s="298"/>
      <c r="AI22" s="298"/>
    </row>
    <row r="23" spans="1:35" customFormat="1" ht="16" hidden="1" thickTop="1" thickBot="1">
      <c r="B23" s="126" t="s">
        <v>122</v>
      </c>
      <c r="C23" s="127">
        <v>-0.125</v>
      </c>
      <c r="F23" s="250">
        <v>10000000</v>
      </c>
      <c r="G23" s="250">
        <v>1050</v>
      </c>
      <c r="H23" s="88"/>
      <c r="I23" t="s">
        <v>95</v>
      </c>
      <c r="J23" s="89">
        <f>IF(X9="1 Unit",VLOOKUP(loanamt,loanamtadj,2),VLOOKUP(loanamt,multi_loanamtadj,2))</f>
        <v>-0.75</v>
      </c>
      <c r="K23" s="89"/>
      <c r="L23" s="89"/>
      <c r="M23" s="89"/>
      <c r="N23" s="89"/>
      <c r="O23" s="89"/>
      <c r="P23" s="90"/>
      <c r="V23" s="13"/>
      <c r="W23" s="136"/>
      <c r="X23" s="117"/>
      <c r="Y23" s="13"/>
      <c r="Z23" s="298"/>
      <c r="AA23" s="298"/>
      <c r="AB23" s="298"/>
      <c r="AC23" s="298"/>
      <c r="AD23" s="300"/>
      <c r="AE23" s="300"/>
      <c r="AF23" s="298"/>
      <c r="AG23" s="298"/>
      <c r="AH23" s="298"/>
      <c r="AI23" s="298"/>
    </row>
    <row r="24" spans="1:35" customFormat="1" ht="16" hidden="1" thickTop="1" thickBot="1">
      <c r="B24" s="126" t="s">
        <v>123</v>
      </c>
      <c r="C24" s="127">
        <v>-0.25</v>
      </c>
      <c r="H24" s="88"/>
      <c r="I24" s="97" t="s">
        <v>96</v>
      </c>
      <c r="J24" s="89" t="e">
        <f>IF(streamline="Streamline - Non-Credit Qualifying",0,VLOOKUP(MIN(fico1,fico2,fico3,fico4),ficoadj,IF(prog="30 Year Fixed-Jumbo",3,2)))</f>
        <v>#N/A</v>
      </c>
      <c r="K24" s="89"/>
      <c r="L24" s="89"/>
      <c r="M24" s="89"/>
      <c r="N24" s="89"/>
      <c r="O24" s="89"/>
      <c r="P24" s="90"/>
      <c r="V24" s="13"/>
      <c r="W24" s="139" t="str">
        <f>IF(W22=A252,"Rate",IF(W22=A253,"Points",))</f>
        <v>Points</v>
      </c>
      <c r="X24" s="113"/>
      <c r="Y24" s="13"/>
      <c r="Z24" s="298"/>
      <c r="AA24" s="298"/>
      <c r="AB24" s="298"/>
      <c r="AC24" s="298"/>
      <c r="AD24" s="300"/>
      <c r="AE24" s="300"/>
      <c r="AF24" s="298"/>
      <c r="AG24" s="298"/>
      <c r="AH24" s="298"/>
      <c r="AI24" s="298"/>
    </row>
    <row r="25" spans="1:35" customFormat="1" ht="16" hidden="1" thickTop="1" thickBot="1">
      <c r="B25" s="128" t="s">
        <v>212</v>
      </c>
      <c r="C25" s="129">
        <v>0.25</v>
      </c>
      <c r="I25" s="99" t="s">
        <v>97</v>
      </c>
      <c r="J25" s="111" t="e">
        <f>SUM(J18:J24,J15)</f>
        <v>#N/A</v>
      </c>
      <c r="P25" s="90"/>
      <c r="V25" s="13"/>
      <c r="W25" s="136"/>
      <c r="X25" s="117"/>
      <c r="Y25" s="13"/>
      <c r="Z25" s="298"/>
      <c r="AA25" s="298"/>
      <c r="AB25" s="298"/>
      <c r="AC25" s="298"/>
      <c r="AD25" s="300"/>
      <c r="AE25" s="300"/>
      <c r="AF25" s="298"/>
      <c r="AG25" s="298"/>
      <c r="AH25" s="298"/>
      <c r="AI25" s="298"/>
    </row>
    <row r="26" spans="1:35" customFormat="1" ht="15" hidden="1" thickBot="1">
      <c r="I26" s="99"/>
      <c r="P26" s="90"/>
      <c r="V26" s="13"/>
      <c r="W26" s="140" t="s">
        <v>111</v>
      </c>
      <c r="X26" s="112"/>
      <c r="Y26" s="13"/>
      <c r="Z26" s="298"/>
      <c r="AA26" s="298"/>
      <c r="AB26" s="298"/>
      <c r="AC26" s="298"/>
      <c r="AD26" s="300"/>
      <c r="AE26" s="300"/>
      <c r="AF26" s="298"/>
      <c r="AG26" s="298"/>
      <c r="AH26" s="298"/>
      <c r="AI26" s="298"/>
    </row>
    <row r="27" spans="1:35" customFormat="1" ht="15" hidden="1" thickBot="1">
      <c r="B27" s="147" t="s">
        <v>120</v>
      </c>
      <c r="C27" s="148"/>
      <c r="P27" s="90"/>
      <c r="V27" s="13"/>
      <c r="W27" s="139" t="str">
        <f>IF(selection="Rate","Points",IF(selection="Points","Rate"))</f>
        <v>Rate</v>
      </c>
      <c r="X27" s="118" t="str">
        <f ca="1">(IF(ISERROR(OFFSET(REFCELL,MATCH(inputno,OFFSET(REFCELL,0,VLOOKUP(selection&amp;prog&amp;lockperiod,lookups,2,FALSE),VLOOKUP(selection&amp;prog&amp;lockperiod,lookups,3,FALSE)),0)-1,VLOOKUP(selection&amp;prog&amp;lockperiod,lookups,4,FALSE))),"",OFFSET(REFCELL,MATCH(inputno,OFFSET(REFCELL,0,VLOOKUP(selection&amp;prog&amp;lockperiod,lookups,2,FALSE),VLOOKUP(selection&amp;prog&amp;lockperiod,lookups,3,FALSE)),0)-1,VLOOKUP(selection&amp;prog&amp;lockperiod,lookups,4,FALSE))))</f>
        <v/>
      </c>
      <c r="Y27" s="13"/>
      <c r="Z27" s="298"/>
      <c r="AA27" s="298"/>
      <c r="AB27" s="298"/>
      <c r="AC27" s="298"/>
      <c r="AD27" s="300"/>
      <c r="AE27" s="300"/>
      <c r="AF27" s="298"/>
      <c r="AG27" s="298"/>
      <c r="AH27" s="298"/>
      <c r="AI27" s="298"/>
    </row>
    <row r="28" spans="1:35" customFormat="1" ht="15" hidden="1" thickBot="1">
      <c r="B28" s="149" t="s">
        <v>118</v>
      </c>
      <c r="C28" s="150" t="s">
        <v>119</v>
      </c>
      <c r="P28" s="90"/>
      <c r="S28" s="100"/>
      <c r="V28" s="13"/>
      <c r="W28" s="141" t="s">
        <v>110</v>
      </c>
      <c r="X28" s="146" t="str">
        <f ca="1">IF(ISERROR(IF(W22=$A$252,IF(inputno&gt;=VLOOKUP(selection&amp;prog&amp;lockperiod,lookups,5)+1.5,"Yes","No"),IF(output&gt;=VLOOKUP(selection&amp;prog&amp;lockperiod,lookups,5)+1.5,"Yes","No"))),"",IF(W22=$A$252,IF(inputno&gt;=VLOOKUP(selection&amp;prog&amp;lockperiod,lookups,5)+1.5,"Yes","No"),IF(output&gt;=VLOOKUP(selection&amp;prog&amp;lockperiod,lookups,5)+1.5,"Yes","No")))</f>
        <v/>
      </c>
      <c r="Y28" s="13"/>
      <c r="Z28" s="298"/>
      <c r="AA28" s="298"/>
      <c r="AB28" s="298"/>
      <c r="AC28" s="298"/>
      <c r="AD28" s="300"/>
      <c r="AE28" s="300"/>
      <c r="AF28" s="298"/>
      <c r="AG28" s="298"/>
      <c r="AH28" s="298"/>
      <c r="AI28" s="298"/>
    </row>
    <row r="29" spans="1:35" customFormat="1" ht="15" thickTop="1" thickBot="1">
      <c r="B29" s="151">
        <f>EFC_PricingToolCalcs!J21</f>
        <v>3.625</v>
      </c>
      <c r="C29" s="152">
        <f>EFC_PricingToolCalcs!L21</f>
        <v>4.25</v>
      </c>
      <c r="P29" s="90"/>
      <c r="S29" s="100"/>
      <c r="V29" s="13"/>
      <c r="W29" s="159" t="s">
        <v>238</v>
      </c>
      <c r="X29" s="13"/>
      <c r="Y29" s="13"/>
      <c r="Z29" s="298"/>
      <c r="AA29" s="298"/>
      <c r="AB29" s="298"/>
      <c r="AC29" s="298"/>
      <c r="AD29" s="300"/>
      <c r="AE29" s="300"/>
      <c r="AF29" s="298"/>
      <c r="AG29" s="298"/>
      <c r="AH29" s="298"/>
      <c r="AI29" s="298"/>
    </row>
    <row r="30" spans="1:35" customFormat="1" ht="16.5" customHeight="1">
      <c r="B30" s="1" t="s">
        <v>125</v>
      </c>
      <c r="C30" s="1" t="s">
        <v>124</v>
      </c>
      <c r="P30" s="90"/>
      <c r="S30" s="101"/>
      <c r="V30" s="13"/>
      <c r="W30" s="155"/>
      <c r="X30" s="13"/>
      <c r="Y30" s="13"/>
      <c r="Z30" s="298"/>
      <c r="AA30" s="298"/>
      <c r="AB30" s="298"/>
      <c r="AC30" s="298"/>
      <c r="AD30" s="300"/>
      <c r="AE30" s="300"/>
      <c r="AF30" s="298"/>
      <c r="AG30" s="298"/>
      <c r="AH30" s="298"/>
      <c r="AI30" s="298"/>
    </row>
    <row r="31" spans="1:35" customFormat="1" ht="42" customHeight="1">
      <c r="P31" s="90"/>
      <c r="V31" s="13"/>
      <c r="W31" s="297" t="s">
        <v>148</v>
      </c>
      <c r="X31" s="297"/>
      <c r="Y31" s="13"/>
      <c r="Z31" s="298"/>
      <c r="AA31" s="298"/>
      <c r="AB31" s="298"/>
      <c r="AC31" s="298"/>
      <c r="AD31" s="300"/>
      <c r="AE31" s="300"/>
      <c r="AF31" s="298"/>
      <c r="AG31" s="298"/>
      <c r="AH31" s="298"/>
      <c r="AI31" s="298"/>
    </row>
    <row r="32" spans="1:35" customFormat="1" ht="15.75" customHeight="1">
      <c r="L32" s="94"/>
      <c r="V32" s="13"/>
      <c r="W32" s="217"/>
      <c r="X32" s="217"/>
      <c r="Y32" s="13"/>
      <c r="Z32" s="298"/>
      <c r="AA32" s="298"/>
      <c r="AB32" s="298"/>
      <c r="AC32" s="298"/>
      <c r="AD32" s="300"/>
      <c r="AE32" s="300"/>
      <c r="AF32" s="300"/>
      <c r="AG32" s="300"/>
      <c r="AH32" s="300"/>
      <c r="AI32" s="300"/>
    </row>
    <row r="33" spans="1:85">
      <c r="A33" s="255" t="s">
        <v>215</v>
      </c>
      <c r="B33" s="102"/>
      <c r="C33" s="102"/>
      <c r="D33" s="102"/>
      <c r="E33" s="102"/>
      <c r="F33" s="102"/>
      <c r="G33" s="102"/>
      <c r="H33" s="102"/>
      <c r="I33" s="102"/>
      <c r="J33" s="102"/>
      <c r="K33" s="102"/>
      <c r="L33" s="102"/>
      <c r="M33" s="102"/>
      <c r="N33" s="102"/>
      <c r="O33" s="102"/>
      <c r="P33" s="102"/>
      <c r="Q33" s="102"/>
      <c r="R33" s="102"/>
      <c r="S33" s="102"/>
      <c r="T33" s="102"/>
      <c r="U33" s="102"/>
      <c r="V33" s="171"/>
      <c r="W33" s="217"/>
      <c r="X33" s="217"/>
      <c r="Y33" s="182"/>
      <c r="Z33" s="194"/>
      <c r="AA33" s="194"/>
      <c r="AB33" s="194"/>
      <c r="AC33" s="194"/>
      <c r="AD33" s="214"/>
      <c r="AE33" s="214"/>
      <c r="AF33" s="214"/>
      <c r="AG33" s="214"/>
      <c r="AH33" s="214"/>
      <c r="AI33" s="214"/>
    </row>
    <row r="34" spans="1:85" hidden="1">
      <c r="A34" s="256" t="s">
        <v>119</v>
      </c>
      <c r="B34" s="102"/>
      <c r="C34" s="102"/>
      <c r="D34" s="102"/>
      <c r="E34" s="102" t="s">
        <v>82</v>
      </c>
      <c r="F34" s="102"/>
      <c r="G34" s="102"/>
      <c r="H34" s="102"/>
      <c r="I34" s="102"/>
      <c r="J34" s="102"/>
      <c r="K34" s="102"/>
      <c r="L34" s="102"/>
      <c r="M34" s="102"/>
      <c r="N34" s="102"/>
      <c r="O34" s="102"/>
      <c r="P34" s="102"/>
      <c r="Q34" s="102"/>
      <c r="R34" s="102"/>
      <c r="S34" s="102"/>
      <c r="T34" s="102"/>
      <c r="U34" s="102"/>
      <c r="V34" s="171"/>
      <c r="W34" s="191"/>
      <c r="X34" s="182"/>
      <c r="Y34" s="182"/>
      <c r="Z34" s="193"/>
      <c r="AA34" s="190"/>
      <c r="AB34" s="193"/>
      <c r="AC34" s="193"/>
      <c r="AD34" s="214"/>
      <c r="AE34" s="214"/>
      <c r="AF34" s="214"/>
      <c r="AG34" s="214"/>
      <c r="AH34" s="214"/>
      <c r="AI34" s="214"/>
    </row>
    <row r="35" spans="1:85" hidden="1">
      <c r="A35" s="256" t="s">
        <v>216</v>
      </c>
      <c r="B35" s="102"/>
      <c r="C35" s="102"/>
      <c r="D35" s="102"/>
      <c r="E35" s="175" t="e">
        <f>ROUND((VLOOKUP(VLOOKUP(state,tierstates,2,FALSE),tieradj,2,FALSE)+VLOOKUP(loanamt,loanamtadj,2)+VLOOKUP(MIN(fico1,fico2,fico3,fico4),ficoadj,2)-100),3)</f>
        <v>#N/A</v>
      </c>
      <c r="F35" s="102"/>
      <c r="G35" s="102"/>
      <c r="H35" s="102"/>
      <c r="I35" s="102"/>
      <c r="J35" s="102"/>
      <c r="K35" s="102"/>
      <c r="L35" s="102"/>
      <c r="M35" s="102"/>
      <c r="N35" s="102"/>
      <c r="O35" s="102"/>
      <c r="P35" s="102"/>
      <c r="Q35" s="102"/>
      <c r="R35" s="102"/>
      <c r="S35" s="102"/>
      <c r="T35" s="102"/>
      <c r="U35" s="102"/>
      <c r="V35" s="171"/>
      <c r="W35" s="191"/>
      <c r="X35" s="182"/>
      <c r="Y35" s="182"/>
      <c r="Z35" s="193"/>
      <c r="AA35" s="190"/>
      <c r="AB35" s="193"/>
      <c r="AC35" s="193"/>
      <c r="AD35" s="214"/>
      <c r="AE35" s="214"/>
      <c r="AF35" s="214"/>
      <c r="AG35" s="214"/>
      <c r="AH35" s="214"/>
      <c r="AI35" s="214"/>
    </row>
    <row r="36" spans="1:85" hidden="1">
      <c r="A36" s="256" t="s">
        <v>217</v>
      </c>
      <c r="B36" s="102"/>
      <c r="C36" s="102"/>
      <c r="D36" s="102"/>
      <c r="E36" s="102"/>
      <c r="F36" s="102"/>
      <c r="G36" s="102"/>
      <c r="H36" s="102"/>
      <c r="I36" s="102"/>
      <c r="J36" s="102"/>
      <c r="K36" s="102"/>
      <c r="L36" s="102"/>
      <c r="M36" s="102"/>
      <c r="N36" s="102"/>
      <c r="O36" s="102"/>
      <c r="P36" s="102"/>
      <c r="Q36" s="102"/>
      <c r="R36" s="102"/>
      <c r="S36" s="102"/>
      <c r="T36" s="102"/>
      <c r="U36" s="102"/>
      <c r="V36" s="171"/>
      <c r="W36" s="191"/>
      <c r="X36" s="182"/>
      <c r="Y36" s="182"/>
      <c r="Z36" s="193"/>
      <c r="AA36" s="190"/>
      <c r="AB36" s="193"/>
      <c r="AC36" s="193"/>
      <c r="AD36" s="214"/>
      <c r="AE36" s="214"/>
      <c r="AF36" s="214"/>
      <c r="AG36" s="214"/>
      <c r="AH36" s="214"/>
      <c r="AI36" s="214"/>
    </row>
    <row r="37" spans="1:85" hidden="1">
      <c r="A37" s="256" t="s">
        <v>118</v>
      </c>
      <c r="B37" s="102"/>
      <c r="C37" s="102"/>
      <c r="D37" s="102"/>
      <c r="E37" s="102"/>
      <c r="F37" s="102"/>
      <c r="G37" s="102"/>
      <c r="H37" s="102"/>
      <c r="I37" s="102"/>
      <c r="J37" s="102"/>
      <c r="K37" s="102"/>
      <c r="L37" s="102"/>
      <c r="M37" s="102"/>
      <c r="N37" s="102"/>
      <c r="O37" s="102"/>
      <c r="P37" s="102"/>
      <c r="Q37" s="102"/>
      <c r="R37" s="102"/>
      <c r="S37" s="102"/>
      <c r="T37" s="102"/>
      <c r="U37" s="102"/>
      <c r="V37" s="171"/>
      <c r="Y37" s="182"/>
      <c r="Z37" s="192"/>
      <c r="AA37" s="165"/>
      <c r="AB37" s="91"/>
      <c r="AC37" s="91"/>
      <c r="AD37" s="173"/>
    </row>
    <row r="38" spans="1:85" hidden="1">
      <c r="A38" s="256" t="s">
        <v>218</v>
      </c>
      <c r="B38" s="102"/>
      <c r="C38" s="102"/>
      <c r="D38" s="102"/>
      <c r="E38" s="170"/>
      <c r="F38" s="102"/>
      <c r="G38" s="102"/>
      <c r="H38" s="102"/>
      <c r="J38" s="102"/>
      <c r="K38" s="102"/>
      <c r="L38" s="102"/>
      <c r="M38" s="102"/>
      <c r="N38" s="102"/>
      <c r="O38" s="102"/>
      <c r="P38" s="102"/>
      <c r="Q38" s="102"/>
      <c r="R38" s="102"/>
      <c r="S38" s="102"/>
      <c r="T38" s="102"/>
      <c r="U38" s="102"/>
      <c r="V38" s="171"/>
      <c r="AA38" s="174"/>
      <c r="AD38" s="173"/>
      <c r="BY38" s="291"/>
      <c r="BZ38" s="291"/>
      <c r="CA38" s="291"/>
      <c r="CE38" s="291"/>
      <c r="CF38" s="291"/>
      <c r="CG38" s="291"/>
    </row>
    <row r="39" spans="1:85" ht="14" hidden="1" thickBot="1">
      <c r="P39" s="176"/>
      <c r="Q39" s="177"/>
      <c r="R39" s="177"/>
      <c r="S39" s="177"/>
      <c r="T39" s="177"/>
      <c r="U39" s="177"/>
      <c r="V39" s="178"/>
      <c r="AD39" s="173"/>
    </row>
    <row r="40" spans="1:85" ht="14" hidden="1" thickBot="1">
      <c r="B40" s="208" t="s">
        <v>76</v>
      </c>
      <c r="C40" s="209"/>
      <c r="D40" s="209"/>
      <c r="E40" s="207"/>
      <c r="F40" s="205" t="s">
        <v>77</v>
      </c>
      <c r="G40" s="206"/>
      <c r="H40" s="206"/>
      <c r="I40" s="207"/>
      <c r="J40" s="211" t="s">
        <v>165</v>
      </c>
      <c r="K40" s="212"/>
      <c r="L40" s="212"/>
      <c r="M40" s="212"/>
      <c r="N40" s="176"/>
      <c r="O40" s="176"/>
      <c r="P40" s="210"/>
      <c r="Q40" s="210"/>
      <c r="R40" s="210"/>
      <c r="S40" s="210"/>
      <c r="T40" s="210"/>
      <c r="U40" s="210"/>
      <c r="V40" s="210"/>
      <c r="W40" s="210"/>
      <c r="X40" s="210"/>
      <c r="AD40" s="173"/>
      <c r="AL40" s="290"/>
      <c r="AM40" s="290"/>
      <c r="AN40" s="290"/>
      <c r="AO40" s="290"/>
      <c r="AP40" s="290"/>
      <c r="AQ40" s="290"/>
      <c r="AR40" s="290"/>
      <c r="AS40" s="290"/>
      <c r="AT40" s="290"/>
      <c r="AU40" s="290"/>
      <c r="AV40" s="290"/>
      <c r="AW40" s="290"/>
      <c r="AX40" s="290"/>
      <c r="AY40" s="290"/>
      <c r="AZ40" s="290"/>
      <c r="BA40" s="290"/>
      <c r="BB40" s="290"/>
      <c r="BC40" s="290"/>
    </row>
    <row r="41" spans="1:85" hidden="1">
      <c r="B41" s="179" t="str">
        <f>EFC_PricingToolCalcs!J51</f>
        <v>RATE</v>
      </c>
      <c r="C41" s="180">
        <f>EFC_PricingToolCalcs!K51</f>
        <v>15</v>
      </c>
      <c r="D41" s="180">
        <f>EFC_PricingToolCalcs!L51</f>
        <v>30</v>
      </c>
      <c r="E41" s="180">
        <f>EFC_PricingToolCalcs!M51</f>
        <v>45</v>
      </c>
      <c r="F41" s="181" t="str">
        <f>EFC_PricingToolCalcs!D17</f>
        <v>RATE</v>
      </c>
      <c r="G41" s="181">
        <f>EFC_PricingToolCalcs!E17</f>
        <v>15</v>
      </c>
      <c r="H41" s="181">
        <f>EFC_PricingToolCalcs!F17</f>
        <v>30</v>
      </c>
      <c r="I41" s="181">
        <f>EFC_PricingToolCalcs!G17</f>
        <v>45</v>
      </c>
      <c r="J41" s="184" t="str">
        <f>EFC_PricingToolCalcs!D51</f>
        <v>RATE</v>
      </c>
      <c r="K41" s="200">
        <f>EFC_PricingToolCalcs!E51</f>
        <v>15</v>
      </c>
      <c r="L41" s="200">
        <f>EFC_PricingToolCalcs!F51</f>
        <v>30</v>
      </c>
      <c r="M41" s="200">
        <f>EFC_PricingToolCalcs!G51</f>
        <v>45</v>
      </c>
      <c r="AD41" s="173"/>
      <c r="AR41" s="215"/>
      <c r="AS41" s="215"/>
      <c r="AT41" s="215"/>
    </row>
    <row r="42" spans="1:85" hidden="1">
      <c r="A42" s="173">
        <v>1</v>
      </c>
      <c r="B42" s="179">
        <f>ROUND(EFC_PricingToolCalcs!J52,3)</f>
        <v>4.5</v>
      </c>
      <c r="C42" s="181">
        <f>ROUND(EFC_PricingToolCalcs!K52,3)</f>
        <v>99.75</v>
      </c>
      <c r="D42" s="181">
        <f>ROUND(EFC_PricingToolCalcs!L52,3)</f>
        <v>99.625</v>
      </c>
      <c r="E42" s="181">
        <f>ROUND(EFC_PricingToolCalcs!M52,3)</f>
        <v>99.375</v>
      </c>
      <c r="F42" s="181">
        <f>ROUND(EFC_PricingToolCalcs!D18,3)</f>
        <v>4.5</v>
      </c>
      <c r="G42" s="181">
        <f>ROUND(EFC_PricingToolCalcs!E18,3)</f>
        <v>98.25</v>
      </c>
      <c r="H42" s="181">
        <f>ROUND(EFC_PricingToolCalcs!F18,3)</f>
        <v>98.125</v>
      </c>
      <c r="I42" s="181">
        <f>ROUND(EFC_PricingToolCalcs!G18,3)</f>
        <v>97.875</v>
      </c>
      <c r="J42" s="184">
        <f>ROUND(EFC_PricingToolCalcs!D52,3)</f>
        <v>5</v>
      </c>
      <c r="K42" s="184">
        <f>ROUND(EFC_PricingToolCalcs!E52,3)</f>
        <v>99</v>
      </c>
      <c r="L42" s="184">
        <f>ROUND(EFC_PricingToolCalcs!F52,3)</f>
        <v>98.875</v>
      </c>
      <c r="M42" s="184">
        <f>ROUND(EFC_PricingToolCalcs!G52,3)</f>
        <v>98.625</v>
      </c>
      <c r="AD42" s="173"/>
      <c r="AL42" s="174"/>
      <c r="AM42" s="174"/>
      <c r="AN42" s="174"/>
      <c r="AO42" s="174"/>
      <c r="AP42" s="174"/>
      <c r="AQ42" s="174"/>
      <c r="AR42" s="174"/>
      <c r="AS42" s="174"/>
      <c r="AT42" s="174"/>
    </row>
    <row r="43" spans="1:85" hidden="1">
      <c r="A43" s="173">
        <v>2</v>
      </c>
      <c r="B43" s="179">
        <f>ROUND(EFC_PricingToolCalcs!J53,3)</f>
        <v>5</v>
      </c>
      <c r="C43" s="181">
        <f>ROUND(EFC_PricingToolCalcs!K53,3)</f>
        <v>101</v>
      </c>
      <c r="D43" s="181">
        <f>ROUND(EFC_PricingToolCalcs!L53,3)</f>
        <v>100.875</v>
      </c>
      <c r="E43" s="181">
        <f>ROUND(EFC_PricingToolCalcs!M53,3)</f>
        <v>100.625</v>
      </c>
      <c r="F43" s="181">
        <f>ROUND(EFC_PricingToolCalcs!D19,3)</f>
        <v>4.875</v>
      </c>
      <c r="G43" s="181">
        <f>ROUND(EFC_PricingToolCalcs!E19,3)</f>
        <v>99.25</v>
      </c>
      <c r="H43" s="181">
        <f>ROUND(EFC_PricingToolCalcs!F19,3)</f>
        <v>99.125</v>
      </c>
      <c r="I43" s="181">
        <f>ROUND(EFC_PricingToolCalcs!G19,3)</f>
        <v>98.875</v>
      </c>
      <c r="J43" s="184">
        <f>ROUND(EFC_PricingToolCalcs!D53,3)</f>
        <v>5.5</v>
      </c>
      <c r="K43" s="184">
        <f>ROUND(EFC_PricingToolCalcs!E53,3)</f>
        <v>100</v>
      </c>
      <c r="L43" s="184">
        <f>ROUND(EFC_PricingToolCalcs!F53,3)</f>
        <v>99.875</v>
      </c>
      <c r="M43" s="184">
        <f>ROUND(EFC_PricingToolCalcs!G53,3)</f>
        <v>99.625</v>
      </c>
      <c r="AD43" s="173"/>
      <c r="AL43" s="174"/>
      <c r="AM43" s="174"/>
      <c r="AN43" s="174"/>
      <c r="AO43" s="174"/>
      <c r="AP43" s="174"/>
      <c r="AQ43" s="174"/>
      <c r="AR43" s="174"/>
      <c r="AS43" s="174"/>
      <c r="AT43" s="174"/>
    </row>
    <row r="44" spans="1:85" hidden="1">
      <c r="A44" s="173">
        <v>3</v>
      </c>
      <c r="B44" s="179">
        <f>ROUND(EFC_PricingToolCalcs!J54,3)</f>
        <v>5.5</v>
      </c>
      <c r="C44" s="181">
        <f>ROUND(EFC_PricingToolCalcs!K54,3)</f>
        <v>101.125</v>
      </c>
      <c r="D44" s="181">
        <f>ROUND(EFC_PricingToolCalcs!L54,3)</f>
        <v>101</v>
      </c>
      <c r="E44" s="181">
        <f>ROUND(EFC_PricingToolCalcs!M54,3)</f>
        <v>100.75</v>
      </c>
      <c r="F44" s="181">
        <f>ROUND(EFC_PricingToolCalcs!D20,3)</f>
        <v>5</v>
      </c>
      <c r="G44" s="181">
        <f>ROUND(EFC_PricingToolCalcs!E20,3)</f>
        <v>100</v>
      </c>
      <c r="H44" s="181">
        <f>ROUND(EFC_PricingToolCalcs!F20,3)</f>
        <v>99.875</v>
      </c>
      <c r="I44" s="181">
        <f>ROUND(EFC_PricingToolCalcs!G20,3)</f>
        <v>99.625</v>
      </c>
      <c r="J44" s="184">
        <f>ROUND(EFC_PricingToolCalcs!D54,3)</f>
        <v>6</v>
      </c>
      <c r="K44" s="184">
        <f>ROUND(EFC_PricingToolCalcs!E54,3)</f>
        <v>100.25</v>
      </c>
      <c r="L44" s="184">
        <f>ROUND(EFC_PricingToolCalcs!F54,3)</f>
        <v>100.125</v>
      </c>
      <c r="M44" s="184">
        <f>ROUND(EFC_PricingToolCalcs!G54,3)</f>
        <v>99.875</v>
      </c>
      <c r="AD44" s="173"/>
      <c r="AL44" s="174"/>
      <c r="AM44" s="174"/>
      <c r="AN44" s="174"/>
      <c r="AO44" s="174"/>
      <c r="AP44" s="174"/>
      <c r="AQ44" s="174"/>
      <c r="AR44" s="174"/>
      <c r="AS44" s="174"/>
      <c r="AT44" s="174"/>
    </row>
    <row r="45" spans="1:85" hidden="1">
      <c r="A45" s="173">
        <v>4</v>
      </c>
      <c r="B45" s="179">
        <f>ROUND(EFC_PricingToolCalcs!J55,3)</f>
        <v>6</v>
      </c>
      <c r="C45" s="181">
        <f>ROUND(EFC_PricingToolCalcs!K55,3)</f>
        <v>101.375</v>
      </c>
      <c r="D45" s="181">
        <f>ROUND(EFC_PricingToolCalcs!L55,3)</f>
        <v>101.25</v>
      </c>
      <c r="E45" s="181">
        <f>ROUND(EFC_PricingToolCalcs!M55,3)</f>
        <v>101</v>
      </c>
      <c r="F45" s="181">
        <f>ROUND(EFC_PricingToolCalcs!D21,3)</f>
        <v>5.125</v>
      </c>
      <c r="G45" s="181">
        <f>ROUND(EFC_PricingToolCalcs!E21,3)</f>
        <v>100.125</v>
      </c>
      <c r="H45" s="181">
        <f>ROUND(EFC_PricingToolCalcs!F21,3)</f>
        <v>100</v>
      </c>
      <c r="I45" s="181">
        <f>ROUND(EFC_PricingToolCalcs!G21,3)</f>
        <v>99.75</v>
      </c>
      <c r="J45" s="184">
        <f>ROUND(EFC_PricingToolCalcs!D55,3)</f>
        <v>6.5</v>
      </c>
      <c r="K45" s="184">
        <f>ROUND(EFC_PricingToolCalcs!E55,3)</f>
        <v>100.5</v>
      </c>
      <c r="L45" s="184">
        <f>ROUND(EFC_PricingToolCalcs!F55,3)</f>
        <v>100.375</v>
      </c>
      <c r="M45" s="184">
        <f>ROUND(EFC_PricingToolCalcs!G55,3)</f>
        <v>100.125</v>
      </c>
      <c r="AD45" s="173"/>
      <c r="AL45" s="174"/>
      <c r="AM45" s="174"/>
      <c r="AN45" s="174"/>
      <c r="AO45" s="174"/>
      <c r="AP45" s="174"/>
      <c r="AQ45" s="174"/>
      <c r="AR45" s="174"/>
      <c r="AS45" s="174"/>
      <c r="AT45" s="174"/>
    </row>
    <row r="46" spans="1:85" hidden="1">
      <c r="A46" s="173">
        <v>5</v>
      </c>
      <c r="B46" s="179">
        <f>ROUND(EFC_PricingToolCalcs!J56,3)</f>
        <v>0</v>
      </c>
      <c r="C46" s="181">
        <f>ROUND(EFC_PricingToolCalcs!K56,3)</f>
        <v>0</v>
      </c>
      <c r="D46" s="181">
        <f>ROUND(EFC_PricingToolCalcs!L56,3)</f>
        <v>0</v>
      </c>
      <c r="E46" s="181">
        <f>ROUND(EFC_PricingToolCalcs!M56,3)</f>
        <v>0</v>
      </c>
      <c r="F46" s="181">
        <f>ROUND(EFC_PricingToolCalcs!D22,3)</f>
        <v>5.375</v>
      </c>
      <c r="G46" s="181">
        <f>ROUND(EFC_PricingToolCalcs!E22,3)</f>
        <v>100.25</v>
      </c>
      <c r="H46" s="181">
        <f>ROUND(EFC_PricingToolCalcs!F22,3)</f>
        <v>100.125</v>
      </c>
      <c r="I46" s="181">
        <f>ROUND(EFC_PricingToolCalcs!G22,3)</f>
        <v>99.875</v>
      </c>
      <c r="J46" s="184">
        <f>ROUND(EFC_PricingToolCalcs!D56,3)</f>
        <v>0</v>
      </c>
      <c r="K46" s="184">
        <f>ROUND(EFC_PricingToolCalcs!E56,3)</f>
        <v>0</v>
      </c>
      <c r="L46" s="184">
        <f>ROUND(EFC_PricingToolCalcs!F56,3)</f>
        <v>0</v>
      </c>
      <c r="M46" s="184">
        <f>ROUND(EFC_PricingToolCalcs!G56,3)</f>
        <v>0</v>
      </c>
      <c r="AD46" s="173"/>
      <c r="AL46" s="174"/>
      <c r="AM46" s="174"/>
      <c r="AN46" s="174"/>
      <c r="AO46" s="174"/>
      <c r="AP46" s="174"/>
      <c r="AQ46" s="174"/>
      <c r="AR46" s="174"/>
      <c r="AS46" s="174"/>
      <c r="AT46" s="174"/>
    </row>
    <row r="47" spans="1:85" hidden="1">
      <c r="A47" s="173">
        <v>6</v>
      </c>
      <c r="B47" s="179">
        <f>ROUND(EFC_PricingToolCalcs!J57,3)</f>
        <v>0</v>
      </c>
      <c r="C47" s="181">
        <f>ROUND(EFC_PricingToolCalcs!K57,3)</f>
        <v>0</v>
      </c>
      <c r="D47" s="181">
        <f>ROUND(EFC_PricingToolCalcs!L57,3)</f>
        <v>0</v>
      </c>
      <c r="E47" s="181">
        <f>ROUND(EFC_PricingToolCalcs!M57,3)</f>
        <v>0</v>
      </c>
      <c r="F47" s="181">
        <f>ROUND(EFC_PricingToolCalcs!D23,3)</f>
        <v>5.5</v>
      </c>
      <c r="G47" s="181">
        <f>ROUND(EFC_PricingToolCalcs!E23,3)</f>
        <v>101</v>
      </c>
      <c r="H47" s="181">
        <f>ROUND(EFC_PricingToolCalcs!F23,3)</f>
        <v>100.875</v>
      </c>
      <c r="I47" s="181">
        <f>ROUND(EFC_PricingToolCalcs!G23,3)</f>
        <v>100.625</v>
      </c>
      <c r="J47" s="184">
        <f>ROUND(EFC_PricingToolCalcs!D57,3)</f>
        <v>0</v>
      </c>
      <c r="K47" s="184">
        <f>ROUND(EFC_PricingToolCalcs!E57,3)</f>
        <v>0</v>
      </c>
      <c r="L47" s="184">
        <f>ROUND(EFC_PricingToolCalcs!F57,3)</f>
        <v>0</v>
      </c>
      <c r="M47" s="184">
        <f>ROUND(EFC_PricingToolCalcs!G57,3)</f>
        <v>0</v>
      </c>
      <c r="AD47" s="173"/>
      <c r="AL47" s="174"/>
      <c r="AM47" s="174"/>
      <c r="AN47" s="174"/>
      <c r="AO47" s="174"/>
      <c r="AP47" s="174"/>
      <c r="AQ47" s="174"/>
      <c r="AR47" s="174"/>
      <c r="AS47" s="174"/>
      <c r="AT47" s="174"/>
    </row>
    <row r="48" spans="1:85" hidden="1">
      <c r="A48" s="173">
        <v>7</v>
      </c>
      <c r="B48" s="179">
        <f>ROUND(EFC_PricingToolCalcs!J58,3)</f>
        <v>0</v>
      </c>
      <c r="C48" s="181">
        <f>ROUND(EFC_PricingToolCalcs!K58,3)</f>
        <v>0</v>
      </c>
      <c r="D48" s="181">
        <f>ROUND(EFC_PricingToolCalcs!L58,3)</f>
        <v>0</v>
      </c>
      <c r="E48" s="181">
        <f>ROUND(EFC_PricingToolCalcs!M58,3)</f>
        <v>0</v>
      </c>
      <c r="F48" s="181">
        <f>ROUND(EFC_PricingToolCalcs!D24,3)</f>
        <v>6</v>
      </c>
      <c r="G48" s="181">
        <f>ROUND(EFC_PricingToolCalcs!E24,3)</f>
        <v>101.375</v>
      </c>
      <c r="H48" s="181">
        <f>ROUND(EFC_PricingToolCalcs!F24,3)</f>
        <v>101.25</v>
      </c>
      <c r="I48" s="181">
        <f>ROUND(EFC_PricingToolCalcs!G24,3)</f>
        <v>101</v>
      </c>
      <c r="J48" s="184">
        <f>ROUND(EFC_PricingToolCalcs!D58,3)</f>
        <v>0</v>
      </c>
      <c r="K48" s="184">
        <f>ROUND(EFC_PricingToolCalcs!E58,3)</f>
        <v>0</v>
      </c>
      <c r="L48" s="184">
        <f>ROUND(EFC_PricingToolCalcs!F58,3)</f>
        <v>0</v>
      </c>
      <c r="M48" s="184">
        <f>ROUND(EFC_PricingToolCalcs!G58,3)</f>
        <v>0</v>
      </c>
      <c r="AD48" s="173"/>
      <c r="AL48" s="174"/>
      <c r="AM48" s="174"/>
      <c r="AN48" s="174"/>
      <c r="AO48" s="174"/>
      <c r="AP48" s="174"/>
      <c r="AQ48" s="174"/>
      <c r="AR48" s="174"/>
      <c r="AS48" s="174"/>
      <c r="AT48" s="174"/>
    </row>
    <row r="49" spans="1:46" hidden="1">
      <c r="A49" s="173">
        <v>8</v>
      </c>
      <c r="B49" s="179">
        <f>ROUND(EFC_PricingToolCalcs!J59,3)</f>
        <v>0</v>
      </c>
      <c r="C49" s="181">
        <f>ROUND(EFC_PricingToolCalcs!K59,3)</f>
        <v>0</v>
      </c>
      <c r="D49" s="181">
        <f>ROUND(EFC_PricingToolCalcs!L59,3)</f>
        <v>0</v>
      </c>
      <c r="E49" s="181">
        <f>ROUND(EFC_PricingToolCalcs!M59,3)</f>
        <v>0</v>
      </c>
      <c r="F49" s="181">
        <f>ROUND(EFC_PricingToolCalcs!D25,3)</f>
        <v>6.5</v>
      </c>
      <c r="G49" s="181">
        <f>ROUND(EFC_PricingToolCalcs!E25,3)</f>
        <v>101.5</v>
      </c>
      <c r="H49" s="181">
        <f>ROUND(EFC_PricingToolCalcs!F25,3)</f>
        <v>101.375</v>
      </c>
      <c r="I49" s="181">
        <f>ROUND(EFC_PricingToolCalcs!G25,3)</f>
        <v>101.125</v>
      </c>
      <c r="J49" s="184">
        <f>ROUND(EFC_PricingToolCalcs!D59,3)</f>
        <v>0</v>
      </c>
      <c r="K49" s="184">
        <f>ROUND(EFC_PricingToolCalcs!E59,3)</f>
        <v>0</v>
      </c>
      <c r="L49" s="184">
        <f>ROUND(EFC_PricingToolCalcs!F59,3)</f>
        <v>0</v>
      </c>
      <c r="M49" s="184">
        <f>ROUND(EFC_PricingToolCalcs!G59,3)</f>
        <v>0</v>
      </c>
      <c r="AD49" s="173"/>
      <c r="AL49" s="174"/>
      <c r="AM49" s="174"/>
      <c r="AN49" s="174"/>
      <c r="AO49" s="174"/>
      <c r="AP49" s="174"/>
      <c r="AQ49" s="174"/>
      <c r="AR49" s="174"/>
      <c r="AS49" s="174"/>
      <c r="AT49" s="174"/>
    </row>
    <row r="50" spans="1:46" hidden="1">
      <c r="A50" s="173">
        <v>9</v>
      </c>
      <c r="B50" s="179">
        <f>ROUND(EFC_PricingToolCalcs!J60,3)</f>
        <v>0</v>
      </c>
      <c r="C50" s="181">
        <f>ROUND(EFC_PricingToolCalcs!K60,3)</f>
        <v>0</v>
      </c>
      <c r="D50" s="181">
        <f>ROUND(EFC_PricingToolCalcs!L60,3)</f>
        <v>0</v>
      </c>
      <c r="E50" s="181">
        <f>ROUND(EFC_PricingToolCalcs!M60,3)</f>
        <v>0</v>
      </c>
      <c r="F50" s="181">
        <f>ROUND(EFC_PricingToolCalcs!D26,3)</f>
        <v>0</v>
      </c>
      <c r="G50" s="181">
        <f>ROUND(EFC_PricingToolCalcs!E26,3)</f>
        <v>0</v>
      </c>
      <c r="H50" s="181">
        <f>ROUND(EFC_PricingToolCalcs!F26,3)</f>
        <v>0</v>
      </c>
      <c r="I50" s="181">
        <f>ROUND(EFC_PricingToolCalcs!G26,3)</f>
        <v>0</v>
      </c>
      <c r="J50" s="184">
        <f>ROUND(EFC_PricingToolCalcs!D60,3)</f>
        <v>0</v>
      </c>
      <c r="K50" s="184">
        <f>ROUND(EFC_PricingToolCalcs!E60,3)</f>
        <v>0</v>
      </c>
      <c r="L50" s="184">
        <f>ROUND(EFC_PricingToolCalcs!F60,3)</f>
        <v>0</v>
      </c>
      <c r="M50" s="184">
        <f>ROUND(EFC_PricingToolCalcs!G60,3)</f>
        <v>0</v>
      </c>
      <c r="AD50" s="173"/>
      <c r="AL50" s="174"/>
      <c r="AM50" s="174"/>
      <c r="AN50" s="174"/>
      <c r="AO50" s="174"/>
      <c r="AP50" s="174"/>
      <c r="AQ50" s="174"/>
      <c r="AR50" s="174"/>
      <c r="AS50" s="174"/>
      <c r="AT50" s="174"/>
    </row>
    <row r="51" spans="1:46" hidden="1">
      <c r="A51" s="173">
        <v>10</v>
      </c>
      <c r="B51" s="179">
        <f>ROUND(EFC_PricingToolCalcs!J61,3)</f>
        <v>0</v>
      </c>
      <c r="C51" s="181">
        <f>ROUND(EFC_PricingToolCalcs!K61,3)</f>
        <v>0</v>
      </c>
      <c r="D51" s="181">
        <f>ROUND(EFC_PricingToolCalcs!L61,3)</f>
        <v>0</v>
      </c>
      <c r="E51" s="181">
        <f>ROUND(EFC_PricingToolCalcs!M61,3)</f>
        <v>0</v>
      </c>
      <c r="F51" s="181">
        <f>ROUND(EFC_PricingToolCalcs!D27,3)</f>
        <v>0</v>
      </c>
      <c r="G51" s="181">
        <f>ROUND(EFC_PricingToolCalcs!E27,3)</f>
        <v>0</v>
      </c>
      <c r="H51" s="181">
        <f>ROUND(EFC_PricingToolCalcs!F27,3)</f>
        <v>0</v>
      </c>
      <c r="I51" s="181">
        <f>ROUND(EFC_PricingToolCalcs!G27,3)</f>
        <v>0</v>
      </c>
      <c r="J51" s="184">
        <f>ROUND(EFC_PricingToolCalcs!D61,3)</f>
        <v>0</v>
      </c>
      <c r="K51" s="184">
        <f>ROUND(EFC_PricingToolCalcs!E61,3)</f>
        <v>0</v>
      </c>
      <c r="L51" s="184">
        <f>ROUND(EFC_PricingToolCalcs!F61,3)</f>
        <v>0</v>
      </c>
      <c r="M51" s="184">
        <f>ROUND(EFC_PricingToolCalcs!G61,3)</f>
        <v>0</v>
      </c>
      <c r="AD51" s="173"/>
      <c r="AL51" s="174"/>
      <c r="AM51" s="174"/>
      <c r="AN51" s="174"/>
      <c r="AO51" s="174"/>
      <c r="AP51" s="174"/>
      <c r="AQ51" s="174"/>
      <c r="AR51" s="174"/>
      <c r="AS51" s="174"/>
      <c r="AT51" s="174"/>
    </row>
    <row r="52" spans="1:46" hidden="1">
      <c r="A52" s="173">
        <v>11</v>
      </c>
      <c r="B52" s="179">
        <f>ROUND(EFC_PricingToolCalcs!J62,3)</f>
        <v>0</v>
      </c>
      <c r="C52" s="181">
        <f>ROUND(EFC_PricingToolCalcs!K62,3)</f>
        <v>0</v>
      </c>
      <c r="D52" s="181">
        <f>ROUND(EFC_PricingToolCalcs!L62,3)</f>
        <v>0</v>
      </c>
      <c r="E52" s="181">
        <f>ROUND(EFC_PricingToolCalcs!M62,3)</f>
        <v>0</v>
      </c>
      <c r="F52" s="181">
        <f>ROUND(EFC_PricingToolCalcs!D28,3)</f>
        <v>0</v>
      </c>
      <c r="G52" s="181">
        <f>ROUND(EFC_PricingToolCalcs!E28,3)</f>
        <v>0</v>
      </c>
      <c r="H52" s="181">
        <f>ROUND(EFC_PricingToolCalcs!F28,3)</f>
        <v>0</v>
      </c>
      <c r="I52" s="181">
        <f>ROUND(EFC_PricingToolCalcs!G28,3)</f>
        <v>0</v>
      </c>
      <c r="J52" s="184">
        <f>ROUND(EFC_PricingToolCalcs!D62,3)</f>
        <v>0</v>
      </c>
      <c r="K52" s="184">
        <f>ROUND(EFC_PricingToolCalcs!E62,3)</f>
        <v>0</v>
      </c>
      <c r="L52" s="184">
        <f>ROUND(EFC_PricingToolCalcs!F62,3)</f>
        <v>0</v>
      </c>
      <c r="M52" s="184">
        <f>ROUND(EFC_PricingToolCalcs!G62,3)</f>
        <v>0</v>
      </c>
      <c r="AD52" s="173"/>
      <c r="AL52" s="174"/>
      <c r="AM52" s="174"/>
      <c r="AN52" s="174"/>
      <c r="AO52" s="174"/>
      <c r="AP52" s="174"/>
      <c r="AQ52" s="174"/>
      <c r="AR52" s="174"/>
      <c r="AS52" s="174"/>
      <c r="AT52" s="174"/>
    </row>
    <row r="53" spans="1:46" hidden="1">
      <c r="A53" s="173">
        <v>12</v>
      </c>
      <c r="B53" s="179">
        <f>ROUND(EFC_PricingToolCalcs!J63,3)</f>
        <v>0</v>
      </c>
      <c r="C53" s="181">
        <f>ROUND(EFC_PricingToolCalcs!K63,3)</f>
        <v>0</v>
      </c>
      <c r="D53" s="181">
        <f>ROUND(EFC_PricingToolCalcs!L63,3)</f>
        <v>0</v>
      </c>
      <c r="E53" s="181">
        <f>ROUND(EFC_PricingToolCalcs!M63,3)</f>
        <v>0</v>
      </c>
      <c r="F53" s="181">
        <f>ROUND(EFC_PricingToolCalcs!D29,3)</f>
        <v>0</v>
      </c>
      <c r="G53" s="181">
        <f>ROUND(EFC_PricingToolCalcs!E29,3)</f>
        <v>0</v>
      </c>
      <c r="H53" s="181">
        <f>ROUND(EFC_PricingToolCalcs!F29,3)</f>
        <v>0</v>
      </c>
      <c r="I53" s="181">
        <f>ROUND(EFC_PricingToolCalcs!G29,3)</f>
        <v>0</v>
      </c>
      <c r="J53" s="184">
        <f>ROUND(EFC_PricingToolCalcs!D63,3)</f>
        <v>0</v>
      </c>
      <c r="K53" s="184">
        <f>ROUND(EFC_PricingToolCalcs!E63,3)</f>
        <v>0</v>
      </c>
      <c r="L53" s="184">
        <f>ROUND(EFC_PricingToolCalcs!F63,3)</f>
        <v>0</v>
      </c>
      <c r="M53" s="184">
        <f>ROUND(EFC_PricingToolCalcs!G63,3)</f>
        <v>0</v>
      </c>
      <c r="AD53" s="173"/>
      <c r="AL53" s="174"/>
      <c r="AM53" s="174"/>
      <c r="AN53" s="174"/>
      <c r="AO53" s="174"/>
      <c r="AP53" s="174"/>
      <c r="AQ53" s="174"/>
      <c r="AR53" s="174"/>
      <c r="AS53" s="174"/>
      <c r="AT53" s="174"/>
    </row>
    <row r="54" spans="1:46" hidden="1">
      <c r="A54" s="173">
        <v>13</v>
      </c>
      <c r="B54" s="179">
        <f>ROUND(EFC_PricingToolCalcs!J64,3)</f>
        <v>0</v>
      </c>
      <c r="C54" s="181">
        <f>ROUND(EFC_PricingToolCalcs!K64,3)</f>
        <v>0</v>
      </c>
      <c r="D54" s="181">
        <f>ROUND(EFC_PricingToolCalcs!L64,3)</f>
        <v>0</v>
      </c>
      <c r="E54" s="181">
        <f>ROUND(EFC_PricingToolCalcs!M64,3)</f>
        <v>0</v>
      </c>
      <c r="F54" s="181">
        <f>ROUND(EFC_PricingToolCalcs!D30,3)</f>
        <v>0</v>
      </c>
      <c r="G54" s="181">
        <f>ROUND(EFC_PricingToolCalcs!E30,3)</f>
        <v>0</v>
      </c>
      <c r="H54" s="181">
        <f>ROUND(EFC_PricingToolCalcs!F30,3)</f>
        <v>0</v>
      </c>
      <c r="I54" s="181">
        <f>ROUND(EFC_PricingToolCalcs!G30,3)</f>
        <v>0</v>
      </c>
      <c r="J54" s="184">
        <f>ROUND(EFC_PricingToolCalcs!D64,3)</f>
        <v>0</v>
      </c>
      <c r="K54" s="184">
        <f>ROUND(EFC_PricingToolCalcs!E64,3)</f>
        <v>0</v>
      </c>
      <c r="L54" s="184">
        <f>ROUND(EFC_PricingToolCalcs!F64,3)</f>
        <v>0</v>
      </c>
      <c r="M54" s="184">
        <f>ROUND(EFC_PricingToolCalcs!G64,3)</f>
        <v>0</v>
      </c>
      <c r="AD54" s="173"/>
      <c r="AL54" s="174"/>
      <c r="AM54" s="174"/>
      <c r="AN54" s="174"/>
      <c r="AO54" s="174"/>
      <c r="AP54" s="174"/>
      <c r="AQ54" s="174"/>
      <c r="AR54" s="174"/>
      <c r="AS54" s="174"/>
      <c r="AT54" s="174"/>
    </row>
    <row r="55" spans="1:46" hidden="1">
      <c r="A55" s="173">
        <v>14</v>
      </c>
      <c r="B55" s="179">
        <f>ROUND(EFC_PricingToolCalcs!J65,3)</f>
        <v>0</v>
      </c>
      <c r="C55" s="181">
        <f>ROUND(EFC_PricingToolCalcs!K65,3)</f>
        <v>0</v>
      </c>
      <c r="D55" s="181">
        <f>ROUND(EFC_PricingToolCalcs!L65,3)</f>
        <v>0</v>
      </c>
      <c r="E55" s="181">
        <f>ROUND(EFC_PricingToolCalcs!M65,3)</f>
        <v>0</v>
      </c>
      <c r="F55" s="181">
        <f>ROUND(EFC_PricingToolCalcs!D31,3)</f>
        <v>0</v>
      </c>
      <c r="G55" s="181">
        <f>ROUND(EFC_PricingToolCalcs!E31,3)</f>
        <v>0</v>
      </c>
      <c r="H55" s="181">
        <f>ROUND(EFC_PricingToolCalcs!F31,3)</f>
        <v>0</v>
      </c>
      <c r="I55" s="181">
        <f>ROUND(EFC_PricingToolCalcs!G31,3)</f>
        <v>0</v>
      </c>
      <c r="J55" s="184">
        <f>ROUND(EFC_PricingToolCalcs!D65,3)</f>
        <v>0</v>
      </c>
      <c r="K55" s="184">
        <f>ROUND(EFC_PricingToolCalcs!E65,3)</f>
        <v>0</v>
      </c>
      <c r="L55" s="184">
        <f>ROUND(EFC_PricingToolCalcs!F65,3)</f>
        <v>0</v>
      </c>
      <c r="M55" s="184">
        <f>ROUND(EFC_PricingToolCalcs!G65,3)</f>
        <v>0</v>
      </c>
      <c r="AD55" s="173"/>
      <c r="AL55" s="174"/>
      <c r="AM55" s="174"/>
      <c r="AN55" s="174"/>
      <c r="AO55" s="174"/>
      <c r="AP55" s="174"/>
      <c r="AQ55" s="174"/>
      <c r="AR55" s="174"/>
      <c r="AS55" s="174"/>
      <c r="AT55" s="174"/>
    </row>
    <row r="56" spans="1:46" hidden="1">
      <c r="A56" s="173">
        <v>15</v>
      </c>
      <c r="B56" s="179">
        <f>ROUND(EFC_PricingToolCalcs!J66,3)</f>
        <v>0</v>
      </c>
      <c r="C56" s="181">
        <f>ROUND(EFC_PricingToolCalcs!K66,3)</f>
        <v>0</v>
      </c>
      <c r="D56" s="181">
        <f>ROUND(EFC_PricingToolCalcs!L66,3)</f>
        <v>0</v>
      </c>
      <c r="E56" s="181">
        <f>ROUND(EFC_PricingToolCalcs!M66,3)</f>
        <v>0</v>
      </c>
      <c r="F56" s="181">
        <f>ROUND(EFC_PricingToolCalcs!D32,3)</f>
        <v>0</v>
      </c>
      <c r="G56" s="181">
        <f>ROUND(EFC_PricingToolCalcs!E32,3)</f>
        <v>0</v>
      </c>
      <c r="H56" s="181">
        <f>ROUND(EFC_PricingToolCalcs!F32,3)</f>
        <v>0</v>
      </c>
      <c r="I56" s="181">
        <f>ROUND(EFC_PricingToolCalcs!G32,3)</f>
        <v>0</v>
      </c>
      <c r="J56" s="184">
        <f>ROUND(EFC_PricingToolCalcs!D66,3)</f>
        <v>0</v>
      </c>
      <c r="K56" s="184">
        <f>ROUND(EFC_PricingToolCalcs!E66,3)</f>
        <v>0</v>
      </c>
      <c r="L56" s="184">
        <f>ROUND(EFC_PricingToolCalcs!F66,3)</f>
        <v>0</v>
      </c>
      <c r="M56" s="184">
        <f>ROUND(EFC_PricingToolCalcs!G66,3)</f>
        <v>0</v>
      </c>
      <c r="AD56" s="173"/>
      <c r="AL56" s="174"/>
      <c r="AM56" s="174"/>
      <c r="AN56" s="174"/>
      <c r="AO56" s="174"/>
      <c r="AP56" s="174"/>
      <c r="AQ56" s="174"/>
      <c r="AR56" s="174"/>
      <c r="AS56" s="174"/>
      <c r="AT56" s="174"/>
    </row>
    <row r="57" spans="1:46" hidden="1">
      <c r="A57" s="173">
        <v>16</v>
      </c>
      <c r="B57" s="179">
        <f>ROUND(EFC_PricingToolCalcs!J67,3)</f>
        <v>0</v>
      </c>
      <c r="C57" s="181">
        <f>ROUND(EFC_PricingToolCalcs!K67,3)</f>
        <v>0</v>
      </c>
      <c r="D57" s="181">
        <f>ROUND(EFC_PricingToolCalcs!L67,3)</f>
        <v>0</v>
      </c>
      <c r="E57" s="181">
        <f>ROUND(EFC_PricingToolCalcs!G77,3)</f>
        <v>0</v>
      </c>
      <c r="F57" s="181">
        <f>ROUND(EFC_PricingToolCalcs!D33,3)</f>
        <v>0</v>
      </c>
      <c r="G57" s="181">
        <f>ROUND(EFC_PricingToolCalcs!E33,3)</f>
        <v>0</v>
      </c>
      <c r="H57" s="181">
        <f>ROUND(EFC_PricingToolCalcs!F33,3)</f>
        <v>0</v>
      </c>
      <c r="I57" s="181">
        <f>ROUND(EFC_PricingToolCalcs!G33,3)</f>
        <v>0</v>
      </c>
      <c r="J57" s="184">
        <f>ROUND(EFC_PricingToolCalcs!D67,3)</f>
        <v>0</v>
      </c>
      <c r="K57" s="184">
        <f>ROUND(EFC_PricingToolCalcs!E67,3)</f>
        <v>0</v>
      </c>
      <c r="L57" s="184">
        <f>ROUND(EFC_PricingToolCalcs!F67,3)</f>
        <v>0</v>
      </c>
      <c r="M57" s="184">
        <f>ROUND(EFC_PricingToolCalcs!G67,3)</f>
        <v>0</v>
      </c>
      <c r="AD57" s="173"/>
      <c r="AL57" s="174"/>
      <c r="AM57" s="174"/>
      <c r="AN57" s="174"/>
      <c r="AO57" s="174"/>
      <c r="AP57" s="174"/>
      <c r="AQ57" s="174"/>
      <c r="AR57" s="174"/>
      <c r="AS57" s="174"/>
      <c r="AT57" s="174"/>
    </row>
    <row r="58" spans="1:46" hidden="1">
      <c r="A58" s="173">
        <v>17</v>
      </c>
      <c r="B58" s="179">
        <f>ROUND(EFC_PricingToolCalcs!J68,3)</f>
        <v>0</v>
      </c>
      <c r="C58" s="181">
        <f>ROUND(EFC_PricingToolCalcs!K68,3)</f>
        <v>0</v>
      </c>
      <c r="D58" s="181">
        <f>ROUND(EFC_PricingToolCalcs!L68,3)</f>
        <v>0</v>
      </c>
      <c r="E58" s="181">
        <f>ROUND(EFC_PricingToolCalcs!G78,3)</f>
        <v>0</v>
      </c>
      <c r="F58" s="181">
        <f>ROUND(EFC_PricingToolCalcs!D34,3)</f>
        <v>0</v>
      </c>
      <c r="G58" s="181">
        <f>ROUND(EFC_PricingToolCalcs!E34,3)</f>
        <v>0</v>
      </c>
      <c r="H58" s="181">
        <f>ROUND(EFC_PricingToolCalcs!F34,3)</f>
        <v>0</v>
      </c>
      <c r="I58" s="181">
        <f>ROUND(EFC_PricingToolCalcs!G34,3)</f>
        <v>0</v>
      </c>
      <c r="J58" s="184">
        <f>ROUND(EFC_PricingToolCalcs!D68,3)</f>
        <v>0</v>
      </c>
      <c r="K58" s="184">
        <f>ROUND(EFC_PricingToolCalcs!E68,3)</f>
        <v>0</v>
      </c>
      <c r="L58" s="184">
        <f>ROUND(EFC_PricingToolCalcs!F68,3)</f>
        <v>0</v>
      </c>
      <c r="M58" s="184">
        <f>ROUND(EFC_PricingToolCalcs!G68,3)</f>
        <v>0</v>
      </c>
      <c r="AD58" s="173"/>
      <c r="AL58" s="174"/>
      <c r="AM58" s="174"/>
      <c r="AN58" s="174"/>
      <c r="AO58" s="174"/>
      <c r="AP58" s="174"/>
      <c r="AQ58" s="174"/>
      <c r="AR58" s="174"/>
      <c r="AS58" s="174"/>
      <c r="AT58" s="174"/>
    </row>
    <row r="59" spans="1:46" hidden="1">
      <c r="A59" s="173">
        <v>18</v>
      </c>
      <c r="B59" s="179">
        <f>ROUND(EFC_PricingToolCalcs!J69,3)</f>
        <v>0</v>
      </c>
      <c r="C59" s="181">
        <f>ROUND(EFC_PricingToolCalcs!K69,3)</f>
        <v>0</v>
      </c>
      <c r="D59" s="181">
        <f>ROUND(EFC_PricingToolCalcs!L69,3)</f>
        <v>0</v>
      </c>
      <c r="E59" s="181">
        <f>ROUND(EFC_PricingToolCalcs!G79,3)</f>
        <v>0</v>
      </c>
      <c r="F59" s="181">
        <f>ROUND(EFC_PricingToolCalcs!D35,3)</f>
        <v>0</v>
      </c>
      <c r="G59" s="181">
        <f>ROUND(EFC_PricingToolCalcs!E35,3)</f>
        <v>0</v>
      </c>
      <c r="H59" s="181">
        <f>ROUND(EFC_PricingToolCalcs!F35,3)</f>
        <v>0</v>
      </c>
      <c r="I59" s="181">
        <f>ROUND(EFC_PricingToolCalcs!G35,3)</f>
        <v>0</v>
      </c>
      <c r="J59" s="184">
        <f>ROUND(EFC_PricingToolCalcs!D69,3)</f>
        <v>0</v>
      </c>
      <c r="K59" s="184">
        <f>ROUND(EFC_PricingToolCalcs!E69,3)</f>
        <v>0</v>
      </c>
      <c r="L59" s="184">
        <f>ROUND(EFC_PricingToolCalcs!F69,3)</f>
        <v>0</v>
      </c>
      <c r="M59" s="184">
        <f>ROUND(EFC_PricingToolCalcs!G69,3)</f>
        <v>0</v>
      </c>
      <c r="AD59" s="173"/>
      <c r="AL59" s="174"/>
      <c r="AM59" s="174"/>
      <c r="AN59" s="174"/>
      <c r="AO59" s="174"/>
      <c r="AP59" s="174"/>
      <c r="AQ59" s="174"/>
      <c r="AR59" s="174"/>
      <c r="AS59" s="174"/>
      <c r="AT59" s="174"/>
    </row>
    <row r="60" spans="1:46" hidden="1">
      <c r="A60" s="173">
        <v>19</v>
      </c>
      <c r="B60" s="179">
        <f>ROUND(EFC_PricingToolCalcs!J70,3)</f>
        <v>0</v>
      </c>
      <c r="C60" s="181">
        <f>ROUND(EFC_PricingToolCalcs!K70,3)</f>
        <v>0</v>
      </c>
      <c r="D60" s="181">
        <f>ROUND(EFC_PricingToolCalcs!L70,3)</f>
        <v>0</v>
      </c>
      <c r="E60" s="181">
        <f>ROUND(EFC_PricingToolCalcs!G80,3)</f>
        <v>0</v>
      </c>
      <c r="F60" s="181">
        <f>ROUND(EFC_PricingToolCalcs!D36,3)</f>
        <v>0</v>
      </c>
      <c r="G60" s="181">
        <f>ROUND(EFC_PricingToolCalcs!E36,3)</f>
        <v>0</v>
      </c>
      <c r="H60" s="181">
        <f>ROUND(EFC_PricingToolCalcs!F36,3)</f>
        <v>0</v>
      </c>
      <c r="I60" s="181">
        <f>ROUND(EFC_PricingToolCalcs!G36,3)</f>
        <v>0</v>
      </c>
      <c r="J60" s="184">
        <f>ROUND(EFC_PricingToolCalcs!D70,3)</f>
        <v>0</v>
      </c>
      <c r="K60" s="184">
        <f>ROUND(EFC_PricingToolCalcs!E70,3)</f>
        <v>0</v>
      </c>
      <c r="L60" s="184">
        <f>ROUND(EFC_PricingToolCalcs!F70,3)</f>
        <v>0</v>
      </c>
      <c r="M60" s="184">
        <f>ROUND(EFC_PricingToolCalcs!G70,3)</f>
        <v>0</v>
      </c>
      <c r="AD60" s="173"/>
      <c r="AL60" s="174"/>
      <c r="AM60" s="174"/>
      <c r="AN60" s="174"/>
      <c r="AO60" s="174"/>
      <c r="AP60" s="174"/>
      <c r="AQ60" s="174"/>
      <c r="AR60" s="174"/>
      <c r="AS60" s="174"/>
      <c r="AT60" s="174"/>
    </row>
    <row r="61" spans="1:46" hidden="1">
      <c r="A61" s="173">
        <v>20</v>
      </c>
      <c r="B61" s="179">
        <f>ROUND(EFC_PricingToolCalcs!J71,3)</f>
        <v>0</v>
      </c>
      <c r="C61" s="181">
        <f>ROUND(EFC_PricingToolCalcs!K71,3)</f>
        <v>0</v>
      </c>
      <c r="D61" s="181">
        <f>ROUND(EFC_PricingToolCalcs!L71,3)</f>
        <v>0</v>
      </c>
      <c r="E61" s="181">
        <f>ROUND(EFC_PricingToolCalcs!G81,3)</f>
        <v>0</v>
      </c>
      <c r="F61" s="181">
        <f>ROUND(EFC_PricingToolCalcs!D37,3)</f>
        <v>0</v>
      </c>
      <c r="G61" s="181">
        <f>ROUND(EFC_PricingToolCalcs!E37,3)</f>
        <v>0</v>
      </c>
      <c r="H61" s="181">
        <f>ROUND(EFC_PricingToolCalcs!F37,3)</f>
        <v>0</v>
      </c>
      <c r="I61" s="181">
        <f>ROUND(EFC_PricingToolCalcs!G37,3)</f>
        <v>0</v>
      </c>
      <c r="J61" s="184">
        <f>ROUND(EFC_PricingToolCalcs!D71,3)</f>
        <v>0</v>
      </c>
      <c r="K61" s="184">
        <f>ROUND(EFC_PricingToolCalcs!E71,3)</f>
        <v>0</v>
      </c>
      <c r="L61" s="184">
        <f>ROUND(EFC_PricingToolCalcs!F71,3)</f>
        <v>0</v>
      </c>
      <c r="M61" s="184">
        <f>ROUND(EFC_PricingToolCalcs!G71,3)</f>
        <v>0</v>
      </c>
      <c r="AD61" s="173"/>
      <c r="AL61" s="174"/>
      <c r="AM61" s="174"/>
      <c r="AN61" s="174"/>
      <c r="AO61" s="174"/>
      <c r="AP61" s="174"/>
      <c r="AQ61" s="174"/>
      <c r="AR61" s="174"/>
      <c r="AS61" s="174"/>
      <c r="AT61" s="174"/>
    </row>
    <row r="62" spans="1:46" hidden="1">
      <c r="A62" s="173">
        <v>21</v>
      </c>
      <c r="B62" s="179">
        <f>ROUND(EFC_PricingToolCalcs!J72,3)</f>
        <v>0</v>
      </c>
      <c r="C62" s="181">
        <f>ROUND(EFC_PricingToolCalcs!K72,3)</f>
        <v>0</v>
      </c>
      <c r="D62" s="181">
        <f>ROUND(EFC_PricingToolCalcs!L72,3)</f>
        <v>0</v>
      </c>
      <c r="E62" s="180">
        <f>ROUND(EFC_PricingToolCalcs!G82,3)</f>
        <v>0</v>
      </c>
      <c r="F62" s="181">
        <f>ROUND(EFC_PricingToolCalcs!D38,3)</f>
        <v>0</v>
      </c>
      <c r="G62" s="181">
        <f>ROUND(EFC_PricingToolCalcs!E38,3)</f>
        <v>0</v>
      </c>
      <c r="H62" s="181">
        <f>ROUND(EFC_PricingToolCalcs!F38,3)</f>
        <v>0</v>
      </c>
      <c r="I62" s="181">
        <f>ROUND(EFC_PricingToolCalcs!G38,3)</f>
        <v>0</v>
      </c>
      <c r="J62" s="184">
        <f>ROUND(EFC_PricingToolCalcs!D72,3)</f>
        <v>0</v>
      </c>
      <c r="K62" s="184">
        <f>ROUND(EFC_PricingToolCalcs!E72,3)</f>
        <v>0</v>
      </c>
      <c r="L62" s="184">
        <f>ROUND(EFC_PricingToolCalcs!F72,3)</f>
        <v>0</v>
      </c>
      <c r="M62" s="184">
        <f>ROUND(EFC_PricingToolCalcs!G72,3)</f>
        <v>0</v>
      </c>
      <c r="AD62" s="173"/>
      <c r="AL62" s="174"/>
      <c r="AM62" s="174"/>
      <c r="AN62" s="174"/>
      <c r="AO62" s="174"/>
      <c r="AP62" s="174"/>
      <c r="AQ62" s="174"/>
      <c r="AR62" s="174"/>
      <c r="AS62" s="174"/>
      <c r="AT62" s="174"/>
    </row>
    <row r="63" spans="1:46" hidden="1">
      <c r="A63" s="173">
        <v>22</v>
      </c>
      <c r="B63" s="179">
        <f>ROUND(EFC_PricingToolCalcs!J73,3)</f>
        <v>0</v>
      </c>
      <c r="C63" s="181">
        <f>ROUND(EFC_PricingToolCalcs!K73,3)</f>
        <v>0</v>
      </c>
      <c r="D63" s="181">
        <f>ROUND(EFC_PricingToolCalcs!L73,3)</f>
        <v>0</v>
      </c>
      <c r="E63" s="180">
        <f>ROUND(EFC_PricingToolCalcs!G83,3)</f>
        <v>0</v>
      </c>
      <c r="F63" s="181">
        <f>ROUND(EFC_PricingToolCalcs!D39,3)</f>
        <v>0</v>
      </c>
      <c r="G63" s="181">
        <f>ROUND(EFC_PricingToolCalcs!E39,3)</f>
        <v>0</v>
      </c>
      <c r="H63" s="181">
        <f>ROUND(EFC_PricingToolCalcs!F39,3)</f>
        <v>0</v>
      </c>
      <c r="I63" s="181">
        <f>ROUND(EFC_PricingToolCalcs!G39,3)</f>
        <v>0</v>
      </c>
      <c r="J63" s="184">
        <f>ROUND(EFC_PricingToolCalcs!D73,3)</f>
        <v>0</v>
      </c>
      <c r="K63" s="184">
        <f>ROUND(EFC_PricingToolCalcs!E73,3)</f>
        <v>0</v>
      </c>
      <c r="L63" s="184">
        <f>ROUND(EFC_PricingToolCalcs!F73,3)</f>
        <v>0</v>
      </c>
      <c r="M63" s="184">
        <f>ROUND(EFC_PricingToolCalcs!G73,3)</f>
        <v>0</v>
      </c>
      <c r="AD63" s="173"/>
      <c r="AL63" s="174"/>
      <c r="AM63" s="174"/>
      <c r="AN63" s="174"/>
      <c r="AO63" s="174"/>
      <c r="AP63" s="174"/>
      <c r="AQ63" s="174"/>
      <c r="AR63" s="174"/>
      <c r="AS63" s="174"/>
      <c r="AT63" s="174"/>
    </row>
    <row r="64" spans="1:46" hidden="1">
      <c r="A64" s="173">
        <v>23</v>
      </c>
      <c r="B64" s="179">
        <f>ROUND(EFC_PricingToolCalcs!J74,3)</f>
        <v>0</v>
      </c>
      <c r="C64" s="181">
        <f>ROUND(EFC_PricingToolCalcs!K74,3)</f>
        <v>0</v>
      </c>
      <c r="D64" s="181">
        <f>ROUND(EFC_PricingToolCalcs!L74,3)</f>
        <v>0</v>
      </c>
      <c r="E64" s="180">
        <f>ROUND(EFC_PricingToolCalcs!G84,3)</f>
        <v>0</v>
      </c>
      <c r="F64" s="181">
        <f>ROUND(EFC_PricingToolCalcs!D40,3)</f>
        <v>0</v>
      </c>
      <c r="G64" s="181">
        <f>ROUND(EFC_PricingToolCalcs!E40,3)</f>
        <v>0</v>
      </c>
      <c r="H64" s="181">
        <f>ROUND(EFC_PricingToolCalcs!F40,3)</f>
        <v>0</v>
      </c>
      <c r="I64" s="181">
        <f>ROUND(EFC_PricingToolCalcs!G40,3)</f>
        <v>0</v>
      </c>
      <c r="J64" s="184">
        <f>ROUND(EFC_PricingToolCalcs!D74,3)</f>
        <v>0</v>
      </c>
      <c r="K64" s="184">
        <f>ROUND(EFC_PricingToolCalcs!E74,3)</f>
        <v>0</v>
      </c>
      <c r="L64" s="184">
        <f>ROUND(EFC_PricingToolCalcs!F74,3)</f>
        <v>0</v>
      </c>
      <c r="M64" s="184">
        <f>ROUND(EFC_PricingToolCalcs!G74,3)</f>
        <v>0</v>
      </c>
      <c r="AD64" s="173"/>
      <c r="AL64" s="174"/>
      <c r="AM64" s="174"/>
      <c r="AN64" s="174"/>
      <c r="AO64" s="174"/>
      <c r="AP64" s="174"/>
      <c r="AQ64" s="174"/>
      <c r="AR64" s="174"/>
      <c r="AS64" s="174"/>
      <c r="AT64" s="174"/>
    </row>
    <row r="65" spans="1:86" hidden="1">
      <c r="A65" s="173">
        <v>24</v>
      </c>
      <c r="B65" s="179">
        <f>ROUND(EFC_PricingToolCalcs!J75,3)</f>
        <v>0</v>
      </c>
      <c r="C65" s="181">
        <f>ROUND(EFC_PricingToolCalcs!K75,3)</f>
        <v>0</v>
      </c>
      <c r="D65" s="181">
        <f>ROUND(EFC_PricingToolCalcs!L75,3)</f>
        <v>0</v>
      </c>
      <c r="E65" s="180">
        <f>ROUND(EFC_PricingToolCalcs!G85,3)</f>
        <v>0</v>
      </c>
      <c r="F65" s="181">
        <f>ROUND(EFC_PricingToolCalcs!D41,3)</f>
        <v>0</v>
      </c>
      <c r="G65" s="181">
        <f>ROUND(EFC_PricingToolCalcs!E41,3)</f>
        <v>0</v>
      </c>
      <c r="H65" s="181">
        <f>ROUND(EFC_PricingToolCalcs!F41,3)</f>
        <v>0</v>
      </c>
      <c r="I65" s="181">
        <f>ROUND(EFC_PricingToolCalcs!G41,3)</f>
        <v>0</v>
      </c>
      <c r="J65" s="184">
        <f>ROUND(EFC_PricingToolCalcs!D75,3)</f>
        <v>0</v>
      </c>
      <c r="K65" s="184">
        <f>ROUND(EFC_PricingToolCalcs!E75,3)</f>
        <v>0</v>
      </c>
      <c r="L65" s="184">
        <f>ROUND(EFC_PricingToolCalcs!F75,3)</f>
        <v>0</v>
      </c>
      <c r="M65" s="184">
        <f>ROUND(EFC_PricingToolCalcs!G75,3)</f>
        <v>0</v>
      </c>
      <c r="AD65" s="173"/>
      <c r="AL65" s="174"/>
      <c r="AM65" s="174"/>
      <c r="AN65" s="174"/>
      <c r="AO65" s="174"/>
      <c r="AP65" s="174"/>
      <c r="AQ65" s="174"/>
      <c r="AR65" s="174"/>
      <c r="AS65" s="174"/>
      <c r="AT65" s="174"/>
    </row>
    <row r="66" spans="1:86" hidden="1">
      <c r="A66" s="173">
        <v>25</v>
      </c>
      <c r="B66" s="179">
        <f>ROUND(EFC_PricingToolCalcs!J76,3)</f>
        <v>0</v>
      </c>
      <c r="C66" s="181">
        <f>ROUND(EFC_PricingToolCalcs!K76,3)</f>
        <v>0</v>
      </c>
      <c r="D66" s="181">
        <f>ROUND(EFC_PricingToolCalcs!L76,3)</f>
        <v>0</v>
      </c>
      <c r="E66" s="180">
        <f>ROUND(EFC_PricingToolCalcs!G86,3)</f>
        <v>0</v>
      </c>
      <c r="F66" s="181">
        <f>ROUND(EFC_PricingToolCalcs!D42,3)</f>
        <v>0</v>
      </c>
      <c r="G66" s="181">
        <f>ROUND(EFC_PricingToolCalcs!E42,3)</f>
        <v>0</v>
      </c>
      <c r="H66" s="181">
        <f>ROUND(EFC_PricingToolCalcs!F42,3)</f>
        <v>0</v>
      </c>
      <c r="I66" s="181">
        <f>ROUND(EFC_PricingToolCalcs!G42,3)</f>
        <v>0</v>
      </c>
      <c r="J66" s="184">
        <f>ROUND(EFC_PricingToolCalcs!D76,3)</f>
        <v>0</v>
      </c>
      <c r="K66" s="184">
        <f>ROUND(EFC_PricingToolCalcs!E76,3)</f>
        <v>0</v>
      </c>
      <c r="L66" s="184">
        <f>ROUND(EFC_PricingToolCalcs!F76,3)</f>
        <v>0</v>
      </c>
      <c r="M66" s="184">
        <f>ROUND(EFC_PricingToolCalcs!G76,3)</f>
        <v>0</v>
      </c>
      <c r="AD66" s="173"/>
      <c r="AL66" s="174"/>
      <c r="AM66" s="174"/>
      <c r="AN66" s="174"/>
      <c r="AO66" s="174"/>
      <c r="AP66" s="174"/>
      <c r="AQ66" s="174"/>
      <c r="AR66" s="174"/>
      <c r="AS66" s="174"/>
      <c r="AT66" s="174"/>
    </row>
    <row r="67" spans="1:86" hidden="1">
      <c r="A67" s="173">
        <v>26</v>
      </c>
      <c r="B67" s="179">
        <f>ROUND(EFC_PricingToolCalcs!J77,3)</f>
        <v>0</v>
      </c>
      <c r="C67" s="181">
        <f>ROUND(EFC_PricingToolCalcs!K77,3)</f>
        <v>0</v>
      </c>
      <c r="D67" s="181">
        <f>ROUND(EFC_PricingToolCalcs!L77,3)</f>
        <v>0</v>
      </c>
      <c r="E67" s="180">
        <f>ROUND(EFC_PricingToolCalcs!G87,3)</f>
        <v>0</v>
      </c>
      <c r="F67" s="181">
        <f>ROUND(EFC_PricingToolCalcs!D43,3)</f>
        <v>0</v>
      </c>
      <c r="G67" s="181">
        <f>ROUND(EFC_PricingToolCalcs!E43,3)</f>
        <v>0</v>
      </c>
      <c r="H67" s="181">
        <f>ROUND(EFC_PricingToolCalcs!F43,3)</f>
        <v>0</v>
      </c>
      <c r="I67" s="181">
        <f>ROUND(EFC_PricingToolCalcs!G43,3)</f>
        <v>0</v>
      </c>
      <c r="J67" s="184">
        <f>ROUND(EFC_PricingToolCalcs!D77,3)</f>
        <v>0</v>
      </c>
      <c r="K67" s="184">
        <f>ROUND(EFC_PricingToolCalcs!E77,3)</f>
        <v>0</v>
      </c>
      <c r="L67" s="184">
        <f>ROUND(EFC_PricingToolCalcs!F77,3)</f>
        <v>0</v>
      </c>
      <c r="M67" s="184">
        <f>ROUND(EFC_PricingToolCalcs!G77,3)</f>
        <v>0</v>
      </c>
      <c r="AD67" s="173"/>
      <c r="AL67" s="174"/>
      <c r="AM67" s="174"/>
      <c r="AN67" s="174"/>
      <c r="AO67" s="174"/>
      <c r="AP67" s="174"/>
      <c r="AQ67" s="174"/>
      <c r="AR67" s="174"/>
      <c r="AS67" s="174"/>
      <c r="AT67" s="174"/>
    </row>
    <row r="68" spans="1:86" hidden="1">
      <c r="A68" s="173">
        <v>27</v>
      </c>
      <c r="B68" s="179">
        <f>ROUND(EFC_PricingToolCalcs!J78,3)</f>
        <v>0</v>
      </c>
      <c r="C68" s="181">
        <f>ROUND(EFC_PricingToolCalcs!K78,3)</f>
        <v>0</v>
      </c>
      <c r="D68" s="181">
        <f>ROUND(EFC_PricingToolCalcs!L78,3)</f>
        <v>0</v>
      </c>
      <c r="E68" s="180">
        <f>ROUND(EFC_PricingToolCalcs!G88,3)</f>
        <v>0</v>
      </c>
      <c r="F68" s="181">
        <f>ROUND(EFC_PricingToolCalcs!D44,3)</f>
        <v>0</v>
      </c>
      <c r="G68" s="181">
        <f>ROUND(EFC_PricingToolCalcs!E44,3)</f>
        <v>0</v>
      </c>
      <c r="H68" s="181">
        <f>ROUND(EFC_PricingToolCalcs!F44,3)</f>
        <v>0</v>
      </c>
      <c r="I68" s="181">
        <f>ROUND(EFC_PricingToolCalcs!G44,3)</f>
        <v>0</v>
      </c>
      <c r="J68" s="184">
        <f>ROUND(EFC_PricingToolCalcs!D78,3)</f>
        <v>0</v>
      </c>
      <c r="K68" s="184">
        <f>ROUND(EFC_PricingToolCalcs!E78,3)</f>
        <v>0</v>
      </c>
      <c r="L68" s="184">
        <f>ROUND(EFC_PricingToolCalcs!F78,3)</f>
        <v>0</v>
      </c>
      <c r="M68" s="184">
        <f>ROUND(EFC_PricingToolCalcs!G78,3)</f>
        <v>0</v>
      </c>
      <c r="AD68" s="173"/>
      <c r="AL68" s="174"/>
      <c r="AM68" s="174"/>
      <c r="AN68" s="174"/>
      <c r="AO68" s="174"/>
      <c r="AP68" s="174"/>
      <c r="AQ68" s="174"/>
      <c r="AR68" s="174"/>
      <c r="AS68" s="174"/>
      <c r="AT68" s="174"/>
    </row>
    <row r="69" spans="1:86" s="175" customFormat="1" ht="14" hidden="1" thickBot="1">
      <c r="B69" s="201" t="s">
        <v>167</v>
      </c>
      <c r="C69" s="203"/>
      <c r="D69" s="203"/>
      <c r="E69" s="202"/>
      <c r="F69" s="203"/>
      <c r="G69" s="203"/>
      <c r="H69" s="203"/>
      <c r="I69" s="203"/>
      <c r="W69" s="204"/>
      <c r="X69" s="173"/>
      <c r="Y69" s="173"/>
      <c r="Z69" s="173"/>
      <c r="AA69" s="173"/>
      <c r="AB69" s="173"/>
      <c r="AC69" s="173"/>
      <c r="AD69" s="173"/>
      <c r="AE69" s="173"/>
      <c r="AF69" s="173"/>
      <c r="AG69" s="173"/>
      <c r="AH69" s="173"/>
      <c r="AI69" s="173"/>
      <c r="AJ69" s="173"/>
      <c r="AK69" s="173"/>
      <c r="AL69" s="174"/>
      <c r="AM69" s="174"/>
      <c r="AN69" s="174"/>
      <c r="AO69" s="174"/>
      <c r="AP69" s="174"/>
      <c r="AQ69" s="174"/>
      <c r="AR69" s="174"/>
      <c r="AS69" s="174"/>
      <c r="AT69" s="174"/>
      <c r="AU69" s="173"/>
      <c r="AV69" s="173"/>
      <c r="AW69" s="173"/>
      <c r="AX69" s="173"/>
      <c r="AY69" s="173"/>
      <c r="AZ69" s="173"/>
      <c r="BA69" s="173"/>
      <c r="BB69" s="173"/>
      <c r="BC69" s="173"/>
      <c r="BD69" s="173"/>
      <c r="BE69" s="173"/>
      <c r="BF69" s="173"/>
      <c r="BS69" s="173"/>
      <c r="BT69" s="173"/>
      <c r="BU69" s="173"/>
      <c r="BV69" s="173"/>
      <c r="BW69" s="173"/>
      <c r="BX69" s="173"/>
      <c r="BY69" s="173"/>
      <c r="BZ69" s="173"/>
      <c r="CA69" s="173"/>
      <c r="CB69" s="173"/>
      <c r="CC69" s="173"/>
      <c r="CD69" s="173"/>
      <c r="CE69" s="173"/>
      <c r="CF69" s="173"/>
      <c r="CG69" s="173"/>
      <c r="CH69" s="173"/>
    </row>
    <row r="70" spans="1:86" ht="14" hidden="1" thickBot="1">
      <c r="B70" s="208" t="s">
        <v>76</v>
      </c>
      <c r="C70" s="209"/>
      <c r="D70" s="209"/>
      <c r="E70" s="207"/>
      <c r="F70" s="205" t="s">
        <v>77</v>
      </c>
      <c r="G70" s="206"/>
      <c r="H70" s="206"/>
      <c r="I70" s="207"/>
      <c r="J70" s="205" t="s">
        <v>165</v>
      </c>
      <c r="K70" s="206"/>
      <c r="L70" s="206"/>
      <c r="M70" s="207"/>
      <c r="AD70" s="173"/>
      <c r="AL70" s="174"/>
      <c r="AM70" s="174"/>
      <c r="AN70" s="174"/>
      <c r="AO70" s="174"/>
      <c r="AP70" s="174"/>
      <c r="AQ70" s="174"/>
      <c r="AR70" s="174"/>
      <c r="AS70" s="174"/>
      <c r="AT70" s="174"/>
    </row>
    <row r="71" spans="1:86" hidden="1">
      <c r="B71" s="180" t="str">
        <f t="shared" ref="B71:M71" si="0">B41</f>
        <v>RATE</v>
      </c>
      <c r="C71" s="200">
        <f t="shared" si="0"/>
        <v>15</v>
      </c>
      <c r="D71" s="200">
        <f t="shared" si="0"/>
        <v>30</v>
      </c>
      <c r="E71" s="200">
        <f t="shared" si="0"/>
        <v>45</v>
      </c>
      <c r="F71" s="180" t="str">
        <f t="shared" si="0"/>
        <v>RATE</v>
      </c>
      <c r="G71" s="200">
        <f t="shared" si="0"/>
        <v>15</v>
      </c>
      <c r="H71" s="200">
        <f t="shared" si="0"/>
        <v>30</v>
      </c>
      <c r="I71" s="200">
        <f t="shared" si="0"/>
        <v>45</v>
      </c>
      <c r="J71" s="180" t="str">
        <f t="shared" si="0"/>
        <v>RATE</v>
      </c>
      <c r="K71" s="200">
        <f t="shared" si="0"/>
        <v>15</v>
      </c>
      <c r="L71" s="200">
        <f t="shared" si="0"/>
        <v>30</v>
      </c>
      <c r="M71" s="200">
        <f t="shared" si="0"/>
        <v>45</v>
      </c>
      <c r="AD71" s="173"/>
      <c r="AL71" s="174"/>
      <c r="AM71" s="174"/>
      <c r="AN71" s="174"/>
      <c r="AO71" s="174"/>
      <c r="AP71" s="174"/>
      <c r="AQ71" s="174"/>
      <c r="AR71" s="174"/>
      <c r="AS71" s="174"/>
      <c r="AT71" s="174"/>
    </row>
    <row r="72" spans="1:86" hidden="1">
      <c r="A72" s="173">
        <v>1</v>
      </c>
      <c r="B72" s="181">
        <f t="shared" ref="B72:B98" si="1">B42</f>
        <v>4.5</v>
      </c>
      <c r="C72" s="187" t="e">
        <f t="shared" ref="C72:E98" si="2">MIN(C42+totaladj,100+cap)-100</f>
        <v>#N/A</v>
      </c>
      <c r="D72" s="187" t="e">
        <f t="shared" si="2"/>
        <v>#N/A</v>
      </c>
      <c r="E72" s="187" t="e">
        <f t="shared" si="2"/>
        <v>#N/A</v>
      </c>
      <c r="F72" s="181">
        <f t="shared" ref="F72:F98" si="3">F42</f>
        <v>4.5</v>
      </c>
      <c r="G72" s="187" t="e">
        <f t="shared" ref="G72:I98" si="4">MIN(G42+totaladj,100+cap)-100</f>
        <v>#N/A</v>
      </c>
      <c r="H72" s="187" t="e">
        <f t="shared" si="4"/>
        <v>#N/A</v>
      </c>
      <c r="I72" s="187" t="e">
        <f t="shared" si="4"/>
        <v>#N/A</v>
      </c>
      <c r="J72" s="181">
        <f t="shared" ref="J72:J98" si="5">J42</f>
        <v>5</v>
      </c>
      <c r="K72" s="187" t="e">
        <f t="shared" ref="K72:M98" si="6">MIN(K42+totaladj,100+cap)-100</f>
        <v>#N/A</v>
      </c>
      <c r="L72" s="187" t="e">
        <f t="shared" si="6"/>
        <v>#N/A</v>
      </c>
      <c r="M72" s="187" t="e">
        <f t="shared" si="6"/>
        <v>#N/A</v>
      </c>
      <c r="AD72" s="173"/>
      <c r="AL72" s="174"/>
      <c r="AM72" s="174"/>
      <c r="AN72" s="174"/>
      <c r="AO72" s="174"/>
      <c r="AP72" s="174"/>
      <c r="AQ72" s="174"/>
      <c r="AR72" s="174"/>
      <c r="AS72" s="174"/>
      <c r="AT72" s="174"/>
    </row>
    <row r="73" spans="1:86" hidden="1">
      <c r="A73" s="173">
        <v>2</v>
      </c>
      <c r="B73" s="181">
        <f t="shared" si="1"/>
        <v>5</v>
      </c>
      <c r="C73" s="187" t="e">
        <f t="shared" si="2"/>
        <v>#N/A</v>
      </c>
      <c r="D73" s="187" t="e">
        <f t="shared" si="2"/>
        <v>#N/A</v>
      </c>
      <c r="E73" s="187" t="e">
        <f t="shared" si="2"/>
        <v>#N/A</v>
      </c>
      <c r="F73" s="181">
        <f t="shared" si="3"/>
        <v>4.875</v>
      </c>
      <c r="G73" s="187" t="e">
        <f t="shared" si="4"/>
        <v>#N/A</v>
      </c>
      <c r="H73" s="187" t="e">
        <f t="shared" si="4"/>
        <v>#N/A</v>
      </c>
      <c r="I73" s="187" t="e">
        <f t="shared" si="4"/>
        <v>#N/A</v>
      </c>
      <c r="J73" s="181">
        <f t="shared" si="5"/>
        <v>5.5</v>
      </c>
      <c r="K73" s="187" t="e">
        <f t="shared" si="6"/>
        <v>#N/A</v>
      </c>
      <c r="L73" s="187" t="e">
        <f t="shared" si="6"/>
        <v>#N/A</v>
      </c>
      <c r="M73" s="187" t="e">
        <f t="shared" si="6"/>
        <v>#N/A</v>
      </c>
      <c r="AL73" s="174"/>
      <c r="AM73" s="174"/>
      <c r="AN73" s="174"/>
      <c r="AO73" s="174"/>
      <c r="AP73" s="174"/>
      <c r="AQ73" s="174"/>
      <c r="AR73" s="174"/>
      <c r="AS73" s="174"/>
      <c r="AT73" s="174"/>
    </row>
    <row r="74" spans="1:86" hidden="1">
      <c r="A74" s="173">
        <v>3</v>
      </c>
      <c r="B74" s="181">
        <f t="shared" si="1"/>
        <v>5.5</v>
      </c>
      <c r="C74" s="187" t="e">
        <f t="shared" si="2"/>
        <v>#N/A</v>
      </c>
      <c r="D74" s="187" t="e">
        <f t="shared" si="2"/>
        <v>#N/A</v>
      </c>
      <c r="E74" s="187" t="e">
        <f t="shared" si="2"/>
        <v>#N/A</v>
      </c>
      <c r="F74" s="181">
        <f t="shared" si="3"/>
        <v>5</v>
      </c>
      <c r="G74" s="187" t="e">
        <f t="shared" si="4"/>
        <v>#N/A</v>
      </c>
      <c r="H74" s="187" t="e">
        <f t="shared" si="4"/>
        <v>#N/A</v>
      </c>
      <c r="I74" s="187" t="e">
        <f t="shared" si="4"/>
        <v>#N/A</v>
      </c>
      <c r="J74" s="181">
        <f t="shared" si="5"/>
        <v>6</v>
      </c>
      <c r="K74" s="187" t="e">
        <f t="shared" si="6"/>
        <v>#N/A</v>
      </c>
      <c r="L74" s="187" t="e">
        <f t="shared" si="6"/>
        <v>#N/A</v>
      </c>
      <c r="M74" s="187" t="e">
        <f t="shared" si="6"/>
        <v>#N/A</v>
      </c>
      <c r="AL74" s="174"/>
      <c r="AM74" s="174"/>
      <c r="AN74" s="174"/>
      <c r="AO74" s="174"/>
      <c r="AP74" s="174"/>
      <c r="AQ74" s="174"/>
      <c r="AR74" s="174"/>
      <c r="AS74" s="174"/>
      <c r="AT74" s="174"/>
    </row>
    <row r="75" spans="1:86" hidden="1">
      <c r="A75" s="173">
        <v>4</v>
      </c>
      <c r="B75" s="181">
        <f t="shared" si="1"/>
        <v>6</v>
      </c>
      <c r="C75" s="187" t="e">
        <f t="shared" si="2"/>
        <v>#N/A</v>
      </c>
      <c r="D75" s="187" t="e">
        <f t="shared" si="2"/>
        <v>#N/A</v>
      </c>
      <c r="E75" s="187" t="e">
        <f t="shared" si="2"/>
        <v>#N/A</v>
      </c>
      <c r="F75" s="181">
        <f t="shared" si="3"/>
        <v>5.125</v>
      </c>
      <c r="G75" s="187" t="e">
        <f t="shared" si="4"/>
        <v>#N/A</v>
      </c>
      <c r="H75" s="187" t="e">
        <f t="shared" si="4"/>
        <v>#N/A</v>
      </c>
      <c r="I75" s="187" t="e">
        <f t="shared" si="4"/>
        <v>#N/A</v>
      </c>
      <c r="J75" s="181">
        <f t="shared" si="5"/>
        <v>6.5</v>
      </c>
      <c r="K75" s="187" t="e">
        <f t="shared" si="6"/>
        <v>#N/A</v>
      </c>
      <c r="L75" s="187" t="e">
        <f t="shared" si="6"/>
        <v>#N/A</v>
      </c>
      <c r="M75" s="187" t="e">
        <f t="shared" si="6"/>
        <v>#N/A</v>
      </c>
      <c r="AL75" s="174"/>
      <c r="AM75" s="174"/>
      <c r="AN75" s="174"/>
      <c r="AO75" s="174"/>
      <c r="AP75" s="174"/>
      <c r="AQ75" s="174"/>
      <c r="AR75" s="174"/>
      <c r="AS75" s="174"/>
      <c r="AT75" s="174"/>
    </row>
    <row r="76" spans="1:86" hidden="1">
      <c r="A76" s="173">
        <v>5</v>
      </c>
      <c r="B76" s="181">
        <f t="shared" si="1"/>
        <v>0</v>
      </c>
      <c r="C76" s="187" t="e">
        <f t="shared" si="2"/>
        <v>#N/A</v>
      </c>
      <c r="D76" s="187" t="e">
        <f t="shared" si="2"/>
        <v>#N/A</v>
      </c>
      <c r="E76" s="187" t="e">
        <f t="shared" si="2"/>
        <v>#N/A</v>
      </c>
      <c r="F76" s="181">
        <f t="shared" si="3"/>
        <v>5.375</v>
      </c>
      <c r="G76" s="187" t="e">
        <f t="shared" si="4"/>
        <v>#N/A</v>
      </c>
      <c r="H76" s="187" t="e">
        <f t="shared" si="4"/>
        <v>#N/A</v>
      </c>
      <c r="I76" s="187" t="e">
        <f t="shared" si="4"/>
        <v>#N/A</v>
      </c>
      <c r="J76" s="181">
        <f t="shared" si="5"/>
        <v>0</v>
      </c>
      <c r="K76" s="187" t="e">
        <f t="shared" si="6"/>
        <v>#N/A</v>
      </c>
      <c r="L76" s="187" t="e">
        <f t="shared" si="6"/>
        <v>#N/A</v>
      </c>
      <c r="M76" s="187" t="e">
        <f t="shared" si="6"/>
        <v>#N/A</v>
      </c>
      <c r="AL76" s="174"/>
      <c r="AM76" s="174"/>
      <c r="AN76" s="174"/>
      <c r="AO76" s="174"/>
      <c r="AP76" s="174"/>
      <c r="AQ76" s="174"/>
      <c r="AR76" s="174"/>
      <c r="AS76" s="174"/>
      <c r="AT76" s="174"/>
    </row>
    <row r="77" spans="1:86" hidden="1">
      <c r="A77" s="173">
        <v>6</v>
      </c>
      <c r="B77" s="181">
        <f t="shared" si="1"/>
        <v>0</v>
      </c>
      <c r="C77" s="187" t="e">
        <f t="shared" si="2"/>
        <v>#N/A</v>
      </c>
      <c r="D77" s="187" t="e">
        <f t="shared" si="2"/>
        <v>#N/A</v>
      </c>
      <c r="E77" s="187" t="e">
        <f t="shared" si="2"/>
        <v>#N/A</v>
      </c>
      <c r="F77" s="181">
        <f t="shared" si="3"/>
        <v>5.5</v>
      </c>
      <c r="G77" s="187" t="e">
        <f t="shared" si="4"/>
        <v>#N/A</v>
      </c>
      <c r="H77" s="187" t="e">
        <f t="shared" si="4"/>
        <v>#N/A</v>
      </c>
      <c r="I77" s="187" t="e">
        <f t="shared" si="4"/>
        <v>#N/A</v>
      </c>
      <c r="J77" s="181">
        <f t="shared" si="5"/>
        <v>0</v>
      </c>
      <c r="K77" s="187" t="e">
        <f t="shared" si="6"/>
        <v>#N/A</v>
      </c>
      <c r="L77" s="187" t="e">
        <f t="shared" si="6"/>
        <v>#N/A</v>
      </c>
      <c r="M77" s="187" t="e">
        <f t="shared" si="6"/>
        <v>#N/A</v>
      </c>
      <c r="AL77" s="174"/>
      <c r="AM77" s="174"/>
      <c r="AN77" s="174"/>
      <c r="AO77" s="174"/>
      <c r="AP77" s="174"/>
      <c r="AQ77" s="174"/>
      <c r="AR77" s="174"/>
      <c r="AS77" s="174"/>
      <c r="AT77" s="174"/>
    </row>
    <row r="78" spans="1:86" hidden="1">
      <c r="A78" s="173">
        <v>7</v>
      </c>
      <c r="B78" s="181">
        <f t="shared" si="1"/>
        <v>0</v>
      </c>
      <c r="C78" s="187" t="e">
        <f t="shared" si="2"/>
        <v>#N/A</v>
      </c>
      <c r="D78" s="187" t="e">
        <f t="shared" si="2"/>
        <v>#N/A</v>
      </c>
      <c r="E78" s="187" t="e">
        <f t="shared" si="2"/>
        <v>#N/A</v>
      </c>
      <c r="F78" s="181">
        <f t="shared" si="3"/>
        <v>6</v>
      </c>
      <c r="G78" s="187" t="e">
        <f t="shared" si="4"/>
        <v>#N/A</v>
      </c>
      <c r="H78" s="187" t="e">
        <f t="shared" si="4"/>
        <v>#N/A</v>
      </c>
      <c r="I78" s="187" t="e">
        <f t="shared" si="4"/>
        <v>#N/A</v>
      </c>
      <c r="J78" s="181">
        <f t="shared" si="5"/>
        <v>0</v>
      </c>
      <c r="K78" s="187" t="e">
        <f t="shared" si="6"/>
        <v>#N/A</v>
      </c>
      <c r="L78" s="187" t="e">
        <f t="shared" si="6"/>
        <v>#N/A</v>
      </c>
      <c r="M78" s="187" t="e">
        <f t="shared" si="6"/>
        <v>#N/A</v>
      </c>
      <c r="AL78" s="174"/>
      <c r="AM78" s="174"/>
      <c r="AN78" s="174"/>
      <c r="AO78" s="174"/>
      <c r="AP78" s="174"/>
      <c r="AQ78" s="174"/>
      <c r="AR78" s="174"/>
      <c r="AS78" s="174"/>
      <c r="AT78" s="174"/>
    </row>
    <row r="79" spans="1:86" hidden="1">
      <c r="A79" s="173">
        <v>8</v>
      </c>
      <c r="B79" s="181">
        <f t="shared" si="1"/>
        <v>0</v>
      </c>
      <c r="C79" s="187" t="e">
        <f t="shared" si="2"/>
        <v>#N/A</v>
      </c>
      <c r="D79" s="187" t="e">
        <f t="shared" si="2"/>
        <v>#N/A</v>
      </c>
      <c r="E79" s="187" t="e">
        <f t="shared" si="2"/>
        <v>#N/A</v>
      </c>
      <c r="F79" s="181">
        <f t="shared" si="3"/>
        <v>6.5</v>
      </c>
      <c r="G79" s="187" t="e">
        <f t="shared" si="4"/>
        <v>#N/A</v>
      </c>
      <c r="H79" s="187" t="e">
        <f t="shared" si="4"/>
        <v>#N/A</v>
      </c>
      <c r="I79" s="187" t="e">
        <f t="shared" si="4"/>
        <v>#N/A</v>
      </c>
      <c r="J79" s="181">
        <f t="shared" si="5"/>
        <v>0</v>
      </c>
      <c r="K79" s="187" t="e">
        <f t="shared" si="6"/>
        <v>#N/A</v>
      </c>
      <c r="L79" s="187" t="e">
        <f t="shared" si="6"/>
        <v>#N/A</v>
      </c>
      <c r="M79" s="187" t="e">
        <f t="shared" si="6"/>
        <v>#N/A</v>
      </c>
      <c r="AL79" s="174"/>
      <c r="AM79" s="174"/>
      <c r="AN79" s="174"/>
      <c r="AO79" s="174"/>
      <c r="AP79" s="174"/>
      <c r="AQ79" s="174"/>
      <c r="AR79" s="174"/>
      <c r="AS79" s="174"/>
      <c r="AT79" s="174"/>
    </row>
    <row r="80" spans="1:86" hidden="1">
      <c r="A80" s="173">
        <v>9</v>
      </c>
      <c r="B80" s="181">
        <f t="shared" si="1"/>
        <v>0</v>
      </c>
      <c r="C80" s="187" t="e">
        <f t="shared" si="2"/>
        <v>#N/A</v>
      </c>
      <c r="D80" s="187" t="e">
        <f t="shared" si="2"/>
        <v>#N/A</v>
      </c>
      <c r="E80" s="187" t="e">
        <f t="shared" si="2"/>
        <v>#N/A</v>
      </c>
      <c r="F80" s="181">
        <f t="shared" si="3"/>
        <v>0</v>
      </c>
      <c r="G80" s="187" t="e">
        <f t="shared" si="4"/>
        <v>#N/A</v>
      </c>
      <c r="H80" s="187" t="e">
        <f t="shared" si="4"/>
        <v>#N/A</v>
      </c>
      <c r="I80" s="187" t="e">
        <f t="shared" si="4"/>
        <v>#N/A</v>
      </c>
      <c r="J80" s="181">
        <f t="shared" si="5"/>
        <v>0</v>
      </c>
      <c r="K80" s="187" t="e">
        <f t="shared" si="6"/>
        <v>#N/A</v>
      </c>
      <c r="L80" s="187" t="e">
        <f t="shared" si="6"/>
        <v>#N/A</v>
      </c>
      <c r="M80" s="187" t="e">
        <f t="shared" si="6"/>
        <v>#N/A</v>
      </c>
      <c r="AL80" s="174"/>
      <c r="AM80" s="174"/>
      <c r="AN80" s="174"/>
      <c r="AO80" s="174"/>
      <c r="AP80" s="174"/>
      <c r="AQ80" s="174"/>
      <c r="AR80" s="174"/>
      <c r="AS80" s="174"/>
      <c r="AT80" s="174"/>
    </row>
    <row r="81" spans="1:46" hidden="1">
      <c r="A81" s="173">
        <v>10</v>
      </c>
      <c r="B81" s="181">
        <f t="shared" si="1"/>
        <v>0</v>
      </c>
      <c r="C81" s="187" t="e">
        <f t="shared" si="2"/>
        <v>#N/A</v>
      </c>
      <c r="D81" s="187" t="e">
        <f t="shared" si="2"/>
        <v>#N/A</v>
      </c>
      <c r="E81" s="187" t="e">
        <f t="shared" si="2"/>
        <v>#N/A</v>
      </c>
      <c r="F81" s="181">
        <f t="shared" si="3"/>
        <v>0</v>
      </c>
      <c r="G81" s="187" t="e">
        <f t="shared" si="4"/>
        <v>#N/A</v>
      </c>
      <c r="H81" s="187" t="e">
        <f t="shared" si="4"/>
        <v>#N/A</v>
      </c>
      <c r="I81" s="187" t="e">
        <f t="shared" si="4"/>
        <v>#N/A</v>
      </c>
      <c r="J81" s="181">
        <f t="shared" si="5"/>
        <v>0</v>
      </c>
      <c r="K81" s="187" t="e">
        <f t="shared" si="6"/>
        <v>#N/A</v>
      </c>
      <c r="L81" s="187" t="e">
        <f t="shared" si="6"/>
        <v>#N/A</v>
      </c>
      <c r="M81" s="187" t="e">
        <f t="shared" si="6"/>
        <v>#N/A</v>
      </c>
      <c r="AL81" s="174"/>
      <c r="AM81" s="174"/>
      <c r="AN81" s="174"/>
      <c r="AO81" s="174"/>
      <c r="AP81" s="174"/>
      <c r="AQ81" s="174"/>
      <c r="AR81" s="174"/>
      <c r="AS81" s="174"/>
      <c r="AT81" s="174"/>
    </row>
    <row r="82" spans="1:46" hidden="1">
      <c r="A82" s="173">
        <v>11</v>
      </c>
      <c r="B82" s="181">
        <f t="shared" si="1"/>
        <v>0</v>
      </c>
      <c r="C82" s="187" t="e">
        <f t="shared" si="2"/>
        <v>#N/A</v>
      </c>
      <c r="D82" s="187" t="e">
        <f t="shared" si="2"/>
        <v>#N/A</v>
      </c>
      <c r="E82" s="187" t="e">
        <f t="shared" si="2"/>
        <v>#N/A</v>
      </c>
      <c r="F82" s="181">
        <f t="shared" si="3"/>
        <v>0</v>
      </c>
      <c r="G82" s="187" t="e">
        <f t="shared" si="4"/>
        <v>#N/A</v>
      </c>
      <c r="H82" s="187" t="e">
        <f t="shared" si="4"/>
        <v>#N/A</v>
      </c>
      <c r="I82" s="187" t="e">
        <f t="shared" si="4"/>
        <v>#N/A</v>
      </c>
      <c r="J82" s="181">
        <f t="shared" si="5"/>
        <v>0</v>
      </c>
      <c r="K82" s="187" t="e">
        <f t="shared" si="6"/>
        <v>#N/A</v>
      </c>
      <c r="L82" s="187" t="e">
        <f t="shared" si="6"/>
        <v>#N/A</v>
      </c>
      <c r="M82" s="187" t="e">
        <f t="shared" si="6"/>
        <v>#N/A</v>
      </c>
      <c r="AL82" s="174"/>
      <c r="AM82" s="174"/>
      <c r="AN82" s="174"/>
      <c r="AO82" s="174"/>
      <c r="AP82" s="174"/>
      <c r="AQ82" s="174"/>
      <c r="AR82" s="174"/>
      <c r="AS82" s="174"/>
      <c r="AT82" s="174"/>
    </row>
    <row r="83" spans="1:46" hidden="1">
      <c r="A83" s="173">
        <v>12</v>
      </c>
      <c r="B83" s="181">
        <f t="shared" si="1"/>
        <v>0</v>
      </c>
      <c r="C83" s="187" t="e">
        <f t="shared" si="2"/>
        <v>#N/A</v>
      </c>
      <c r="D83" s="187" t="e">
        <f t="shared" si="2"/>
        <v>#N/A</v>
      </c>
      <c r="E83" s="187" t="e">
        <f t="shared" si="2"/>
        <v>#N/A</v>
      </c>
      <c r="F83" s="181">
        <f t="shared" si="3"/>
        <v>0</v>
      </c>
      <c r="G83" s="187" t="e">
        <f t="shared" si="4"/>
        <v>#N/A</v>
      </c>
      <c r="H83" s="187" t="e">
        <f t="shared" si="4"/>
        <v>#N/A</v>
      </c>
      <c r="I83" s="187" t="e">
        <f t="shared" si="4"/>
        <v>#N/A</v>
      </c>
      <c r="J83" s="181">
        <f t="shared" si="5"/>
        <v>0</v>
      </c>
      <c r="K83" s="187" t="e">
        <f t="shared" si="6"/>
        <v>#N/A</v>
      </c>
      <c r="L83" s="187" t="e">
        <f t="shared" si="6"/>
        <v>#N/A</v>
      </c>
      <c r="M83" s="187" t="e">
        <f t="shared" si="6"/>
        <v>#N/A</v>
      </c>
      <c r="AL83" s="174"/>
      <c r="AM83" s="174"/>
      <c r="AN83" s="174"/>
      <c r="AO83" s="174"/>
      <c r="AP83" s="174"/>
      <c r="AQ83" s="174"/>
      <c r="AR83" s="174"/>
      <c r="AS83" s="174"/>
      <c r="AT83" s="174"/>
    </row>
    <row r="84" spans="1:46" hidden="1">
      <c r="A84" s="173">
        <v>13</v>
      </c>
      <c r="B84" s="181">
        <f t="shared" si="1"/>
        <v>0</v>
      </c>
      <c r="C84" s="187" t="e">
        <f t="shared" si="2"/>
        <v>#N/A</v>
      </c>
      <c r="D84" s="187" t="e">
        <f t="shared" si="2"/>
        <v>#N/A</v>
      </c>
      <c r="E84" s="187" t="e">
        <f t="shared" si="2"/>
        <v>#N/A</v>
      </c>
      <c r="F84" s="181">
        <f t="shared" si="3"/>
        <v>0</v>
      </c>
      <c r="G84" s="187" t="e">
        <f t="shared" si="4"/>
        <v>#N/A</v>
      </c>
      <c r="H84" s="187" t="e">
        <f t="shared" si="4"/>
        <v>#N/A</v>
      </c>
      <c r="I84" s="187" t="e">
        <f t="shared" si="4"/>
        <v>#N/A</v>
      </c>
      <c r="J84" s="181">
        <f t="shared" si="5"/>
        <v>0</v>
      </c>
      <c r="K84" s="187" t="e">
        <f t="shared" si="6"/>
        <v>#N/A</v>
      </c>
      <c r="L84" s="187" t="e">
        <f t="shared" si="6"/>
        <v>#N/A</v>
      </c>
      <c r="M84" s="187" t="e">
        <f t="shared" si="6"/>
        <v>#N/A</v>
      </c>
      <c r="AL84" s="174"/>
      <c r="AM84" s="174"/>
      <c r="AN84" s="174"/>
      <c r="AO84" s="174"/>
      <c r="AP84" s="174"/>
      <c r="AQ84" s="174"/>
      <c r="AR84" s="174"/>
      <c r="AS84" s="174"/>
      <c r="AT84" s="174"/>
    </row>
    <row r="85" spans="1:46" hidden="1">
      <c r="A85" s="173">
        <v>14</v>
      </c>
      <c r="B85" s="181">
        <f t="shared" si="1"/>
        <v>0</v>
      </c>
      <c r="C85" s="187" t="e">
        <f t="shared" si="2"/>
        <v>#N/A</v>
      </c>
      <c r="D85" s="187" t="e">
        <f t="shared" si="2"/>
        <v>#N/A</v>
      </c>
      <c r="E85" s="187" t="e">
        <f t="shared" si="2"/>
        <v>#N/A</v>
      </c>
      <c r="F85" s="181">
        <f t="shared" si="3"/>
        <v>0</v>
      </c>
      <c r="G85" s="187" t="e">
        <f t="shared" si="4"/>
        <v>#N/A</v>
      </c>
      <c r="H85" s="187" t="e">
        <f t="shared" si="4"/>
        <v>#N/A</v>
      </c>
      <c r="I85" s="187" t="e">
        <f t="shared" si="4"/>
        <v>#N/A</v>
      </c>
      <c r="J85" s="181">
        <f t="shared" si="5"/>
        <v>0</v>
      </c>
      <c r="K85" s="187" t="e">
        <f t="shared" si="6"/>
        <v>#N/A</v>
      </c>
      <c r="L85" s="187" t="e">
        <f t="shared" si="6"/>
        <v>#N/A</v>
      </c>
      <c r="M85" s="187" t="e">
        <f t="shared" si="6"/>
        <v>#N/A</v>
      </c>
      <c r="AL85" s="174"/>
      <c r="AM85" s="174"/>
      <c r="AN85" s="174"/>
      <c r="AO85" s="174"/>
      <c r="AP85" s="174"/>
      <c r="AQ85" s="174"/>
      <c r="AR85" s="174"/>
      <c r="AS85" s="174"/>
      <c r="AT85" s="174"/>
    </row>
    <row r="86" spans="1:46" hidden="1">
      <c r="A86" s="173">
        <v>15</v>
      </c>
      <c r="B86" s="181">
        <f t="shared" si="1"/>
        <v>0</v>
      </c>
      <c r="C86" s="187" t="e">
        <f t="shared" si="2"/>
        <v>#N/A</v>
      </c>
      <c r="D86" s="187" t="e">
        <f t="shared" si="2"/>
        <v>#N/A</v>
      </c>
      <c r="E86" s="187" t="e">
        <f t="shared" si="2"/>
        <v>#N/A</v>
      </c>
      <c r="F86" s="181">
        <f t="shared" si="3"/>
        <v>0</v>
      </c>
      <c r="G86" s="187" t="e">
        <f t="shared" si="4"/>
        <v>#N/A</v>
      </c>
      <c r="H86" s="187" t="e">
        <f t="shared" si="4"/>
        <v>#N/A</v>
      </c>
      <c r="I86" s="187" t="e">
        <f t="shared" si="4"/>
        <v>#N/A</v>
      </c>
      <c r="J86" s="181">
        <f t="shared" si="5"/>
        <v>0</v>
      </c>
      <c r="K86" s="187" t="e">
        <f t="shared" si="6"/>
        <v>#N/A</v>
      </c>
      <c r="L86" s="187" t="e">
        <f t="shared" si="6"/>
        <v>#N/A</v>
      </c>
      <c r="M86" s="187" t="e">
        <f t="shared" si="6"/>
        <v>#N/A</v>
      </c>
      <c r="AL86" s="174"/>
      <c r="AM86" s="174"/>
      <c r="AN86" s="174"/>
      <c r="AO86" s="174"/>
      <c r="AP86" s="174"/>
      <c r="AQ86" s="174"/>
      <c r="AR86" s="174"/>
      <c r="AS86" s="174"/>
      <c r="AT86" s="174"/>
    </row>
    <row r="87" spans="1:46" hidden="1">
      <c r="A87" s="173">
        <v>16</v>
      </c>
      <c r="B87" s="181">
        <f t="shared" si="1"/>
        <v>0</v>
      </c>
      <c r="C87" s="187" t="e">
        <f t="shared" si="2"/>
        <v>#N/A</v>
      </c>
      <c r="D87" s="187" t="e">
        <f t="shared" si="2"/>
        <v>#N/A</v>
      </c>
      <c r="E87" s="187" t="e">
        <f t="shared" si="2"/>
        <v>#N/A</v>
      </c>
      <c r="F87" s="181">
        <f t="shared" si="3"/>
        <v>0</v>
      </c>
      <c r="G87" s="187" t="e">
        <f t="shared" si="4"/>
        <v>#N/A</v>
      </c>
      <c r="H87" s="187" t="e">
        <f t="shared" si="4"/>
        <v>#N/A</v>
      </c>
      <c r="I87" s="187" t="e">
        <f t="shared" si="4"/>
        <v>#N/A</v>
      </c>
      <c r="J87" s="181">
        <f t="shared" si="5"/>
        <v>0</v>
      </c>
      <c r="K87" s="187" t="e">
        <f t="shared" si="6"/>
        <v>#N/A</v>
      </c>
      <c r="L87" s="187" t="e">
        <f t="shared" si="6"/>
        <v>#N/A</v>
      </c>
      <c r="M87" s="187" t="e">
        <f t="shared" si="6"/>
        <v>#N/A</v>
      </c>
      <c r="AL87" s="174"/>
      <c r="AM87" s="174"/>
      <c r="AN87" s="174"/>
      <c r="AO87" s="174"/>
      <c r="AP87" s="174"/>
      <c r="AQ87" s="174"/>
      <c r="AR87" s="174"/>
      <c r="AS87" s="174"/>
      <c r="AT87" s="174"/>
    </row>
    <row r="88" spans="1:46" hidden="1">
      <c r="A88" s="173">
        <v>17</v>
      </c>
      <c r="B88" s="181">
        <f t="shared" si="1"/>
        <v>0</v>
      </c>
      <c r="C88" s="187" t="e">
        <f t="shared" si="2"/>
        <v>#N/A</v>
      </c>
      <c r="D88" s="187" t="e">
        <f t="shared" si="2"/>
        <v>#N/A</v>
      </c>
      <c r="E88" s="187" t="e">
        <f t="shared" si="2"/>
        <v>#N/A</v>
      </c>
      <c r="F88" s="181">
        <f t="shared" si="3"/>
        <v>0</v>
      </c>
      <c r="G88" s="187" t="e">
        <f t="shared" si="4"/>
        <v>#N/A</v>
      </c>
      <c r="H88" s="187" t="e">
        <f t="shared" si="4"/>
        <v>#N/A</v>
      </c>
      <c r="I88" s="187" t="e">
        <f t="shared" si="4"/>
        <v>#N/A</v>
      </c>
      <c r="J88" s="181">
        <f t="shared" si="5"/>
        <v>0</v>
      </c>
      <c r="K88" s="187" t="e">
        <f t="shared" si="6"/>
        <v>#N/A</v>
      </c>
      <c r="L88" s="187" t="e">
        <f t="shared" si="6"/>
        <v>#N/A</v>
      </c>
      <c r="M88" s="187" t="e">
        <f t="shared" si="6"/>
        <v>#N/A</v>
      </c>
      <c r="AL88" s="174"/>
      <c r="AM88" s="174"/>
      <c r="AN88" s="174"/>
      <c r="AO88" s="174"/>
      <c r="AP88" s="174"/>
      <c r="AQ88" s="174"/>
      <c r="AR88" s="174"/>
      <c r="AS88" s="174"/>
      <c r="AT88" s="174"/>
    </row>
    <row r="89" spans="1:46" hidden="1">
      <c r="A89" s="173">
        <v>18</v>
      </c>
      <c r="B89" s="181">
        <f t="shared" si="1"/>
        <v>0</v>
      </c>
      <c r="C89" s="187" t="e">
        <f t="shared" si="2"/>
        <v>#N/A</v>
      </c>
      <c r="D89" s="187" t="e">
        <f t="shared" si="2"/>
        <v>#N/A</v>
      </c>
      <c r="E89" s="187" t="e">
        <f t="shared" si="2"/>
        <v>#N/A</v>
      </c>
      <c r="F89" s="181">
        <f t="shared" si="3"/>
        <v>0</v>
      </c>
      <c r="G89" s="187" t="e">
        <f t="shared" si="4"/>
        <v>#N/A</v>
      </c>
      <c r="H89" s="187" t="e">
        <f t="shared" si="4"/>
        <v>#N/A</v>
      </c>
      <c r="I89" s="187" t="e">
        <f t="shared" si="4"/>
        <v>#N/A</v>
      </c>
      <c r="J89" s="181">
        <f t="shared" si="5"/>
        <v>0</v>
      </c>
      <c r="K89" s="187" t="e">
        <f t="shared" si="6"/>
        <v>#N/A</v>
      </c>
      <c r="L89" s="187" t="e">
        <f t="shared" si="6"/>
        <v>#N/A</v>
      </c>
      <c r="M89" s="187" t="e">
        <f t="shared" si="6"/>
        <v>#N/A</v>
      </c>
      <c r="AL89" s="174"/>
      <c r="AM89" s="174"/>
      <c r="AN89" s="174"/>
      <c r="AO89" s="174"/>
      <c r="AP89" s="174"/>
      <c r="AQ89" s="174"/>
      <c r="AR89" s="174"/>
      <c r="AS89" s="174"/>
      <c r="AT89" s="174"/>
    </row>
    <row r="90" spans="1:46" hidden="1">
      <c r="A90" s="173">
        <v>19</v>
      </c>
      <c r="B90" s="181">
        <f t="shared" si="1"/>
        <v>0</v>
      </c>
      <c r="C90" s="187" t="e">
        <f t="shared" si="2"/>
        <v>#N/A</v>
      </c>
      <c r="D90" s="187" t="e">
        <f t="shared" si="2"/>
        <v>#N/A</v>
      </c>
      <c r="E90" s="187" t="e">
        <f t="shared" si="2"/>
        <v>#N/A</v>
      </c>
      <c r="F90" s="181">
        <f t="shared" si="3"/>
        <v>0</v>
      </c>
      <c r="G90" s="187" t="e">
        <f t="shared" si="4"/>
        <v>#N/A</v>
      </c>
      <c r="H90" s="187" t="e">
        <f t="shared" si="4"/>
        <v>#N/A</v>
      </c>
      <c r="I90" s="187" t="e">
        <f t="shared" si="4"/>
        <v>#N/A</v>
      </c>
      <c r="J90" s="181">
        <f t="shared" si="5"/>
        <v>0</v>
      </c>
      <c r="K90" s="187" t="e">
        <f t="shared" si="6"/>
        <v>#N/A</v>
      </c>
      <c r="L90" s="187" t="e">
        <f t="shared" si="6"/>
        <v>#N/A</v>
      </c>
      <c r="M90" s="187" t="e">
        <f t="shared" si="6"/>
        <v>#N/A</v>
      </c>
      <c r="AL90" s="174"/>
      <c r="AM90" s="174"/>
      <c r="AN90" s="174"/>
      <c r="AO90" s="174"/>
      <c r="AP90" s="174"/>
      <c r="AQ90" s="174"/>
      <c r="AR90" s="174"/>
      <c r="AS90" s="174"/>
      <c r="AT90" s="174"/>
    </row>
    <row r="91" spans="1:46" hidden="1">
      <c r="A91" s="173">
        <v>20</v>
      </c>
      <c r="B91" s="181">
        <f t="shared" si="1"/>
        <v>0</v>
      </c>
      <c r="C91" s="187" t="e">
        <f t="shared" si="2"/>
        <v>#N/A</v>
      </c>
      <c r="D91" s="187" t="e">
        <f t="shared" si="2"/>
        <v>#N/A</v>
      </c>
      <c r="E91" s="187" t="e">
        <f t="shared" si="2"/>
        <v>#N/A</v>
      </c>
      <c r="F91" s="181">
        <f t="shared" si="3"/>
        <v>0</v>
      </c>
      <c r="G91" s="187" t="e">
        <f t="shared" si="4"/>
        <v>#N/A</v>
      </c>
      <c r="H91" s="187" t="e">
        <f t="shared" si="4"/>
        <v>#N/A</v>
      </c>
      <c r="I91" s="187" t="e">
        <f t="shared" si="4"/>
        <v>#N/A</v>
      </c>
      <c r="J91" s="181">
        <f t="shared" si="5"/>
        <v>0</v>
      </c>
      <c r="K91" s="187" t="e">
        <f t="shared" si="6"/>
        <v>#N/A</v>
      </c>
      <c r="L91" s="187" t="e">
        <f t="shared" si="6"/>
        <v>#N/A</v>
      </c>
      <c r="M91" s="187" t="e">
        <f t="shared" si="6"/>
        <v>#N/A</v>
      </c>
      <c r="AL91" s="174"/>
      <c r="AM91" s="174"/>
      <c r="AN91" s="174"/>
      <c r="AO91" s="174"/>
      <c r="AP91" s="174"/>
      <c r="AQ91" s="174"/>
      <c r="AR91" s="174"/>
      <c r="AS91" s="174"/>
      <c r="AT91" s="174"/>
    </row>
    <row r="92" spans="1:46" hidden="1">
      <c r="A92" s="173">
        <v>21</v>
      </c>
      <c r="B92" s="181">
        <f t="shared" si="1"/>
        <v>0</v>
      </c>
      <c r="C92" s="187" t="e">
        <f t="shared" si="2"/>
        <v>#N/A</v>
      </c>
      <c r="D92" s="187" t="e">
        <f t="shared" si="2"/>
        <v>#N/A</v>
      </c>
      <c r="E92" s="187" t="e">
        <f t="shared" si="2"/>
        <v>#N/A</v>
      </c>
      <c r="F92" s="181">
        <f t="shared" si="3"/>
        <v>0</v>
      </c>
      <c r="G92" s="187" t="e">
        <f t="shared" si="4"/>
        <v>#N/A</v>
      </c>
      <c r="H92" s="187" t="e">
        <f t="shared" si="4"/>
        <v>#N/A</v>
      </c>
      <c r="I92" s="187" t="e">
        <f t="shared" si="4"/>
        <v>#N/A</v>
      </c>
      <c r="J92" s="181">
        <f t="shared" si="5"/>
        <v>0</v>
      </c>
      <c r="K92" s="187" t="e">
        <f t="shared" si="6"/>
        <v>#N/A</v>
      </c>
      <c r="L92" s="187" t="e">
        <f t="shared" si="6"/>
        <v>#N/A</v>
      </c>
      <c r="M92" s="187" t="e">
        <f t="shared" si="6"/>
        <v>#N/A</v>
      </c>
      <c r="AL92" s="174"/>
      <c r="AM92" s="174"/>
      <c r="AN92" s="174"/>
      <c r="AO92" s="174"/>
      <c r="AP92" s="174"/>
      <c r="AQ92" s="174"/>
      <c r="AR92" s="174"/>
      <c r="AS92" s="174"/>
      <c r="AT92" s="174"/>
    </row>
    <row r="93" spans="1:46" hidden="1">
      <c r="A93" s="173">
        <v>22</v>
      </c>
      <c r="B93" s="181">
        <f t="shared" si="1"/>
        <v>0</v>
      </c>
      <c r="C93" s="187" t="e">
        <f t="shared" si="2"/>
        <v>#N/A</v>
      </c>
      <c r="D93" s="187" t="e">
        <f t="shared" si="2"/>
        <v>#N/A</v>
      </c>
      <c r="E93" s="187" t="e">
        <f t="shared" si="2"/>
        <v>#N/A</v>
      </c>
      <c r="F93" s="181">
        <f t="shared" si="3"/>
        <v>0</v>
      </c>
      <c r="G93" s="187" t="e">
        <f t="shared" si="4"/>
        <v>#N/A</v>
      </c>
      <c r="H93" s="187" t="e">
        <f t="shared" si="4"/>
        <v>#N/A</v>
      </c>
      <c r="I93" s="187" t="e">
        <f t="shared" si="4"/>
        <v>#N/A</v>
      </c>
      <c r="J93" s="181">
        <f t="shared" si="5"/>
        <v>0</v>
      </c>
      <c r="K93" s="187" t="e">
        <f t="shared" si="6"/>
        <v>#N/A</v>
      </c>
      <c r="L93" s="187" t="e">
        <f t="shared" si="6"/>
        <v>#N/A</v>
      </c>
      <c r="M93" s="187" t="e">
        <f t="shared" si="6"/>
        <v>#N/A</v>
      </c>
      <c r="AL93" s="174"/>
      <c r="AM93" s="174"/>
      <c r="AN93" s="174"/>
      <c r="AO93" s="174"/>
      <c r="AP93" s="174"/>
      <c r="AQ93" s="174"/>
      <c r="AR93" s="174"/>
      <c r="AS93" s="174"/>
      <c r="AT93" s="174"/>
    </row>
    <row r="94" spans="1:46" hidden="1">
      <c r="A94" s="173">
        <v>23</v>
      </c>
      <c r="B94" s="181">
        <f t="shared" si="1"/>
        <v>0</v>
      </c>
      <c r="C94" s="187" t="e">
        <f t="shared" si="2"/>
        <v>#N/A</v>
      </c>
      <c r="D94" s="187" t="e">
        <f t="shared" si="2"/>
        <v>#N/A</v>
      </c>
      <c r="E94" s="187" t="e">
        <f t="shared" si="2"/>
        <v>#N/A</v>
      </c>
      <c r="F94" s="181">
        <f t="shared" si="3"/>
        <v>0</v>
      </c>
      <c r="G94" s="187" t="e">
        <f t="shared" si="4"/>
        <v>#N/A</v>
      </c>
      <c r="H94" s="187" t="e">
        <f t="shared" si="4"/>
        <v>#N/A</v>
      </c>
      <c r="I94" s="187" t="e">
        <f t="shared" si="4"/>
        <v>#N/A</v>
      </c>
      <c r="J94" s="181">
        <f t="shared" si="5"/>
        <v>0</v>
      </c>
      <c r="K94" s="187" t="e">
        <f t="shared" si="6"/>
        <v>#N/A</v>
      </c>
      <c r="L94" s="187" t="e">
        <f t="shared" si="6"/>
        <v>#N/A</v>
      </c>
      <c r="M94" s="187" t="e">
        <f t="shared" si="6"/>
        <v>#N/A</v>
      </c>
      <c r="AL94" s="174"/>
      <c r="AM94" s="174"/>
      <c r="AN94" s="174"/>
      <c r="AO94" s="174"/>
      <c r="AP94" s="174"/>
      <c r="AQ94" s="174"/>
      <c r="AR94" s="174"/>
      <c r="AS94" s="174"/>
      <c r="AT94" s="174"/>
    </row>
    <row r="95" spans="1:46" hidden="1">
      <c r="A95" s="173">
        <v>24</v>
      </c>
      <c r="B95" s="181">
        <f t="shared" si="1"/>
        <v>0</v>
      </c>
      <c r="C95" s="187" t="e">
        <f t="shared" si="2"/>
        <v>#N/A</v>
      </c>
      <c r="D95" s="187" t="e">
        <f t="shared" si="2"/>
        <v>#N/A</v>
      </c>
      <c r="E95" s="187" t="e">
        <f t="shared" si="2"/>
        <v>#N/A</v>
      </c>
      <c r="F95" s="181">
        <f t="shared" si="3"/>
        <v>0</v>
      </c>
      <c r="G95" s="187" t="e">
        <f t="shared" si="4"/>
        <v>#N/A</v>
      </c>
      <c r="H95" s="187" t="e">
        <f t="shared" si="4"/>
        <v>#N/A</v>
      </c>
      <c r="I95" s="187" t="e">
        <f t="shared" si="4"/>
        <v>#N/A</v>
      </c>
      <c r="J95" s="181">
        <f t="shared" si="5"/>
        <v>0</v>
      </c>
      <c r="K95" s="187" t="e">
        <f t="shared" si="6"/>
        <v>#N/A</v>
      </c>
      <c r="L95" s="187" t="e">
        <f t="shared" si="6"/>
        <v>#N/A</v>
      </c>
      <c r="M95" s="187" t="e">
        <f t="shared" si="6"/>
        <v>#N/A</v>
      </c>
      <c r="AL95" s="174"/>
      <c r="AM95" s="174"/>
      <c r="AN95" s="174"/>
      <c r="AO95" s="174"/>
      <c r="AP95" s="174"/>
      <c r="AQ95" s="174"/>
      <c r="AR95" s="174"/>
      <c r="AS95" s="174"/>
      <c r="AT95" s="174"/>
    </row>
    <row r="96" spans="1:46" hidden="1">
      <c r="A96" s="173">
        <v>25</v>
      </c>
      <c r="B96" s="181">
        <f t="shared" si="1"/>
        <v>0</v>
      </c>
      <c r="C96" s="187" t="e">
        <f t="shared" si="2"/>
        <v>#N/A</v>
      </c>
      <c r="D96" s="187" t="e">
        <f t="shared" si="2"/>
        <v>#N/A</v>
      </c>
      <c r="E96" s="187" t="e">
        <f t="shared" si="2"/>
        <v>#N/A</v>
      </c>
      <c r="F96" s="181">
        <f t="shared" si="3"/>
        <v>0</v>
      </c>
      <c r="G96" s="187" t="e">
        <f t="shared" si="4"/>
        <v>#N/A</v>
      </c>
      <c r="H96" s="187" t="e">
        <f t="shared" si="4"/>
        <v>#N/A</v>
      </c>
      <c r="I96" s="187" t="e">
        <f t="shared" si="4"/>
        <v>#N/A</v>
      </c>
      <c r="J96" s="181">
        <f t="shared" si="5"/>
        <v>0</v>
      </c>
      <c r="K96" s="187" t="e">
        <f t="shared" si="6"/>
        <v>#N/A</v>
      </c>
      <c r="L96" s="187" t="e">
        <f t="shared" si="6"/>
        <v>#N/A</v>
      </c>
      <c r="M96" s="187" t="e">
        <f t="shared" si="6"/>
        <v>#N/A</v>
      </c>
      <c r="AL96" s="174"/>
      <c r="AM96" s="174"/>
      <c r="AN96" s="174"/>
      <c r="AO96" s="174"/>
      <c r="AP96" s="174"/>
      <c r="AQ96" s="174"/>
      <c r="AR96" s="174"/>
      <c r="AS96" s="174"/>
      <c r="AT96" s="174"/>
    </row>
    <row r="97" spans="1:46" hidden="1">
      <c r="A97" s="173">
        <v>26</v>
      </c>
      <c r="B97" s="181">
        <f t="shared" si="1"/>
        <v>0</v>
      </c>
      <c r="C97" s="187" t="e">
        <f t="shared" si="2"/>
        <v>#N/A</v>
      </c>
      <c r="D97" s="187" t="e">
        <f t="shared" si="2"/>
        <v>#N/A</v>
      </c>
      <c r="E97" s="187" t="e">
        <f t="shared" si="2"/>
        <v>#N/A</v>
      </c>
      <c r="F97" s="181">
        <f t="shared" si="3"/>
        <v>0</v>
      </c>
      <c r="G97" s="187" t="e">
        <f t="shared" si="4"/>
        <v>#N/A</v>
      </c>
      <c r="H97" s="187" t="e">
        <f t="shared" si="4"/>
        <v>#N/A</v>
      </c>
      <c r="I97" s="187" t="e">
        <f t="shared" si="4"/>
        <v>#N/A</v>
      </c>
      <c r="J97" s="181">
        <f t="shared" si="5"/>
        <v>0</v>
      </c>
      <c r="K97" s="187" t="e">
        <f t="shared" si="6"/>
        <v>#N/A</v>
      </c>
      <c r="L97" s="187" t="e">
        <f t="shared" si="6"/>
        <v>#N/A</v>
      </c>
      <c r="M97" s="187" t="e">
        <f t="shared" si="6"/>
        <v>#N/A</v>
      </c>
      <c r="AL97" s="174"/>
      <c r="AM97" s="174"/>
      <c r="AN97" s="174"/>
      <c r="AO97" s="174"/>
      <c r="AP97" s="174"/>
      <c r="AQ97" s="174"/>
      <c r="AR97" s="174"/>
      <c r="AS97" s="174"/>
      <c r="AT97" s="174"/>
    </row>
    <row r="98" spans="1:46" hidden="1">
      <c r="A98" s="173">
        <v>27</v>
      </c>
      <c r="B98" s="181">
        <f t="shared" si="1"/>
        <v>0</v>
      </c>
      <c r="C98" s="187" t="e">
        <f t="shared" si="2"/>
        <v>#N/A</v>
      </c>
      <c r="D98" s="187" t="e">
        <f t="shared" si="2"/>
        <v>#N/A</v>
      </c>
      <c r="E98" s="187" t="e">
        <f t="shared" si="2"/>
        <v>#N/A</v>
      </c>
      <c r="F98" s="181">
        <f t="shared" si="3"/>
        <v>0</v>
      </c>
      <c r="G98" s="187" t="e">
        <f t="shared" si="4"/>
        <v>#N/A</v>
      </c>
      <c r="H98" s="187" t="e">
        <f t="shared" si="4"/>
        <v>#N/A</v>
      </c>
      <c r="I98" s="187" t="e">
        <f t="shared" si="4"/>
        <v>#N/A</v>
      </c>
      <c r="J98" s="181">
        <f t="shared" si="5"/>
        <v>0</v>
      </c>
      <c r="K98" s="187" t="e">
        <f t="shared" si="6"/>
        <v>#N/A</v>
      </c>
      <c r="L98" s="187" t="e">
        <f t="shared" si="6"/>
        <v>#N/A</v>
      </c>
      <c r="M98" s="187" t="e">
        <f t="shared" si="6"/>
        <v>#N/A</v>
      </c>
      <c r="AL98" s="174"/>
      <c r="AM98" s="174"/>
      <c r="AN98" s="174"/>
      <c r="AO98" s="174"/>
      <c r="AP98" s="174"/>
      <c r="AQ98" s="174"/>
      <c r="AR98" s="174"/>
      <c r="AS98" s="174"/>
      <c r="AT98" s="174"/>
    </row>
    <row r="99" spans="1:46" hidden="1">
      <c r="B99" s="180"/>
      <c r="C99" s="181"/>
      <c r="D99" s="181"/>
      <c r="E99" s="180"/>
      <c r="F99" s="181"/>
      <c r="G99" s="181"/>
      <c r="H99" s="181"/>
      <c r="I99" s="181"/>
      <c r="J99" s="184"/>
      <c r="K99" s="184"/>
      <c r="L99" s="184"/>
      <c r="M99" s="184"/>
      <c r="AL99" s="174"/>
      <c r="AM99" s="174"/>
      <c r="AN99" s="174"/>
      <c r="AO99" s="174"/>
      <c r="AP99" s="174"/>
      <c r="AQ99" s="174"/>
      <c r="AR99" s="174"/>
      <c r="AS99" s="174"/>
      <c r="AT99" s="174"/>
    </row>
    <row r="100" spans="1:46" hidden="1">
      <c r="B100" s="180" t="s">
        <v>168</v>
      </c>
      <c r="C100" s="181"/>
      <c r="D100" s="181"/>
      <c r="E100" s="180"/>
      <c r="F100" s="181"/>
      <c r="G100" s="181"/>
      <c r="H100" s="181"/>
      <c r="I100" s="181"/>
      <c r="J100" s="184"/>
      <c r="K100" s="184"/>
      <c r="L100" s="184"/>
      <c r="M100" s="184"/>
      <c r="AL100" s="174"/>
      <c r="AM100" s="174"/>
      <c r="AN100" s="174"/>
      <c r="AO100" s="174"/>
      <c r="AP100" s="174"/>
      <c r="AQ100" s="174"/>
      <c r="AR100" s="174"/>
      <c r="AS100" s="174"/>
      <c r="AT100" s="174"/>
    </row>
    <row r="101" spans="1:46" hidden="1">
      <c r="B101" s="173" t="s">
        <v>170</v>
      </c>
      <c r="C101" s="173" t="e">
        <f ca="1">VLOOKUP(0,OFFSET(C72,0,0,prog15yrrates,1),1,TRUE)</f>
        <v>#N/A</v>
      </c>
      <c r="D101" s="173" t="e">
        <f ca="1">VLOOKUP(0,OFFSET(D72,0,0,prog15yrrates,1),1,TRUE)</f>
        <v>#N/A</v>
      </c>
      <c r="E101" s="173" t="e">
        <f ca="1">VLOOKUP(0,OFFSET(E72,0,0,prog15yrrates,1),1,TRUE)</f>
        <v>#N/A</v>
      </c>
      <c r="F101" s="181"/>
      <c r="G101" s="173" t="e">
        <f ca="1">VLOOKUP(0,OFFSET(G72,0,0,prog30yrrates,1),1,TRUE)</f>
        <v>#N/A</v>
      </c>
      <c r="H101" s="173" t="e">
        <f ca="1">VLOOKUP(0,OFFSET(H72,0,0,prog30yrrates,1),1,TRUE)</f>
        <v>#N/A</v>
      </c>
      <c r="I101" s="173" t="e">
        <f ca="1">VLOOKUP(0,OFFSET(I72,0,0,prog30yrrates,1),1,TRUE)</f>
        <v>#N/A</v>
      </c>
      <c r="J101" s="184"/>
      <c r="K101" s="173" t="e">
        <f ca="1">VLOOKUP(0,OFFSET(K72,0,0,prog30fjrates,1),1,TRUE)</f>
        <v>#N/A</v>
      </c>
      <c r="L101" s="173" t="e">
        <f ca="1">VLOOKUP(0,OFFSET(L72,0,0,prog30fjrates,1),1,TRUE)</f>
        <v>#N/A</v>
      </c>
      <c r="M101" s="173" t="e">
        <f ca="1">VLOOKUP(0,OFFSET(M72,0,0,prog30fjrates,1),1,TRUE)</f>
        <v>#N/A</v>
      </c>
      <c r="AL101" s="174"/>
      <c r="AM101" s="174"/>
      <c r="AN101" s="174"/>
      <c r="AO101" s="174"/>
      <c r="AP101" s="174"/>
      <c r="AQ101" s="174"/>
      <c r="AR101" s="174"/>
      <c r="AS101" s="174"/>
      <c r="AT101" s="174"/>
    </row>
    <row r="102" spans="1:46" hidden="1">
      <c r="B102" s="180" t="s">
        <v>239</v>
      </c>
      <c r="C102" s="181" t="e">
        <f t="array" ref="C102">INDEX(C72:C98,MATCH(MIN(IF(C72:C98-0&gt;=0,C72:C98,FALSE)),IF(C72:C98-0&gt;=0,C72:C98,FALSE),0))</f>
        <v>#N/A</v>
      </c>
      <c r="D102" s="181" t="e">
        <f t="array" ref="D102">INDEX(D72:D98,MATCH(MIN(IF(D72:D98-0&gt;=0,D72:D98,FALSE)),IF(D72:D98-0&gt;=0,D72:D98,FALSE),0))</f>
        <v>#N/A</v>
      </c>
      <c r="E102" s="181" t="e">
        <f t="array" ref="E102">INDEX(E72:E98,MATCH(MIN(IF(E72:E98-0&gt;=0,E72:E98,FALSE)),IF(E72:E98-0&gt;=0,E72:E98,FALSE),0))</f>
        <v>#N/A</v>
      </c>
      <c r="F102" s="181"/>
      <c r="G102" s="181" t="e">
        <f t="array" ref="G102">INDEX(G72:G98,MATCH(MIN(IF(G72:G98-0&gt;=0,G72:G98,FALSE)),IF(G72:G98-0&gt;=0,G72:G98,FALSE),0))</f>
        <v>#N/A</v>
      </c>
      <c r="H102" s="181" t="e">
        <f t="array" ref="H102">INDEX(H72:H98,MATCH(MIN(IF(H72:H98-0&gt;=0,H72:H98,FALSE)),IF(H72:H98-0&gt;=0,H72:H98,FALSE),0))</f>
        <v>#N/A</v>
      </c>
      <c r="I102" s="181" t="e">
        <f t="array" ref="I102">INDEX(I72:I98,MATCH(MIN(IF(I72:I98-0&gt;=0,I72:I98,FALSE)),IF(I72:I98-0&gt;=0,I72:I98,FALSE),0))</f>
        <v>#N/A</v>
      </c>
      <c r="J102" s="181"/>
      <c r="K102" s="181" t="e">
        <f t="array" ref="K102">INDEX(K72:K98,MATCH(MIN(IF(K72:K98-0&gt;=0,K72:K98,FALSE)),IF(K72:K98-0&gt;=0,K72:K98,FALSE),0))</f>
        <v>#N/A</v>
      </c>
      <c r="L102" s="181" t="e">
        <f t="array" ref="L102">INDEX(L72:L98,MATCH(MIN(IF(L72:L98-0&gt;=0,L72:L98,FALSE)),IF(L72:L98-0&gt;=0,L72:L98,FALSE),0))</f>
        <v>#N/A</v>
      </c>
      <c r="M102" s="181" t="e">
        <f t="array" ref="M102">INDEX(M72:M98,MATCH(MIN(IF(M72:M98-0&gt;=0,M72:M98,FALSE)),IF(M72:M98-0&gt;=0,M72:M98,FALSE),0))</f>
        <v>#N/A</v>
      </c>
      <c r="AL102" s="174"/>
      <c r="AM102" s="174"/>
      <c r="AN102" s="174"/>
      <c r="AO102" s="174"/>
      <c r="AP102" s="174"/>
      <c r="AQ102" s="174"/>
      <c r="AR102" s="174"/>
      <c r="AS102" s="174"/>
      <c r="AT102" s="174"/>
    </row>
    <row r="103" spans="1:46" hidden="1">
      <c r="B103" s="180" t="s">
        <v>171</v>
      </c>
      <c r="C103" s="181" t="e">
        <f t="shared" ref="C103:I103" ca="1" si="7">IF(ISERROR(IF(C101+C102&gt;0,C101,C102)),C101,IF(C101+C102&gt;0,C101,C102))</f>
        <v>#N/A</v>
      </c>
      <c r="D103" s="181" t="e">
        <f t="shared" ca="1" si="7"/>
        <v>#N/A</v>
      </c>
      <c r="E103" s="181" t="e">
        <f t="shared" ca="1" si="7"/>
        <v>#N/A</v>
      </c>
      <c r="F103" s="181"/>
      <c r="G103" s="181" t="e">
        <f t="shared" ca="1" si="7"/>
        <v>#N/A</v>
      </c>
      <c r="H103" s="181" t="e">
        <f t="shared" ca="1" si="7"/>
        <v>#N/A</v>
      </c>
      <c r="I103" s="181" t="e">
        <f t="shared" ca="1" si="7"/>
        <v>#N/A</v>
      </c>
      <c r="J103" s="181"/>
      <c r="K103" s="181" t="e">
        <f ca="1">IF(ISERROR(IF(K101+K102&gt;0,K101,K102)),K101,IF(K101+K102&gt;0,K101,K102))</f>
        <v>#N/A</v>
      </c>
      <c r="L103" s="181" t="e">
        <f ca="1">IF(ISERROR(IF(L101+L102&gt;0,L101,L102)),L101,IF(L101+L102&gt;0,L101,L102))</f>
        <v>#N/A</v>
      </c>
      <c r="M103" s="181" t="e">
        <f ca="1">IF(ISERROR(IF(M101+M102&gt;0,M101,M102)),M101,IF(M101+M102&gt;0,M101,M102))</f>
        <v>#N/A</v>
      </c>
      <c r="AL103" s="174"/>
      <c r="AM103" s="174"/>
      <c r="AN103" s="174"/>
      <c r="AO103" s="174"/>
      <c r="AP103" s="174"/>
      <c r="AQ103" s="174"/>
      <c r="AR103" s="174"/>
      <c r="AS103" s="174"/>
      <c r="AT103" s="174"/>
    </row>
    <row r="104" spans="1:46" hidden="1">
      <c r="B104" s="180" t="s">
        <v>172</v>
      </c>
      <c r="C104" s="181" t="e">
        <f ca="1">IF(OFFSET(C71,prog15yrrates,0)&lt;0,prog15yrrates,MATCH(C103,C72:C98,0))</f>
        <v>#N/A</v>
      </c>
      <c r="D104" s="181" t="e">
        <f ca="1">IF(OFFSET(D71,prog15yrrates,0)&lt;0,prog15yrrates,MATCH(D103,D72:D98,0))</f>
        <v>#N/A</v>
      </c>
      <c r="E104" s="181" t="e">
        <f ca="1">IF(OFFSET(E71,prog15yrrates,0)&lt;0,prog15yrrates,MATCH(E103,E72:E98,0))</f>
        <v>#N/A</v>
      </c>
      <c r="F104" s="181"/>
      <c r="G104" s="181" t="e">
        <f ca="1">IF(OFFSET(G71,prog30yrrates,0)&lt;0,prog30yrrates,MATCH(G103,G72:G98,0))</f>
        <v>#N/A</v>
      </c>
      <c r="H104" s="181" t="e">
        <f ca="1">IF(OFFSET(H71,prog30yrrates,0)&lt;0,prog30yrrates,MATCH(H103,H72:H98,0))</f>
        <v>#N/A</v>
      </c>
      <c r="I104" s="181" t="e">
        <f ca="1">IF(OFFSET(I71,prog30yrrates,0)&lt;0,prog30yrrates,MATCH(I103,I72:I98,0))</f>
        <v>#N/A</v>
      </c>
      <c r="J104" s="184"/>
      <c r="K104" s="181" t="e">
        <f ca="1">IF(OFFSET(K71,prog30fjrates,0)&lt;0,prog30fjrates,MATCH(K103,K72:K98,0))</f>
        <v>#N/A</v>
      </c>
      <c r="L104" s="181" t="e">
        <f ca="1">IF(OFFSET(L71,prog30fjrates,0)&lt;0,prog30fjrates,MATCH(L103,L72:L98,0))</f>
        <v>#N/A</v>
      </c>
      <c r="M104" s="181" t="e">
        <f ca="1">IF(OFFSET(M71,prog30fjrates,0)&lt;0,prog30fjrates,MATCH(M103,M72:M98,0))</f>
        <v>#N/A</v>
      </c>
      <c r="AL104" s="174"/>
      <c r="AM104" s="174"/>
      <c r="AN104" s="174"/>
      <c r="AO104" s="174"/>
      <c r="AP104" s="174"/>
      <c r="AQ104" s="174"/>
      <c r="AR104" s="174"/>
      <c r="AS104" s="174"/>
      <c r="AT104" s="174"/>
    </row>
    <row r="105" spans="1:46" hidden="1">
      <c r="B105" s="180" t="s">
        <v>173</v>
      </c>
      <c r="C105" s="181">
        <f ca="1">IF(ISERROR(MATCH(-4,OFFSET(C72,0,0,MAX($C$104:$E$104)-1,1),1)+1),1,MATCH(-4,OFFSET(C72,0,0,MAX($C$104:$E$104)-1,1),1)+1)</f>
        <v>1</v>
      </c>
      <c r="D105" s="181">
        <f ca="1">IF(ISERROR(MATCH(-4,OFFSET(D72,0,0,MAX($C$104:$E$104)-1,1),1)+1),1,MATCH(-4,OFFSET(D72,0,0,MAX($C$104:$E$104)-1,1),1)+1)</f>
        <v>1</v>
      </c>
      <c r="E105" s="181">
        <f ca="1">IF(ISERROR(MATCH(-4,OFFSET(E72,0,0,MAX($C$104:$E$104)-1,1),1)+1),1,MATCH(-4,OFFSET(E72,0,0,MAX($C$104:$E$104)-1,1),1)+1)</f>
        <v>1</v>
      </c>
      <c r="F105" s="181"/>
      <c r="G105" s="181">
        <f ca="1">IF(ISERROR(MATCH(-4,OFFSET(G72,0,0,MAX($G$104:$I$104)-1,1),1)+1),1,MATCH(-4,OFFSET(G72,0,0,MAX($G$104:$I$104)-1,1),1)+1)</f>
        <v>1</v>
      </c>
      <c r="H105" s="181">
        <f ca="1">IF(ISERROR(MATCH(-4,OFFSET(H72,0,0,MAX($G$104:$I$104)-1,1),1)+1),1,MATCH(-4,OFFSET(H72,0,0,MAX($G$104:$I$104)-1,1),1)+1)</f>
        <v>1</v>
      </c>
      <c r="I105" s="181">
        <f ca="1">IF(ISERROR(MATCH(-4,OFFSET(I72,0,0,MAX($G$104:$I$104)-1,1),1)+1),1,MATCH(-4,OFFSET(I72,0,0,MAX($G$104:$I$104)-1,1),1)+1)</f>
        <v>1</v>
      </c>
      <c r="J105" s="184"/>
      <c r="K105" s="181">
        <f ca="1">IF(ISERROR(MATCH(-4,OFFSET(K72,0,0,MAX($K$104:$M$104)-1,1),1)+1),1,MATCH(-4,OFFSET(K72,0,0,MAX($K$104:$M$104)-1,1),1)+1)</f>
        <v>1</v>
      </c>
      <c r="L105" s="181">
        <f ca="1">IF(ISERROR(MATCH(-4,OFFSET(L72,0,0,MAX($K$104:$M$104)-1,1),1)+1),1,MATCH(-4,OFFSET(L72,0,0,MAX($K$104:$M$104)-1,1),1)+1)</f>
        <v>1</v>
      </c>
      <c r="M105" s="181">
        <f ca="1">IF(ISERROR(MATCH(-4,OFFSET(M72,0,0,MAX($K$104:$M$104)-1,1),1)+1),1,MATCH(-4,OFFSET(M72,0,0,MAX($K$104:$M$104)-1,1),1)+1)</f>
        <v>1</v>
      </c>
      <c r="AL105" s="174"/>
      <c r="AM105" s="174"/>
      <c r="AN105" s="174"/>
      <c r="AO105" s="174"/>
      <c r="AP105" s="174"/>
      <c r="AQ105" s="174"/>
      <c r="AR105" s="174"/>
      <c r="AS105" s="174"/>
      <c r="AT105" s="174"/>
    </row>
    <row r="106" spans="1:46" hidden="1">
      <c r="A106" s="201"/>
      <c r="B106" s="181" t="s">
        <v>175</v>
      </c>
      <c r="C106" s="174">
        <f ca="1">MIN(C105:E105)</f>
        <v>1</v>
      </c>
      <c r="D106" s="201"/>
      <c r="E106" s="174"/>
      <c r="F106" s="174"/>
      <c r="G106" s="174">
        <f ca="1">MIN(G105:I105)</f>
        <v>1</v>
      </c>
      <c r="H106" s="174"/>
      <c r="K106" s="174">
        <f ca="1">MIN(K105:M105)</f>
        <v>1</v>
      </c>
      <c r="AD106" s="173"/>
      <c r="AL106" s="174"/>
      <c r="AM106" s="174"/>
      <c r="AN106" s="174"/>
      <c r="AO106" s="174"/>
      <c r="AP106" s="174"/>
      <c r="AQ106" s="174"/>
      <c r="AR106" s="174"/>
      <c r="AS106" s="174"/>
      <c r="AT106" s="174"/>
    </row>
    <row r="107" spans="1:46" hidden="1">
      <c r="A107" s="201"/>
      <c r="B107" s="181" t="s">
        <v>176</v>
      </c>
      <c r="C107" s="174" t="e">
        <f ca="1">MAX(C104:E104)</f>
        <v>#N/A</v>
      </c>
      <c r="D107" s="201"/>
      <c r="E107" s="174"/>
      <c r="F107" s="174"/>
      <c r="G107" s="174" t="e">
        <f ca="1">MAX(G104:I104)</f>
        <v>#N/A</v>
      </c>
      <c r="H107" s="174"/>
      <c r="K107" s="174" t="e">
        <f ca="1">MAX(K104:M104)</f>
        <v>#N/A</v>
      </c>
      <c r="M107" s="173" t="e">
        <f ca="1">MATCH(K103,K91:K94,0)</f>
        <v>#N/A</v>
      </c>
      <c r="AD107" s="173"/>
      <c r="AL107" s="174"/>
      <c r="AM107" s="174"/>
      <c r="AN107" s="174"/>
      <c r="AO107" s="174"/>
      <c r="AP107" s="174"/>
      <c r="AQ107" s="174"/>
      <c r="AR107" s="174"/>
      <c r="AS107" s="174"/>
      <c r="AT107" s="174"/>
    </row>
    <row r="108" spans="1:46" hidden="1">
      <c r="A108" s="201"/>
      <c r="B108" s="174"/>
      <c r="C108" s="174"/>
      <c r="D108" s="201"/>
      <c r="E108" s="174"/>
      <c r="F108" s="174"/>
      <c r="G108" s="174"/>
      <c r="H108" s="174"/>
      <c r="AD108" s="173"/>
      <c r="AL108" s="174"/>
      <c r="AM108" s="174"/>
      <c r="AN108" s="174"/>
      <c r="AO108" s="174"/>
      <c r="AP108" s="174"/>
      <c r="AQ108" s="174"/>
      <c r="AR108" s="174"/>
      <c r="AS108" s="174"/>
      <c r="AT108" s="174"/>
    </row>
    <row r="109" spans="1:46" hidden="1">
      <c r="AD109" s="173"/>
    </row>
    <row r="110" spans="1:46" hidden="1">
      <c r="AD110" s="173"/>
    </row>
    <row r="111" spans="1:46" hidden="1">
      <c r="F111" s="174"/>
      <c r="G111" s="174"/>
      <c r="P111" s="176"/>
      <c r="Q111" s="177"/>
      <c r="R111" s="177"/>
      <c r="S111" s="177"/>
      <c r="T111" s="177"/>
      <c r="U111" s="177"/>
      <c r="V111" s="177"/>
      <c r="AD111" s="173"/>
    </row>
    <row r="112" spans="1:46" hidden="1">
      <c r="B112" s="176" t="s">
        <v>91</v>
      </c>
      <c r="C112" s="183" t="s">
        <v>92</v>
      </c>
      <c r="D112" s="183" t="s">
        <v>93</v>
      </c>
      <c r="E112" s="176" t="s">
        <v>113</v>
      </c>
      <c r="F112" s="177"/>
      <c r="G112" s="177"/>
      <c r="H112" s="177"/>
      <c r="I112" s="177"/>
      <c r="J112" s="177"/>
      <c r="K112" s="177"/>
      <c r="L112" s="177"/>
      <c r="M112" s="177"/>
      <c r="N112" s="177"/>
      <c r="O112" s="177"/>
      <c r="P112" s="176"/>
      <c r="Q112" s="177"/>
      <c r="R112" s="177"/>
      <c r="S112" s="177"/>
      <c r="T112" s="177"/>
      <c r="U112" s="177"/>
      <c r="V112" s="177"/>
      <c r="AD112" s="173"/>
    </row>
    <row r="113" spans="1:34" hidden="1">
      <c r="A113" s="184" t="s">
        <v>88</v>
      </c>
      <c r="B113" s="184">
        <v>0</v>
      </c>
      <c r="C113" s="185">
        <f>COUNTIF($AU$42:$AU$49,"&gt;=0")+IF(COUNTIF($AU$42:$AU$49,0)&gt;1,-COUNTIF($AU$42:$AU$49,0)+1,0)</f>
        <v>0</v>
      </c>
      <c r="D113" s="184">
        <v>14</v>
      </c>
      <c r="E113" s="184">
        <f>parrate15</f>
        <v>3.625</v>
      </c>
      <c r="F113" s="173">
        <v>4</v>
      </c>
      <c r="P113" s="176"/>
      <c r="Q113" s="177"/>
      <c r="R113" s="177"/>
      <c r="S113" s="177"/>
      <c r="T113" s="177"/>
      <c r="U113" s="177"/>
      <c r="V113" s="177"/>
      <c r="AD113" s="173"/>
    </row>
    <row r="114" spans="1:34" hidden="1">
      <c r="A114" s="184" t="s">
        <v>89</v>
      </c>
      <c r="B114" s="184">
        <v>0</v>
      </c>
      <c r="C114" s="185">
        <f>COUNTIF($AV$42:$AV$49,"&gt;=0")+IF(COUNTIF($AV$42:$AV$49,0)&gt;1,-COUNTIF($AV$42:$AV$49,0)+1,0)</f>
        <v>0</v>
      </c>
      <c r="D114" s="184">
        <v>15</v>
      </c>
      <c r="E114" s="184">
        <f>parrate15</f>
        <v>3.625</v>
      </c>
      <c r="F114" s="173">
        <v>6</v>
      </c>
      <c r="I114" s="173" t="e">
        <f>MATCH(1,AN49:AN58,1)</f>
        <v>#N/A</v>
      </c>
      <c r="P114" s="176"/>
      <c r="Q114" s="177"/>
      <c r="R114" s="177"/>
      <c r="S114" s="177"/>
      <c r="T114" s="177"/>
      <c r="U114" s="177"/>
      <c r="V114" s="177"/>
      <c r="AD114" s="173"/>
      <c r="AF114" s="291"/>
      <c r="AG114" s="291"/>
      <c r="AH114" s="291"/>
    </row>
    <row r="115" spans="1:34" hidden="1">
      <c r="A115" s="184" t="s">
        <v>90</v>
      </c>
      <c r="B115" s="184">
        <v>0</v>
      </c>
      <c r="C115" s="185">
        <f>COUNTIF($AW$42:$AW$49,"&gt;=0")+IF(COUNTIF($AW$42:$AW$49,0)&gt;1,-COUNTIF($AW$42:$AW$49,0)+1,0)</f>
        <v>0</v>
      </c>
      <c r="D115" s="184">
        <v>16</v>
      </c>
      <c r="E115" s="184">
        <f>parrate15</f>
        <v>3.625</v>
      </c>
      <c r="P115" s="176"/>
      <c r="Q115" s="177"/>
      <c r="R115" s="177"/>
      <c r="S115" s="177"/>
      <c r="T115" s="177"/>
      <c r="U115" s="177"/>
      <c r="V115" s="177"/>
      <c r="AD115" s="173"/>
    </row>
    <row r="116" spans="1:34" hidden="1">
      <c r="A116" s="184" t="s">
        <v>85</v>
      </c>
      <c r="B116" s="184">
        <v>4</v>
      </c>
      <c r="C116" s="185">
        <f>COUNTIF($AX$42:$AX$67,"&gt;=0")+IF(COUNTIF($AX$42:$AX$67,0)&gt;1,-COUNTIF($AX$42:$AX$67,0)+1,0)</f>
        <v>0</v>
      </c>
      <c r="D116" s="184">
        <v>17</v>
      </c>
      <c r="E116" s="184">
        <f t="shared" ref="E116:E121" si="8">parrate30</f>
        <v>4.25</v>
      </c>
      <c r="L116" s="231" t="s">
        <v>188</v>
      </c>
      <c r="M116" s="232"/>
      <c r="N116" s="232"/>
      <c r="O116" s="232"/>
      <c r="P116" s="232"/>
      <c r="Q116" s="232"/>
      <c r="R116" s="232"/>
      <c r="S116" s="232"/>
      <c r="T116" s="232"/>
      <c r="U116" s="232"/>
      <c r="V116" s="232"/>
      <c r="W116" s="232"/>
      <c r="X116" s="232"/>
      <c r="Y116" s="232"/>
      <c r="Z116" s="232"/>
      <c r="AA116" s="233"/>
      <c r="AD116" s="173"/>
    </row>
    <row r="117" spans="1:34" hidden="1">
      <c r="A117" s="184" t="s">
        <v>86</v>
      </c>
      <c r="B117" s="184">
        <v>4</v>
      </c>
      <c r="C117" s="185">
        <f>COUNTIF($AY$42:$AY$67,"&gt;=0")+IF(COUNTIF($AY$42:$AY$67,0)&gt;1,-COUNTIF($AY$42:$AY$67,0)+1,0)</f>
        <v>0</v>
      </c>
      <c r="D117" s="184">
        <v>18</v>
      </c>
      <c r="E117" s="184">
        <f t="shared" si="8"/>
        <v>4.25</v>
      </c>
      <c r="L117" s="234"/>
      <c r="M117" s="235"/>
      <c r="N117" s="235"/>
      <c r="O117" s="235"/>
      <c r="P117" s="235"/>
      <c r="Q117" s="235"/>
      <c r="R117" s="235"/>
      <c r="S117" s="235"/>
      <c r="T117" s="235"/>
      <c r="U117" s="235"/>
      <c r="V117" s="235"/>
      <c r="W117" s="235"/>
      <c r="X117" s="235"/>
      <c r="Y117" s="235"/>
      <c r="Z117" s="235"/>
      <c r="AA117" s="236"/>
      <c r="AD117" s="173"/>
    </row>
    <row r="118" spans="1:34" hidden="1">
      <c r="A118" s="184" t="s">
        <v>87</v>
      </c>
      <c r="B118" s="184">
        <v>4</v>
      </c>
      <c r="C118" s="185">
        <f>COUNTIF($AZ$42:$AZ$67,"&gt;=0")+IF(COUNTIF($AZ$42:$AZ$67,0)&gt;1,-COUNTIF($AZ$42:$AZ$67,0)+1,0)</f>
        <v>0</v>
      </c>
      <c r="D118" s="184">
        <v>19</v>
      </c>
      <c r="E118" s="184">
        <f t="shared" si="8"/>
        <v>4.25</v>
      </c>
      <c r="L118" s="234">
        <v>0</v>
      </c>
      <c r="M118" s="237">
        <v>100000</v>
      </c>
      <c r="N118" s="237">
        <v>175000</v>
      </c>
      <c r="O118" s="237">
        <v>200000</v>
      </c>
      <c r="P118" s="237">
        <v>260000</v>
      </c>
      <c r="Q118" s="237">
        <v>300000</v>
      </c>
      <c r="R118" s="237">
        <v>375000</v>
      </c>
      <c r="S118" s="237">
        <v>400000</v>
      </c>
      <c r="T118" s="237">
        <v>500000</v>
      </c>
      <c r="U118" s="237">
        <v>600000</v>
      </c>
      <c r="V118" s="237">
        <v>659000</v>
      </c>
      <c r="W118" s="237">
        <v>800000</v>
      </c>
      <c r="X118" s="237">
        <v>1000000</v>
      </c>
      <c r="Y118" s="237">
        <v>1250000</v>
      </c>
      <c r="Z118" s="237">
        <v>1500000</v>
      </c>
      <c r="AA118" s="238">
        <v>2000000</v>
      </c>
      <c r="AD118" s="173"/>
    </row>
    <row r="119" spans="1:34" hidden="1">
      <c r="A119" s="184" t="s">
        <v>150</v>
      </c>
      <c r="B119" s="184">
        <v>11</v>
      </c>
      <c r="C119" s="185">
        <f>COUNTIF($AX$42:$AX$67,"&gt;=0")+IF(COUNTIF($AX$42:$AX$67,0)&gt;1,-COUNTIF($AX$42:$AX$67,0)+1,0)</f>
        <v>0</v>
      </c>
      <c r="D119" s="184">
        <v>4</v>
      </c>
      <c r="E119" s="184">
        <f t="shared" si="8"/>
        <v>4.25</v>
      </c>
      <c r="L119" s="234">
        <v>1</v>
      </c>
      <c r="M119" s="235">
        <v>1</v>
      </c>
      <c r="N119" s="235">
        <v>2</v>
      </c>
      <c r="O119" s="235">
        <v>3</v>
      </c>
      <c r="P119" s="235">
        <v>4</v>
      </c>
      <c r="Q119" s="235">
        <v>5</v>
      </c>
      <c r="R119" s="235">
        <v>6</v>
      </c>
      <c r="S119" s="235">
        <v>7</v>
      </c>
      <c r="T119" s="235">
        <v>8</v>
      </c>
      <c r="U119" s="235">
        <v>9</v>
      </c>
      <c r="V119" s="235">
        <v>10</v>
      </c>
      <c r="W119" s="235">
        <v>11</v>
      </c>
      <c r="X119" s="235">
        <v>12</v>
      </c>
      <c r="Y119" s="235">
        <v>13</v>
      </c>
      <c r="Z119" s="235">
        <v>14</v>
      </c>
      <c r="AA119" s="236">
        <v>15</v>
      </c>
      <c r="AD119" s="173"/>
    </row>
    <row r="120" spans="1:34" hidden="1">
      <c r="A120" s="184" t="s">
        <v>151</v>
      </c>
      <c r="B120" s="184">
        <v>12</v>
      </c>
      <c r="C120" s="185">
        <f>COUNTIF($AY$42:$AY$67,"&gt;=0")+IF(COUNTIF($AY$42:$AY$67,0)&gt;1,-COUNTIF($AY$42:$AY$67,0)+1,0)</f>
        <v>0</v>
      </c>
      <c r="D120" s="184">
        <v>4</v>
      </c>
      <c r="E120" s="184">
        <f t="shared" si="8"/>
        <v>4.25</v>
      </c>
      <c r="L120" s="234"/>
      <c r="M120" s="235"/>
      <c r="N120" s="235"/>
      <c r="O120" s="235"/>
      <c r="P120" s="235"/>
      <c r="Q120" s="235"/>
      <c r="R120" s="235"/>
      <c r="S120" s="235"/>
      <c r="T120" s="235"/>
      <c r="U120" s="235"/>
      <c r="V120" s="235"/>
      <c r="W120" s="235"/>
      <c r="X120" s="235"/>
      <c r="Y120" s="235"/>
      <c r="Z120" s="235"/>
      <c r="AA120" s="236"/>
      <c r="AD120" s="173"/>
    </row>
    <row r="121" spans="1:34" hidden="1">
      <c r="A121" s="184" t="s">
        <v>152</v>
      </c>
      <c r="B121" s="184">
        <v>13</v>
      </c>
      <c r="C121" s="185">
        <f>COUNTIF($AZ$42:$AZ$67,"&gt;=0")+IF(COUNTIF($AZ$42:$AZ$67,0)&gt;1,-COUNTIF($AZ$42:$AZ$67,0)+1,0)</f>
        <v>0</v>
      </c>
      <c r="D121" s="184">
        <v>4</v>
      </c>
      <c r="E121" s="184">
        <f t="shared" si="8"/>
        <v>4.25</v>
      </c>
      <c r="L121" s="234"/>
      <c r="M121" s="239" t="s">
        <v>189</v>
      </c>
      <c r="N121" s="239" t="s">
        <v>190</v>
      </c>
      <c r="O121" s="239" t="s">
        <v>191</v>
      </c>
      <c r="P121" s="239" t="s">
        <v>192</v>
      </c>
      <c r="Q121" s="239" t="s">
        <v>193</v>
      </c>
      <c r="R121" s="239" t="s">
        <v>194</v>
      </c>
      <c r="S121" s="239" t="s">
        <v>195</v>
      </c>
      <c r="T121" s="239" t="s">
        <v>196</v>
      </c>
      <c r="U121" s="239" t="s">
        <v>197</v>
      </c>
      <c r="V121" s="239" t="s">
        <v>198</v>
      </c>
      <c r="W121" s="239" t="s">
        <v>199</v>
      </c>
      <c r="X121" s="239" t="s">
        <v>200</v>
      </c>
      <c r="Y121" s="239" t="s">
        <v>201</v>
      </c>
      <c r="Z121" s="239" t="s">
        <v>202</v>
      </c>
      <c r="AA121" s="240" t="s">
        <v>203</v>
      </c>
      <c r="AD121" s="173"/>
    </row>
    <row r="122" spans="1:34" hidden="1">
      <c r="A122" s="184" t="s">
        <v>153</v>
      </c>
      <c r="B122" s="184">
        <v>8</v>
      </c>
      <c r="C122" s="185">
        <f>COUNTIF($AU$42:$AU$49,"&gt;=0")+IF(COUNTIF($AU$42:$AU$49,0)&gt;1,-COUNTIF($AU$42:$AU$49,0)+1,0)</f>
        <v>0</v>
      </c>
      <c r="D122" s="184">
        <v>0</v>
      </c>
      <c r="E122" s="184">
        <f>parrate15</f>
        <v>3.625</v>
      </c>
      <c r="L122" s="241" t="s">
        <v>21</v>
      </c>
      <c r="M122" s="237">
        <v>100000</v>
      </c>
      <c r="N122" s="237">
        <v>175000</v>
      </c>
      <c r="O122" s="237">
        <v>200000</v>
      </c>
      <c r="P122" s="237">
        <v>260000</v>
      </c>
      <c r="Q122" s="237">
        <v>300000</v>
      </c>
      <c r="R122" s="237">
        <v>375000</v>
      </c>
      <c r="S122" s="237">
        <v>400000</v>
      </c>
      <c r="T122" s="237">
        <v>500000</v>
      </c>
      <c r="U122" s="237">
        <v>600000</v>
      </c>
      <c r="V122" s="237">
        <v>659000</v>
      </c>
      <c r="W122" s="237">
        <v>800000</v>
      </c>
      <c r="X122" s="237">
        <v>1000000</v>
      </c>
      <c r="Y122" s="237">
        <v>1250000</v>
      </c>
      <c r="Z122" s="237">
        <v>1500000</v>
      </c>
      <c r="AA122" s="238">
        <v>2000000</v>
      </c>
      <c r="AD122" s="173"/>
    </row>
    <row r="123" spans="1:34" hidden="1">
      <c r="A123" s="184" t="s">
        <v>154</v>
      </c>
      <c r="B123" s="184">
        <v>9</v>
      </c>
      <c r="C123" s="185">
        <f>COUNTIF($AV$42:$AV$49,"&gt;=0")+IF(COUNTIF($AV$42:$AV$49,0)&gt;1,-COUNTIF($AV$42:$AV$49,0)+1,0)</f>
        <v>0</v>
      </c>
      <c r="D123" s="184">
        <v>0</v>
      </c>
      <c r="E123" s="184">
        <f>parrate15</f>
        <v>3.625</v>
      </c>
      <c r="L123" s="234" t="s">
        <v>28</v>
      </c>
      <c r="M123" s="242">
        <v>445</v>
      </c>
      <c r="N123" s="242">
        <v>575</v>
      </c>
      <c r="O123" s="242">
        <v>575</v>
      </c>
      <c r="P123" s="242">
        <v>700</v>
      </c>
      <c r="Q123" s="242">
        <v>700</v>
      </c>
      <c r="R123" s="242">
        <v>820</v>
      </c>
      <c r="S123" s="242">
        <v>820</v>
      </c>
      <c r="T123" s="242">
        <v>935</v>
      </c>
      <c r="U123" s="243">
        <v>1045</v>
      </c>
      <c r="V123" s="243">
        <v>1155</v>
      </c>
      <c r="W123" s="243">
        <v>1155</v>
      </c>
      <c r="X123" s="243">
        <v>1265</v>
      </c>
      <c r="Y123" s="243">
        <v>1375</v>
      </c>
      <c r="Z123" s="243">
        <v>1485</v>
      </c>
      <c r="AA123" s="244">
        <v>1595</v>
      </c>
      <c r="AD123" s="173"/>
    </row>
    <row r="124" spans="1:34" hidden="1">
      <c r="A124" s="184" t="s">
        <v>155</v>
      </c>
      <c r="B124" s="184">
        <v>10</v>
      </c>
      <c r="C124" s="185">
        <f>COUNTIF($AW$42:$AW$49,"&gt;=0")+IF(COUNTIF($AW$42:$AW$49,0)&gt;1,-COUNTIF($AW$42:$AW$49,0)+1,0)</f>
        <v>0</v>
      </c>
      <c r="D124" s="184">
        <v>0</v>
      </c>
      <c r="E124" s="184">
        <f>parrate15</f>
        <v>3.625</v>
      </c>
      <c r="L124" s="245" t="s">
        <v>27</v>
      </c>
      <c r="M124" s="242">
        <v>445</v>
      </c>
      <c r="N124" s="242">
        <v>575</v>
      </c>
      <c r="O124" s="242">
        <v>575</v>
      </c>
      <c r="P124" s="242">
        <v>700</v>
      </c>
      <c r="Q124" s="242">
        <v>700</v>
      </c>
      <c r="R124" s="242">
        <v>820</v>
      </c>
      <c r="S124" s="242">
        <v>820</v>
      </c>
      <c r="T124" s="242">
        <v>935</v>
      </c>
      <c r="U124" s="243">
        <v>1045</v>
      </c>
      <c r="V124" s="243">
        <v>1155</v>
      </c>
      <c r="W124" s="243">
        <v>1155</v>
      </c>
      <c r="X124" s="243">
        <v>1265</v>
      </c>
      <c r="Y124" s="243">
        <v>1375</v>
      </c>
      <c r="Z124" s="243">
        <v>1485</v>
      </c>
      <c r="AA124" s="244">
        <v>1595</v>
      </c>
      <c r="AD124" s="173"/>
    </row>
    <row r="125" spans="1:34" hidden="1">
      <c r="L125" s="245" t="s">
        <v>29</v>
      </c>
      <c r="M125" s="242">
        <v>445</v>
      </c>
      <c r="N125" s="242">
        <v>575</v>
      </c>
      <c r="O125" s="242">
        <v>575</v>
      </c>
      <c r="P125" s="242">
        <v>700</v>
      </c>
      <c r="Q125" s="242">
        <v>700</v>
      </c>
      <c r="R125" s="242">
        <v>820</v>
      </c>
      <c r="S125" s="242">
        <v>820</v>
      </c>
      <c r="T125" s="242">
        <v>935</v>
      </c>
      <c r="U125" s="243">
        <v>1045</v>
      </c>
      <c r="V125" s="243">
        <v>1155</v>
      </c>
      <c r="W125" s="243">
        <v>1155</v>
      </c>
      <c r="X125" s="243">
        <v>1265</v>
      </c>
      <c r="Y125" s="243">
        <v>1375</v>
      </c>
      <c r="Z125" s="243">
        <v>1485</v>
      </c>
      <c r="AA125" s="244">
        <v>1595</v>
      </c>
      <c r="AD125" s="173"/>
    </row>
    <row r="126" spans="1:34" hidden="1">
      <c r="L126" s="245" t="s">
        <v>32</v>
      </c>
      <c r="M126" s="242">
        <v>445</v>
      </c>
      <c r="N126" s="242">
        <v>575</v>
      </c>
      <c r="O126" s="242">
        <v>575</v>
      </c>
      <c r="P126" s="242">
        <v>700</v>
      </c>
      <c r="Q126" s="242">
        <v>700</v>
      </c>
      <c r="R126" s="242">
        <v>820</v>
      </c>
      <c r="S126" s="242">
        <v>820</v>
      </c>
      <c r="T126" s="242">
        <v>935</v>
      </c>
      <c r="U126" s="243">
        <v>1045</v>
      </c>
      <c r="V126" s="243">
        <v>1155</v>
      </c>
      <c r="W126" s="243">
        <v>1155</v>
      </c>
      <c r="X126" s="243">
        <v>1265</v>
      </c>
      <c r="Y126" s="243">
        <v>1375</v>
      </c>
      <c r="Z126" s="243">
        <v>1485</v>
      </c>
      <c r="AA126" s="244">
        <v>1595</v>
      </c>
      <c r="AD126" s="173"/>
    </row>
    <row r="127" spans="1:34" hidden="1">
      <c r="A127" s="186" t="s">
        <v>26</v>
      </c>
      <c r="B127" s="177"/>
      <c r="C127" s="177"/>
      <c r="D127" s="177"/>
      <c r="E127" s="177"/>
      <c r="F127" s="177"/>
      <c r="G127" s="177"/>
      <c r="H127" s="177"/>
      <c r="I127" s="177"/>
      <c r="J127" s="177"/>
      <c r="K127" s="177"/>
      <c r="L127" s="245" t="s">
        <v>34</v>
      </c>
      <c r="M127" s="242">
        <v>445</v>
      </c>
      <c r="N127" s="242">
        <v>575</v>
      </c>
      <c r="O127" s="242">
        <v>575</v>
      </c>
      <c r="P127" s="242">
        <v>700</v>
      </c>
      <c r="Q127" s="242">
        <v>700</v>
      </c>
      <c r="R127" s="242">
        <v>820</v>
      </c>
      <c r="S127" s="242">
        <v>820</v>
      </c>
      <c r="T127" s="242">
        <v>935</v>
      </c>
      <c r="U127" s="243">
        <v>1045</v>
      </c>
      <c r="V127" s="243">
        <v>1155</v>
      </c>
      <c r="W127" s="243">
        <v>1155</v>
      </c>
      <c r="X127" s="243">
        <v>1265</v>
      </c>
      <c r="Y127" s="243">
        <v>1375</v>
      </c>
      <c r="Z127" s="243">
        <v>1485</v>
      </c>
      <c r="AA127" s="244">
        <v>1595</v>
      </c>
      <c r="AD127" s="173"/>
    </row>
    <row r="128" spans="1:34" hidden="1">
      <c r="A128" s="186" t="s">
        <v>27</v>
      </c>
      <c r="B128" s="177"/>
      <c r="C128" s="177"/>
      <c r="D128" s="177"/>
      <c r="E128" s="177"/>
      <c r="F128" s="177"/>
      <c r="G128" s="177"/>
      <c r="H128" s="177"/>
      <c r="I128" s="177"/>
      <c r="J128" s="177"/>
      <c r="K128" s="177"/>
      <c r="L128" s="245" t="s">
        <v>38</v>
      </c>
      <c r="M128" s="242">
        <v>445</v>
      </c>
      <c r="N128" s="242">
        <v>575</v>
      </c>
      <c r="O128" s="242">
        <v>575</v>
      </c>
      <c r="P128" s="242">
        <v>700</v>
      </c>
      <c r="Q128" s="242">
        <v>700</v>
      </c>
      <c r="R128" s="242">
        <v>820</v>
      </c>
      <c r="S128" s="242">
        <v>820</v>
      </c>
      <c r="T128" s="242">
        <v>935</v>
      </c>
      <c r="U128" s="243">
        <v>1045</v>
      </c>
      <c r="V128" s="243">
        <v>1155</v>
      </c>
      <c r="W128" s="243">
        <v>1155</v>
      </c>
      <c r="X128" s="243">
        <v>1265</v>
      </c>
      <c r="Y128" s="243">
        <v>1375</v>
      </c>
      <c r="Z128" s="243">
        <v>1485</v>
      </c>
      <c r="AA128" s="244">
        <v>1595</v>
      </c>
      <c r="AD128" s="173"/>
    </row>
    <row r="129" spans="1:30" hidden="1">
      <c r="A129" s="186" t="s">
        <v>28</v>
      </c>
      <c r="B129" s="177"/>
      <c r="C129" s="177"/>
      <c r="D129" s="177"/>
      <c r="E129" s="177"/>
      <c r="F129" s="177"/>
      <c r="G129" s="177"/>
      <c r="H129" s="177"/>
      <c r="I129" s="177"/>
      <c r="J129" s="177"/>
      <c r="K129" s="177"/>
      <c r="L129" s="245" t="s">
        <v>39</v>
      </c>
      <c r="M129" s="242">
        <v>445</v>
      </c>
      <c r="N129" s="242">
        <v>575</v>
      </c>
      <c r="O129" s="242">
        <v>575</v>
      </c>
      <c r="P129" s="242">
        <v>700</v>
      </c>
      <c r="Q129" s="242">
        <v>700</v>
      </c>
      <c r="R129" s="242">
        <v>820</v>
      </c>
      <c r="S129" s="242">
        <v>820</v>
      </c>
      <c r="T129" s="242">
        <v>935</v>
      </c>
      <c r="U129" s="243">
        <v>1045</v>
      </c>
      <c r="V129" s="243">
        <v>1155</v>
      </c>
      <c r="W129" s="243">
        <v>1155</v>
      </c>
      <c r="X129" s="243">
        <v>1265</v>
      </c>
      <c r="Y129" s="243">
        <v>1375</v>
      </c>
      <c r="Z129" s="243">
        <v>1485</v>
      </c>
      <c r="AA129" s="244">
        <v>1595</v>
      </c>
      <c r="AD129" s="173"/>
    </row>
    <row r="130" spans="1:30" hidden="1">
      <c r="A130" s="186" t="s">
        <v>29</v>
      </c>
      <c r="B130" s="177"/>
      <c r="C130" s="177"/>
      <c r="D130" s="177"/>
      <c r="E130" s="177"/>
      <c r="F130" s="177"/>
      <c r="G130" s="177"/>
      <c r="H130" s="177"/>
      <c r="I130" s="177"/>
      <c r="J130" s="177"/>
      <c r="K130" s="177"/>
      <c r="L130" s="245" t="s">
        <v>36</v>
      </c>
      <c r="M130" s="242">
        <v>445</v>
      </c>
      <c r="N130" s="242">
        <v>575</v>
      </c>
      <c r="O130" s="242">
        <v>575</v>
      </c>
      <c r="P130" s="242">
        <v>700</v>
      </c>
      <c r="Q130" s="242">
        <v>700</v>
      </c>
      <c r="R130" s="242">
        <v>820</v>
      </c>
      <c r="S130" s="242">
        <v>820</v>
      </c>
      <c r="T130" s="242">
        <v>935</v>
      </c>
      <c r="U130" s="243">
        <v>1045</v>
      </c>
      <c r="V130" s="243">
        <v>1155</v>
      </c>
      <c r="W130" s="243">
        <v>1155</v>
      </c>
      <c r="X130" s="243">
        <v>1265</v>
      </c>
      <c r="Y130" s="243">
        <v>1375</v>
      </c>
      <c r="Z130" s="243">
        <v>1485</v>
      </c>
      <c r="AA130" s="244">
        <v>1595</v>
      </c>
      <c r="AD130" s="173"/>
    </row>
    <row r="131" spans="1:30" hidden="1">
      <c r="A131" s="186" t="s">
        <v>30</v>
      </c>
      <c r="B131" s="177"/>
      <c r="C131" s="177"/>
      <c r="D131" s="177"/>
      <c r="E131" s="177"/>
      <c r="F131" s="177"/>
      <c r="G131" s="177"/>
      <c r="H131" s="177"/>
      <c r="I131" s="177"/>
      <c r="J131" s="177"/>
      <c r="K131" s="177"/>
      <c r="L131" s="245" t="s">
        <v>44</v>
      </c>
      <c r="M131" s="242">
        <v>445</v>
      </c>
      <c r="N131" s="242">
        <v>575</v>
      </c>
      <c r="O131" s="242">
        <v>575</v>
      </c>
      <c r="P131" s="242">
        <v>700</v>
      </c>
      <c r="Q131" s="242">
        <v>700</v>
      </c>
      <c r="R131" s="242">
        <v>820</v>
      </c>
      <c r="S131" s="242">
        <v>820</v>
      </c>
      <c r="T131" s="242">
        <v>935</v>
      </c>
      <c r="U131" s="243">
        <v>1045</v>
      </c>
      <c r="V131" s="243">
        <v>1155</v>
      </c>
      <c r="W131" s="243">
        <v>1155</v>
      </c>
      <c r="X131" s="243">
        <v>1265</v>
      </c>
      <c r="Y131" s="243">
        <v>1375</v>
      </c>
      <c r="Z131" s="243">
        <v>1485</v>
      </c>
      <c r="AA131" s="244">
        <v>1595</v>
      </c>
      <c r="AD131" s="173"/>
    </row>
    <row r="132" spans="1:30" hidden="1">
      <c r="A132" s="186" t="s">
        <v>31</v>
      </c>
      <c r="B132" s="177"/>
      <c r="C132" s="177"/>
      <c r="D132" s="177"/>
      <c r="E132" s="177"/>
      <c r="F132" s="177"/>
      <c r="G132" s="177"/>
      <c r="H132" s="177"/>
      <c r="I132" s="177"/>
      <c r="J132" s="177"/>
      <c r="K132" s="177"/>
      <c r="L132" s="245" t="s">
        <v>22</v>
      </c>
      <c r="M132" s="242">
        <v>445</v>
      </c>
      <c r="N132" s="242">
        <v>575</v>
      </c>
      <c r="O132" s="242">
        <v>575</v>
      </c>
      <c r="P132" s="242">
        <v>700</v>
      </c>
      <c r="Q132" s="242">
        <v>700</v>
      </c>
      <c r="R132" s="242">
        <v>820</v>
      </c>
      <c r="S132" s="242">
        <v>820</v>
      </c>
      <c r="T132" s="242">
        <v>935</v>
      </c>
      <c r="U132" s="243">
        <v>1045</v>
      </c>
      <c r="V132" s="243">
        <v>1155</v>
      </c>
      <c r="W132" s="243">
        <v>1155</v>
      </c>
      <c r="X132" s="243">
        <v>1265</v>
      </c>
      <c r="Y132" s="243">
        <v>1375</v>
      </c>
      <c r="Z132" s="243">
        <v>1485</v>
      </c>
      <c r="AA132" s="244">
        <v>1595</v>
      </c>
      <c r="AD132" s="173"/>
    </row>
    <row r="133" spans="1:30" hidden="1">
      <c r="A133" s="186" t="s">
        <v>75</v>
      </c>
      <c r="B133" s="177"/>
      <c r="C133" s="177"/>
      <c r="D133" s="177"/>
      <c r="E133" s="177"/>
      <c r="F133" s="177"/>
      <c r="G133" s="177"/>
      <c r="H133" s="177"/>
      <c r="I133" s="177"/>
      <c r="J133" s="177"/>
      <c r="K133" s="177"/>
      <c r="L133" s="245" t="s">
        <v>45</v>
      </c>
      <c r="M133" s="242">
        <v>445</v>
      </c>
      <c r="N133" s="242">
        <v>575</v>
      </c>
      <c r="O133" s="242">
        <v>575</v>
      </c>
      <c r="P133" s="242">
        <v>700</v>
      </c>
      <c r="Q133" s="242">
        <v>700</v>
      </c>
      <c r="R133" s="242">
        <v>820</v>
      </c>
      <c r="S133" s="242">
        <v>820</v>
      </c>
      <c r="T133" s="242">
        <v>935</v>
      </c>
      <c r="U133" s="243">
        <v>1045</v>
      </c>
      <c r="V133" s="243">
        <v>1155</v>
      </c>
      <c r="W133" s="243">
        <v>1155</v>
      </c>
      <c r="X133" s="243">
        <v>1265</v>
      </c>
      <c r="Y133" s="243">
        <v>1375</v>
      </c>
      <c r="Z133" s="243">
        <v>1485</v>
      </c>
      <c r="AA133" s="244">
        <v>1595</v>
      </c>
      <c r="AD133" s="173"/>
    </row>
    <row r="134" spans="1:30" hidden="1">
      <c r="A134" s="186" t="s">
        <v>33</v>
      </c>
      <c r="B134" s="177"/>
      <c r="C134" s="177"/>
      <c r="D134" s="177"/>
      <c r="E134" s="177"/>
      <c r="F134" s="177"/>
      <c r="G134" s="177"/>
      <c r="H134" s="177"/>
      <c r="I134" s="177"/>
      <c r="J134" s="177"/>
      <c r="K134" s="177"/>
      <c r="L134" s="245" t="s">
        <v>46</v>
      </c>
      <c r="M134" s="242">
        <v>445</v>
      </c>
      <c r="N134" s="242">
        <v>575</v>
      </c>
      <c r="O134" s="242">
        <v>575</v>
      </c>
      <c r="P134" s="242">
        <v>700</v>
      </c>
      <c r="Q134" s="242">
        <v>700</v>
      </c>
      <c r="R134" s="242">
        <v>820</v>
      </c>
      <c r="S134" s="242">
        <v>820</v>
      </c>
      <c r="T134" s="242">
        <v>935</v>
      </c>
      <c r="U134" s="243">
        <v>1045</v>
      </c>
      <c r="V134" s="243">
        <v>1155</v>
      </c>
      <c r="W134" s="243">
        <v>1155</v>
      </c>
      <c r="X134" s="243">
        <v>1265</v>
      </c>
      <c r="Y134" s="243">
        <v>1375</v>
      </c>
      <c r="Z134" s="243">
        <v>1485</v>
      </c>
      <c r="AA134" s="244">
        <v>1595</v>
      </c>
      <c r="AD134" s="173"/>
    </row>
    <row r="135" spans="1:30" hidden="1">
      <c r="A135" s="186" t="s">
        <v>34</v>
      </c>
      <c r="B135" s="177"/>
      <c r="C135" s="177"/>
      <c r="D135" s="177"/>
      <c r="E135" s="177"/>
      <c r="F135" s="177"/>
      <c r="G135" s="177"/>
      <c r="H135" s="177"/>
      <c r="I135" s="177"/>
      <c r="J135" s="177"/>
      <c r="K135" s="177"/>
      <c r="L135" s="245" t="s">
        <v>48</v>
      </c>
      <c r="M135" s="242">
        <v>445</v>
      </c>
      <c r="N135" s="242">
        <v>575</v>
      </c>
      <c r="O135" s="242">
        <v>575</v>
      </c>
      <c r="P135" s="242">
        <v>700</v>
      </c>
      <c r="Q135" s="242">
        <v>700</v>
      </c>
      <c r="R135" s="242">
        <v>820</v>
      </c>
      <c r="S135" s="242">
        <v>820</v>
      </c>
      <c r="T135" s="242">
        <v>935</v>
      </c>
      <c r="U135" s="243">
        <v>1045</v>
      </c>
      <c r="V135" s="243">
        <v>1155</v>
      </c>
      <c r="W135" s="243">
        <v>1155</v>
      </c>
      <c r="X135" s="243">
        <v>1265</v>
      </c>
      <c r="Y135" s="243">
        <v>1375</v>
      </c>
      <c r="Z135" s="243">
        <v>1485</v>
      </c>
      <c r="AA135" s="244">
        <v>1595</v>
      </c>
      <c r="AD135" s="173"/>
    </row>
    <row r="136" spans="1:30" hidden="1">
      <c r="A136" s="186" t="s">
        <v>36</v>
      </c>
      <c r="B136" s="177"/>
      <c r="C136" s="177"/>
      <c r="D136" s="177"/>
      <c r="E136" s="177"/>
      <c r="F136" s="177"/>
      <c r="G136" s="177"/>
      <c r="H136" s="177"/>
      <c r="I136" s="177"/>
      <c r="J136" s="177"/>
      <c r="K136" s="177"/>
      <c r="L136" s="245" t="s">
        <v>62</v>
      </c>
      <c r="M136" s="242">
        <v>445</v>
      </c>
      <c r="N136" s="242">
        <v>575</v>
      </c>
      <c r="O136" s="242">
        <v>575</v>
      </c>
      <c r="P136" s="242">
        <v>700</v>
      </c>
      <c r="Q136" s="242">
        <v>700</v>
      </c>
      <c r="R136" s="242">
        <v>820</v>
      </c>
      <c r="S136" s="242">
        <v>820</v>
      </c>
      <c r="T136" s="242">
        <v>935</v>
      </c>
      <c r="U136" s="243">
        <v>1045</v>
      </c>
      <c r="V136" s="243">
        <v>1155</v>
      </c>
      <c r="W136" s="243">
        <v>1155</v>
      </c>
      <c r="X136" s="243">
        <v>1265</v>
      </c>
      <c r="Y136" s="243">
        <v>1375</v>
      </c>
      <c r="Z136" s="243">
        <v>1485</v>
      </c>
      <c r="AA136" s="244">
        <v>1595</v>
      </c>
      <c r="AD136" s="173"/>
    </row>
    <row r="137" spans="1:30" hidden="1">
      <c r="A137" s="186" t="s">
        <v>37</v>
      </c>
      <c r="B137" s="177"/>
      <c r="C137" s="177"/>
      <c r="D137" s="177"/>
      <c r="E137" s="177"/>
      <c r="F137" s="177"/>
      <c r="G137" s="177"/>
      <c r="H137" s="177"/>
      <c r="I137" s="177"/>
      <c r="J137" s="177"/>
      <c r="K137" s="177"/>
      <c r="L137" s="245" t="s">
        <v>68</v>
      </c>
      <c r="M137" s="242">
        <v>445</v>
      </c>
      <c r="N137" s="242">
        <v>575</v>
      </c>
      <c r="O137" s="242">
        <v>575</v>
      </c>
      <c r="P137" s="242">
        <v>700</v>
      </c>
      <c r="Q137" s="242">
        <v>700</v>
      </c>
      <c r="R137" s="242">
        <v>820</v>
      </c>
      <c r="S137" s="242">
        <v>820</v>
      </c>
      <c r="T137" s="242">
        <v>935</v>
      </c>
      <c r="U137" s="243">
        <v>1045</v>
      </c>
      <c r="V137" s="243">
        <v>1155</v>
      </c>
      <c r="W137" s="243">
        <v>1155</v>
      </c>
      <c r="X137" s="243">
        <v>1265</v>
      </c>
      <c r="Y137" s="243">
        <v>1375</v>
      </c>
      <c r="Z137" s="243">
        <v>1485</v>
      </c>
      <c r="AA137" s="244">
        <v>1595</v>
      </c>
      <c r="AD137" s="173"/>
    </row>
    <row r="138" spans="1:30" hidden="1">
      <c r="A138" s="186" t="s">
        <v>38</v>
      </c>
      <c r="B138" s="177"/>
      <c r="C138" s="177"/>
      <c r="D138" s="177"/>
      <c r="E138" s="177"/>
      <c r="F138" s="177"/>
      <c r="G138" s="177"/>
      <c r="H138" s="177"/>
      <c r="I138" s="177"/>
      <c r="J138" s="177"/>
      <c r="K138" s="177"/>
      <c r="L138" s="245" t="s">
        <v>71</v>
      </c>
      <c r="M138" s="242">
        <v>445</v>
      </c>
      <c r="N138" s="242">
        <v>575</v>
      </c>
      <c r="O138" s="242">
        <v>575</v>
      </c>
      <c r="P138" s="242">
        <v>700</v>
      </c>
      <c r="Q138" s="242">
        <v>700</v>
      </c>
      <c r="R138" s="242">
        <v>820</v>
      </c>
      <c r="S138" s="242">
        <v>820</v>
      </c>
      <c r="T138" s="242">
        <v>935</v>
      </c>
      <c r="U138" s="243">
        <v>1045</v>
      </c>
      <c r="V138" s="243">
        <v>1155</v>
      </c>
      <c r="W138" s="243">
        <v>1155</v>
      </c>
      <c r="X138" s="243">
        <v>1265</v>
      </c>
      <c r="Y138" s="243">
        <v>1375</v>
      </c>
      <c r="Z138" s="243">
        <v>1485</v>
      </c>
      <c r="AA138" s="244">
        <v>1595</v>
      </c>
      <c r="AD138" s="173"/>
    </row>
    <row r="139" spans="1:30" hidden="1">
      <c r="A139" s="186" t="s">
        <v>39</v>
      </c>
      <c r="B139" s="177"/>
      <c r="C139" s="177"/>
      <c r="D139" s="177"/>
      <c r="E139" s="177"/>
      <c r="F139" s="177"/>
      <c r="G139" s="177"/>
      <c r="H139" s="177"/>
      <c r="I139" s="177"/>
      <c r="J139" s="177"/>
      <c r="K139" s="177"/>
      <c r="L139" s="245" t="s">
        <v>30</v>
      </c>
      <c r="M139" s="242">
        <v>415</v>
      </c>
      <c r="N139" s="242">
        <v>495</v>
      </c>
      <c r="O139" s="242">
        <v>550</v>
      </c>
      <c r="P139" s="242">
        <v>550</v>
      </c>
      <c r="Q139" s="242">
        <v>660</v>
      </c>
      <c r="R139" s="242">
        <v>660</v>
      </c>
      <c r="S139" s="242">
        <v>775</v>
      </c>
      <c r="T139" s="242">
        <v>775</v>
      </c>
      <c r="U139" s="242">
        <v>895</v>
      </c>
      <c r="V139" s="242">
        <v>895</v>
      </c>
      <c r="W139" s="173">
        <v>1157</v>
      </c>
      <c r="X139" s="173">
        <v>1332</v>
      </c>
      <c r="Y139" s="173">
        <v>1532</v>
      </c>
      <c r="Z139" s="173">
        <v>1732</v>
      </c>
      <c r="AA139" s="246">
        <v>1732</v>
      </c>
      <c r="AD139" s="173"/>
    </row>
    <row r="140" spans="1:30" hidden="1">
      <c r="A140" s="186" t="s">
        <v>40</v>
      </c>
      <c r="B140" s="177"/>
      <c r="C140" s="177"/>
      <c r="D140" s="177"/>
      <c r="E140" s="177"/>
      <c r="F140" s="177"/>
      <c r="G140" s="177"/>
      <c r="H140" s="177"/>
      <c r="I140" s="177"/>
      <c r="J140" s="177"/>
      <c r="K140" s="177"/>
      <c r="L140" s="245" t="s">
        <v>40</v>
      </c>
      <c r="M140" s="242">
        <v>545</v>
      </c>
      <c r="N140" s="242">
        <v>545</v>
      </c>
      <c r="O140" s="242">
        <v>545</v>
      </c>
      <c r="P140" s="242">
        <v>545</v>
      </c>
      <c r="Q140" s="242">
        <v>545</v>
      </c>
      <c r="R140" s="242">
        <v>545</v>
      </c>
      <c r="S140" s="242">
        <v>545</v>
      </c>
      <c r="T140" s="242">
        <v>545</v>
      </c>
      <c r="U140" s="242">
        <v>545</v>
      </c>
      <c r="V140" s="242">
        <v>545</v>
      </c>
      <c r="W140" s="173">
        <v>1505</v>
      </c>
      <c r="X140" s="173">
        <v>1805</v>
      </c>
      <c r="Y140" s="173">
        <v>2180</v>
      </c>
      <c r="Z140" s="173">
        <v>2555</v>
      </c>
      <c r="AA140" s="246">
        <v>2555</v>
      </c>
      <c r="AD140" s="173"/>
    </row>
    <row r="141" spans="1:30" hidden="1">
      <c r="A141" s="186" t="s">
        <v>41</v>
      </c>
      <c r="B141" s="177"/>
      <c r="C141" s="177"/>
      <c r="D141" s="177"/>
      <c r="E141" s="177"/>
      <c r="F141" s="177"/>
      <c r="G141" s="177"/>
      <c r="H141" s="177"/>
      <c r="I141" s="177"/>
      <c r="J141" s="177"/>
      <c r="K141" s="177"/>
      <c r="L141" s="245" t="s">
        <v>41</v>
      </c>
      <c r="M141" s="242">
        <v>545</v>
      </c>
      <c r="N141" s="242">
        <v>545</v>
      </c>
      <c r="O141" s="242">
        <v>545</v>
      </c>
      <c r="P141" s="242">
        <v>545</v>
      </c>
      <c r="Q141" s="242">
        <v>545</v>
      </c>
      <c r="R141" s="242">
        <v>545</v>
      </c>
      <c r="S141" s="242">
        <v>545</v>
      </c>
      <c r="T141" s="242">
        <v>545</v>
      </c>
      <c r="U141" s="242">
        <v>560</v>
      </c>
      <c r="V141" s="242">
        <v>560</v>
      </c>
      <c r="W141" s="173">
        <v>1803.75</v>
      </c>
      <c r="X141" s="173">
        <v>2188.75</v>
      </c>
      <c r="Y141" s="173">
        <v>2601.25</v>
      </c>
      <c r="Z141" s="173">
        <v>3013.75</v>
      </c>
      <c r="AA141" s="246">
        <v>3013.75</v>
      </c>
      <c r="AD141" s="173"/>
    </row>
    <row r="142" spans="1:30" hidden="1">
      <c r="A142" s="186" t="s">
        <v>42</v>
      </c>
      <c r="B142" s="177"/>
      <c r="C142" s="177"/>
      <c r="D142" s="177"/>
      <c r="E142" s="177"/>
      <c r="F142" s="177"/>
      <c r="G142" s="177"/>
      <c r="H142" s="177"/>
      <c r="I142" s="177"/>
      <c r="J142" s="177"/>
      <c r="K142" s="177"/>
      <c r="L142" s="245" t="s">
        <v>47</v>
      </c>
      <c r="M142" s="242">
        <v>545</v>
      </c>
      <c r="N142" s="242">
        <v>545</v>
      </c>
      <c r="O142" s="242">
        <v>545</v>
      </c>
      <c r="P142" s="242">
        <v>545</v>
      </c>
      <c r="Q142" s="242">
        <v>555</v>
      </c>
      <c r="R142" s="242">
        <v>555</v>
      </c>
      <c r="S142" s="242">
        <v>685</v>
      </c>
      <c r="T142" s="242">
        <v>685</v>
      </c>
      <c r="U142" s="242">
        <v>820</v>
      </c>
      <c r="V142" s="242">
        <v>820</v>
      </c>
      <c r="W142" s="173">
        <v>543</v>
      </c>
      <c r="X142" s="173">
        <v>627</v>
      </c>
      <c r="Y142" s="173">
        <v>732</v>
      </c>
      <c r="Z142" s="173">
        <v>837</v>
      </c>
      <c r="AA142" s="246">
        <v>837</v>
      </c>
      <c r="AD142" s="173"/>
    </row>
    <row r="143" spans="1:30" hidden="1">
      <c r="A143" s="186" t="s">
        <v>22</v>
      </c>
      <c r="B143" s="177"/>
      <c r="C143" s="177"/>
      <c r="D143" s="177"/>
      <c r="E143" s="177"/>
      <c r="F143" s="177"/>
      <c r="G143" s="177"/>
      <c r="H143" s="177"/>
      <c r="I143" s="177"/>
      <c r="J143" s="177"/>
      <c r="K143" s="177"/>
      <c r="L143" s="245" t="s">
        <v>52</v>
      </c>
      <c r="M143" s="242">
        <v>350</v>
      </c>
      <c r="N143" s="242">
        <v>350</v>
      </c>
      <c r="O143" s="242">
        <v>450</v>
      </c>
      <c r="P143" s="242">
        <v>450</v>
      </c>
      <c r="Q143" s="242">
        <v>590</v>
      </c>
      <c r="R143" s="242">
        <v>590</v>
      </c>
      <c r="S143" s="242">
        <v>760</v>
      </c>
      <c r="T143" s="242">
        <v>760</v>
      </c>
      <c r="U143" s="242">
        <v>950</v>
      </c>
      <c r="V143" s="242">
        <v>950</v>
      </c>
      <c r="W143" s="173">
        <v>1644.5</v>
      </c>
      <c r="X143" s="173">
        <v>2044.5</v>
      </c>
      <c r="Y143" s="173">
        <v>2482</v>
      </c>
      <c r="Z143" s="173">
        <v>2919.5</v>
      </c>
      <c r="AA143" s="246">
        <v>2919.5</v>
      </c>
      <c r="AD143" s="173"/>
    </row>
    <row r="144" spans="1:30" hidden="1">
      <c r="A144" s="186" t="s">
        <v>43</v>
      </c>
      <c r="B144" s="177"/>
      <c r="C144" s="177"/>
      <c r="D144" s="177"/>
      <c r="E144" s="177"/>
      <c r="F144" s="177"/>
      <c r="G144" s="177"/>
      <c r="H144" s="177"/>
      <c r="I144" s="177"/>
      <c r="J144" s="177"/>
      <c r="K144" s="177"/>
      <c r="L144" s="245" t="s">
        <v>56</v>
      </c>
      <c r="M144" s="242">
        <v>350</v>
      </c>
      <c r="N144" s="242">
        <v>350</v>
      </c>
      <c r="O144" s="242">
        <v>375</v>
      </c>
      <c r="P144" s="242">
        <v>375</v>
      </c>
      <c r="Q144" s="242">
        <v>470</v>
      </c>
      <c r="R144" s="242">
        <v>470</v>
      </c>
      <c r="S144" s="242">
        <v>575</v>
      </c>
      <c r="T144" s="242">
        <v>575</v>
      </c>
      <c r="U144" s="242">
        <v>685</v>
      </c>
      <c r="V144" s="242">
        <v>685</v>
      </c>
      <c r="W144" s="173">
        <v>1268</v>
      </c>
      <c r="X144" s="173">
        <v>1496</v>
      </c>
      <c r="Y144" s="173">
        <v>1773</v>
      </c>
      <c r="Z144" s="173">
        <v>2051</v>
      </c>
      <c r="AA144" s="246">
        <v>2051</v>
      </c>
      <c r="AD144" s="173"/>
    </row>
    <row r="145" spans="1:30" hidden="1">
      <c r="A145" s="186" t="s">
        <v>44</v>
      </c>
      <c r="B145" s="177"/>
      <c r="C145" s="177"/>
      <c r="D145" s="177"/>
      <c r="E145" s="177"/>
      <c r="F145" s="177"/>
      <c r="G145" s="177"/>
      <c r="H145" s="177"/>
      <c r="I145" s="177"/>
      <c r="J145" s="177"/>
      <c r="K145" s="177"/>
      <c r="L145" s="245" t="s">
        <v>65</v>
      </c>
      <c r="M145" s="242">
        <v>350</v>
      </c>
      <c r="N145" s="242">
        <v>510</v>
      </c>
      <c r="O145" s="242">
        <v>745</v>
      </c>
      <c r="P145" s="242">
        <v>745</v>
      </c>
      <c r="Q145" s="243">
        <v>1045</v>
      </c>
      <c r="R145" s="243">
        <v>1045</v>
      </c>
      <c r="S145" s="242">
        <v>1400</v>
      </c>
      <c r="T145" s="242">
        <v>1400</v>
      </c>
      <c r="U145" s="242">
        <v>1735</v>
      </c>
      <c r="V145" s="242">
        <v>1735</v>
      </c>
      <c r="W145" s="173">
        <v>1325</v>
      </c>
      <c r="X145" s="173">
        <v>1625</v>
      </c>
      <c r="Y145" s="173">
        <v>2000</v>
      </c>
      <c r="Z145" s="173">
        <v>2375</v>
      </c>
      <c r="AA145" s="246">
        <v>2375</v>
      </c>
      <c r="AD145" s="173"/>
    </row>
    <row r="146" spans="1:30" hidden="1">
      <c r="A146" s="186" t="s">
        <v>45</v>
      </c>
      <c r="B146" s="177"/>
      <c r="C146" s="177"/>
      <c r="D146" s="177"/>
      <c r="E146" s="177"/>
      <c r="F146" s="177"/>
      <c r="G146" s="177"/>
      <c r="H146" s="177"/>
      <c r="I146" s="177"/>
      <c r="J146" s="177"/>
      <c r="K146" s="177"/>
      <c r="L146" s="245" t="s">
        <v>72</v>
      </c>
      <c r="M146" s="242">
        <v>545</v>
      </c>
      <c r="N146" s="242">
        <v>545</v>
      </c>
      <c r="O146" s="242">
        <v>665</v>
      </c>
      <c r="P146" s="242">
        <v>665</v>
      </c>
      <c r="Q146" s="242">
        <v>865</v>
      </c>
      <c r="R146" s="242">
        <v>865</v>
      </c>
      <c r="S146" s="242">
        <v>1110</v>
      </c>
      <c r="T146" s="242">
        <v>1110</v>
      </c>
      <c r="U146" s="242">
        <v>1355</v>
      </c>
      <c r="V146" s="242">
        <v>1355</v>
      </c>
      <c r="W146" s="173">
        <v>1958</v>
      </c>
      <c r="X146" s="173">
        <v>2358</v>
      </c>
      <c r="Y146" s="173">
        <v>2733</v>
      </c>
      <c r="Z146" s="173">
        <v>3108</v>
      </c>
      <c r="AA146" s="246">
        <v>3108</v>
      </c>
      <c r="AD146" s="173"/>
    </row>
    <row r="147" spans="1:30" hidden="1">
      <c r="A147" s="186" t="s">
        <v>46</v>
      </c>
      <c r="B147" s="177"/>
      <c r="C147" s="177"/>
      <c r="D147" s="177"/>
      <c r="E147" s="177"/>
      <c r="F147" s="177"/>
      <c r="G147" s="177"/>
      <c r="H147" s="177"/>
      <c r="I147" s="177"/>
      <c r="J147" s="177"/>
      <c r="K147" s="177"/>
      <c r="L147" s="245" t="s">
        <v>26</v>
      </c>
      <c r="M147" s="173">
        <v>345</v>
      </c>
      <c r="N147" s="173">
        <v>476.25</v>
      </c>
      <c r="O147" s="173">
        <v>625</v>
      </c>
      <c r="P147" s="173">
        <v>625</v>
      </c>
      <c r="Q147" s="173">
        <v>826.25</v>
      </c>
      <c r="R147" s="173">
        <v>826.25</v>
      </c>
      <c r="S147" s="173">
        <v>1045</v>
      </c>
      <c r="T147" s="173">
        <v>1045</v>
      </c>
      <c r="U147" s="173">
        <v>1307.5</v>
      </c>
      <c r="V147" s="173">
        <v>1570</v>
      </c>
      <c r="W147" s="173">
        <v>1570</v>
      </c>
      <c r="X147" s="173">
        <v>1920</v>
      </c>
      <c r="Y147" s="173">
        <v>2295</v>
      </c>
      <c r="Z147" s="173">
        <v>2670</v>
      </c>
      <c r="AA147" s="246">
        <v>2670</v>
      </c>
      <c r="AD147" s="173"/>
    </row>
    <row r="148" spans="1:30" hidden="1">
      <c r="A148" s="186" t="s">
        <v>47</v>
      </c>
      <c r="B148" s="177"/>
      <c r="C148" s="177"/>
      <c r="D148" s="177"/>
      <c r="E148" s="177"/>
      <c r="F148" s="177"/>
      <c r="G148" s="177"/>
      <c r="H148" s="177"/>
      <c r="I148" s="177"/>
      <c r="J148" s="177"/>
      <c r="K148" s="177"/>
      <c r="L148" s="245" t="s">
        <v>25</v>
      </c>
      <c r="M148" s="173">
        <v>641</v>
      </c>
      <c r="N148" s="173">
        <v>888</v>
      </c>
      <c r="O148" s="173">
        <v>1169</v>
      </c>
      <c r="P148" s="173">
        <v>1169</v>
      </c>
      <c r="Q148" s="173">
        <v>1548</v>
      </c>
      <c r="R148" s="173">
        <v>1548</v>
      </c>
      <c r="S148" s="173">
        <v>1961</v>
      </c>
      <c r="T148" s="173">
        <v>1961</v>
      </c>
      <c r="U148" s="173">
        <v>2373</v>
      </c>
      <c r="V148" s="173">
        <v>2758</v>
      </c>
      <c r="W148" s="173">
        <v>2758</v>
      </c>
      <c r="X148" s="173">
        <v>3198</v>
      </c>
      <c r="Y148" s="173">
        <v>3748</v>
      </c>
      <c r="Z148" s="173">
        <v>4298</v>
      </c>
      <c r="AA148" s="246">
        <v>4298</v>
      </c>
      <c r="AD148" s="173"/>
    </row>
    <row r="149" spans="1:30" hidden="1">
      <c r="A149" s="186" t="s">
        <v>48</v>
      </c>
      <c r="B149" s="177"/>
      <c r="C149" s="177"/>
      <c r="D149" s="177"/>
      <c r="E149" s="177"/>
      <c r="F149" s="177"/>
      <c r="G149" s="177"/>
      <c r="H149" s="177"/>
      <c r="I149" s="177"/>
      <c r="J149" s="177"/>
      <c r="K149" s="177"/>
      <c r="L149" s="245" t="s">
        <v>31</v>
      </c>
      <c r="M149" s="173">
        <v>423</v>
      </c>
      <c r="N149" s="173">
        <v>666.75</v>
      </c>
      <c r="O149" s="173">
        <v>976</v>
      </c>
      <c r="P149" s="173">
        <v>976</v>
      </c>
      <c r="Q149" s="173">
        <v>1229.25</v>
      </c>
      <c r="R149" s="173">
        <v>1229.25</v>
      </c>
      <c r="S149" s="173">
        <v>1573</v>
      </c>
      <c r="T149" s="173">
        <v>1573</v>
      </c>
      <c r="U149" s="173">
        <v>1910.5</v>
      </c>
      <c r="V149" s="173">
        <v>2248</v>
      </c>
      <c r="W149" s="173">
        <v>2248</v>
      </c>
      <c r="X149" s="173">
        <v>2248</v>
      </c>
      <c r="Y149" s="173">
        <v>3260.5</v>
      </c>
      <c r="Z149" s="173">
        <v>3823</v>
      </c>
      <c r="AA149" s="246">
        <v>3823</v>
      </c>
      <c r="AD149" s="173"/>
    </row>
    <row r="150" spans="1:30" hidden="1">
      <c r="A150" s="186" t="s">
        <v>49</v>
      </c>
      <c r="B150" s="177"/>
      <c r="C150" s="177"/>
      <c r="D150" s="177"/>
      <c r="E150" s="177"/>
      <c r="F150" s="177"/>
      <c r="G150" s="177"/>
      <c r="H150" s="177"/>
      <c r="I150" s="177"/>
      <c r="J150" s="177"/>
      <c r="K150" s="177"/>
      <c r="L150" s="245" t="s">
        <v>75</v>
      </c>
      <c r="M150" s="173">
        <v>345</v>
      </c>
      <c r="N150" s="173">
        <v>495</v>
      </c>
      <c r="O150" s="173">
        <v>665</v>
      </c>
      <c r="P150" s="173">
        <v>665</v>
      </c>
      <c r="Q150" s="173">
        <v>895</v>
      </c>
      <c r="R150" s="173">
        <v>895</v>
      </c>
      <c r="S150" s="173">
        <v>1145</v>
      </c>
      <c r="T150" s="173">
        <v>1145</v>
      </c>
      <c r="U150" s="173">
        <v>1445</v>
      </c>
      <c r="V150" s="173">
        <v>1745</v>
      </c>
      <c r="W150" s="173">
        <v>1745</v>
      </c>
      <c r="X150" s="173">
        <v>2145</v>
      </c>
      <c r="Y150" s="173">
        <v>2582.5</v>
      </c>
      <c r="Z150" s="173">
        <v>3020</v>
      </c>
      <c r="AA150" s="246">
        <v>3020</v>
      </c>
      <c r="AD150" s="173"/>
    </row>
    <row r="151" spans="1:30" hidden="1">
      <c r="A151" s="186" t="s">
        <v>50</v>
      </c>
      <c r="B151" s="177"/>
      <c r="C151" s="177"/>
      <c r="D151" s="177"/>
      <c r="E151" s="177"/>
      <c r="F151" s="177"/>
      <c r="G151" s="177"/>
      <c r="H151" s="177"/>
      <c r="I151" s="177"/>
      <c r="J151" s="177"/>
      <c r="K151" s="177"/>
      <c r="L151" s="245" t="s">
        <v>33</v>
      </c>
      <c r="M151" s="173">
        <v>525</v>
      </c>
      <c r="N151" s="173">
        <v>900</v>
      </c>
      <c r="O151" s="173">
        <v>1325</v>
      </c>
      <c r="P151" s="173">
        <v>1325</v>
      </c>
      <c r="Q151" s="173">
        <v>1900</v>
      </c>
      <c r="R151" s="173">
        <v>1900</v>
      </c>
      <c r="S151" s="173">
        <v>2525</v>
      </c>
      <c r="T151" s="173">
        <v>2525</v>
      </c>
      <c r="U151" s="173">
        <v>3275</v>
      </c>
      <c r="V151" s="173">
        <v>4025</v>
      </c>
      <c r="W151" s="173">
        <v>4025</v>
      </c>
      <c r="X151" s="173">
        <v>5025</v>
      </c>
      <c r="Y151" s="173">
        <v>5650</v>
      </c>
      <c r="Z151" s="173">
        <v>6275</v>
      </c>
      <c r="AA151" s="246">
        <v>6275</v>
      </c>
      <c r="AD151" s="173"/>
    </row>
    <row r="152" spans="1:30" hidden="1">
      <c r="A152" s="186" t="s">
        <v>51</v>
      </c>
      <c r="B152" s="177"/>
      <c r="C152" s="177"/>
      <c r="D152" s="177"/>
      <c r="E152" s="177"/>
      <c r="F152" s="177"/>
      <c r="G152" s="177"/>
      <c r="H152" s="177"/>
      <c r="I152" s="177"/>
      <c r="J152" s="177"/>
      <c r="K152" s="177"/>
      <c r="L152" s="245" t="s">
        <v>35</v>
      </c>
      <c r="M152" s="173">
        <v>440</v>
      </c>
      <c r="N152" s="173">
        <v>677</v>
      </c>
      <c r="O152" s="173">
        <v>940</v>
      </c>
      <c r="P152" s="173">
        <v>940</v>
      </c>
      <c r="Q152" s="173">
        <v>1317</v>
      </c>
      <c r="R152" s="173">
        <v>1317</v>
      </c>
      <c r="S152" s="173">
        <v>1684</v>
      </c>
      <c r="T152" s="173">
        <v>1684</v>
      </c>
      <c r="U152" s="173">
        <v>2036</v>
      </c>
      <c r="V152" s="173">
        <v>2460</v>
      </c>
      <c r="W152" s="173">
        <v>2460</v>
      </c>
      <c r="X152" s="173">
        <v>3100</v>
      </c>
      <c r="Y152" s="173">
        <v>3352.5</v>
      </c>
      <c r="Z152" s="173">
        <v>3915</v>
      </c>
      <c r="AA152" s="246">
        <v>3915</v>
      </c>
      <c r="AD152" s="173"/>
    </row>
    <row r="153" spans="1:30" hidden="1">
      <c r="A153" s="186" t="s">
        <v>52</v>
      </c>
      <c r="B153" s="177"/>
      <c r="C153" s="177"/>
      <c r="D153" s="177"/>
      <c r="E153" s="177"/>
      <c r="F153" s="177"/>
      <c r="G153" s="177"/>
      <c r="H153" s="177"/>
      <c r="I153" s="177"/>
      <c r="J153" s="177"/>
      <c r="K153" s="177"/>
      <c r="L153" s="245" t="s">
        <v>37</v>
      </c>
      <c r="M153" s="173">
        <v>393.25</v>
      </c>
      <c r="N153" s="173">
        <v>1079</v>
      </c>
      <c r="O153" s="173">
        <v>1410.5</v>
      </c>
      <c r="P153" s="173">
        <v>1410.5</v>
      </c>
      <c r="Q153" s="173">
        <v>1785.88</v>
      </c>
      <c r="R153" s="173">
        <v>1785.88</v>
      </c>
      <c r="S153" s="173">
        <v>2151.5</v>
      </c>
      <c r="T153" s="173">
        <v>2151.5</v>
      </c>
      <c r="U153" s="173">
        <v>2590.25</v>
      </c>
      <c r="V153" s="173">
        <v>3029</v>
      </c>
      <c r="W153" s="173">
        <v>3029</v>
      </c>
      <c r="X153" s="173">
        <v>3614</v>
      </c>
      <c r="Y153" s="173">
        <v>4264</v>
      </c>
      <c r="Z153" s="173">
        <v>4914</v>
      </c>
      <c r="AA153" s="246">
        <v>4914</v>
      </c>
      <c r="AD153" s="173"/>
    </row>
    <row r="154" spans="1:30" hidden="1">
      <c r="A154" s="186" t="s">
        <v>53</v>
      </c>
      <c r="B154" s="177"/>
      <c r="C154" s="177"/>
      <c r="D154" s="177"/>
      <c r="E154" s="177"/>
      <c r="F154" s="177"/>
      <c r="G154" s="177"/>
      <c r="H154" s="177"/>
      <c r="I154" s="177"/>
      <c r="J154" s="177"/>
      <c r="K154" s="177"/>
      <c r="L154" s="245" t="s">
        <v>42</v>
      </c>
      <c r="M154" s="173">
        <v>394.2</v>
      </c>
      <c r="N154" s="173">
        <v>600.45000000000005</v>
      </c>
      <c r="O154" s="173">
        <v>834.2</v>
      </c>
      <c r="P154" s="173">
        <v>834.2</v>
      </c>
      <c r="Q154" s="173">
        <v>1150.45</v>
      </c>
      <c r="R154" s="173">
        <v>1150.45</v>
      </c>
      <c r="S154" s="173">
        <v>1494.2</v>
      </c>
      <c r="T154" s="173">
        <v>1494.2</v>
      </c>
      <c r="U154" s="173">
        <v>1831.7</v>
      </c>
      <c r="V154" s="173">
        <v>2169.1999999999998</v>
      </c>
      <c r="W154" s="173">
        <v>2169.1999999999998</v>
      </c>
      <c r="X154" s="173">
        <v>2619.1999999999998</v>
      </c>
      <c r="Y154" s="173">
        <v>3119.2</v>
      </c>
      <c r="Z154" s="173">
        <v>3619.2</v>
      </c>
      <c r="AA154" s="246">
        <v>3619.2</v>
      </c>
      <c r="AD154" s="173"/>
    </row>
    <row r="155" spans="1:30" hidden="1">
      <c r="A155" s="186" t="s">
        <v>54</v>
      </c>
      <c r="B155" s="177"/>
      <c r="C155" s="177"/>
      <c r="D155" s="177"/>
      <c r="E155" s="177"/>
      <c r="F155" s="177"/>
      <c r="G155" s="177"/>
      <c r="H155" s="177"/>
      <c r="I155" s="177"/>
      <c r="J155" s="177"/>
      <c r="K155" s="177"/>
      <c r="L155" s="245" t="s">
        <v>43</v>
      </c>
      <c r="M155" s="173">
        <v>345</v>
      </c>
      <c r="N155" s="173">
        <v>532.5</v>
      </c>
      <c r="O155" s="173">
        <v>742.5</v>
      </c>
      <c r="P155" s="173">
        <v>742.5</v>
      </c>
      <c r="Q155" s="173">
        <v>1001.25</v>
      </c>
      <c r="R155" s="173">
        <v>1001.25</v>
      </c>
      <c r="S155" s="173">
        <v>1282.5</v>
      </c>
      <c r="T155" s="173">
        <v>1282.5</v>
      </c>
      <c r="U155" s="173">
        <v>1582.5</v>
      </c>
      <c r="V155" s="173">
        <v>1870</v>
      </c>
      <c r="W155" s="173">
        <v>1870</v>
      </c>
      <c r="X155" s="173">
        <v>2220</v>
      </c>
      <c r="Y155" s="173">
        <v>2595</v>
      </c>
      <c r="Z155" s="173">
        <v>2970</v>
      </c>
      <c r="AA155" s="246">
        <v>2970</v>
      </c>
      <c r="AD155" s="173"/>
    </row>
    <row r="156" spans="1:30" hidden="1">
      <c r="A156" s="186" t="s">
        <v>55</v>
      </c>
      <c r="B156" s="177"/>
      <c r="C156" s="177"/>
      <c r="D156" s="177"/>
      <c r="E156" s="177"/>
      <c r="F156" s="177"/>
      <c r="G156" s="177"/>
      <c r="H156" s="177"/>
      <c r="I156" s="177"/>
      <c r="J156" s="177"/>
      <c r="K156" s="177"/>
      <c r="L156" s="245" t="s">
        <v>49</v>
      </c>
      <c r="M156" s="173">
        <v>490.5</v>
      </c>
      <c r="N156" s="173">
        <v>675.5</v>
      </c>
      <c r="O156" s="173">
        <v>845.5</v>
      </c>
      <c r="P156" s="173">
        <v>845.5</v>
      </c>
      <c r="Q156" s="173">
        <v>1075.5</v>
      </c>
      <c r="R156" s="173">
        <v>1075.5</v>
      </c>
      <c r="S156" s="173">
        <v>1325.5</v>
      </c>
      <c r="T156" s="173">
        <v>1325.5</v>
      </c>
      <c r="U156" s="173">
        <v>1625.5</v>
      </c>
      <c r="V156" s="173">
        <v>1925.5</v>
      </c>
      <c r="W156" s="173">
        <v>1925.5</v>
      </c>
      <c r="X156" s="173">
        <v>2325.5</v>
      </c>
      <c r="Y156" s="173">
        <v>2763</v>
      </c>
      <c r="Z156" s="173">
        <v>3200.5</v>
      </c>
      <c r="AA156" s="246">
        <v>3200.5</v>
      </c>
      <c r="AD156" s="173"/>
    </row>
    <row r="157" spans="1:30" hidden="1">
      <c r="A157" s="186" t="s">
        <v>56</v>
      </c>
      <c r="B157" s="177"/>
      <c r="C157" s="177"/>
      <c r="D157" s="177"/>
      <c r="E157" s="177"/>
      <c r="F157" s="177"/>
      <c r="G157" s="177"/>
      <c r="H157" s="177"/>
      <c r="I157" s="177"/>
      <c r="J157" s="177"/>
      <c r="K157" s="177"/>
      <c r="L157" s="245" t="s">
        <v>53</v>
      </c>
      <c r="M157" s="173">
        <v>315</v>
      </c>
      <c r="N157" s="173">
        <v>393.75</v>
      </c>
      <c r="O157" s="173">
        <v>483</v>
      </c>
      <c r="P157" s="173">
        <v>483</v>
      </c>
      <c r="Q157" s="173">
        <v>603.75</v>
      </c>
      <c r="R157" s="173">
        <v>603.75</v>
      </c>
      <c r="S157" s="173">
        <v>735</v>
      </c>
      <c r="T157" s="173">
        <v>735</v>
      </c>
      <c r="U157" s="173">
        <v>847.5</v>
      </c>
      <c r="V157" s="173">
        <v>960</v>
      </c>
      <c r="W157" s="173">
        <v>960</v>
      </c>
      <c r="X157" s="173">
        <v>1110</v>
      </c>
      <c r="Y157" s="173">
        <v>1297.5</v>
      </c>
      <c r="Z157" s="173">
        <v>1485</v>
      </c>
      <c r="AA157" s="246">
        <v>1485</v>
      </c>
      <c r="AD157" s="173"/>
    </row>
    <row r="158" spans="1:30" hidden="1">
      <c r="A158" s="186" t="s">
        <v>57</v>
      </c>
      <c r="B158" s="177"/>
      <c r="C158" s="177"/>
      <c r="D158" s="177"/>
      <c r="E158" s="177"/>
      <c r="F158" s="177"/>
      <c r="G158" s="177"/>
      <c r="H158" s="177"/>
      <c r="I158" s="177"/>
      <c r="J158" s="177"/>
      <c r="K158" s="177"/>
      <c r="L158" s="245" t="s">
        <v>54</v>
      </c>
      <c r="M158" s="173">
        <v>515</v>
      </c>
      <c r="N158" s="173">
        <v>640</v>
      </c>
      <c r="O158" s="173">
        <v>980</v>
      </c>
      <c r="P158" s="173">
        <v>980</v>
      </c>
      <c r="Q158" s="173">
        <v>1440</v>
      </c>
      <c r="R158" s="173">
        <v>1440</v>
      </c>
      <c r="S158" s="173">
        <v>1940</v>
      </c>
      <c r="T158" s="173">
        <v>1940</v>
      </c>
      <c r="U158" s="173">
        <v>2353</v>
      </c>
      <c r="V158" s="173">
        <v>2765</v>
      </c>
      <c r="W158" s="173">
        <v>2765</v>
      </c>
      <c r="X158" s="173">
        <v>3315</v>
      </c>
      <c r="Y158" s="173">
        <v>4003</v>
      </c>
      <c r="Z158" s="173">
        <v>4690</v>
      </c>
      <c r="AA158" s="246">
        <v>4690</v>
      </c>
      <c r="AD158" s="173"/>
    </row>
    <row r="159" spans="1:30" hidden="1">
      <c r="A159" s="186" t="s">
        <v>58</v>
      </c>
      <c r="B159" s="177"/>
      <c r="C159" s="177"/>
      <c r="D159" s="177"/>
      <c r="E159" s="177"/>
      <c r="F159" s="177"/>
      <c r="G159" s="177"/>
      <c r="H159" s="177"/>
      <c r="I159" s="177"/>
      <c r="J159" s="177"/>
      <c r="K159" s="177"/>
      <c r="L159" s="245" t="s">
        <v>55</v>
      </c>
      <c r="M159" s="173">
        <v>718</v>
      </c>
      <c r="N159" s="173">
        <v>1039</v>
      </c>
      <c r="O159" s="173">
        <v>1402</v>
      </c>
      <c r="P159" s="173">
        <v>1402</v>
      </c>
      <c r="Q159" s="173">
        <v>1894</v>
      </c>
      <c r="R159" s="173">
        <v>1894</v>
      </c>
      <c r="S159" s="173">
        <v>2428</v>
      </c>
      <c r="T159" s="173">
        <v>2428</v>
      </c>
      <c r="U159" s="173">
        <v>2932</v>
      </c>
      <c r="V159" s="173">
        <v>3435</v>
      </c>
      <c r="W159" s="173">
        <v>3435</v>
      </c>
      <c r="X159" s="173">
        <v>4107</v>
      </c>
      <c r="Y159" s="173">
        <v>4946</v>
      </c>
      <c r="Z159" s="173">
        <v>5785</v>
      </c>
      <c r="AA159" s="246">
        <v>5785</v>
      </c>
      <c r="AD159" s="173"/>
    </row>
    <row r="160" spans="1:30" hidden="1">
      <c r="A160" s="186" t="s">
        <v>59</v>
      </c>
      <c r="B160" s="177"/>
      <c r="C160" s="177"/>
      <c r="D160" s="177"/>
      <c r="E160" s="177"/>
      <c r="F160" s="177"/>
      <c r="G160" s="177"/>
      <c r="H160" s="177"/>
      <c r="I160" s="188"/>
      <c r="J160" s="177"/>
      <c r="K160" s="177"/>
      <c r="L160" s="245" t="s">
        <v>57</v>
      </c>
      <c r="M160" s="173">
        <v>482</v>
      </c>
      <c r="N160" s="173">
        <v>755</v>
      </c>
      <c r="O160" s="173">
        <v>1065</v>
      </c>
      <c r="P160" s="173">
        <v>1065</v>
      </c>
      <c r="Q160" s="173">
        <v>1483</v>
      </c>
      <c r="R160" s="173">
        <v>1483</v>
      </c>
      <c r="S160" s="173">
        <v>2007</v>
      </c>
      <c r="T160" s="173">
        <v>2007</v>
      </c>
      <c r="U160" s="173">
        <v>2504</v>
      </c>
      <c r="V160" s="173">
        <v>3000</v>
      </c>
      <c r="W160" s="173">
        <v>3000</v>
      </c>
      <c r="X160" s="173">
        <v>3662</v>
      </c>
      <c r="Y160" s="173">
        <v>4425</v>
      </c>
      <c r="Z160" s="173">
        <v>5187</v>
      </c>
      <c r="AA160" s="246">
        <v>5187</v>
      </c>
      <c r="AD160" s="173"/>
    </row>
    <row r="161" spans="1:27" hidden="1">
      <c r="A161" s="186" t="s">
        <v>60</v>
      </c>
      <c r="B161" s="177"/>
      <c r="C161" s="177"/>
      <c r="D161" s="177"/>
      <c r="E161" s="177"/>
      <c r="F161" s="177"/>
      <c r="G161" s="177"/>
      <c r="H161" s="177"/>
      <c r="I161" s="177"/>
      <c r="J161" s="177"/>
      <c r="K161" s="177"/>
      <c r="L161" s="245" t="s">
        <v>50</v>
      </c>
      <c r="M161" s="173">
        <v>270</v>
      </c>
      <c r="N161" s="173">
        <v>390</v>
      </c>
      <c r="O161" s="173">
        <v>526</v>
      </c>
      <c r="P161" s="173">
        <v>526</v>
      </c>
      <c r="Q161" s="173">
        <v>710</v>
      </c>
      <c r="R161" s="173">
        <v>710</v>
      </c>
      <c r="S161" s="173">
        <v>910</v>
      </c>
      <c r="T161" s="173">
        <v>910</v>
      </c>
      <c r="U161" s="173">
        <v>1060</v>
      </c>
      <c r="V161" s="173">
        <v>1210</v>
      </c>
      <c r="W161" s="173">
        <v>1210</v>
      </c>
      <c r="X161" s="173">
        <v>1410</v>
      </c>
      <c r="Y161" s="173">
        <v>1660</v>
      </c>
      <c r="Z161" s="173">
        <v>1910</v>
      </c>
      <c r="AA161" s="246">
        <v>1910</v>
      </c>
    </row>
    <row r="162" spans="1:27" hidden="1">
      <c r="A162" s="186" t="s">
        <v>61</v>
      </c>
      <c r="B162" s="177"/>
      <c r="C162" s="177"/>
      <c r="D162" s="177"/>
      <c r="E162" s="177"/>
      <c r="F162" s="177"/>
      <c r="G162" s="177"/>
      <c r="H162" s="177"/>
      <c r="I162" s="177"/>
      <c r="J162" s="177"/>
      <c r="K162" s="177"/>
      <c r="L162" s="245" t="s">
        <v>51</v>
      </c>
      <c r="M162" s="173">
        <v>242.76</v>
      </c>
      <c r="N162" s="173">
        <v>347.76</v>
      </c>
      <c r="O162" s="173">
        <v>466.76</v>
      </c>
      <c r="P162" s="173">
        <v>466.76</v>
      </c>
      <c r="Q162" s="173">
        <v>627.76</v>
      </c>
      <c r="R162" s="173">
        <v>627.76</v>
      </c>
      <c r="S162" s="173">
        <v>802.76</v>
      </c>
      <c r="T162" s="173">
        <v>802.76</v>
      </c>
      <c r="U162" s="173">
        <v>1012.76</v>
      </c>
      <c r="V162" s="173">
        <v>1222.76</v>
      </c>
      <c r="W162" s="173">
        <v>1222.76</v>
      </c>
      <c r="X162" s="173">
        <v>1502.76</v>
      </c>
      <c r="Y162" s="173">
        <v>2584.3000000000002</v>
      </c>
      <c r="Z162" s="173">
        <v>3021.8</v>
      </c>
      <c r="AA162" s="246">
        <v>3021.8</v>
      </c>
    </row>
    <row r="163" spans="1:27" hidden="1">
      <c r="A163" s="186" t="s">
        <v>62</v>
      </c>
      <c r="B163" s="177"/>
      <c r="C163" s="177"/>
      <c r="D163" s="177"/>
      <c r="E163" s="177"/>
      <c r="F163" s="177"/>
      <c r="G163" s="177"/>
      <c r="H163" s="177"/>
      <c r="I163" s="177"/>
      <c r="L163" s="245" t="s">
        <v>58</v>
      </c>
      <c r="M163" s="173">
        <v>475</v>
      </c>
      <c r="N163" s="173">
        <v>756.25</v>
      </c>
      <c r="O163" s="173">
        <v>1025</v>
      </c>
      <c r="P163" s="173">
        <v>1025</v>
      </c>
      <c r="Q163" s="173">
        <v>1312.5</v>
      </c>
      <c r="R163" s="173">
        <v>1312.5</v>
      </c>
      <c r="S163" s="173">
        <v>1625</v>
      </c>
      <c r="T163" s="173">
        <v>1625</v>
      </c>
      <c r="U163" s="173">
        <v>1962.5</v>
      </c>
      <c r="V163" s="173">
        <v>2300</v>
      </c>
      <c r="W163" s="173">
        <v>2300</v>
      </c>
      <c r="X163" s="173">
        <v>2750</v>
      </c>
      <c r="Y163" s="173">
        <v>3312.5</v>
      </c>
      <c r="Z163" s="173">
        <v>3875</v>
      </c>
      <c r="AA163" s="246">
        <v>3875</v>
      </c>
    </row>
    <row r="164" spans="1:27" hidden="1">
      <c r="A164" s="186" t="s">
        <v>63</v>
      </c>
      <c r="B164" s="177"/>
      <c r="C164" s="177"/>
      <c r="D164" s="177"/>
      <c r="E164" s="177"/>
      <c r="F164" s="177"/>
      <c r="G164" s="177"/>
      <c r="H164" s="177"/>
      <c r="I164" s="177"/>
      <c r="L164" s="245" t="s">
        <v>59</v>
      </c>
      <c r="M164" s="173">
        <v>1262.5</v>
      </c>
      <c r="N164" s="173">
        <v>1393.75</v>
      </c>
      <c r="O164" s="173">
        <v>1542.5</v>
      </c>
      <c r="P164" s="173">
        <v>1542.5</v>
      </c>
      <c r="Q164" s="173">
        <v>1743.75</v>
      </c>
      <c r="R164" s="173">
        <v>1743.75</v>
      </c>
      <c r="S164" s="173">
        <v>1962.5</v>
      </c>
      <c r="T164" s="173">
        <v>1962.5</v>
      </c>
      <c r="U164" s="173">
        <v>2187.5</v>
      </c>
      <c r="V164" s="173">
        <v>2412.5</v>
      </c>
      <c r="W164" s="173">
        <v>2412.5</v>
      </c>
      <c r="X164" s="173">
        <v>2712.5</v>
      </c>
      <c r="Y164" s="173">
        <v>3048</v>
      </c>
      <c r="Z164" s="173">
        <v>3448</v>
      </c>
      <c r="AA164" s="246">
        <v>3448</v>
      </c>
    </row>
    <row r="165" spans="1:27" hidden="1">
      <c r="A165" s="186" t="s">
        <v>64</v>
      </c>
      <c r="B165" s="177"/>
      <c r="C165" s="177"/>
      <c r="D165" s="177"/>
      <c r="E165" s="177"/>
      <c r="F165" s="177"/>
      <c r="G165" s="177"/>
      <c r="H165" s="177"/>
      <c r="I165" s="177"/>
      <c r="L165" s="245" t="s">
        <v>60</v>
      </c>
      <c r="M165" s="173">
        <v>585</v>
      </c>
      <c r="N165" s="173">
        <v>828.75</v>
      </c>
      <c r="O165" s="173">
        <v>1105</v>
      </c>
      <c r="P165" s="173">
        <v>1105</v>
      </c>
      <c r="Q165" s="173">
        <v>1430</v>
      </c>
      <c r="R165" s="173">
        <v>1430</v>
      </c>
      <c r="S165" s="173">
        <v>1755</v>
      </c>
      <c r="T165" s="173">
        <v>1755</v>
      </c>
      <c r="U165" s="173">
        <v>2047.5</v>
      </c>
      <c r="V165" s="173">
        <v>2340</v>
      </c>
      <c r="W165" s="173">
        <v>2340</v>
      </c>
      <c r="X165" s="173">
        <v>2730</v>
      </c>
      <c r="Y165" s="173">
        <v>3217.5</v>
      </c>
      <c r="Z165" s="173">
        <v>3705</v>
      </c>
      <c r="AA165" s="246">
        <v>3705</v>
      </c>
    </row>
    <row r="166" spans="1:27" hidden="1">
      <c r="A166" s="186" t="s">
        <v>65</v>
      </c>
      <c r="B166" s="177"/>
      <c r="C166" s="177"/>
      <c r="D166" s="177"/>
      <c r="E166" s="177"/>
      <c r="F166" s="177"/>
      <c r="G166" s="177"/>
      <c r="H166" s="177"/>
      <c r="I166" s="177"/>
      <c r="L166" s="245" t="s">
        <v>61</v>
      </c>
      <c r="M166" s="173">
        <v>858.75</v>
      </c>
      <c r="N166" s="173">
        <v>1233.75</v>
      </c>
      <c r="O166" s="173">
        <v>1658.75</v>
      </c>
      <c r="P166" s="173">
        <v>1658.75</v>
      </c>
      <c r="Q166" s="173">
        <v>2233.75</v>
      </c>
      <c r="R166" s="173">
        <v>2233.75</v>
      </c>
      <c r="S166" s="173">
        <v>2858.75</v>
      </c>
      <c r="T166" s="173">
        <v>2858.75</v>
      </c>
      <c r="U166" s="173">
        <v>3421.25</v>
      </c>
      <c r="V166" s="173">
        <v>3983.75</v>
      </c>
      <c r="W166" s="173">
        <v>3983.75</v>
      </c>
      <c r="X166" s="173">
        <v>4733.75</v>
      </c>
      <c r="Y166" s="173">
        <v>5421.25</v>
      </c>
      <c r="Z166" s="173">
        <v>6108.75</v>
      </c>
      <c r="AA166" s="246">
        <v>6108.75</v>
      </c>
    </row>
    <row r="167" spans="1:27" hidden="1">
      <c r="A167" s="186" t="s">
        <v>66</v>
      </c>
      <c r="B167" s="177"/>
      <c r="C167" s="177"/>
      <c r="D167" s="177"/>
      <c r="E167" s="177"/>
      <c r="F167" s="177"/>
      <c r="G167" s="177"/>
      <c r="H167" s="177"/>
      <c r="I167" s="177"/>
      <c r="L167" s="245" t="s">
        <v>63</v>
      </c>
      <c r="M167" s="173">
        <v>470</v>
      </c>
      <c r="N167" s="173">
        <v>601.25</v>
      </c>
      <c r="O167" s="173">
        <v>750</v>
      </c>
      <c r="P167" s="173">
        <v>750</v>
      </c>
      <c r="Q167" s="173">
        <v>951.25</v>
      </c>
      <c r="R167" s="173">
        <v>951.25</v>
      </c>
      <c r="S167" s="173">
        <v>1170</v>
      </c>
      <c r="T167" s="173">
        <v>1170</v>
      </c>
      <c r="U167" s="173">
        <v>1395</v>
      </c>
      <c r="V167" s="173">
        <v>1620</v>
      </c>
      <c r="W167" s="173">
        <v>1620</v>
      </c>
      <c r="X167" s="173">
        <v>1920</v>
      </c>
      <c r="Y167" s="173">
        <v>2295</v>
      </c>
      <c r="Z167" s="173">
        <v>2670</v>
      </c>
      <c r="AA167" s="246">
        <v>2670</v>
      </c>
    </row>
    <row r="168" spans="1:27" hidden="1">
      <c r="A168" s="186" t="s">
        <v>67</v>
      </c>
      <c r="B168" s="177"/>
      <c r="C168" s="177"/>
      <c r="D168" s="177"/>
      <c r="E168" s="177"/>
      <c r="F168" s="177"/>
      <c r="G168" s="177"/>
      <c r="H168" s="177"/>
      <c r="I168" s="177"/>
      <c r="L168" s="245" t="s">
        <v>64</v>
      </c>
      <c r="M168" s="173">
        <v>348.75</v>
      </c>
      <c r="N168" s="173">
        <v>475.31</v>
      </c>
      <c r="O168" s="173">
        <v>618.75</v>
      </c>
      <c r="P168" s="173">
        <v>618.75</v>
      </c>
      <c r="Q168" s="173">
        <v>812.81</v>
      </c>
      <c r="R168" s="173">
        <v>812.81</v>
      </c>
      <c r="S168" s="173">
        <v>1078.1300000000001</v>
      </c>
      <c r="T168" s="173">
        <v>1078.1300000000001</v>
      </c>
      <c r="U168" s="173">
        <v>1319.72</v>
      </c>
      <c r="V168" s="173">
        <v>1531</v>
      </c>
      <c r="W168" s="173">
        <v>1531</v>
      </c>
      <c r="X168" s="173">
        <v>1832.99</v>
      </c>
      <c r="Y168" s="173">
        <v>2113</v>
      </c>
      <c r="Z168" s="173">
        <v>2393</v>
      </c>
      <c r="AA168" s="246">
        <v>2393</v>
      </c>
    </row>
    <row r="169" spans="1:27" hidden="1">
      <c r="A169" s="186" t="s">
        <v>68</v>
      </c>
      <c r="B169" s="177"/>
      <c r="C169" s="177"/>
      <c r="D169" s="177"/>
      <c r="E169" s="177"/>
      <c r="F169" s="177"/>
      <c r="G169" s="177"/>
      <c r="H169" s="177"/>
      <c r="I169" s="177"/>
      <c r="L169" s="245" t="s">
        <v>66</v>
      </c>
      <c r="M169" s="173">
        <v>843</v>
      </c>
      <c r="N169" s="173">
        <v>1244</v>
      </c>
      <c r="O169" s="173">
        <v>1697</v>
      </c>
      <c r="P169" s="173">
        <v>1697</v>
      </c>
      <c r="Q169" s="173">
        <v>2312</v>
      </c>
      <c r="R169" s="173">
        <v>2312</v>
      </c>
      <c r="S169" s="173">
        <v>2979</v>
      </c>
      <c r="T169" s="173">
        <v>2979</v>
      </c>
      <c r="U169" s="173">
        <v>3780</v>
      </c>
      <c r="V169" s="173">
        <v>4581</v>
      </c>
      <c r="W169" s="173">
        <v>4581</v>
      </c>
      <c r="X169" s="173">
        <v>5649</v>
      </c>
      <c r="Y169" s="173">
        <v>6747</v>
      </c>
      <c r="Z169" s="173">
        <v>7844</v>
      </c>
      <c r="AA169" s="246">
        <v>7844</v>
      </c>
    </row>
    <row r="170" spans="1:27" hidden="1">
      <c r="A170" s="186" t="s">
        <v>69</v>
      </c>
      <c r="B170" s="177"/>
      <c r="C170" s="177"/>
      <c r="D170" s="177"/>
      <c r="E170" s="177"/>
      <c r="F170" s="177"/>
      <c r="G170" s="177"/>
      <c r="H170" s="177"/>
      <c r="I170" s="177"/>
      <c r="L170" s="245" t="s">
        <v>67</v>
      </c>
      <c r="M170" s="173">
        <v>695</v>
      </c>
      <c r="N170" s="173">
        <v>1070</v>
      </c>
      <c r="O170" s="173">
        <v>1435</v>
      </c>
      <c r="P170" s="173">
        <v>1435</v>
      </c>
      <c r="Q170" s="173">
        <v>1895</v>
      </c>
      <c r="R170" s="173">
        <v>1895</v>
      </c>
      <c r="S170" s="173">
        <v>2395</v>
      </c>
      <c r="T170" s="173">
        <v>2395</v>
      </c>
      <c r="U170" s="173">
        <v>2695</v>
      </c>
      <c r="V170" s="173">
        <v>2995</v>
      </c>
      <c r="W170" s="173">
        <v>2995</v>
      </c>
      <c r="X170" s="173">
        <v>3395</v>
      </c>
      <c r="Y170" s="173">
        <v>3895</v>
      </c>
      <c r="Z170" s="173">
        <v>4395</v>
      </c>
      <c r="AA170" s="246">
        <v>4395</v>
      </c>
    </row>
    <row r="171" spans="1:27" hidden="1">
      <c r="A171" s="186" t="s">
        <v>70</v>
      </c>
      <c r="B171" s="177"/>
      <c r="C171" s="177"/>
      <c r="D171" s="177"/>
      <c r="E171" s="177"/>
      <c r="F171" s="177"/>
      <c r="G171" s="177"/>
      <c r="H171" s="177"/>
      <c r="I171" s="177"/>
      <c r="L171" s="245" t="s">
        <v>69</v>
      </c>
      <c r="M171" s="173">
        <v>345</v>
      </c>
      <c r="N171" s="173">
        <v>495</v>
      </c>
      <c r="O171" s="173">
        <v>665</v>
      </c>
      <c r="P171" s="173">
        <v>665</v>
      </c>
      <c r="Q171" s="173">
        <v>895</v>
      </c>
      <c r="R171" s="173">
        <v>895</v>
      </c>
      <c r="S171" s="173">
        <v>1340</v>
      </c>
      <c r="T171" s="173">
        <v>1340</v>
      </c>
      <c r="U171" s="173">
        <v>1445</v>
      </c>
      <c r="V171" s="173">
        <v>1940</v>
      </c>
      <c r="W171" s="173">
        <v>1940</v>
      </c>
      <c r="X171" s="173">
        <v>2340</v>
      </c>
      <c r="Y171" s="173">
        <v>2715</v>
      </c>
      <c r="Z171" s="173">
        <v>3090</v>
      </c>
      <c r="AA171" s="246">
        <v>3090</v>
      </c>
    </row>
    <row r="172" spans="1:27" hidden="1">
      <c r="A172" s="186" t="s">
        <v>71</v>
      </c>
      <c r="L172" s="245" t="s">
        <v>70</v>
      </c>
      <c r="M172" s="173">
        <v>543.38</v>
      </c>
      <c r="N172" s="173">
        <v>702.16</v>
      </c>
      <c r="O172" s="173">
        <v>893.48</v>
      </c>
      <c r="P172" s="173">
        <v>893.48</v>
      </c>
      <c r="Q172" s="173">
        <v>577.79999999999995</v>
      </c>
      <c r="R172" s="173">
        <v>577.79999999999995</v>
      </c>
      <c r="S172" s="173">
        <v>1414.62</v>
      </c>
      <c r="T172" s="173">
        <v>1414.62</v>
      </c>
      <c r="U172" s="173">
        <v>1744.74</v>
      </c>
      <c r="V172" s="173">
        <v>2055.5</v>
      </c>
      <c r="W172" s="173">
        <v>2055.5</v>
      </c>
      <c r="X172" s="173">
        <v>4416.9799999999996</v>
      </c>
      <c r="Y172" s="173">
        <v>2899.82</v>
      </c>
      <c r="Z172" s="173">
        <v>3520</v>
      </c>
      <c r="AA172" s="246">
        <v>3520</v>
      </c>
    </row>
    <row r="173" spans="1:27" hidden="1">
      <c r="A173" s="186" t="s">
        <v>73</v>
      </c>
      <c r="L173" s="247" t="s">
        <v>73</v>
      </c>
      <c r="M173" s="248">
        <v>565</v>
      </c>
      <c r="N173" s="248">
        <v>748.75</v>
      </c>
      <c r="O173" s="248">
        <v>957</v>
      </c>
      <c r="P173" s="248">
        <v>957</v>
      </c>
      <c r="Q173" s="248">
        <v>1238.75</v>
      </c>
      <c r="R173" s="248">
        <v>1238.75</v>
      </c>
      <c r="S173" s="248">
        <v>1545</v>
      </c>
      <c r="T173" s="248">
        <v>1545</v>
      </c>
      <c r="U173" s="248">
        <v>1845</v>
      </c>
      <c r="V173" s="248">
        <v>2145</v>
      </c>
      <c r="W173" s="248">
        <v>2145</v>
      </c>
      <c r="X173" s="248">
        <v>2545</v>
      </c>
      <c r="Y173" s="248">
        <v>3032.5</v>
      </c>
      <c r="Z173" s="248">
        <v>3520</v>
      </c>
      <c r="AA173" s="249">
        <v>3520</v>
      </c>
    </row>
    <row r="174" spans="1:27" hidden="1">
      <c r="L174" s="174"/>
      <c r="M174" s="177"/>
      <c r="N174" s="187"/>
      <c r="O174" s="177"/>
      <c r="P174" s="177"/>
      <c r="Q174" s="177"/>
      <c r="R174" s="187"/>
      <c r="S174" s="177"/>
      <c r="T174" s="177"/>
      <c r="U174" s="177"/>
      <c r="V174" s="187"/>
    </row>
    <row r="175" spans="1:27" hidden="1">
      <c r="L175" s="174"/>
      <c r="M175" s="177"/>
      <c r="N175" s="187"/>
      <c r="O175" s="177"/>
      <c r="P175" s="177"/>
      <c r="Q175" s="177"/>
      <c r="R175" s="187"/>
      <c r="S175" s="177"/>
      <c r="T175" s="177"/>
      <c r="U175" s="177"/>
      <c r="V175" s="187"/>
    </row>
    <row r="176" spans="1:27" hidden="1">
      <c r="L176" s="174"/>
      <c r="M176" s="177"/>
      <c r="N176" s="187"/>
      <c r="O176" s="177"/>
      <c r="P176" s="177"/>
      <c r="Q176" s="177"/>
      <c r="R176" s="187"/>
      <c r="S176" s="177"/>
      <c r="T176" s="177"/>
      <c r="U176" s="177"/>
      <c r="V176" s="187"/>
    </row>
    <row r="177" spans="1:22" hidden="1">
      <c r="L177" s="174"/>
      <c r="M177" s="177"/>
      <c r="N177" s="187"/>
      <c r="O177" s="177"/>
      <c r="P177" s="177"/>
      <c r="Q177" s="177"/>
      <c r="R177" s="187"/>
      <c r="S177" s="177"/>
      <c r="T177" s="177"/>
      <c r="U177" s="177"/>
      <c r="V177" s="187"/>
    </row>
    <row r="178" spans="1:22" hidden="1">
      <c r="L178" s="174"/>
      <c r="M178" s="177"/>
      <c r="N178" s="187"/>
      <c r="O178" s="177"/>
      <c r="P178" s="177"/>
      <c r="Q178" s="177"/>
      <c r="R178" s="187"/>
      <c r="S178" s="177"/>
      <c r="T178" s="177"/>
      <c r="U178" s="177"/>
      <c r="V178" s="187"/>
    </row>
    <row r="179" spans="1:22" hidden="1">
      <c r="A179" s="184" t="s">
        <v>27</v>
      </c>
      <c r="B179" s="184" t="s">
        <v>121</v>
      </c>
      <c r="L179" s="174"/>
      <c r="M179" s="177"/>
      <c r="N179" s="187"/>
      <c r="O179" s="177"/>
      <c r="P179" s="177"/>
      <c r="Q179" s="177"/>
      <c r="R179" s="187"/>
      <c r="S179" s="177"/>
      <c r="T179" s="177"/>
      <c r="U179" s="177"/>
      <c r="V179" s="187"/>
    </row>
    <row r="180" spans="1:22" hidden="1">
      <c r="A180" s="184" t="s">
        <v>33</v>
      </c>
      <c r="B180" s="184" t="s">
        <v>121</v>
      </c>
      <c r="L180" s="174"/>
      <c r="M180" s="177"/>
      <c r="N180" s="187"/>
      <c r="O180" s="177"/>
      <c r="P180" s="177"/>
      <c r="Q180" s="177"/>
      <c r="R180" s="187"/>
      <c r="S180" s="177"/>
      <c r="T180" s="177"/>
      <c r="U180" s="177"/>
      <c r="V180" s="187"/>
    </row>
    <row r="181" spans="1:22" hidden="1">
      <c r="A181" s="184" t="s">
        <v>38</v>
      </c>
      <c r="B181" s="184" t="s">
        <v>121</v>
      </c>
      <c r="L181" s="174"/>
      <c r="M181" s="177"/>
      <c r="N181" s="187"/>
      <c r="O181" s="177"/>
      <c r="P181" s="177"/>
      <c r="Q181" s="177"/>
      <c r="R181" s="187"/>
      <c r="S181" s="177"/>
      <c r="T181" s="177"/>
      <c r="U181" s="177"/>
      <c r="V181" s="187"/>
    </row>
    <row r="182" spans="1:22" hidden="1">
      <c r="A182" s="184" t="s">
        <v>54</v>
      </c>
      <c r="B182" s="184" t="s">
        <v>121</v>
      </c>
      <c r="L182" s="174"/>
      <c r="M182" s="177"/>
      <c r="N182" s="187"/>
      <c r="O182" s="177"/>
      <c r="P182" s="177"/>
      <c r="Q182" s="177"/>
      <c r="R182" s="187"/>
      <c r="S182" s="177"/>
      <c r="T182" s="177"/>
      <c r="U182" s="177"/>
      <c r="V182" s="187"/>
    </row>
    <row r="183" spans="1:22" hidden="1">
      <c r="A183" s="184" t="s">
        <v>57</v>
      </c>
      <c r="B183" s="184" t="s">
        <v>121</v>
      </c>
      <c r="L183" s="174"/>
      <c r="M183" s="177"/>
      <c r="N183" s="187"/>
      <c r="O183" s="177"/>
      <c r="P183" s="177"/>
      <c r="Q183" s="177"/>
      <c r="R183" s="187"/>
      <c r="S183" s="177"/>
      <c r="T183" s="177"/>
      <c r="U183" s="177"/>
      <c r="V183" s="187"/>
    </row>
    <row r="184" spans="1:22" hidden="1">
      <c r="A184" s="184" t="s">
        <v>59</v>
      </c>
      <c r="B184" s="184" t="s">
        <v>121</v>
      </c>
      <c r="L184" s="174"/>
      <c r="M184" s="177"/>
      <c r="N184" s="187"/>
      <c r="O184" s="177"/>
      <c r="P184" s="177"/>
      <c r="Q184" s="177"/>
      <c r="R184" s="187"/>
      <c r="S184" s="177"/>
      <c r="T184" s="177"/>
      <c r="U184" s="177"/>
      <c r="V184" s="187"/>
    </row>
    <row r="185" spans="1:22" hidden="1">
      <c r="A185" s="184" t="s">
        <v>61</v>
      </c>
      <c r="B185" s="184" t="s">
        <v>121</v>
      </c>
      <c r="L185" s="174"/>
      <c r="M185" s="177"/>
      <c r="N185" s="187"/>
      <c r="O185" s="177"/>
      <c r="P185" s="177"/>
      <c r="Q185" s="177"/>
      <c r="R185" s="187"/>
      <c r="S185" s="177"/>
      <c r="T185" s="177"/>
      <c r="U185" s="177"/>
      <c r="V185" s="187"/>
    </row>
    <row r="186" spans="1:22" hidden="1">
      <c r="A186" s="184" t="s">
        <v>66</v>
      </c>
      <c r="B186" s="184" t="s">
        <v>212</v>
      </c>
      <c r="L186" s="174"/>
      <c r="M186" s="177"/>
      <c r="N186" s="187"/>
      <c r="O186" s="177"/>
      <c r="P186" s="177"/>
      <c r="Q186" s="177"/>
      <c r="R186" s="187"/>
      <c r="S186" s="177"/>
      <c r="T186" s="177"/>
      <c r="U186" s="177"/>
      <c r="V186" s="187"/>
    </row>
    <row r="187" spans="1:22" hidden="1">
      <c r="A187" s="184" t="s">
        <v>71</v>
      </c>
      <c r="B187" s="184" t="s">
        <v>121</v>
      </c>
      <c r="L187" s="174"/>
      <c r="M187" s="177"/>
      <c r="N187" s="187"/>
      <c r="O187" s="177"/>
      <c r="P187" s="177"/>
      <c r="Q187" s="177"/>
      <c r="R187" s="187"/>
      <c r="S187" s="177"/>
      <c r="T187" s="177"/>
      <c r="U187" s="177"/>
      <c r="V187" s="187"/>
    </row>
    <row r="188" spans="1:22" hidden="1">
      <c r="A188" s="184" t="s">
        <v>26</v>
      </c>
      <c r="B188" s="184" t="s">
        <v>122</v>
      </c>
      <c r="L188" s="174"/>
      <c r="M188" s="177"/>
      <c r="N188" s="187"/>
      <c r="O188" s="177"/>
      <c r="P188" s="177"/>
      <c r="Q188" s="177"/>
      <c r="R188" s="187"/>
      <c r="S188" s="177"/>
      <c r="T188" s="177"/>
      <c r="U188" s="177"/>
      <c r="V188" s="187"/>
    </row>
    <row r="189" spans="1:22" hidden="1">
      <c r="A189" s="184" t="s">
        <v>35</v>
      </c>
      <c r="B189" s="184" t="s">
        <v>122</v>
      </c>
      <c r="L189" s="174"/>
      <c r="M189" s="177"/>
      <c r="N189" s="187"/>
      <c r="O189" s="177"/>
      <c r="P189" s="177"/>
      <c r="Q189" s="177"/>
      <c r="R189" s="187"/>
      <c r="S189" s="177"/>
      <c r="T189" s="177"/>
      <c r="U189" s="177"/>
      <c r="V189" s="187"/>
    </row>
    <row r="190" spans="1:22" hidden="1">
      <c r="A190" s="184" t="s">
        <v>36</v>
      </c>
      <c r="B190" s="184" t="s">
        <v>122</v>
      </c>
      <c r="L190" s="174"/>
      <c r="M190" s="177"/>
      <c r="N190" s="187"/>
      <c r="O190" s="177"/>
      <c r="P190" s="177"/>
      <c r="Q190" s="177"/>
      <c r="R190" s="187"/>
      <c r="S190" s="177"/>
      <c r="T190" s="177"/>
      <c r="U190" s="177"/>
      <c r="V190" s="187"/>
    </row>
    <row r="191" spans="1:22" hidden="1">
      <c r="A191" s="184" t="s">
        <v>40</v>
      </c>
      <c r="B191" s="184" t="s">
        <v>122</v>
      </c>
      <c r="L191" s="174"/>
      <c r="M191" s="177"/>
      <c r="N191" s="187"/>
      <c r="O191" s="177"/>
      <c r="P191" s="177"/>
      <c r="Q191" s="177"/>
      <c r="R191" s="187"/>
      <c r="S191" s="177"/>
      <c r="T191" s="177"/>
      <c r="U191" s="177"/>
      <c r="V191" s="187"/>
    </row>
    <row r="192" spans="1:22" hidden="1">
      <c r="A192" s="184" t="s">
        <v>47</v>
      </c>
      <c r="B192" s="184" t="s">
        <v>122</v>
      </c>
      <c r="L192" s="174"/>
      <c r="M192" s="177"/>
      <c r="N192" s="187"/>
      <c r="O192" s="177"/>
      <c r="P192" s="177"/>
      <c r="Q192" s="177"/>
      <c r="R192" s="187"/>
      <c r="S192" s="177"/>
      <c r="T192" s="177"/>
      <c r="U192" s="177"/>
      <c r="V192" s="187"/>
    </row>
    <row r="193" spans="1:22" hidden="1">
      <c r="A193" s="184" t="s">
        <v>49</v>
      </c>
      <c r="B193" s="184" t="s">
        <v>122</v>
      </c>
      <c r="L193" s="174"/>
      <c r="M193" s="177"/>
      <c r="N193" s="187"/>
      <c r="O193" s="177"/>
      <c r="P193" s="177"/>
      <c r="Q193" s="177"/>
      <c r="R193" s="187"/>
      <c r="S193" s="177"/>
      <c r="T193" s="177"/>
      <c r="U193" s="177"/>
      <c r="V193" s="187"/>
    </row>
    <row r="194" spans="1:22" hidden="1">
      <c r="A194" s="184" t="s">
        <v>55</v>
      </c>
      <c r="B194" s="184" t="s">
        <v>122</v>
      </c>
      <c r="L194" s="174"/>
      <c r="M194" s="177"/>
      <c r="N194" s="187"/>
      <c r="O194" s="177"/>
      <c r="P194" s="177"/>
      <c r="Q194" s="177"/>
      <c r="R194" s="187"/>
      <c r="S194" s="177"/>
      <c r="T194" s="177"/>
      <c r="U194" s="177"/>
      <c r="V194" s="187"/>
    </row>
    <row r="195" spans="1:22" hidden="1">
      <c r="A195" s="184" t="s">
        <v>56</v>
      </c>
      <c r="B195" s="184" t="s">
        <v>122</v>
      </c>
      <c r="L195" s="187"/>
      <c r="M195" s="177"/>
      <c r="N195" s="177"/>
      <c r="O195" s="177"/>
      <c r="P195" s="177"/>
      <c r="Q195" s="177"/>
      <c r="R195" s="177"/>
      <c r="S195" s="177"/>
      <c r="T195" s="177"/>
      <c r="U195" s="177"/>
      <c r="V195" s="177"/>
    </row>
    <row r="196" spans="1:22" hidden="1">
      <c r="A196" s="184" t="s">
        <v>58</v>
      </c>
      <c r="B196" s="184" t="s">
        <v>122</v>
      </c>
      <c r="L196" s="187"/>
      <c r="M196" s="177"/>
      <c r="N196" s="177"/>
      <c r="O196" s="177"/>
      <c r="P196" s="177"/>
      <c r="Q196" s="177"/>
      <c r="R196" s="177"/>
      <c r="S196" s="177"/>
      <c r="T196" s="177"/>
      <c r="U196" s="177"/>
      <c r="V196" s="177"/>
    </row>
    <row r="197" spans="1:22" hidden="1">
      <c r="A197" s="184" t="s">
        <v>60</v>
      </c>
      <c r="B197" s="184" t="s">
        <v>122</v>
      </c>
      <c r="L197" s="187"/>
      <c r="M197" s="177"/>
      <c r="N197" s="177"/>
      <c r="O197" s="177"/>
      <c r="P197" s="177"/>
      <c r="Q197" s="177"/>
      <c r="R197" s="177"/>
      <c r="S197" s="177"/>
      <c r="T197" s="177"/>
      <c r="U197" s="177"/>
      <c r="V197" s="177"/>
    </row>
    <row r="198" spans="1:22" hidden="1">
      <c r="A198" s="184" t="s">
        <v>63</v>
      </c>
      <c r="B198" s="184" t="s">
        <v>122</v>
      </c>
      <c r="L198" s="187"/>
      <c r="M198" s="177"/>
      <c r="N198" s="177"/>
      <c r="O198" s="177"/>
      <c r="P198" s="187"/>
      <c r="Q198" s="177"/>
      <c r="R198" s="177"/>
      <c r="S198" s="177"/>
      <c r="T198" s="187"/>
      <c r="U198" s="177"/>
      <c r="V198" s="177"/>
    </row>
    <row r="199" spans="1:22" hidden="1">
      <c r="A199" s="184" t="s">
        <v>69</v>
      </c>
      <c r="B199" s="184" t="s">
        <v>122</v>
      </c>
      <c r="L199" s="187"/>
      <c r="M199" s="177"/>
      <c r="N199" s="177"/>
      <c r="O199" s="177"/>
      <c r="P199" s="187"/>
      <c r="Q199" s="177"/>
      <c r="R199" s="177"/>
      <c r="S199" s="177"/>
      <c r="T199" s="187"/>
      <c r="U199" s="177"/>
      <c r="V199" s="177"/>
    </row>
    <row r="200" spans="1:22" hidden="1">
      <c r="A200" s="184" t="s">
        <v>70</v>
      </c>
      <c r="B200" s="184" t="s">
        <v>122</v>
      </c>
      <c r="L200" s="177"/>
      <c r="M200" s="177"/>
      <c r="N200" s="177"/>
      <c r="O200" s="177"/>
      <c r="P200" s="177"/>
      <c r="Q200" s="177"/>
      <c r="R200" s="177"/>
      <c r="S200" s="177"/>
      <c r="T200" s="177"/>
      <c r="U200" s="177"/>
      <c r="V200" s="177"/>
    </row>
    <row r="201" spans="1:22" hidden="1">
      <c r="A201" s="184" t="s">
        <v>25</v>
      </c>
      <c r="B201" s="184" t="s">
        <v>122</v>
      </c>
      <c r="L201" s="177"/>
      <c r="M201" s="177"/>
      <c r="N201" s="177"/>
      <c r="O201" s="177"/>
      <c r="P201" s="177"/>
      <c r="Q201" s="177"/>
      <c r="R201" s="177"/>
      <c r="S201" s="177"/>
      <c r="T201" s="177"/>
      <c r="U201" s="177"/>
      <c r="V201" s="177"/>
    </row>
    <row r="202" spans="1:22" hidden="1">
      <c r="A202" s="184" t="s">
        <v>31</v>
      </c>
      <c r="B202" s="184" t="s">
        <v>122</v>
      </c>
      <c r="L202" s="177"/>
      <c r="M202" s="177"/>
      <c r="N202" s="177"/>
      <c r="O202" s="177"/>
      <c r="P202" s="177"/>
      <c r="Q202" s="177"/>
      <c r="R202" s="177"/>
      <c r="S202" s="177"/>
      <c r="T202" s="177"/>
      <c r="U202" s="177"/>
      <c r="V202" s="177"/>
    </row>
    <row r="203" spans="1:22" hidden="1">
      <c r="A203" s="184" t="s">
        <v>32</v>
      </c>
      <c r="B203" s="184" t="s">
        <v>122</v>
      </c>
      <c r="L203" s="177"/>
      <c r="M203" s="177"/>
      <c r="N203" s="177"/>
      <c r="O203" s="177"/>
      <c r="P203" s="177"/>
      <c r="Q203" s="177"/>
      <c r="R203" s="177"/>
      <c r="S203" s="177"/>
      <c r="T203" s="177"/>
      <c r="U203" s="177"/>
      <c r="V203" s="177"/>
    </row>
    <row r="204" spans="1:22" hidden="1">
      <c r="A204" s="184" t="s">
        <v>75</v>
      </c>
      <c r="B204" s="184" t="s">
        <v>122</v>
      </c>
      <c r="L204" s="177"/>
      <c r="M204" s="177"/>
      <c r="N204" s="177"/>
      <c r="O204" s="177"/>
      <c r="P204" s="177"/>
      <c r="Q204" s="177"/>
      <c r="R204" s="177"/>
      <c r="S204" s="177"/>
      <c r="T204" s="177"/>
      <c r="U204" s="177"/>
      <c r="V204" s="177"/>
    </row>
    <row r="205" spans="1:22" hidden="1">
      <c r="A205" s="184" t="s">
        <v>34</v>
      </c>
      <c r="B205" s="184" t="s">
        <v>122</v>
      </c>
      <c r="L205" s="177"/>
      <c r="M205" s="177"/>
      <c r="N205" s="177"/>
      <c r="O205" s="177"/>
      <c r="P205" s="177"/>
      <c r="Q205" s="177"/>
      <c r="R205" s="177"/>
      <c r="S205" s="177"/>
      <c r="T205" s="177"/>
      <c r="U205" s="177"/>
      <c r="V205" s="177"/>
    </row>
    <row r="206" spans="1:22" hidden="1">
      <c r="A206" s="184" t="s">
        <v>41</v>
      </c>
      <c r="B206" s="184" t="s">
        <v>122</v>
      </c>
      <c r="L206" s="177"/>
      <c r="M206" s="177"/>
      <c r="N206" s="177"/>
      <c r="O206" s="177"/>
      <c r="P206" s="177"/>
      <c r="Q206" s="177"/>
      <c r="R206" s="177"/>
      <c r="S206" s="177"/>
      <c r="T206" s="177"/>
      <c r="U206" s="177"/>
      <c r="V206" s="177"/>
    </row>
    <row r="207" spans="1:22" hidden="1">
      <c r="A207" s="184" t="s">
        <v>42</v>
      </c>
      <c r="B207" s="184" t="s">
        <v>122</v>
      </c>
      <c r="L207" s="177"/>
      <c r="M207" s="177"/>
      <c r="N207" s="177"/>
      <c r="O207" s="177"/>
      <c r="P207" s="177"/>
      <c r="Q207" s="177"/>
      <c r="R207" s="177"/>
      <c r="S207" s="177"/>
      <c r="T207" s="177"/>
      <c r="U207" s="177"/>
      <c r="V207" s="177"/>
    </row>
    <row r="208" spans="1:22" hidden="1">
      <c r="A208" s="184" t="s">
        <v>43</v>
      </c>
      <c r="B208" s="184" t="s">
        <v>122</v>
      </c>
    </row>
    <row r="209" spans="1:22" hidden="1">
      <c r="A209" s="184" t="s">
        <v>50</v>
      </c>
      <c r="B209" s="184" t="s">
        <v>121</v>
      </c>
    </row>
    <row r="210" spans="1:22" hidden="1">
      <c r="A210" s="184" t="s">
        <v>51</v>
      </c>
      <c r="B210" s="184" t="s">
        <v>122</v>
      </c>
    </row>
    <row r="211" spans="1:22" hidden="1">
      <c r="A211" s="184" t="s">
        <v>52</v>
      </c>
      <c r="B211" s="184" t="s">
        <v>122</v>
      </c>
    </row>
    <row r="212" spans="1:22" hidden="1">
      <c r="A212" s="184" t="s">
        <v>65</v>
      </c>
      <c r="B212" s="184" t="s">
        <v>122</v>
      </c>
    </row>
    <row r="213" spans="1:22" hidden="1">
      <c r="A213" s="184" t="s">
        <v>68</v>
      </c>
      <c r="B213" s="184" t="s">
        <v>121</v>
      </c>
    </row>
    <row r="214" spans="1:22" hidden="1">
      <c r="A214" s="184" t="s">
        <v>30</v>
      </c>
      <c r="B214" s="184" t="s">
        <v>123</v>
      </c>
    </row>
    <row r="215" spans="1:22" hidden="1">
      <c r="A215" s="184" t="s">
        <v>39</v>
      </c>
      <c r="B215" s="184" t="s">
        <v>123</v>
      </c>
    </row>
    <row r="216" spans="1:22" hidden="1">
      <c r="A216" s="184" t="s">
        <v>22</v>
      </c>
      <c r="B216" s="184" t="s">
        <v>123</v>
      </c>
      <c r="L216" s="290"/>
      <c r="M216" s="290"/>
      <c r="N216" s="290"/>
      <c r="O216" s="290"/>
      <c r="P216" s="290"/>
      <c r="Q216" s="290"/>
      <c r="R216" s="290"/>
      <c r="S216" s="290"/>
      <c r="T216" s="290"/>
      <c r="U216" s="290"/>
      <c r="V216" s="290"/>
    </row>
    <row r="217" spans="1:22" hidden="1">
      <c r="A217" s="184" t="s">
        <v>44</v>
      </c>
      <c r="B217" s="184" t="s">
        <v>123</v>
      </c>
    </row>
    <row r="218" spans="1:22" hidden="1">
      <c r="A218" s="184" t="s">
        <v>45</v>
      </c>
      <c r="B218" s="184" t="s">
        <v>123</v>
      </c>
      <c r="N218" s="174"/>
      <c r="R218" s="174"/>
      <c r="V218" s="174"/>
    </row>
    <row r="219" spans="1:22" hidden="1">
      <c r="A219" s="184" t="s">
        <v>46</v>
      </c>
      <c r="B219" s="184" t="s">
        <v>123</v>
      </c>
      <c r="N219" s="174"/>
      <c r="R219" s="174"/>
      <c r="V219" s="174"/>
    </row>
    <row r="220" spans="1:22" hidden="1">
      <c r="A220" s="184" t="s">
        <v>53</v>
      </c>
      <c r="B220" s="184" t="s">
        <v>123</v>
      </c>
      <c r="N220" s="174"/>
      <c r="R220" s="174"/>
      <c r="V220" s="174"/>
    </row>
    <row r="221" spans="1:22" hidden="1">
      <c r="A221" s="184" t="s">
        <v>62</v>
      </c>
      <c r="B221" s="184" t="s">
        <v>123</v>
      </c>
      <c r="N221" s="174"/>
      <c r="R221" s="174"/>
      <c r="V221" s="174"/>
    </row>
    <row r="222" spans="1:22" hidden="1">
      <c r="A222" s="184" t="s">
        <v>67</v>
      </c>
      <c r="B222" s="184" t="s">
        <v>123</v>
      </c>
      <c r="N222" s="174"/>
      <c r="R222" s="174"/>
      <c r="V222" s="174"/>
    </row>
    <row r="223" spans="1:22" hidden="1">
      <c r="A223" s="184" t="s">
        <v>28</v>
      </c>
      <c r="B223" s="184" t="s">
        <v>123</v>
      </c>
      <c r="N223" s="174"/>
      <c r="R223" s="174"/>
      <c r="V223" s="174"/>
    </row>
    <row r="224" spans="1:22" hidden="1">
      <c r="A224" s="184" t="s">
        <v>29</v>
      </c>
      <c r="B224" s="184" t="s">
        <v>123</v>
      </c>
      <c r="N224" s="174"/>
      <c r="R224" s="174"/>
      <c r="V224" s="174"/>
    </row>
    <row r="225" spans="1:22" hidden="1">
      <c r="A225" s="184" t="s">
        <v>37</v>
      </c>
      <c r="B225" s="184" t="s">
        <v>123</v>
      </c>
      <c r="N225" s="174"/>
      <c r="R225" s="174"/>
      <c r="V225" s="174"/>
    </row>
    <row r="226" spans="1:22" hidden="1">
      <c r="A226" s="184" t="s">
        <v>48</v>
      </c>
      <c r="B226" s="184" t="s">
        <v>123</v>
      </c>
    </row>
    <row r="227" spans="1:22" hidden="1">
      <c r="A227" s="184" t="s">
        <v>64</v>
      </c>
      <c r="B227" s="184" t="s">
        <v>123</v>
      </c>
    </row>
    <row r="228" spans="1:22" hidden="1">
      <c r="A228" s="184" t="s">
        <v>72</v>
      </c>
      <c r="B228" s="184" t="s">
        <v>123</v>
      </c>
    </row>
    <row r="229" spans="1:22" hidden="1">
      <c r="A229" s="184" t="s">
        <v>73</v>
      </c>
      <c r="B229" s="184" t="s">
        <v>123</v>
      </c>
      <c r="L229" s="174"/>
      <c r="P229" s="174"/>
      <c r="T229" s="174"/>
    </row>
    <row r="230" spans="1:22" hidden="1">
      <c r="L230" s="174"/>
      <c r="P230" s="174"/>
      <c r="T230" s="174"/>
    </row>
    <row r="231" spans="1:22" hidden="1">
      <c r="A231" s="173" t="s">
        <v>80</v>
      </c>
    </row>
    <row r="232" spans="1:22" hidden="1">
      <c r="A232" s="184" t="s">
        <v>78</v>
      </c>
    </row>
    <row r="233" spans="1:22" hidden="1">
      <c r="A233" s="184" t="s">
        <v>79</v>
      </c>
    </row>
    <row r="235" spans="1:22" hidden="1">
      <c r="A235" s="173" t="s">
        <v>183</v>
      </c>
    </row>
    <row r="236" spans="1:22" hidden="1">
      <c r="A236" s="184" t="s">
        <v>174</v>
      </c>
    </row>
    <row r="237" spans="1:22" hidden="1">
      <c r="A237" s="184"/>
    </row>
    <row r="238" spans="1:22" hidden="1">
      <c r="A238" s="184"/>
    </row>
    <row r="242" spans="1:1" hidden="1">
      <c r="A242" s="173" t="s">
        <v>81</v>
      </c>
    </row>
    <row r="243" spans="1:1" hidden="1">
      <c r="A243" s="184" t="s">
        <v>10</v>
      </c>
    </row>
    <row r="244" spans="1:1" hidden="1">
      <c r="A244" s="184" t="s">
        <v>11</v>
      </c>
    </row>
    <row r="245" spans="1:1" hidden="1">
      <c r="A245" s="184" t="s">
        <v>12</v>
      </c>
    </row>
    <row r="249" spans="1:1" hidden="1">
      <c r="A249" s="184" t="s">
        <v>156</v>
      </c>
    </row>
    <row r="250" spans="1:1" hidden="1">
      <c r="A250" s="184" t="s">
        <v>24</v>
      </c>
    </row>
    <row r="252" spans="1:1" hidden="1">
      <c r="A252" s="184" t="s">
        <v>163</v>
      </c>
    </row>
    <row r="253" spans="1:1" hidden="1">
      <c r="A253" s="184" t="s">
        <v>164</v>
      </c>
    </row>
    <row r="255" spans="1:1" hidden="1">
      <c r="A255" s="173" t="s">
        <v>177</v>
      </c>
    </row>
    <row r="256" spans="1:1" hidden="1">
      <c r="A256" s="184" t="s">
        <v>179</v>
      </c>
    </row>
    <row r="257" spans="1:1" hidden="1">
      <c r="A257" s="184" t="s">
        <v>180</v>
      </c>
    </row>
    <row r="258" spans="1:1" hidden="1">
      <c r="A258" s="184" t="s">
        <v>181</v>
      </c>
    </row>
    <row r="259" spans="1:1" hidden="1">
      <c r="A259" s="184" t="s">
        <v>182</v>
      </c>
    </row>
    <row r="274" spans="9:23" hidden="1">
      <c r="J274" s="177"/>
      <c r="K274" s="177"/>
      <c r="L274" s="290"/>
      <c r="M274" s="290"/>
      <c r="N274" s="290"/>
      <c r="O274" s="290"/>
      <c r="P274" s="290"/>
      <c r="Q274" s="290"/>
      <c r="R274" s="290"/>
      <c r="S274" s="290"/>
      <c r="T274" s="290"/>
      <c r="U274" s="177"/>
    </row>
    <row r="275" spans="9:23" hidden="1">
      <c r="I275" s="177"/>
      <c r="J275" s="177"/>
      <c r="K275" s="177"/>
      <c r="L275" s="177"/>
      <c r="M275" s="177"/>
      <c r="N275" s="177"/>
      <c r="O275" s="177"/>
      <c r="P275" s="177"/>
      <c r="Q275" s="177"/>
      <c r="R275" s="177"/>
      <c r="S275" s="177"/>
      <c r="T275" s="177"/>
      <c r="U275" s="177"/>
      <c r="V275" s="177"/>
      <c r="W275" s="216"/>
    </row>
    <row r="276" spans="9:23" hidden="1">
      <c r="I276" s="188"/>
      <c r="J276" s="187"/>
      <c r="K276" s="187"/>
      <c r="L276" s="188"/>
      <c r="M276" s="188"/>
      <c r="N276" s="188"/>
      <c r="O276" s="187"/>
      <c r="P276" s="187"/>
      <c r="Q276" s="187"/>
      <c r="R276" s="187"/>
      <c r="S276" s="187"/>
      <c r="T276" s="187"/>
      <c r="U276" s="188"/>
      <c r="V276" s="187"/>
      <c r="W276" s="216"/>
    </row>
    <row r="277" spans="9:23" hidden="1">
      <c r="I277" s="188"/>
      <c r="J277" s="187"/>
      <c r="K277" s="187"/>
      <c r="L277" s="188"/>
      <c r="M277" s="188"/>
      <c r="N277" s="188"/>
      <c r="O277" s="187"/>
      <c r="P277" s="187"/>
      <c r="Q277" s="187"/>
      <c r="R277" s="187"/>
      <c r="S277" s="187"/>
      <c r="T277" s="187"/>
      <c r="U277" s="188"/>
      <c r="V277" s="187"/>
      <c r="W277" s="216"/>
    </row>
    <row r="278" spans="9:23" hidden="1">
      <c r="I278" s="188"/>
      <c r="J278" s="187"/>
      <c r="K278" s="187"/>
      <c r="L278" s="188"/>
      <c r="M278" s="188"/>
      <c r="N278" s="188"/>
      <c r="O278" s="187"/>
      <c r="P278" s="187"/>
      <c r="Q278" s="187"/>
      <c r="R278" s="187"/>
      <c r="S278" s="187"/>
      <c r="T278" s="187"/>
      <c r="U278" s="188"/>
      <c r="V278" s="187"/>
      <c r="W278" s="216"/>
    </row>
    <row r="279" spans="9:23" hidden="1">
      <c r="I279" s="188"/>
      <c r="J279" s="187"/>
      <c r="K279" s="187"/>
      <c r="L279" s="188"/>
      <c r="M279" s="188"/>
      <c r="N279" s="188"/>
      <c r="O279" s="187"/>
      <c r="P279" s="187"/>
      <c r="Q279" s="187"/>
      <c r="R279" s="187"/>
      <c r="S279" s="187"/>
      <c r="T279" s="187"/>
      <c r="U279" s="188"/>
      <c r="V279" s="187"/>
      <c r="W279" s="216"/>
    </row>
    <row r="280" spans="9:23" hidden="1">
      <c r="I280" s="188"/>
      <c r="J280" s="187"/>
      <c r="K280" s="187"/>
      <c r="L280" s="188"/>
      <c r="M280" s="188"/>
      <c r="N280" s="188"/>
      <c r="O280" s="187"/>
      <c r="P280" s="187"/>
      <c r="Q280" s="187"/>
      <c r="R280" s="187"/>
      <c r="S280" s="187"/>
      <c r="T280" s="187"/>
      <c r="U280" s="188"/>
      <c r="V280" s="187"/>
      <c r="W280" s="216"/>
    </row>
    <row r="281" spans="9:23" hidden="1">
      <c r="I281" s="188"/>
      <c r="J281" s="187"/>
      <c r="K281" s="187"/>
      <c r="L281" s="188"/>
      <c r="M281" s="188"/>
      <c r="N281" s="188"/>
      <c r="O281" s="187"/>
      <c r="P281" s="187"/>
      <c r="Q281" s="187"/>
      <c r="R281" s="187"/>
      <c r="S281" s="187"/>
      <c r="T281" s="187"/>
      <c r="U281" s="188"/>
      <c r="V281" s="187"/>
      <c r="W281" s="216"/>
    </row>
    <row r="282" spans="9:23" hidden="1">
      <c r="I282" s="188"/>
      <c r="J282" s="187"/>
      <c r="K282" s="187"/>
      <c r="L282" s="188"/>
      <c r="M282" s="188"/>
      <c r="N282" s="188"/>
      <c r="O282" s="187"/>
      <c r="P282" s="187"/>
      <c r="Q282" s="187"/>
      <c r="R282" s="187"/>
      <c r="S282" s="187"/>
      <c r="T282" s="187"/>
      <c r="U282" s="188"/>
      <c r="V282" s="187"/>
      <c r="W282" s="216"/>
    </row>
    <row r="283" spans="9:23" hidden="1">
      <c r="I283" s="188"/>
      <c r="J283" s="174"/>
      <c r="K283" s="187"/>
      <c r="L283" s="201"/>
      <c r="M283" s="201"/>
      <c r="N283" s="201"/>
      <c r="O283" s="174"/>
      <c r="P283" s="174"/>
      <c r="Q283" s="174"/>
      <c r="R283" s="187"/>
      <c r="S283" s="187"/>
      <c r="T283" s="187"/>
      <c r="U283" s="201"/>
      <c r="V283" s="174"/>
      <c r="W283" s="216"/>
    </row>
    <row r="284" spans="9:23" hidden="1">
      <c r="I284" s="188"/>
      <c r="J284" s="174"/>
      <c r="K284" s="187"/>
      <c r="L284" s="201"/>
      <c r="M284" s="201"/>
      <c r="N284" s="201"/>
      <c r="O284" s="174"/>
      <c r="P284" s="174"/>
      <c r="Q284" s="174"/>
      <c r="R284" s="187"/>
      <c r="S284" s="187"/>
      <c r="T284" s="187"/>
      <c r="U284" s="201"/>
      <c r="V284" s="174"/>
      <c r="W284" s="216"/>
    </row>
    <row r="285" spans="9:23" hidden="1">
      <c r="I285" s="188"/>
      <c r="J285" s="174"/>
      <c r="K285" s="187"/>
      <c r="L285" s="201"/>
      <c r="M285" s="201"/>
      <c r="N285" s="201"/>
      <c r="O285" s="174"/>
      <c r="P285" s="174"/>
      <c r="Q285" s="174"/>
      <c r="R285" s="187"/>
      <c r="S285" s="187"/>
      <c r="T285" s="187"/>
      <c r="U285" s="201"/>
      <c r="V285" s="174"/>
      <c r="W285" s="216"/>
    </row>
    <row r="286" spans="9:23" hidden="1">
      <c r="I286" s="188"/>
      <c r="J286" s="174"/>
      <c r="K286" s="187"/>
      <c r="L286" s="201"/>
      <c r="M286" s="201"/>
      <c r="N286" s="201"/>
      <c r="O286" s="174"/>
      <c r="P286" s="174"/>
      <c r="Q286" s="174"/>
      <c r="R286" s="187"/>
      <c r="S286" s="187"/>
      <c r="T286" s="187"/>
      <c r="U286" s="201"/>
      <c r="V286" s="174"/>
      <c r="W286" s="216"/>
    </row>
    <row r="287" spans="9:23" hidden="1">
      <c r="I287" s="188"/>
      <c r="J287" s="174"/>
      <c r="K287" s="187"/>
      <c r="L287" s="201"/>
      <c r="M287" s="201"/>
      <c r="N287" s="201"/>
      <c r="O287" s="174"/>
      <c r="P287" s="174"/>
      <c r="Q287" s="174"/>
      <c r="R287" s="187"/>
      <c r="S287" s="187"/>
      <c r="T287" s="187"/>
      <c r="U287" s="201"/>
      <c r="V287" s="174"/>
      <c r="W287" s="216"/>
    </row>
    <row r="288" spans="9:23" hidden="1">
      <c r="I288" s="188"/>
      <c r="J288" s="174"/>
      <c r="K288" s="187"/>
      <c r="L288" s="201"/>
      <c r="M288" s="201"/>
      <c r="N288" s="201"/>
      <c r="O288" s="174"/>
      <c r="P288" s="174"/>
      <c r="Q288" s="174"/>
      <c r="R288" s="187"/>
      <c r="S288" s="187"/>
      <c r="T288" s="187"/>
      <c r="U288" s="201"/>
      <c r="V288" s="174"/>
      <c r="W288" s="216"/>
    </row>
    <row r="289" spans="9:23" hidden="1">
      <c r="I289" s="188"/>
      <c r="J289" s="174"/>
      <c r="K289" s="187"/>
      <c r="L289" s="201"/>
      <c r="M289" s="201"/>
      <c r="N289" s="201"/>
      <c r="O289" s="174"/>
      <c r="P289" s="174"/>
      <c r="Q289" s="174"/>
      <c r="R289" s="187"/>
      <c r="S289" s="187"/>
      <c r="T289" s="187"/>
      <c r="U289" s="201"/>
      <c r="V289" s="174"/>
      <c r="W289" s="216"/>
    </row>
    <row r="290" spans="9:23" hidden="1">
      <c r="I290" s="188"/>
      <c r="J290" s="174"/>
      <c r="K290" s="187"/>
      <c r="L290" s="201"/>
      <c r="M290" s="201"/>
      <c r="N290" s="201"/>
      <c r="O290" s="174"/>
      <c r="P290" s="174"/>
      <c r="Q290" s="174"/>
      <c r="R290" s="187"/>
      <c r="S290" s="187"/>
      <c r="T290" s="187"/>
      <c r="U290" s="201"/>
      <c r="V290" s="174"/>
      <c r="W290" s="216"/>
    </row>
    <row r="291" spans="9:23" hidden="1">
      <c r="I291" s="188"/>
      <c r="J291" s="174"/>
      <c r="K291" s="187"/>
      <c r="L291" s="201"/>
      <c r="M291" s="201"/>
      <c r="N291" s="201"/>
      <c r="O291" s="174"/>
      <c r="P291" s="174"/>
      <c r="Q291" s="174"/>
      <c r="R291" s="187"/>
      <c r="S291" s="187"/>
      <c r="T291" s="187"/>
      <c r="U291" s="201"/>
      <c r="V291" s="174"/>
      <c r="W291" s="216"/>
    </row>
    <row r="292" spans="9:23" hidden="1">
      <c r="I292" s="188"/>
      <c r="J292" s="174"/>
      <c r="K292" s="187"/>
      <c r="L292" s="201"/>
      <c r="M292" s="201"/>
      <c r="N292" s="201"/>
      <c r="O292" s="174"/>
      <c r="P292" s="174"/>
      <c r="Q292" s="174"/>
      <c r="R292" s="187"/>
      <c r="S292" s="187"/>
      <c r="T292" s="187"/>
      <c r="U292" s="201"/>
      <c r="V292" s="174"/>
      <c r="W292" s="216"/>
    </row>
    <row r="293" spans="9:23" hidden="1">
      <c r="I293" s="188"/>
      <c r="J293" s="174"/>
      <c r="K293" s="187"/>
      <c r="L293" s="201"/>
      <c r="M293" s="201"/>
      <c r="N293" s="201"/>
      <c r="O293" s="174"/>
      <c r="P293" s="174"/>
      <c r="Q293" s="174"/>
      <c r="R293" s="187"/>
      <c r="S293" s="187"/>
      <c r="T293" s="187"/>
      <c r="U293" s="201"/>
      <c r="V293" s="174"/>
      <c r="W293" s="216"/>
    </row>
    <row r="294" spans="9:23" hidden="1">
      <c r="I294" s="188"/>
      <c r="J294" s="174"/>
      <c r="K294" s="187"/>
      <c r="L294" s="201"/>
      <c r="M294" s="201"/>
      <c r="N294" s="201"/>
      <c r="O294" s="174"/>
      <c r="P294" s="174"/>
      <c r="Q294" s="174"/>
      <c r="R294" s="187"/>
      <c r="S294" s="187"/>
      <c r="T294" s="187"/>
      <c r="U294" s="201"/>
      <c r="V294" s="174"/>
      <c r="W294" s="216"/>
    </row>
    <row r="295" spans="9:23" hidden="1">
      <c r="I295" s="188"/>
      <c r="J295" s="174"/>
      <c r="K295" s="187"/>
      <c r="L295" s="201"/>
      <c r="M295" s="201"/>
      <c r="N295" s="201"/>
      <c r="O295" s="174"/>
      <c r="P295" s="174"/>
      <c r="Q295" s="174"/>
      <c r="R295" s="187"/>
      <c r="S295" s="187"/>
      <c r="T295" s="187"/>
      <c r="U295" s="201"/>
      <c r="V295" s="174"/>
      <c r="W295" s="216"/>
    </row>
    <row r="296" spans="9:23" hidden="1">
      <c r="I296" s="188"/>
      <c r="J296" s="174"/>
      <c r="K296" s="187"/>
      <c r="L296" s="201"/>
      <c r="M296" s="201"/>
      <c r="N296" s="201"/>
      <c r="O296" s="174"/>
      <c r="P296" s="174"/>
      <c r="Q296" s="174"/>
      <c r="R296" s="187"/>
      <c r="S296" s="187"/>
      <c r="T296" s="187"/>
      <c r="U296" s="201"/>
      <c r="V296" s="174"/>
      <c r="W296" s="216"/>
    </row>
    <row r="297" spans="9:23" hidden="1">
      <c r="I297" s="188"/>
      <c r="J297" s="174"/>
      <c r="K297" s="187"/>
      <c r="L297" s="201"/>
      <c r="M297" s="201"/>
      <c r="N297" s="201"/>
      <c r="O297" s="174"/>
      <c r="P297" s="174"/>
      <c r="Q297" s="174"/>
      <c r="R297" s="187"/>
      <c r="S297" s="187"/>
      <c r="T297" s="187"/>
      <c r="U297" s="201"/>
      <c r="V297" s="174"/>
      <c r="W297" s="216"/>
    </row>
    <row r="298" spans="9:23" hidden="1">
      <c r="I298" s="188"/>
      <c r="J298" s="174"/>
      <c r="K298" s="187"/>
      <c r="L298" s="201"/>
      <c r="M298" s="201"/>
      <c r="N298" s="201"/>
      <c r="O298" s="174"/>
      <c r="P298" s="174"/>
      <c r="Q298" s="174"/>
      <c r="R298" s="187"/>
      <c r="S298" s="187"/>
      <c r="T298" s="187"/>
      <c r="U298" s="201"/>
      <c r="V298" s="174"/>
      <c r="W298" s="216"/>
    </row>
    <row r="299" spans="9:23" hidden="1">
      <c r="I299" s="188"/>
      <c r="J299" s="174"/>
      <c r="K299" s="187"/>
      <c r="L299" s="201"/>
      <c r="M299" s="201"/>
      <c r="N299" s="201"/>
      <c r="O299" s="174"/>
      <c r="P299" s="174"/>
      <c r="Q299" s="174"/>
      <c r="R299" s="187"/>
      <c r="S299" s="187"/>
      <c r="T299" s="187"/>
      <c r="U299" s="201"/>
      <c r="V299" s="174"/>
      <c r="W299" s="216"/>
    </row>
    <row r="300" spans="9:23" hidden="1">
      <c r="I300" s="188"/>
      <c r="J300" s="174"/>
      <c r="K300" s="187"/>
      <c r="L300" s="201"/>
      <c r="M300" s="201"/>
      <c r="N300" s="201"/>
      <c r="O300" s="174"/>
      <c r="P300" s="174"/>
      <c r="Q300" s="174"/>
      <c r="R300" s="187"/>
      <c r="S300" s="187"/>
      <c r="T300" s="187"/>
      <c r="U300" s="201"/>
      <c r="V300" s="174"/>
      <c r="W300" s="216"/>
    </row>
    <row r="301" spans="9:23" hidden="1">
      <c r="I301" s="188"/>
      <c r="J301" s="174"/>
      <c r="K301" s="187"/>
      <c r="L301" s="201"/>
      <c r="M301" s="201"/>
      <c r="N301" s="201"/>
      <c r="O301" s="174"/>
      <c r="P301" s="174"/>
      <c r="Q301" s="174"/>
      <c r="R301" s="187"/>
      <c r="S301" s="187"/>
      <c r="T301" s="187"/>
      <c r="U301" s="201"/>
      <c r="V301" s="174"/>
      <c r="W301" s="216"/>
    </row>
    <row r="302" spans="9:23" hidden="1">
      <c r="I302" s="188"/>
      <c r="J302" s="174"/>
      <c r="K302" s="187"/>
      <c r="L302" s="201"/>
      <c r="M302" s="201"/>
      <c r="N302" s="201"/>
      <c r="O302" s="174"/>
      <c r="P302" s="174"/>
      <c r="Q302" s="174"/>
      <c r="R302" s="187"/>
      <c r="S302" s="187"/>
      <c r="T302" s="187"/>
      <c r="U302" s="201"/>
      <c r="V302" s="174"/>
      <c r="W302" s="216"/>
    </row>
  </sheetData>
  <sheetProtection password="CB95" sheet="1" objects="1" scenarios="1" formatCells="0" formatColumns="0"/>
  <mergeCells count="18">
    <mergeCell ref="W2:X2"/>
    <mergeCell ref="AR40:AT40"/>
    <mergeCell ref="AG4:AI4"/>
    <mergeCell ref="W3:X3"/>
    <mergeCell ref="AA4:AC4"/>
    <mergeCell ref="W31:X31"/>
    <mergeCell ref="CE38:CG38"/>
    <mergeCell ref="AL40:AN40"/>
    <mergeCell ref="AO40:AQ40"/>
    <mergeCell ref="AU40:AW40"/>
    <mergeCell ref="AX40:AZ40"/>
    <mergeCell ref="BY38:CA38"/>
    <mergeCell ref="BA40:BC40"/>
    <mergeCell ref="R274:T274"/>
    <mergeCell ref="L216:V216"/>
    <mergeCell ref="AF114:AH114"/>
    <mergeCell ref="L274:N274"/>
    <mergeCell ref="O274:Q274"/>
  </mergeCells>
  <phoneticPr fontId="14" type="noConversion"/>
  <conditionalFormatting sqref="X27">
    <cfRule type="expression" dxfId="2" priority="1" stopIfTrue="1">
      <formula>"#N/A"</formula>
    </cfRule>
    <cfRule type="cellIs" dxfId="1" priority="2" stopIfTrue="1" operator="lessThan">
      <formula>0</formula>
    </cfRule>
  </conditionalFormatting>
  <conditionalFormatting sqref="AA4:AC4 AF5:AF6 AG4:AI4 Z5">
    <cfRule type="cellIs" dxfId="0" priority="3" stopIfTrue="1" operator="equal">
      <formula>0</formula>
    </cfRule>
  </conditionalFormatting>
  <dataValidations count="15">
    <dataValidation type="whole" allowBlank="1" showInputMessage="1" showErrorMessage="1" errorTitle="Minimum FICO Requirement" error="FICO has to between 620 and 850!" sqref="X17" xr:uid="{5DE075BF-4D28-9F4F-9671-9F50BF9B0DAB}">
      <formula1>IF(X7="Back Book",$B$9,$B$13)</formula1>
      <formula2>850</formula2>
    </dataValidation>
    <dataValidation type="list" allowBlank="1" showInputMessage="1" showErrorMessage="1" error="Please select a value from the available list." sqref="X24" xr:uid="{02C51192-B206-7942-A7D1-491FE864895D}">
      <formula1>OFFSET(REFCELL,0,VLOOKUP($W$24&amp;$X$11&amp;$X$19,lookups,2,FALSE),VLOOKUP(W24&amp;prog&amp;lockperiod,lookups,3,FALSE))</formula1>
    </dataValidation>
    <dataValidation type="whole" showInputMessage="1" showErrorMessage="1" errorTitle="Minimum FICO Requirement" error="FICO has to between 620 and 850!" sqref="X15" xr:uid="{73E1DACA-C9D8-C442-A741-7F585EDD5E29}">
      <formula1>IF(X7="Back Book",$B$9,$B$13)</formula1>
      <formula2>850</formula2>
    </dataValidation>
    <dataValidation type="whole" allowBlank="1" showInputMessage="1" showErrorMessage="1" errorTitle="Minimum FICO Requirement" error="FICO has to between 620 and 850!" sqref="X16" xr:uid="{16648047-C3B5-E243-AF73-7470A1988E51}">
      <formula1>IF(X7="Back Book",$B$9,$B$13)</formula1>
      <formula2>850</formula2>
    </dataValidation>
    <dataValidation type="list" allowBlank="1" showInputMessage="1" showErrorMessage="1" sqref="X11" xr:uid="{6233077D-D2DC-1B4C-8C21-11C107D83F07}">
      <formula1>IF(X10&gt;=VLOOKUP(X9,E9:F13,2),Jumbo_Programs,programs)</formula1>
    </dataValidation>
    <dataValidation type="list" showInputMessage="1" showErrorMessage="1" sqref="X19" xr:uid="{CEC91B6F-8DCE-1942-B84E-A437195D6502}">
      <formula1>lockperiodtable</formula1>
    </dataValidation>
    <dataValidation type="list" allowBlank="1" showInputMessage="1" showErrorMessage="1" sqref="X8" xr:uid="{2BDA4A26-0051-A041-9AFC-F72544C9C1D8}">
      <formula1>states</formula1>
    </dataValidation>
    <dataValidation type="list" allowBlank="1" showInputMessage="1" showErrorMessage="1" sqref="W22" xr:uid="{6E0ADC6B-7CE4-C141-81A0-62B9A2EAC33E}">
      <formula1>$A$252:$A$253</formula1>
    </dataValidation>
    <dataValidation type="list" allowBlank="1" showInputMessage="1" showErrorMessage="1" sqref="X14" xr:uid="{AEDFF89A-F644-BA4F-96FB-D7F15E847213}">
      <formula1>IF(streamline="Streamline - Non-Credit Qualifying",$M$3:$M$3,$M$2:$M$2)</formula1>
    </dataValidation>
    <dataValidation allowBlank="1" showInputMessage="1" showErrorMessage="1" errorTitle="Minimum FICO Requirement" error="Minimum FICO have to be 530 to 580" sqref="X18" xr:uid="{0F3DEE9D-71B6-2949-B0BD-B1170AAE46B4}"/>
    <dataValidation type="list" allowBlank="1" showInputMessage="1" showErrorMessage="1" sqref="X9" xr:uid="{2E24CFD8-88CB-7E44-8E64-52E667957098}">
      <formula1>Property_Type</formula1>
    </dataValidation>
    <dataValidation type="list" allowBlank="1" showInputMessage="1" showErrorMessage="1" sqref="X7" xr:uid="{72374BFF-B859-E741-9518-1F1EEBB97509}">
      <formula1>$M$8:$M$9</formula1>
    </dataValidation>
    <dataValidation type="list" allowBlank="1" showInputMessage="1" showErrorMessage="1" sqref="X13" xr:uid="{BB245DDF-3FB8-714A-9675-689A1A446039}">
      <formula1>$J$2:$J$4</formula1>
    </dataValidation>
    <dataValidation type="list" allowBlank="1" showInputMessage="1" showErrorMessage="1" sqref="X12" xr:uid="{0743C91F-1080-4E4D-B214-3B50CD590F76}">
      <formula1>IF(prog="15 Year Fixed",$A$37:$A$38,$A$34:$A$36)</formula1>
    </dataValidation>
    <dataValidation type="list" allowBlank="1" showInputMessage="1" showErrorMessage="1" sqref="X6" xr:uid="{7AE59033-C569-7E4B-8814-BD4701D36088}">
      <formula1>$K$8:$K$9</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45" r:id="rId3" name="Button 21">
              <controlPr defaultSize="0" autoFill="0" autoPict="0" macro="[0]!cleartheform">
                <anchor moveWithCells="1">
                  <from>
                    <xdr:col>22</xdr:col>
                    <xdr:colOff>101600</xdr:colOff>
                    <xdr:row>4</xdr:row>
                    <xdr:rowOff>38100</xdr:rowOff>
                  </from>
                  <to>
                    <xdr:col>23</xdr:col>
                    <xdr:colOff>2870200</xdr:colOff>
                    <xdr:row>4</xdr:row>
                    <xdr:rowOff>393700</xdr:rowOff>
                  </to>
                </anchor>
              </controlPr>
            </control>
          </mc:Choice>
        </mc:AlternateContent>
        <mc:AlternateContent xmlns:mc="http://schemas.openxmlformats.org/markup-compatibility/2006">
          <mc:Choice Requires="x14">
            <control shapeId="1098" r:id="rId4" name="Button 74">
              <controlPr defaultSize="0" autoFill="0" autoPict="0" macro="[0]!showrates">
                <anchor moveWithCells="1" sizeWithCells="1">
                  <from>
                    <xdr:col>22</xdr:col>
                    <xdr:colOff>12700</xdr:colOff>
                    <xdr:row>20</xdr:row>
                    <xdr:rowOff>25400</xdr:rowOff>
                  </from>
                  <to>
                    <xdr:col>24</xdr:col>
                    <xdr:colOff>12700</xdr:colOff>
                    <xdr:row>23</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39</vt:i4>
      </vt:variant>
    </vt:vector>
  </HeadingPairs>
  <TitlesOfParts>
    <vt:vector size="42" baseType="lpstr">
      <vt:lpstr>Procedure</vt:lpstr>
      <vt:lpstr>EFC_PricingToolCalcs</vt:lpstr>
      <vt:lpstr>Pricing Tool</vt:lpstr>
      <vt:lpstr>cap</vt:lpstr>
      <vt:lpstr>fico1</vt:lpstr>
      <vt:lpstr>fico2</vt:lpstr>
      <vt:lpstr>fico3</vt:lpstr>
      <vt:lpstr>fico4</vt:lpstr>
      <vt:lpstr>ficoadj</vt:lpstr>
      <vt:lpstr>ficooption</vt:lpstr>
      <vt:lpstr>inputno</vt:lpstr>
      <vt:lpstr>Jumbo_Progams</vt:lpstr>
      <vt:lpstr>Jumbo_Programs</vt:lpstr>
      <vt:lpstr>loanamt</vt:lpstr>
      <vt:lpstr>loanamtadj</vt:lpstr>
      <vt:lpstr>lockperiod</vt:lpstr>
      <vt:lpstr>lockperiodtable</vt:lpstr>
      <vt:lpstr>lookups</vt:lpstr>
      <vt:lpstr>multi_loanamtadj</vt:lpstr>
      <vt:lpstr>options</vt:lpstr>
      <vt:lpstr>output</vt:lpstr>
      <vt:lpstr>parrate15</vt:lpstr>
      <vt:lpstr>parrate30</vt:lpstr>
      <vt:lpstr>EFC_PricingToolCalcs!Print_Area</vt:lpstr>
      <vt:lpstr>prog</vt:lpstr>
      <vt:lpstr>prog15yrrates</vt:lpstr>
      <vt:lpstr>prog30fjrates</vt:lpstr>
      <vt:lpstr>prog30yrrates</vt:lpstr>
      <vt:lpstr>programs</vt:lpstr>
      <vt:lpstr>Property_Type</vt:lpstr>
      <vt:lpstr>REFCELL</vt:lpstr>
      <vt:lpstr>result</vt:lpstr>
      <vt:lpstr>selection</vt:lpstr>
      <vt:lpstr>state</vt:lpstr>
      <vt:lpstr>states</vt:lpstr>
      <vt:lpstr>streamline</vt:lpstr>
      <vt:lpstr>streamline_fico</vt:lpstr>
      <vt:lpstr>streamlineadj</vt:lpstr>
      <vt:lpstr>term</vt:lpstr>
      <vt:lpstr>tieradj</vt:lpstr>
      <vt:lpstr>tierstates</vt:lpstr>
      <vt:lpstr>totaladj</vt:lpstr>
    </vt:vector>
  </TitlesOfParts>
  <Company>Equifirst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blpadm</dc:creator>
  <cp:lastModifiedBy>Anupam Tripathi</cp:lastModifiedBy>
  <cp:lastPrinted>2009-02-09T13:53:34Z</cp:lastPrinted>
  <dcterms:created xsi:type="dcterms:W3CDTF">2008-02-18T20:33:42Z</dcterms:created>
  <dcterms:modified xsi:type="dcterms:W3CDTF">2025-06-03T20:53:46Z</dcterms:modified>
</cp:coreProperties>
</file>