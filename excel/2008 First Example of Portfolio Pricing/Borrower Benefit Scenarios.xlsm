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nupamtripathi/Downloads/"/>
    </mc:Choice>
  </mc:AlternateContent>
  <xr:revisionPtr revIDLastSave="0" documentId="8_{14194C03-AA4F-0B4A-AA2E-0228D94CF100}" xr6:coauthVersionLast="47" xr6:coauthVersionMax="47" xr10:uidLastSave="{00000000-0000-0000-0000-000000000000}"/>
  <bookViews>
    <workbookView xWindow="600" yWindow="760" windowWidth="20780" windowHeight="14380" activeTab="5" xr2:uid="{B756EC31-E027-4842-AAC9-C7F6AE146918}"/>
  </bookViews>
  <sheets>
    <sheet name="Individual Loans" sheetId="4" r:id="rId1"/>
    <sheet name="All Data" sheetId="1" r:id="rId2"/>
    <sheet name="Rate Temp" sheetId="3" r:id="rId3"/>
    <sheet name="Data Dump" sheetId="7" r:id="rId4"/>
    <sheet name="Loan List" sheetId="5" r:id="rId5"/>
    <sheet name="Borrower Details" sheetId="6" r:id="rId6"/>
  </sheets>
  <definedNames>
    <definedName name="_xlnm._FilterDatabase" localSheetId="1" hidden="1">'All Data'!$A$1:$AL$1367</definedName>
    <definedName name="_xlnm._FilterDatabase" localSheetId="4" hidden="1">'Loan List'!$A$1:$I$1357</definedName>
    <definedName name="Loan_Id">'Loan List'!$A$2:$A$1357</definedName>
    <definedName name="solver_adj" localSheetId="1" hidden="1">'All Data'!$Q$2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'All Data'!$W$2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'All Data'!$V$2</definedName>
    <definedName name="solver_pre" localSheetId="1" hidden="1">0.000001</definedName>
    <definedName name="solver_rel1" localSheetId="1" hidden="1">2</definedName>
    <definedName name="solver_rhs1" localSheetId="1" hidden="1">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93" i="6" l="1"/>
  <c r="J1493" i="6"/>
  <c r="I1493" i="6"/>
  <c r="K1492" i="6"/>
  <c r="J1492" i="6"/>
  <c r="I1492" i="6"/>
  <c r="K1491" i="6"/>
  <c r="J1491" i="6"/>
  <c r="I1491" i="6"/>
  <c r="K1490" i="6"/>
  <c r="J1490" i="6"/>
  <c r="I1490" i="6"/>
  <c r="K1489" i="6"/>
  <c r="J1489" i="6"/>
  <c r="I1489" i="6"/>
  <c r="K1488" i="6"/>
  <c r="J1488" i="6"/>
  <c r="I1488" i="6"/>
  <c r="K1487" i="6"/>
  <c r="J1487" i="6"/>
  <c r="I1487" i="6"/>
  <c r="K1486" i="6"/>
  <c r="J1486" i="6"/>
  <c r="I1486" i="6"/>
  <c r="K1485" i="6"/>
  <c r="J1485" i="6"/>
  <c r="I1485" i="6"/>
  <c r="K1484" i="6"/>
  <c r="J1484" i="6"/>
  <c r="I1484" i="6"/>
  <c r="K1483" i="6"/>
  <c r="J1483" i="6"/>
  <c r="I1483" i="6"/>
  <c r="K1482" i="6"/>
  <c r="J1482" i="6"/>
  <c r="I1482" i="6"/>
  <c r="K1481" i="6"/>
  <c r="J1481" i="6"/>
  <c r="I1481" i="6"/>
  <c r="K1480" i="6"/>
  <c r="J1480" i="6"/>
  <c r="I1480" i="6"/>
  <c r="K1479" i="6"/>
  <c r="J1479" i="6"/>
  <c r="I1479" i="6"/>
  <c r="K1478" i="6"/>
  <c r="J1478" i="6"/>
  <c r="I1478" i="6"/>
  <c r="K1477" i="6"/>
  <c r="J1477" i="6"/>
  <c r="I1477" i="6"/>
  <c r="K1476" i="6"/>
  <c r="J1476" i="6"/>
  <c r="I1476" i="6"/>
  <c r="K1475" i="6"/>
  <c r="J1475" i="6"/>
  <c r="I1475" i="6"/>
  <c r="K1474" i="6"/>
  <c r="J1474" i="6"/>
  <c r="I1474" i="6"/>
  <c r="K1473" i="6"/>
  <c r="J1473" i="6"/>
  <c r="I1473" i="6"/>
  <c r="K1472" i="6"/>
  <c r="J1472" i="6"/>
  <c r="I1472" i="6"/>
  <c r="K1471" i="6"/>
  <c r="J1471" i="6"/>
  <c r="I1471" i="6"/>
  <c r="K1470" i="6"/>
  <c r="J1470" i="6"/>
  <c r="I1470" i="6"/>
  <c r="K1469" i="6"/>
  <c r="J1469" i="6"/>
  <c r="I1469" i="6"/>
  <c r="K1468" i="6"/>
  <c r="J1468" i="6"/>
  <c r="I1468" i="6"/>
  <c r="K1467" i="6"/>
  <c r="J1467" i="6"/>
  <c r="I1467" i="6"/>
  <c r="K1466" i="6"/>
  <c r="J1466" i="6"/>
  <c r="I1466" i="6"/>
  <c r="K1465" i="6"/>
  <c r="J1465" i="6"/>
  <c r="I1465" i="6"/>
  <c r="K1464" i="6"/>
  <c r="J1464" i="6"/>
  <c r="I1464" i="6"/>
  <c r="K1463" i="6"/>
  <c r="J1463" i="6"/>
  <c r="I1463" i="6"/>
  <c r="K1462" i="6"/>
  <c r="J1462" i="6"/>
  <c r="I1462" i="6"/>
  <c r="K1461" i="6"/>
  <c r="J1461" i="6"/>
  <c r="I1461" i="6"/>
  <c r="K1460" i="6"/>
  <c r="J1460" i="6"/>
  <c r="I1460" i="6"/>
  <c r="K1459" i="6"/>
  <c r="J1459" i="6"/>
  <c r="I1459" i="6"/>
  <c r="K1458" i="6"/>
  <c r="J1458" i="6"/>
  <c r="I1458" i="6"/>
  <c r="K1457" i="6"/>
  <c r="J1457" i="6"/>
  <c r="I1457" i="6"/>
  <c r="K1456" i="6"/>
  <c r="J1456" i="6"/>
  <c r="I1456" i="6"/>
  <c r="K1455" i="6"/>
  <c r="J1455" i="6"/>
  <c r="I1455" i="6"/>
  <c r="K1454" i="6"/>
  <c r="J1454" i="6"/>
  <c r="I1454" i="6"/>
  <c r="K1453" i="6"/>
  <c r="J1453" i="6"/>
  <c r="I1453" i="6"/>
  <c r="K1452" i="6"/>
  <c r="J1452" i="6"/>
  <c r="I1452" i="6"/>
  <c r="K1451" i="6"/>
  <c r="J1451" i="6"/>
  <c r="I1451" i="6"/>
  <c r="K1450" i="6"/>
  <c r="J1450" i="6"/>
  <c r="I1450" i="6"/>
  <c r="K1449" i="6"/>
  <c r="J1449" i="6"/>
  <c r="I1449" i="6"/>
  <c r="K1448" i="6"/>
  <c r="J1448" i="6"/>
  <c r="I1448" i="6"/>
  <c r="K1447" i="6"/>
  <c r="J1447" i="6"/>
  <c r="I1447" i="6"/>
  <c r="K1446" i="6"/>
  <c r="J1446" i="6"/>
  <c r="I1446" i="6"/>
  <c r="K1445" i="6"/>
  <c r="J1445" i="6"/>
  <c r="I1445" i="6"/>
  <c r="K1444" i="6"/>
  <c r="J1444" i="6"/>
  <c r="I1444" i="6"/>
  <c r="K1443" i="6"/>
  <c r="J1443" i="6"/>
  <c r="I1443" i="6"/>
  <c r="K1442" i="6"/>
  <c r="J1442" i="6"/>
  <c r="I1442" i="6"/>
  <c r="K1441" i="6"/>
  <c r="J1441" i="6"/>
  <c r="I1441" i="6"/>
  <c r="K1440" i="6"/>
  <c r="J1440" i="6"/>
  <c r="I1440" i="6"/>
  <c r="K1439" i="6"/>
  <c r="J1439" i="6"/>
  <c r="I1439" i="6"/>
  <c r="K1438" i="6"/>
  <c r="J1438" i="6"/>
  <c r="I1438" i="6"/>
  <c r="K1437" i="6"/>
  <c r="J1437" i="6"/>
  <c r="I1437" i="6"/>
  <c r="K1436" i="6"/>
  <c r="J1436" i="6"/>
  <c r="I1436" i="6"/>
  <c r="K1435" i="6"/>
  <c r="J1435" i="6"/>
  <c r="I1435" i="6"/>
  <c r="K1434" i="6"/>
  <c r="J1434" i="6"/>
  <c r="I1434" i="6"/>
  <c r="K1433" i="6"/>
  <c r="J1433" i="6"/>
  <c r="I1433" i="6"/>
  <c r="K1432" i="6"/>
  <c r="J1432" i="6"/>
  <c r="I1432" i="6"/>
  <c r="K1431" i="6"/>
  <c r="J1431" i="6"/>
  <c r="I1431" i="6"/>
  <c r="K1430" i="6"/>
  <c r="J1430" i="6"/>
  <c r="I1430" i="6"/>
  <c r="K1429" i="6"/>
  <c r="J1429" i="6"/>
  <c r="I1429" i="6"/>
  <c r="K1428" i="6"/>
  <c r="J1428" i="6"/>
  <c r="I1428" i="6"/>
  <c r="K1427" i="6"/>
  <c r="J1427" i="6"/>
  <c r="I1427" i="6"/>
  <c r="K1426" i="6"/>
  <c r="J1426" i="6"/>
  <c r="I1426" i="6"/>
  <c r="K1425" i="6"/>
  <c r="J1425" i="6"/>
  <c r="I1425" i="6"/>
  <c r="K1424" i="6"/>
  <c r="J1424" i="6"/>
  <c r="I1424" i="6"/>
  <c r="K1423" i="6"/>
  <c r="J1423" i="6"/>
  <c r="I1423" i="6"/>
  <c r="K1422" i="6"/>
  <c r="J1422" i="6"/>
  <c r="I1422" i="6"/>
  <c r="K1421" i="6"/>
  <c r="J1421" i="6"/>
  <c r="I1421" i="6"/>
  <c r="K1420" i="6"/>
  <c r="J1420" i="6"/>
  <c r="I1420" i="6"/>
  <c r="K1419" i="6"/>
  <c r="J1419" i="6"/>
  <c r="I1419" i="6"/>
  <c r="K1418" i="6"/>
  <c r="J1418" i="6"/>
  <c r="I1418" i="6"/>
  <c r="K1417" i="6"/>
  <c r="J1417" i="6"/>
  <c r="I1417" i="6"/>
  <c r="K1416" i="6"/>
  <c r="J1416" i="6"/>
  <c r="I1416" i="6"/>
  <c r="K1415" i="6"/>
  <c r="J1415" i="6"/>
  <c r="I1415" i="6"/>
  <c r="K1414" i="6"/>
  <c r="J1414" i="6"/>
  <c r="I1414" i="6"/>
  <c r="K1413" i="6"/>
  <c r="J1413" i="6"/>
  <c r="I1413" i="6"/>
  <c r="K1412" i="6"/>
  <c r="J1412" i="6"/>
  <c r="I1412" i="6"/>
  <c r="K1411" i="6"/>
  <c r="J1411" i="6"/>
  <c r="I1411" i="6"/>
  <c r="K1410" i="6"/>
  <c r="J1410" i="6"/>
  <c r="I1410" i="6"/>
  <c r="K1409" i="6"/>
  <c r="J1409" i="6"/>
  <c r="I1409" i="6"/>
  <c r="K1408" i="6"/>
  <c r="J1408" i="6"/>
  <c r="I1408" i="6"/>
  <c r="K1407" i="6"/>
  <c r="J1407" i="6"/>
  <c r="I1407" i="6"/>
  <c r="K1406" i="6"/>
  <c r="J1406" i="6"/>
  <c r="I1406" i="6"/>
  <c r="K1405" i="6"/>
  <c r="J1405" i="6"/>
  <c r="I1405" i="6"/>
  <c r="K1404" i="6"/>
  <c r="J1404" i="6"/>
  <c r="I1404" i="6"/>
  <c r="K1403" i="6"/>
  <c r="J1403" i="6"/>
  <c r="I1403" i="6"/>
  <c r="K1402" i="6"/>
  <c r="J1402" i="6"/>
  <c r="I1402" i="6"/>
  <c r="K1401" i="6"/>
  <c r="J1401" i="6"/>
  <c r="I1401" i="6"/>
  <c r="K1400" i="6"/>
  <c r="J1400" i="6"/>
  <c r="I1400" i="6"/>
  <c r="K1399" i="6"/>
  <c r="J1399" i="6"/>
  <c r="I1399" i="6"/>
  <c r="K1398" i="6"/>
  <c r="J1398" i="6"/>
  <c r="I1398" i="6"/>
  <c r="K1397" i="6"/>
  <c r="J1397" i="6"/>
  <c r="I1397" i="6"/>
  <c r="K1396" i="6"/>
  <c r="J1396" i="6"/>
  <c r="I1396" i="6"/>
  <c r="K1395" i="6"/>
  <c r="J1395" i="6"/>
  <c r="I1395" i="6"/>
  <c r="K1394" i="6"/>
  <c r="J1394" i="6"/>
  <c r="I1394" i="6"/>
  <c r="K1393" i="6"/>
  <c r="J1393" i="6"/>
  <c r="I1393" i="6"/>
  <c r="K1392" i="6"/>
  <c r="J1392" i="6"/>
  <c r="I1392" i="6"/>
  <c r="K1391" i="6"/>
  <c r="J1391" i="6"/>
  <c r="I1391" i="6"/>
  <c r="K1390" i="6"/>
  <c r="J1390" i="6"/>
  <c r="I1390" i="6"/>
  <c r="K1389" i="6"/>
  <c r="J1389" i="6"/>
  <c r="I1389" i="6"/>
  <c r="K1388" i="6"/>
  <c r="J1388" i="6"/>
  <c r="I1388" i="6"/>
  <c r="K1387" i="6"/>
  <c r="J1387" i="6"/>
  <c r="I1387" i="6"/>
  <c r="K1386" i="6"/>
  <c r="J1386" i="6"/>
  <c r="I1386" i="6"/>
  <c r="K1385" i="6"/>
  <c r="J1385" i="6"/>
  <c r="I1385" i="6"/>
  <c r="K1384" i="6"/>
  <c r="J1384" i="6"/>
  <c r="I1384" i="6"/>
  <c r="K1383" i="6"/>
  <c r="J1383" i="6"/>
  <c r="I1383" i="6"/>
  <c r="K1382" i="6"/>
  <c r="J1382" i="6"/>
  <c r="I1382" i="6"/>
  <c r="K1381" i="6"/>
  <c r="J1381" i="6"/>
  <c r="I1381" i="6"/>
  <c r="K1380" i="6"/>
  <c r="J1380" i="6"/>
  <c r="I1380" i="6"/>
  <c r="K1379" i="6"/>
  <c r="J1379" i="6"/>
  <c r="I1379" i="6"/>
  <c r="K1378" i="6"/>
  <c r="J1378" i="6"/>
  <c r="I1378" i="6"/>
  <c r="K1377" i="6"/>
  <c r="J1377" i="6"/>
  <c r="I1377" i="6"/>
  <c r="K1376" i="6"/>
  <c r="J1376" i="6"/>
  <c r="I1376" i="6"/>
  <c r="K1375" i="6"/>
  <c r="J1375" i="6"/>
  <c r="I1375" i="6"/>
  <c r="K1374" i="6"/>
  <c r="J1374" i="6"/>
  <c r="I1374" i="6"/>
  <c r="K1373" i="6"/>
  <c r="J1373" i="6"/>
  <c r="I1373" i="6"/>
  <c r="K1372" i="6"/>
  <c r="J1372" i="6"/>
  <c r="I1372" i="6"/>
  <c r="K1371" i="6"/>
  <c r="J1371" i="6"/>
  <c r="I1371" i="6"/>
  <c r="K1370" i="6"/>
  <c r="J1370" i="6"/>
  <c r="I1370" i="6"/>
  <c r="K1369" i="6"/>
  <c r="J1369" i="6"/>
  <c r="I1369" i="6"/>
  <c r="K1368" i="6"/>
  <c r="J1368" i="6"/>
  <c r="I1368" i="6"/>
  <c r="K1367" i="6"/>
  <c r="J1367" i="6"/>
  <c r="I1367" i="6"/>
  <c r="K1366" i="6"/>
  <c r="J1366" i="6"/>
  <c r="I1366" i="6"/>
  <c r="K1365" i="6"/>
  <c r="J1365" i="6"/>
  <c r="I1365" i="6"/>
  <c r="K1364" i="6"/>
  <c r="J1364" i="6"/>
  <c r="I1364" i="6"/>
  <c r="K1363" i="6"/>
  <c r="J1363" i="6"/>
  <c r="I1363" i="6"/>
  <c r="K1362" i="6"/>
  <c r="J1362" i="6"/>
  <c r="I1362" i="6"/>
  <c r="K1361" i="6"/>
  <c r="J1361" i="6"/>
  <c r="I1361" i="6"/>
  <c r="K1360" i="6"/>
  <c r="J1360" i="6"/>
  <c r="I1360" i="6"/>
  <c r="K1359" i="6"/>
  <c r="J1359" i="6"/>
  <c r="I1359" i="6"/>
  <c r="K1358" i="6"/>
  <c r="J1358" i="6"/>
  <c r="I1358" i="6"/>
  <c r="K1357" i="6"/>
  <c r="J1357" i="6"/>
  <c r="I1357" i="6"/>
  <c r="K1356" i="6"/>
  <c r="J1356" i="6"/>
  <c r="I1356" i="6"/>
  <c r="K1355" i="6"/>
  <c r="J1355" i="6"/>
  <c r="I1355" i="6"/>
  <c r="K1354" i="6"/>
  <c r="J1354" i="6"/>
  <c r="I1354" i="6"/>
  <c r="K1353" i="6"/>
  <c r="J1353" i="6"/>
  <c r="I1353" i="6"/>
  <c r="K1352" i="6"/>
  <c r="J1352" i="6"/>
  <c r="I1352" i="6"/>
  <c r="K1351" i="6"/>
  <c r="J1351" i="6"/>
  <c r="I1351" i="6"/>
  <c r="K1350" i="6"/>
  <c r="J1350" i="6"/>
  <c r="I1350" i="6"/>
  <c r="K1349" i="6"/>
  <c r="J1349" i="6"/>
  <c r="I1349" i="6"/>
  <c r="K1348" i="6"/>
  <c r="J1348" i="6"/>
  <c r="I1348" i="6"/>
  <c r="K1347" i="6"/>
  <c r="J1347" i="6"/>
  <c r="I1347" i="6"/>
  <c r="K1346" i="6"/>
  <c r="J1346" i="6"/>
  <c r="I1346" i="6"/>
  <c r="K1345" i="6"/>
  <c r="J1345" i="6"/>
  <c r="I1345" i="6"/>
  <c r="K1344" i="6"/>
  <c r="J1344" i="6"/>
  <c r="I1344" i="6"/>
  <c r="K1343" i="6"/>
  <c r="J1343" i="6"/>
  <c r="I1343" i="6"/>
  <c r="K1342" i="6"/>
  <c r="J1342" i="6"/>
  <c r="I1342" i="6"/>
  <c r="K1341" i="6"/>
  <c r="J1341" i="6"/>
  <c r="I1341" i="6"/>
  <c r="K1340" i="6"/>
  <c r="J1340" i="6"/>
  <c r="I1340" i="6"/>
  <c r="K1339" i="6"/>
  <c r="J1339" i="6"/>
  <c r="I1339" i="6"/>
  <c r="K1338" i="6"/>
  <c r="J1338" i="6"/>
  <c r="I1338" i="6"/>
  <c r="K1337" i="6"/>
  <c r="J1337" i="6"/>
  <c r="I1337" i="6"/>
  <c r="K1336" i="6"/>
  <c r="J1336" i="6"/>
  <c r="I1336" i="6"/>
  <c r="K1335" i="6"/>
  <c r="J1335" i="6"/>
  <c r="I1335" i="6"/>
  <c r="K1334" i="6"/>
  <c r="J1334" i="6"/>
  <c r="I1334" i="6"/>
  <c r="K1333" i="6"/>
  <c r="J1333" i="6"/>
  <c r="I1333" i="6"/>
  <c r="K1332" i="6"/>
  <c r="J1332" i="6"/>
  <c r="I1332" i="6"/>
  <c r="K1331" i="6"/>
  <c r="J1331" i="6"/>
  <c r="I1331" i="6"/>
  <c r="K1330" i="6"/>
  <c r="J1330" i="6"/>
  <c r="I1330" i="6"/>
  <c r="K1329" i="6"/>
  <c r="J1329" i="6"/>
  <c r="I1329" i="6"/>
  <c r="K1328" i="6"/>
  <c r="J1328" i="6"/>
  <c r="I1328" i="6"/>
  <c r="K1327" i="6"/>
  <c r="J1327" i="6"/>
  <c r="I1327" i="6"/>
  <c r="K1326" i="6"/>
  <c r="J1326" i="6"/>
  <c r="I1326" i="6"/>
  <c r="K1325" i="6"/>
  <c r="J1325" i="6"/>
  <c r="I1325" i="6"/>
  <c r="K1324" i="6"/>
  <c r="J1324" i="6"/>
  <c r="I1324" i="6"/>
  <c r="K1323" i="6"/>
  <c r="J1323" i="6"/>
  <c r="I1323" i="6"/>
  <c r="K1322" i="6"/>
  <c r="J1322" i="6"/>
  <c r="I1322" i="6"/>
  <c r="K1321" i="6"/>
  <c r="J1321" i="6"/>
  <c r="I1321" i="6"/>
  <c r="K1320" i="6"/>
  <c r="J1320" i="6"/>
  <c r="I1320" i="6"/>
  <c r="K1319" i="6"/>
  <c r="J1319" i="6"/>
  <c r="I1319" i="6"/>
  <c r="K1318" i="6"/>
  <c r="J1318" i="6"/>
  <c r="I1318" i="6"/>
  <c r="K1317" i="6"/>
  <c r="J1317" i="6"/>
  <c r="I1317" i="6"/>
  <c r="K1316" i="6"/>
  <c r="J1316" i="6"/>
  <c r="I1316" i="6"/>
  <c r="K1315" i="6"/>
  <c r="J1315" i="6"/>
  <c r="I1315" i="6"/>
  <c r="K1314" i="6"/>
  <c r="J1314" i="6"/>
  <c r="I1314" i="6"/>
  <c r="K1313" i="6"/>
  <c r="J1313" i="6"/>
  <c r="I1313" i="6"/>
  <c r="K1312" i="6"/>
  <c r="J1312" i="6"/>
  <c r="I1312" i="6"/>
  <c r="K1311" i="6"/>
  <c r="J1311" i="6"/>
  <c r="I1311" i="6"/>
  <c r="K1310" i="6"/>
  <c r="J1310" i="6"/>
  <c r="I1310" i="6"/>
  <c r="K1309" i="6"/>
  <c r="J1309" i="6"/>
  <c r="I1309" i="6"/>
  <c r="K1308" i="6"/>
  <c r="J1308" i="6"/>
  <c r="I1308" i="6"/>
  <c r="K1307" i="6"/>
  <c r="J1307" i="6"/>
  <c r="I1307" i="6"/>
  <c r="K1306" i="6"/>
  <c r="J1306" i="6"/>
  <c r="I1306" i="6"/>
  <c r="K1305" i="6"/>
  <c r="J1305" i="6"/>
  <c r="I1305" i="6"/>
  <c r="K1304" i="6"/>
  <c r="J1304" i="6"/>
  <c r="I1304" i="6"/>
  <c r="K1303" i="6"/>
  <c r="J1303" i="6"/>
  <c r="I1303" i="6"/>
  <c r="K1302" i="6"/>
  <c r="J1302" i="6"/>
  <c r="I1302" i="6"/>
  <c r="K1301" i="6"/>
  <c r="J1301" i="6"/>
  <c r="I1301" i="6"/>
  <c r="K1300" i="6"/>
  <c r="J1300" i="6"/>
  <c r="I1300" i="6"/>
  <c r="K1299" i="6"/>
  <c r="J1299" i="6"/>
  <c r="I1299" i="6"/>
  <c r="K1298" i="6"/>
  <c r="J1298" i="6"/>
  <c r="I1298" i="6"/>
  <c r="K1297" i="6"/>
  <c r="J1297" i="6"/>
  <c r="I1297" i="6"/>
  <c r="K1296" i="6"/>
  <c r="J1296" i="6"/>
  <c r="I1296" i="6"/>
  <c r="K1295" i="6"/>
  <c r="J1295" i="6"/>
  <c r="I1295" i="6"/>
  <c r="K1294" i="6"/>
  <c r="J1294" i="6"/>
  <c r="I1294" i="6"/>
  <c r="K1293" i="6"/>
  <c r="J1293" i="6"/>
  <c r="I1293" i="6"/>
  <c r="K1292" i="6"/>
  <c r="J1292" i="6"/>
  <c r="I1292" i="6"/>
  <c r="K1291" i="6"/>
  <c r="J1291" i="6"/>
  <c r="I1291" i="6"/>
  <c r="K1290" i="6"/>
  <c r="J1290" i="6"/>
  <c r="I1290" i="6"/>
  <c r="K1289" i="6"/>
  <c r="J1289" i="6"/>
  <c r="I1289" i="6"/>
  <c r="K1288" i="6"/>
  <c r="J1288" i="6"/>
  <c r="I1288" i="6"/>
  <c r="K1287" i="6"/>
  <c r="J1287" i="6"/>
  <c r="I1287" i="6"/>
  <c r="K1286" i="6"/>
  <c r="J1286" i="6"/>
  <c r="I1286" i="6"/>
  <c r="K1285" i="6"/>
  <c r="J1285" i="6"/>
  <c r="I1285" i="6"/>
  <c r="K1284" i="6"/>
  <c r="J1284" i="6"/>
  <c r="I1284" i="6"/>
  <c r="K1283" i="6"/>
  <c r="J1283" i="6"/>
  <c r="I1283" i="6"/>
  <c r="K1282" i="6"/>
  <c r="J1282" i="6"/>
  <c r="I1282" i="6"/>
  <c r="K1281" i="6"/>
  <c r="J1281" i="6"/>
  <c r="I1281" i="6"/>
  <c r="K1280" i="6"/>
  <c r="J1280" i="6"/>
  <c r="I1280" i="6"/>
  <c r="K1279" i="6"/>
  <c r="J1279" i="6"/>
  <c r="I1279" i="6"/>
  <c r="K1278" i="6"/>
  <c r="J1278" i="6"/>
  <c r="I1278" i="6"/>
  <c r="K1277" i="6"/>
  <c r="J1277" i="6"/>
  <c r="I1277" i="6"/>
  <c r="K1276" i="6"/>
  <c r="J1276" i="6"/>
  <c r="I1276" i="6"/>
  <c r="K1275" i="6"/>
  <c r="J1275" i="6"/>
  <c r="I1275" i="6"/>
  <c r="K1274" i="6"/>
  <c r="J1274" i="6"/>
  <c r="I1274" i="6"/>
  <c r="K1273" i="6"/>
  <c r="J1273" i="6"/>
  <c r="I1273" i="6"/>
  <c r="K1272" i="6"/>
  <c r="J1272" i="6"/>
  <c r="I1272" i="6"/>
  <c r="K1271" i="6"/>
  <c r="J1271" i="6"/>
  <c r="I1271" i="6"/>
  <c r="K1270" i="6"/>
  <c r="J1270" i="6"/>
  <c r="I1270" i="6"/>
  <c r="K1269" i="6"/>
  <c r="J1269" i="6"/>
  <c r="I1269" i="6"/>
  <c r="K1268" i="6"/>
  <c r="J1268" i="6"/>
  <c r="I1268" i="6"/>
  <c r="K1267" i="6"/>
  <c r="J1267" i="6"/>
  <c r="I1267" i="6"/>
  <c r="K1266" i="6"/>
  <c r="J1266" i="6"/>
  <c r="I1266" i="6"/>
  <c r="K1265" i="6"/>
  <c r="J1265" i="6"/>
  <c r="I1265" i="6"/>
  <c r="K1264" i="6"/>
  <c r="J1264" i="6"/>
  <c r="I1264" i="6"/>
  <c r="K1263" i="6"/>
  <c r="J1263" i="6"/>
  <c r="I1263" i="6"/>
  <c r="K1262" i="6"/>
  <c r="J1262" i="6"/>
  <c r="I1262" i="6"/>
  <c r="K1261" i="6"/>
  <c r="J1261" i="6"/>
  <c r="I1261" i="6"/>
  <c r="K1260" i="6"/>
  <c r="J1260" i="6"/>
  <c r="I1260" i="6"/>
  <c r="K1259" i="6"/>
  <c r="J1259" i="6"/>
  <c r="I1259" i="6"/>
  <c r="K1258" i="6"/>
  <c r="J1258" i="6"/>
  <c r="I1258" i="6"/>
  <c r="K1257" i="6"/>
  <c r="J1257" i="6"/>
  <c r="I1257" i="6"/>
  <c r="K1256" i="6"/>
  <c r="J1256" i="6"/>
  <c r="I1256" i="6"/>
  <c r="K1255" i="6"/>
  <c r="J1255" i="6"/>
  <c r="I1255" i="6"/>
  <c r="K1254" i="6"/>
  <c r="J1254" i="6"/>
  <c r="I1254" i="6"/>
  <c r="K1253" i="6"/>
  <c r="J1253" i="6"/>
  <c r="I1253" i="6"/>
  <c r="K1252" i="6"/>
  <c r="J1252" i="6"/>
  <c r="I1252" i="6"/>
  <c r="K1251" i="6"/>
  <c r="J1251" i="6"/>
  <c r="I1251" i="6"/>
  <c r="K1250" i="6"/>
  <c r="J1250" i="6"/>
  <c r="I1250" i="6"/>
  <c r="K1249" i="6"/>
  <c r="J1249" i="6"/>
  <c r="I1249" i="6"/>
  <c r="K1248" i="6"/>
  <c r="J1248" i="6"/>
  <c r="I1248" i="6"/>
  <c r="K1247" i="6"/>
  <c r="J1247" i="6"/>
  <c r="I1247" i="6"/>
  <c r="K1246" i="6"/>
  <c r="J1246" i="6"/>
  <c r="I1246" i="6"/>
  <c r="K1245" i="6"/>
  <c r="J1245" i="6"/>
  <c r="I1245" i="6"/>
  <c r="K1244" i="6"/>
  <c r="J1244" i="6"/>
  <c r="I1244" i="6"/>
  <c r="K1243" i="6"/>
  <c r="J1243" i="6"/>
  <c r="I1243" i="6"/>
  <c r="K1242" i="6"/>
  <c r="J1242" i="6"/>
  <c r="I1242" i="6"/>
  <c r="K1241" i="6"/>
  <c r="J1241" i="6"/>
  <c r="I1241" i="6"/>
  <c r="K1240" i="6"/>
  <c r="J1240" i="6"/>
  <c r="I1240" i="6"/>
  <c r="K1239" i="6"/>
  <c r="J1239" i="6"/>
  <c r="I1239" i="6"/>
  <c r="K1238" i="6"/>
  <c r="J1238" i="6"/>
  <c r="I1238" i="6"/>
  <c r="K1237" i="6"/>
  <c r="J1237" i="6"/>
  <c r="I1237" i="6"/>
  <c r="K1236" i="6"/>
  <c r="J1236" i="6"/>
  <c r="I1236" i="6"/>
  <c r="K1235" i="6"/>
  <c r="J1235" i="6"/>
  <c r="I1235" i="6"/>
  <c r="K1234" i="6"/>
  <c r="J1234" i="6"/>
  <c r="I1234" i="6"/>
  <c r="K1233" i="6"/>
  <c r="J1233" i="6"/>
  <c r="I1233" i="6"/>
  <c r="K1232" i="6"/>
  <c r="J1232" i="6"/>
  <c r="I1232" i="6"/>
  <c r="K1231" i="6"/>
  <c r="J1231" i="6"/>
  <c r="I1231" i="6"/>
  <c r="K1230" i="6"/>
  <c r="J1230" i="6"/>
  <c r="I1230" i="6"/>
  <c r="K1229" i="6"/>
  <c r="J1229" i="6"/>
  <c r="I1229" i="6"/>
  <c r="K1228" i="6"/>
  <c r="J1228" i="6"/>
  <c r="I1228" i="6"/>
  <c r="K1227" i="6"/>
  <c r="J1227" i="6"/>
  <c r="I1227" i="6"/>
  <c r="K1226" i="6"/>
  <c r="J1226" i="6"/>
  <c r="I1226" i="6"/>
  <c r="K1225" i="6"/>
  <c r="J1225" i="6"/>
  <c r="I1225" i="6"/>
  <c r="K1224" i="6"/>
  <c r="J1224" i="6"/>
  <c r="I1224" i="6"/>
  <c r="K1223" i="6"/>
  <c r="J1223" i="6"/>
  <c r="I1223" i="6"/>
  <c r="K1222" i="6"/>
  <c r="J1222" i="6"/>
  <c r="I1222" i="6"/>
  <c r="K1221" i="6"/>
  <c r="J1221" i="6"/>
  <c r="I1221" i="6"/>
  <c r="K1220" i="6"/>
  <c r="J1220" i="6"/>
  <c r="I1220" i="6"/>
  <c r="K1219" i="6"/>
  <c r="J1219" i="6"/>
  <c r="I1219" i="6"/>
  <c r="K1218" i="6"/>
  <c r="J1218" i="6"/>
  <c r="I1218" i="6"/>
  <c r="K1217" i="6"/>
  <c r="J1217" i="6"/>
  <c r="I1217" i="6"/>
  <c r="K1216" i="6"/>
  <c r="J1216" i="6"/>
  <c r="I1216" i="6"/>
  <c r="K1215" i="6"/>
  <c r="J1215" i="6"/>
  <c r="I1215" i="6"/>
  <c r="K1214" i="6"/>
  <c r="J1214" i="6"/>
  <c r="I1214" i="6"/>
  <c r="K1213" i="6"/>
  <c r="J1213" i="6"/>
  <c r="I1213" i="6"/>
  <c r="K1212" i="6"/>
  <c r="J1212" i="6"/>
  <c r="I1212" i="6"/>
  <c r="K1211" i="6"/>
  <c r="J1211" i="6"/>
  <c r="I1211" i="6"/>
  <c r="K1210" i="6"/>
  <c r="J1210" i="6"/>
  <c r="I1210" i="6"/>
  <c r="K1209" i="6"/>
  <c r="J1209" i="6"/>
  <c r="I1209" i="6"/>
  <c r="K1208" i="6"/>
  <c r="J1208" i="6"/>
  <c r="I1208" i="6"/>
  <c r="K1207" i="6"/>
  <c r="J1207" i="6"/>
  <c r="I1207" i="6"/>
  <c r="K1206" i="6"/>
  <c r="J1206" i="6"/>
  <c r="I1206" i="6"/>
  <c r="K1205" i="6"/>
  <c r="J1205" i="6"/>
  <c r="I1205" i="6"/>
  <c r="K1204" i="6"/>
  <c r="J1204" i="6"/>
  <c r="I1204" i="6"/>
  <c r="K1203" i="6"/>
  <c r="J1203" i="6"/>
  <c r="I1203" i="6"/>
  <c r="K1202" i="6"/>
  <c r="J1202" i="6"/>
  <c r="I1202" i="6"/>
  <c r="K1201" i="6"/>
  <c r="J1201" i="6"/>
  <c r="I1201" i="6"/>
  <c r="K1200" i="6"/>
  <c r="J1200" i="6"/>
  <c r="I1200" i="6"/>
  <c r="K1199" i="6"/>
  <c r="J1199" i="6"/>
  <c r="I1199" i="6"/>
  <c r="K1198" i="6"/>
  <c r="J1198" i="6"/>
  <c r="I1198" i="6"/>
  <c r="K1197" i="6"/>
  <c r="J1197" i="6"/>
  <c r="I1197" i="6"/>
  <c r="K1196" i="6"/>
  <c r="J1196" i="6"/>
  <c r="I1196" i="6"/>
  <c r="K1195" i="6"/>
  <c r="J1195" i="6"/>
  <c r="I1195" i="6"/>
  <c r="K1194" i="6"/>
  <c r="J1194" i="6"/>
  <c r="I1194" i="6"/>
  <c r="K1193" i="6"/>
  <c r="J1193" i="6"/>
  <c r="I1193" i="6"/>
  <c r="K1192" i="6"/>
  <c r="J1192" i="6"/>
  <c r="I1192" i="6"/>
  <c r="K1191" i="6"/>
  <c r="J1191" i="6"/>
  <c r="I1191" i="6"/>
  <c r="K1190" i="6"/>
  <c r="J1190" i="6"/>
  <c r="I1190" i="6"/>
  <c r="K1189" i="6"/>
  <c r="J1189" i="6"/>
  <c r="I1189" i="6"/>
  <c r="K1188" i="6"/>
  <c r="J1188" i="6"/>
  <c r="I1188" i="6"/>
  <c r="K1187" i="6"/>
  <c r="J1187" i="6"/>
  <c r="I1187" i="6"/>
  <c r="K1186" i="6"/>
  <c r="J1186" i="6"/>
  <c r="I1186" i="6"/>
  <c r="K1185" i="6"/>
  <c r="J1185" i="6"/>
  <c r="I1185" i="6"/>
  <c r="K1184" i="6"/>
  <c r="J1184" i="6"/>
  <c r="I1184" i="6"/>
  <c r="K1183" i="6"/>
  <c r="J1183" i="6"/>
  <c r="I1183" i="6"/>
  <c r="K1182" i="6"/>
  <c r="J1182" i="6"/>
  <c r="I1182" i="6"/>
  <c r="K1181" i="6"/>
  <c r="J1181" i="6"/>
  <c r="I1181" i="6"/>
  <c r="K1180" i="6"/>
  <c r="J1180" i="6"/>
  <c r="I1180" i="6"/>
  <c r="K1179" i="6"/>
  <c r="J1179" i="6"/>
  <c r="I1179" i="6"/>
  <c r="K1178" i="6"/>
  <c r="J1178" i="6"/>
  <c r="I1178" i="6"/>
  <c r="K1177" i="6"/>
  <c r="J1177" i="6"/>
  <c r="I1177" i="6"/>
  <c r="K1176" i="6"/>
  <c r="J1176" i="6"/>
  <c r="I1176" i="6"/>
  <c r="K1175" i="6"/>
  <c r="J1175" i="6"/>
  <c r="I1175" i="6"/>
  <c r="K1174" i="6"/>
  <c r="J1174" i="6"/>
  <c r="I1174" i="6"/>
  <c r="K1173" i="6"/>
  <c r="J1173" i="6"/>
  <c r="I1173" i="6"/>
  <c r="K1172" i="6"/>
  <c r="J1172" i="6"/>
  <c r="I1172" i="6"/>
  <c r="K1171" i="6"/>
  <c r="J1171" i="6"/>
  <c r="I1171" i="6"/>
  <c r="K1170" i="6"/>
  <c r="J1170" i="6"/>
  <c r="I1170" i="6"/>
  <c r="K1169" i="6"/>
  <c r="J1169" i="6"/>
  <c r="I1169" i="6"/>
  <c r="K1168" i="6"/>
  <c r="J1168" i="6"/>
  <c r="I1168" i="6"/>
  <c r="K1167" i="6"/>
  <c r="J1167" i="6"/>
  <c r="I1167" i="6"/>
  <c r="K1166" i="6"/>
  <c r="J1166" i="6"/>
  <c r="I1166" i="6"/>
  <c r="K1165" i="6"/>
  <c r="J1165" i="6"/>
  <c r="I1165" i="6"/>
  <c r="K1164" i="6"/>
  <c r="J1164" i="6"/>
  <c r="I1164" i="6"/>
  <c r="K1163" i="6"/>
  <c r="J1163" i="6"/>
  <c r="I1163" i="6"/>
  <c r="K1162" i="6"/>
  <c r="J1162" i="6"/>
  <c r="I1162" i="6"/>
  <c r="K1161" i="6"/>
  <c r="J1161" i="6"/>
  <c r="I1161" i="6"/>
  <c r="K1160" i="6"/>
  <c r="J1160" i="6"/>
  <c r="I1160" i="6"/>
  <c r="K1159" i="6"/>
  <c r="J1159" i="6"/>
  <c r="I1159" i="6"/>
  <c r="K1158" i="6"/>
  <c r="J1158" i="6"/>
  <c r="I1158" i="6"/>
  <c r="K1157" i="6"/>
  <c r="J1157" i="6"/>
  <c r="I1157" i="6"/>
  <c r="K1156" i="6"/>
  <c r="J1156" i="6"/>
  <c r="I1156" i="6"/>
  <c r="K1155" i="6"/>
  <c r="J1155" i="6"/>
  <c r="I1155" i="6"/>
  <c r="K1154" i="6"/>
  <c r="J1154" i="6"/>
  <c r="I1154" i="6"/>
  <c r="K1153" i="6"/>
  <c r="J1153" i="6"/>
  <c r="I1153" i="6"/>
  <c r="K1152" i="6"/>
  <c r="J1152" i="6"/>
  <c r="I1152" i="6"/>
  <c r="K1151" i="6"/>
  <c r="J1151" i="6"/>
  <c r="I1151" i="6"/>
  <c r="K1150" i="6"/>
  <c r="J1150" i="6"/>
  <c r="I1150" i="6"/>
  <c r="K1149" i="6"/>
  <c r="J1149" i="6"/>
  <c r="I1149" i="6"/>
  <c r="K1148" i="6"/>
  <c r="J1148" i="6"/>
  <c r="I1148" i="6"/>
  <c r="K1147" i="6"/>
  <c r="J1147" i="6"/>
  <c r="I1147" i="6"/>
  <c r="K1146" i="6"/>
  <c r="J1146" i="6"/>
  <c r="I1146" i="6"/>
  <c r="K1145" i="6"/>
  <c r="J1145" i="6"/>
  <c r="I1145" i="6"/>
  <c r="K1144" i="6"/>
  <c r="J1144" i="6"/>
  <c r="I1144" i="6"/>
  <c r="K1143" i="6"/>
  <c r="J1143" i="6"/>
  <c r="I1143" i="6"/>
  <c r="K1142" i="6"/>
  <c r="J1142" i="6"/>
  <c r="I1142" i="6"/>
  <c r="K1141" i="6"/>
  <c r="J1141" i="6"/>
  <c r="I1141" i="6"/>
  <c r="K1140" i="6"/>
  <c r="J1140" i="6"/>
  <c r="I1140" i="6"/>
  <c r="K1139" i="6"/>
  <c r="J1139" i="6"/>
  <c r="I1139" i="6"/>
  <c r="K1138" i="6"/>
  <c r="J1138" i="6"/>
  <c r="I1138" i="6"/>
  <c r="K1137" i="6"/>
  <c r="J1137" i="6"/>
  <c r="I1137" i="6"/>
  <c r="K1136" i="6"/>
  <c r="J1136" i="6"/>
  <c r="I1136" i="6"/>
  <c r="K1135" i="6"/>
  <c r="J1135" i="6"/>
  <c r="I1135" i="6"/>
  <c r="K1134" i="6"/>
  <c r="J1134" i="6"/>
  <c r="I1134" i="6"/>
  <c r="K1133" i="6"/>
  <c r="J1133" i="6"/>
  <c r="I1133" i="6"/>
  <c r="K1132" i="6"/>
  <c r="J1132" i="6"/>
  <c r="I1132" i="6"/>
  <c r="K1131" i="6"/>
  <c r="J1131" i="6"/>
  <c r="I1131" i="6"/>
  <c r="K1130" i="6"/>
  <c r="J1130" i="6"/>
  <c r="I1130" i="6"/>
  <c r="K1129" i="6"/>
  <c r="J1129" i="6"/>
  <c r="I1129" i="6"/>
  <c r="K1128" i="6"/>
  <c r="J1128" i="6"/>
  <c r="I1128" i="6"/>
  <c r="K1127" i="6"/>
  <c r="J1127" i="6"/>
  <c r="I1127" i="6"/>
  <c r="K1126" i="6"/>
  <c r="J1126" i="6"/>
  <c r="I1126" i="6"/>
  <c r="K1125" i="6"/>
  <c r="J1125" i="6"/>
  <c r="I1125" i="6"/>
  <c r="K1124" i="6"/>
  <c r="J1124" i="6"/>
  <c r="I1124" i="6"/>
  <c r="K1123" i="6"/>
  <c r="J1123" i="6"/>
  <c r="I1123" i="6"/>
  <c r="K1122" i="6"/>
  <c r="J1122" i="6"/>
  <c r="I1122" i="6"/>
  <c r="K1121" i="6"/>
  <c r="J1121" i="6"/>
  <c r="I1121" i="6"/>
  <c r="K1120" i="6"/>
  <c r="J1120" i="6"/>
  <c r="I1120" i="6"/>
  <c r="K1119" i="6"/>
  <c r="J1119" i="6"/>
  <c r="I1119" i="6"/>
  <c r="K1118" i="6"/>
  <c r="J1118" i="6"/>
  <c r="I1118" i="6"/>
  <c r="K1117" i="6"/>
  <c r="J1117" i="6"/>
  <c r="I1117" i="6"/>
  <c r="K1116" i="6"/>
  <c r="J1116" i="6"/>
  <c r="I1116" i="6"/>
  <c r="K1115" i="6"/>
  <c r="J1115" i="6"/>
  <c r="I1115" i="6"/>
  <c r="K1114" i="6"/>
  <c r="J1114" i="6"/>
  <c r="I1114" i="6"/>
  <c r="K1113" i="6"/>
  <c r="J1113" i="6"/>
  <c r="I1113" i="6"/>
  <c r="K1112" i="6"/>
  <c r="J1112" i="6"/>
  <c r="I1112" i="6"/>
  <c r="K1111" i="6"/>
  <c r="J1111" i="6"/>
  <c r="I1111" i="6"/>
  <c r="K1110" i="6"/>
  <c r="J1110" i="6"/>
  <c r="I1110" i="6"/>
  <c r="K1109" i="6"/>
  <c r="J1109" i="6"/>
  <c r="I1109" i="6"/>
  <c r="K1108" i="6"/>
  <c r="J1108" i="6"/>
  <c r="I1108" i="6"/>
  <c r="K1107" i="6"/>
  <c r="J1107" i="6"/>
  <c r="I1107" i="6"/>
  <c r="K1106" i="6"/>
  <c r="J1106" i="6"/>
  <c r="I1106" i="6"/>
  <c r="K1105" i="6"/>
  <c r="J1105" i="6"/>
  <c r="I1105" i="6"/>
  <c r="K1104" i="6"/>
  <c r="J1104" i="6"/>
  <c r="I1104" i="6"/>
  <c r="K1103" i="6"/>
  <c r="J1103" i="6"/>
  <c r="I1103" i="6"/>
  <c r="K1102" i="6"/>
  <c r="J1102" i="6"/>
  <c r="I1102" i="6"/>
  <c r="K1101" i="6"/>
  <c r="J1101" i="6"/>
  <c r="I1101" i="6"/>
  <c r="K1100" i="6"/>
  <c r="J1100" i="6"/>
  <c r="I1100" i="6"/>
  <c r="K1099" i="6"/>
  <c r="J1099" i="6"/>
  <c r="I1099" i="6"/>
  <c r="K1098" i="6"/>
  <c r="J1098" i="6"/>
  <c r="I1098" i="6"/>
  <c r="K1097" i="6"/>
  <c r="J1097" i="6"/>
  <c r="I1097" i="6"/>
  <c r="K1096" i="6"/>
  <c r="J1096" i="6"/>
  <c r="I1096" i="6"/>
  <c r="K1095" i="6"/>
  <c r="J1095" i="6"/>
  <c r="I1095" i="6"/>
  <c r="K1094" i="6"/>
  <c r="J1094" i="6"/>
  <c r="I1094" i="6"/>
  <c r="K1093" i="6"/>
  <c r="J1093" i="6"/>
  <c r="I1093" i="6"/>
  <c r="K1092" i="6"/>
  <c r="J1092" i="6"/>
  <c r="I1092" i="6"/>
  <c r="K1091" i="6"/>
  <c r="J1091" i="6"/>
  <c r="I1091" i="6"/>
  <c r="K1090" i="6"/>
  <c r="J1090" i="6"/>
  <c r="I1090" i="6"/>
  <c r="K1089" i="6"/>
  <c r="J1089" i="6"/>
  <c r="I1089" i="6"/>
  <c r="K1088" i="6"/>
  <c r="J1088" i="6"/>
  <c r="I1088" i="6"/>
  <c r="K1087" i="6"/>
  <c r="J1087" i="6"/>
  <c r="I1087" i="6"/>
  <c r="K1086" i="6"/>
  <c r="J1086" i="6"/>
  <c r="I1086" i="6"/>
  <c r="K1085" i="6"/>
  <c r="J1085" i="6"/>
  <c r="I1085" i="6"/>
  <c r="K1084" i="6"/>
  <c r="J1084" i="6"/>
  <c r="I1084" i="6"/>
  <c r="K1083" i="6"/>
  <c r="J1083" i="6"/>
  <c r="I1083" i="6"/>
  <c r="K1082" i="6"/>
  <c r="J1082" i="6"/>
  <c r="I1082" i="6"/>
  <c r="K1081" i="6"/>
  <c r="J1081" i="6"/>
  <c r="I1081" i="6"/>
  <c r="K1080" i="6"/>
  <c r="J1080" i="6"/>
  <c r="I1080" i="6"/>
  <c r="K1079" i="6"/>
  <c r="J1079" i="6"/>
  <c r="I1079" i="6"/>
  <c r="K1078" i="6"/>
  <c r="J1078" i="6"/>
  <c r="I1078" i="6"/>
  <c r="K1077" i="6"/>
  <c r="J1077" i="6"/>
  <c r="I1077" i="6"/>
  <c r="K1076" i="6"/>
  <c r="J1076" i="6"/>
  <c r="I1076" i="6"/>
  <c r="K1075" i="6"/>
  <c r="J1075" i="6"/>
  <c r="I1075" i="6"/>
  <c r="K1074" i="6"/>
  <c r="J1074" i="6"/>
  <c r="I1074" i="6"/>
  <c r="K1073" i="6"/>
  <c r="J1073" i="6"/>
  <c r="I1073" i="6"/>
  <c r="K1072" i="6"/>
  <c r="J1072" i="6"/>
  <c r="I1072" i="6"/>
  <c r="K1071" i="6"/>
  <c r="J1071" i="6"/>
  <c r="I1071" i="6"/>
  <c r="K1070" i="6"/>
  <c r="J1070" i="6"/>
  <c r="I1070" i="6"/>
  <c r="K1069" i="6"/>
  <c r="J1069" i="6"/>
  <c r="I1069" i="6"/>
  <c r="K1068" i="6"/>
  <c r="J1068" i="6"/>
  <c r="I1068" i="6"/>
  <c r="K1067" i="6"/>
  <c r="J1067" i="6"/>
  <c r="I1067" i="6"/>
  <c r="K1066" i="6"/>
  <c r="J1066" i="6"/>
  <c r="I1066" i="6"/>
  <c r="K1065" i="6"/>
  <c r="J1065" i="6"/>
  <c r="I1065" i="6"/>
  <c r="K1064" i="6"/>
  <c r="J1064" i="6"/>
  <c r="I1064" i="6"/>
  <c r="K1063" i="6"/>
  <c r="J1063" i="6"/>
  <c r="I1063" i="6"/>
  <c r="K1062" i="6"/>
  <c r="J1062" i="6"/>
  <c r="I1062" i="6"/>
  <c r="K1061" i="6"/>
  <c r="J1061" i="6"/>
  <c r="I1061" i="6"/>
  <c r="K1060" i="6"/>
  <c r="J1060" i="6"/>
  <c r="I1060" i="6"/>
  <c r="K1059" i="6"/>
  <c r="J1059" i="6"/>
  <c r="I1059" i="6"/>
  <c r="K1058" i="6"/>
  <c r="J1058" i="6"/>
  <c r="I1058" i="6"/>
  <c r="K1057" i="6"/>
  <c r="J1057" i="6"/>
  <c r="I1057" i="6"/>
  <c r="K1056" i="6"/>
  <c r="J1056" i="6"/>
  <c r="I1056" i="6"/>
  <c r="K1055" i="6"/>
  <c r="J1055" i="6"/>
  <c r="I1055" i="6"/>
  <c r="K1054" i="6"/>
  <c r="J1054" i="6"/>
  <c r="I1054" i="6"/>
  <c r="K1053" i="6"/>
  <c r="J1053" i="6"/>
  <c r="I1053" i="6"/>
  <c r="K1052" i="6"/>
  <c r="J1052" i="6"/>
  <c r="I1052" i="6"/>
  <c r="K1051" i="6"/>
  <c r="J1051" i="6"/>
  <c r="I1051" i="6"/>
  <c r="K1050" i="6"/>
  <c r="J1050" i="6"/>
  <c r="I1050" i="6"/>
  <c r="K1049" i="6"/>
  <c r="J1049" i="6"/>
  <c r="I1049" i="6"/>
  <c r="K1048" i="6"/>
  <c r="J1048" i="6"/>
  <c r="I1048" i="6"/>
  <c r="K1047" i="6"/>
  <c r="J1047" i="6"/>
  <c r="I1047" i="6"/>
  <c r="K1046" i="6"/>
  <c r="J1046" i="6"/>
  <c r="I1046" i="6"/>
  <c r="K1045" i="6"/>
  <c r="J1045" i="6"/>
  <c r="I1045" i="6"/>
  <c r="K1044" i="6"/>
  <c r="J1044" i="6"/>
  <c r="I1044" i="6"/>
  <c r="K1043" i="6"/>
  <c r="J1043" i="6"/>
  <c r="I1043" i="6"/>
  <c r="K1042" i="6"/>
  <c r="J1042" i="6"/>
  <c r="I1042" i="6"/>
  <c r="K1041" i="6"/>
  <c r="J1041" i="6"/>
  <c r="I1041" i="6"/>
  <c r="K1040" i="6"/>
  <c r="J1040" i="6"/>
  <c r="I1040" i="6"/>
  <c r="K1039" i="6"/>
  <c r="J1039" i="6"/>
  <c r="I1039" i="6"/>
  <c r="K1038" i="6"/>
  <c r="J1038" i="6"/>
  <c r="I1038" i="6"/>
  <c r="K1037" i="6"/>
  <c r="J1037" i="6"/>
  <c r="I1037" i="6"/>
  <c r="K1036" i="6"/>
  <c r="J1036" i="6"/>
  <c r="I1036" i="6"/>
  <c r="K1035" i="6"/>
  <c r="J1035" i="6"/>
  <c r="I1035" i="6"/>
  <c r="K1034" i="6"/>
  <c r="J1034" i="6"/>
  <c r="I1034" i="6"/>
  <c r="K1033" i="6"/>
  <c r="J1033" i="6"/>
  <c r="I1033" i="6"/>
  <c r="K1032" i="6"/>
  <c r="J1032" i="6"/>
  <c r="I1032" i="6"/>
  <c r="K1031" i="6"/>
  <c r="J1031" i="6"/>
  <c r="I1031" i="6"/>
  <c r="K1030" i="6"/>
  <c r="J1030" i="6"/>
  <c r="I1030" i="6"/>
  <c r="K1029" i="6"/>
  <c r="J1029" i="6"/>
  <c r="I1029" i="6"/>
  <c r="K1028" i="6"/>
  <c r="J1028" i="6"/>
  <c r="I1028" i="6"/>
  <c r="K1027" i="6"/>
  <c r="J1027" i="6"/>
  <c r="I1027" i="6"/>
  <c r="K1026" i="6"/>
  <c r="J1026" i="6"/>
  <c r="I1026" i="6"/>
  <c r="K1025" i="6"/>
  <c r="J1025" i="6"/>
  <c r="I1025" i="6"/>
  <c r="K1024" i="6"/>
  <c r="J1024" i="6"/>
  <c r="I1024" i="6"/>
  <c r="K1023" i="6"/>
  <c r="J1023" i="6"/>
  <c r="I1023" i="6"/>
  <c r="K1022" i="6"/>
  <c r="J1022" i="6"/>
  <c r="I1022" i="6"/>
  <c r="K1021" i="6"/>
  <c r="J1021" i="6"/>
  <c r="I1021" i="6"/>
  <c r="K1020" i="6"/>
  <c r="J1020" i="6"/>
  <c r="I1020" i="6"/>
  <c r="K1019" i="6"/>
  <c r="J1019" i="6"/>
  <c r="I1019" i="6"/>
  <c r="K1018" i="6"/>
  <c r="J1018" i="6"/>
  <c r="I1018" i="6"/>
  <c r="K1017" i="6"/>
  <c r="J1017" i="6"/>
  <c r="I1017" i="6"/>
  <c r="K1016" i="6"/>
  <c r="J1016" i="6"/>
  <c r="I1016" i="6"/>
  <c r="K1015" i="6"/>
  <c r="J1015" i="6"/>
  <c r="I1015" i="6"/>
  <c r="K1014" i="6"/>
  <c r="J1014" i="6"/>
  <c r="I1014" i="6"/>
  <c r="K1013" i="6"/>
  <c r="J1013" i="6"/>
  <c r="I1013" i="6"/>
  <c r="K1012" i="6"/>
  <c r="J1012" i="6"/>
  <c r="I1012" i="6"/>
  <c r="K1011" i="6"/>
  <c r="J1011" i="6"/>
  <c r="I1011" i="6"/>
  <c r="K1010" i="6"/>
  <c r="J1010" i="6"/>
  <c r="I1010" i="6"/>
  <c r="K1009" i="6"/>
  <c r="J1009" i="6"/>
  <c r="I1009" i="6"/>
  <c r="K1008" i="6"/>
  <c r="J1008" i="6"/>
  <c r="I1008" i="6"/>
  <c r="K1007" i="6"/>
  <c r="J1007" i="6"/>
  <c r="I1007" i="6"/>
  <c r="K1006" i="6"/>
  <c r="J1006" i="6"/>
  <c r="I1006" i="6"/>
  <c r="K1005" i="6"/>
  <c r="J1005" i="6"/>
  <c r="I1005" i="6"/>
  <c r="K1004" i="6"/>
  <c r="J1004" i="6"/>
  <c r="I1004" i="6"/>
  <c r="K1003" i="6"/>
  <c r="J1003" i="6"/>
  <c r="I1003" i="6"/>
  <c r="K1002" i="6"/>
  <c r="J1002" i="6"/>
  <c r="I1002" i="6"/>
  <c r="K1001" i="6"/>
  <c r="J1001" i="6"/>
  <c r="I1001" i="6"/>
  <c r="K1000" i="6"/>
  <c r="J1000" i="6"/>
  <c r="I1000" i="6"/>
  <c r="K999" i="6"/>
  <c r="J999" i="6"/>
  <c r="I999" i="6"/>
  <c r="K998" i="6"/>
  <c r="J998" i="6"/>
  <c r="I998" i="6"/>
  <c r="K997" i="6"/>
  <c r="J997" i="6"/>
  <c r="I997" i="6"/>
  <c r="K996" i="6"/>
  <c r="J996" i="6"/>
  <c r="I996" i="6"/>
  <c r="K995" i="6"/>
  <c r="J995" i="6"/>
  <c r="I995" i="6"/>
  <c r="K994" i="6"/>
  <c r="J994" i="6"/>
  <c r="I994" i="6"/>
  <c r="K993" i="6"/>
  <c r="J993" i="6"/>
  <c r="I993" i="6"/>
  <c r="K992" i="6"/>
  <c r="J992" i="6"/>
  <c r="I992" i="6"/>
  <c r="K991" i="6"/>
  <c r="J991" i="6"/>
  <c r="I991" i="6"/>
  <c r="K990" i="6"/>
  <c r="J990" i="6"/>
  <c r="I990" i="6"/>
  <c r="K989" i="6"/>
  <c r="J989" i="6"/>
  <c r="I989" i="6"/>
  <c r="K988" i="6"/>
  <c r="J988" i="6"/>
  <c r="I988" i="6"/>
  <c r="K987" i="6"/>
  <c r="J987" i="6"/>
  <c r="I987" i="6"/>
  <c r="K986" i="6"/>
  <c r="J986" i="6"/>
  <c r="I986" i="6"/>
  <c r="K985" i="6"/>
  <c r="J985" i="6"/>
  <c r="I985" i="6"/>
  <c r="K984" i="6"/>
  <c r="J984" i="6"/>
  <c r="I984" i="6"/>
  <c r="K983" i="6"/>
  <c r="J983" i="6"/>
  <c r="I983" i="6"/>
  <c r="K982" i="6"/>
  <c r="J982" i="6"/>
  <c r="I982" i="6"/>
  <c r="K981" i="6"/>
  <c r="J981" i="6"/>
  <c r="I981" i="6"/>
  <c r="K980" i="6"/>
  <c r="J980" i="6"/>
  <c r="I980" i="6"/>
  <c r="K979" i="6"/>
  <c r="J979" i="6"/>
  <c r="I979" i="6"/>
  <c r="K978" i="6"/>
  <c r="J978" i="6"/>
  <c r="I978" i="6"/>
  <c r="K977" i="6"/>
  <c r="J977" i="6"/>
  <c r="I977" i="6"/>
  <c r="K976" i="6"/>
  <c r="J976" i="6"/>
  <c r="I976" i="6"/>
  <c r="K975" i="6"/>
  <c r="J975" i="6"/>
  <c r="I975" i="6"/>
  <c r="K974" i="6"/>
  <c r="J974" i="6"/>
  <c r="I974" i="6"/>
  <c r="K973" i="6"/>
  <c r="J973" i="6"/>
  <c r="I973" i="6"/>
  <c r="K972" i="6"/>
  <c r="J972" i="6"/>
  <c r="I972" i="6"/>
  <c r="K971" i="6"/>
  <c r="J971" i="6"/>
  <c r="I971" i="6"/>
  <c r="K970" i="6"/>
  <c r="J970" i="6"/>
  <c r="I970" i="6"/>
  <c r="K969" i="6"/>
  <c r="J969" i="6"/>
  <c r="I969" i="6"/>
  <c r="K968" i="6"/>
  <c r="J968" i="6"/>
  <c r="I968" i="6"/>
  <c r="K967" i="6"/>
  <c r="J967" i="6"/>
  <c r="I967" i="6"/>
  <c r="K966" i="6"/>
  <c r="J966" i="6"/>
  <c r="I966" i="6"/>
  <c r="K965" i="6"/>
  <c r="J965" i="6"/>
  <c r="I965" i="6"/>
  <c r="K964" i="6"/>
  <c r="J964" i="6"/>
  <c r="I964" i="6"/>
  <c r="K963" i="6"/>
  <c r="J963" i="6"/>
  <c r="I963" i="6"/>
  <c r="K962" i="6"/>
  <c r="J962" i="6"/>
  <c r="I962" i="6"/>
  <c r="K961" i="6"/>
  <c r="J961" i="6"/>
  <c r="I961" i="6"/>
  <c r="K960" i="6"/>
  <c r="J960" i="6"/>
  <c r="I960" i="6"/>
  <c r="K959" i="6"/>
  <c r="J959" i="6"/>
  <c r="I959" i="6"/>
  <c r="K958" i="6"/>
  <c r="J958" i="6"/>
  <c r="I958" i="6"/>
  <c r="K957" i="6"/>
  <c r="J957" i="6"/>
  <c r="I957" i="6"/>
  <c r="K956" i="6"/>
  <c r="J956" i="6"/>
  <c r="I956" i="6"/>
  <c r="K955" i="6"/>
  <c r="J955" i="6"/>
  <c r="I955" i="6"/>
  <c r="K954" i="6"/>
  <c r="J954" i="6"/>
  <c r="I954" i="6"/>
  <c r="K953" i="6"/>
  <c r="J953" i="6"/>
  <c r="I953" i="6"/>
  <c r="K952" i="6"/>
  <c r="J952" i="6"/>
  <c r="I952" i="6"/>
  <c r="K951" i="6"/>
  <c r="J951" i="6"/>
  <c r="I951" i="6"/>
  <c r="K950" i="6"/>
  <c r="J950" i="6"/>
  <c r="I950" i="6"/>
  <c r="K949" i="6"/>
  <c r="J949" i="6"/>
  <c r="I949" i="6"/>
  <c r="K948" i="6"/>
  <c r="J948" i="6"/>
  <c r="I948" i="6"/>
  <c r="K947" i="6"/>
  <c r="J947" i="6"/>
  <c r="I947" i="6"/>
  <c r="K946" i="6"/>
  <c r="J946" i="6"/>
  <c r="I946" i="6"/>
  <c r="K945" i="6"/>
  <c r="J945" i="6"/>
  <c r="I945" i="6"/>
  <c r="K944" i="6"/>
  <c r="J944" i="6"/>
  <c r="I944" i="6"/>
  <c r="K943" i="6"/>
  <c r="J943" i="6"/>
  <c r="I943" i="6"/>
  <c r="K942" i="6"/>
  <c r="J942" i="6"/>
  <c r="I942" i="6"/>
  <c r="K941" i="6"/>
  <c r="J941" i="6"/>
  <c r="I941" i="6"/>
  <c r="K940" i="6"/>
  <c r="J940" i="6"/>
  <c r="I940" i="6"/>
  <c r="K939" i="6"/>
  <c r="J939" i="6"/>
  <c r="I939" i="6"/>
  <c r="K938" i="6"/>
  <c r="J938" i="6"/>
  <c r="I938" i="6"/>
  <c r="K937" i="6"/>
  <c r="J937" i="6"/>
  <c r="I937" i="6"/>
  <c r="K936" i="6"/>
  <c r="J936" i="6"/>
  <c r="I936" i="6"/>
  <c r="K935" i="6"/>
  <c r="J935" i="6"/>
  <c r="I935" i="6"/>
  <c r="K934" i="6"/>
  <c r="J934" i="6"/>
  <c r="I934" i="6"/>
  <c r="K933" i="6"/>
  <c r="J933" i="6"/>
  <c r="I933" i="6"/>
  <c r="K932" i="6"/>
  <c r="J932" i="6"/>
  <c r="I932" i="6"/>
  <c r="K931" i="6"/>
  <c r="J931" i="6"/>
  <c r="I931" i="6"/>
  <c r="K930" i="6"/>
  <c r="J930" i="6"/>
  <c r="I930" i="6"/>
  <c r="K929" i="6"/>
  <c r="J929" i="6"/>
  <c r="I929" i="6"/>
  <c r="K928" i="6"/>
  <c r="J928" i="6"/>
  <c r="I928" i="6"/>
  <c r="K927" i="6"/>
  <c r="J927" i="6"/>
  <c r="I927" i="6"/>
  <c r="K926" i="6"/>
  <c r="J926" i="6"/>
  <c r="I926" i="6"/>
  <c r="K925" i="6"/>
  <c r="J925" i="6"/>
  <c r="I925" i="6"/>
  <c r="K924" i="6"/>
  <c r="J924" i="6"/>
  <c r="I924" i="6"/>
  <c r="K923" i="6"/>
  <c r="J923" i="6"/>
  <c r="I923" i="6"/>
  <c r="K922" i="6"/>
  <c r="J922" i="6"/>
  <c r="I922" i="6"/>
  <c r="K921" i="6"/>
  <c r="J921" i="6"/>
  <c r="I921" i="6"/>
  <c r="K920" i="6"/>
  <c r="J920" i="6"/>
  <c r="I920" i="6"/>
  <c r="K919" i="6"/>
  <c r="J919" i="6"/>
  <c r="I919" i="6"/>
  <c r="K918" i="6"/>
  <c r="J918" i="6"/>
  <c r="I918" i="6"/>
  <c r="K917" i="6"/>
  <c r="J917" i="6"/>
  <c r="I917" i="6"/>
  <c r="K916" i="6"/>
  <c r="J916" i="6"/>
  <c r="I916" i="6"/>
  <c r="K915" i="6"/>
  <c r="J915" i="6"/>
  <c r="I915" i="6"/>
  <c r="K914" i="6"/>
  <c r="J914" i="6"/>
  <c r="I914" i="6"/>
  <c r="K913" i="6"/>
  <c r="J913" i="6"/>
  <c r="I913" i="6"/>
  <c r="K912" i="6"/>
  <c r="J912" i="6"/>
  <c r="I912" i="6"/>
  <c r="K911" i="6"/>
  <c r="J911" i="6"/>
  <c r="I911" i="6"/>
  <c r="K910" i="6"/>
  <c r="J910" i="6"/>
  <c r="I910" i="6"/>
  <c r="K909" i="6"/>
  <c r="J909" i="6"/>
  <c r="I909" i="6"/>
  <c r="K908" i="6"/>
  <c r="J908" i="6"/>
  <c r="I908" i="6"/>
  <c r="K907" i="6"/>
  <c r="J907" i="6"/>
  <c r="I907" i="6"/>
  <c r="K906" i="6"/>
  <c r="J906" i="6"/>
  <c r="I906" i="6"/>
  <c r="K905" i="6"/>
  <c r="J905" i="6"/>
  <c r="I905" i="6"/>
  <c r="K904" i="6"/>
  <c r="J904" i="6"/>
  <c r="I904" i="6"/>
  <c r="K903" i="6"/>
  <c r="J903" i="6"/>
  <c r="I903" i="6"/>
  <c r="K902" i="6"/>
  <c r="J902" i="6"/>
  <c r="I902" i="6"/>
  <c r="K901" i="6"/>
  <c r="J901" i="6"/>
  <c r="I901" i="6"/>
  <c r="K900" i="6"/>
  <c r="J900" i="6"/>
  <c r="I900" i="6"/>
  <c r="K899" i="6"/>
  <c r="J899" i="6"/>
  <c r="I899" i="6"/>
  <c r="K898" i="6"/>
  <c r="J898" i="6"/>
  <c r="I898" i="6"/>
  <c r="K897" i="6"/>
  <c r="J897" i="6"/>
  <c r="I897" i="6"/>
  <c r="K896" i="6"/>
  <c r="J896" i="6"/>
  <c r="I896" i="6"/>
  <c r="K895" i="6"/>
  <c r="J895" i="6"/>
  <c r="I895" i="6"/>
  <c r="K894" i="6"/>
  <c r="J894" i="6"/>
  <c r="I894" i="6"/>
  <c r="K893" i="6"/>
  <c r="J893" i="6"/>
  <c r="I893" i="6"/>
  <c r="K892" i="6"/>
  <c r="J892" i="6"/>
  <c r="I892" i="6"/>
  <c r="K891" i="6"/>
  <c r="J891" i="6"/>
  <c r="I891" i="6"/>
  <c r="K890" i="6"/>
  <c r="J890" i="6"/>
  <c r="I890" i="6"/>
  <c r="K889" i="6"/>
  <c r="J889" i="6"/>
  <c r="I889" i="6"/>
  <c r="K888" i="6"/>
  <c r="J888" i="6"/>
  <c r="I888" i="6"/>
  <c r="K887" i="6"/>
  <c r="J887" i="6"/>
  <c r="I887" i="6"/>
  <c r="K886" i="6"/>
  <c r="J886" i="6"/>
  <c r="I886" i="6"/>
  <c r="K885" i="6"/>
  <c r="J885" i="6"/>
  <c r="I885" i="6"/>
  <c r="K884" i="6"/>
  <c r="J884" i="6"/>
  <c r="I884" i="6"/>
  <c r="K883" i="6"/>
  <c r="J883" i="6"/>
  <c r="I883" i="6"/>
  <c r="K882" i="6"/>
  <c r="J882" i="6"/>
  <c r="I882" i="6"/>
  <c r="K881" i="6"/>
  <c r="J881" i="6"/>
  <c r="I881" i="6"/>
  <c r="K880" i="6"/>
  <c r="J880" i="6"/>
  <c r="I880" i="6"/>
  <c r="K879" i="6"/>
  <c r="J879" i="6"/>
  <c r="I879" i="6"/>
  <c r="K878" i="6"/>
  <c r="J878" i="6"/>
  <c r="I878" i="6"/>
  <c r="K877" i="6"/>
  <c r="J877" i="6"/>
  <c r="I877" i="6"/>
  <c r="K876" i="6"/>
  <c r="J876" i="6"/>
  <c r="I876" i="6"/>
  <c r="K875" i="6"/>
  <c r="J875" i="6"/>
  <c r="I875" i="6"/>
  <c r="K874" i="6"/>
  <c r="J874" i="6"/>
  <c r="I874" i="6"/>
  <c r="K873" i="6"/>
  <c r="J873" i="6"/>
  <c r="I873" i="6"/>
  <c r="K872" i="6"/>
  <c r="J872" i="6"/>
  <c r="I872" i="6"/>
  <c r="K871" i="6"/>
  <c r="J871" i="6"/>
  <c r="I871" i="6"/>
  <c r="K870" i="6"/>
  <c r="J870" i="6"/>
  <c r="I870" i="6"/>
  <c r="K869" i="6"/>
  <c r="J869" i="6"/>
  <c r="I869" i="6"/>
  <c r="K868" i="6"/>
  <c r="J868" i="6"/>
  <c r="I868" i="6"/>
  <c r="K867" i="6"/>
  <c r="J867" i="6"/>
  <c r="I867" i="6"/>
  <c r="K866" i="6"/>
  <c r="J866" i="6"/>
  <c r="I866" i="6"/>
  <c r="K865" i="6"/>
  <c r="J865" i="6"/>
  <c r="I865" i="6"/>
  <c r="K864" i="6"/>
  <c r="J864" i="6"/>
  <c r="I864" i="6"/>
  <c r="K863" i="6"/>
  <c r="J863" i="6"/>
  <c r="I863" i="6"/>
  <c r="K862" i="6"/>
  <c r="J862" i="6"/>
  <c r="I862" i="6"/>
  <c r="K861" i="6"/>
  <c r="J861" i="6"/>
  <c r="I861" i="6"/>
  <c r="K860" i="6"/>
  <c r="J860" i="6"/>
  <c r="I860" i="6"/>
  <c r="K859" i="6"/>
  <c r="J859" i="6"/>
  <c r="I859" i="6"/>
  <c r="K858" i="6"/>
  <c r="J858" i="6"/>
  <c r="I858" i="6"/>
  <c r="K857" i="6"/>
  <c r="J857" i="6"/>
  <c r="I857" i="6"/>
  <c r="K856" i="6"/>
  <c r="J856" i="6"/>
  <c r="I856" i="6"/>
  <c r="K855" i="6"/>
  <c r="J855" i="6"/>
  <c r="I855" i="6"/>
  <c r="K854" i="6"/>
  <c r="J854" i="6"/>
  <c r="I854" i="6"/>
  <c r="K853" i="6"/>
  <c r="J853" i="6"/>
  <c r="I853" i="6"/>
  <c r="K852" i="6"/>
  <c r="J852" i="6"/>
  <c r="I852" i="6"/>
  <c r="K851" i="6"/>
  <c r="J851" i="6"/>
  <c r="I851" i="6"/>
  <c r="K850" i="6"/>
  <c r="J850" i="6"/>
  <c r="I850" i="6"/>
  <c r="K849" i="6"/>
  <c r="J849" i="6"/>
  <c r="I849" i="6"/>
  <c r="K848" i="6"/>
  <c r="J848" i="6"/>
  <c r="I848" i="6"/>
  <c r="K847" i="6"/>
  <c r="J847" i="6"/>
  <c r="I847" i="6"/>
  <c r="K846" i="6"/>
  <c r="J846" i="6"/>
  <c r="I846" i="6"/>
  <c r="K845" i="6"/>
  <c r="J845" i="6"/>
  <c r="I845" i="6"/>
  <c r="K844" i="6"/>
  <c r="J844" i="6"/>
  <c r="I844" i="6"/>
  <c r="K843" i="6"/>
  <c r="J843" i="6"/>
  <c r="I843" i="6"/>
  <c r="K842" i="6"/>
  <c r="J842" i="6"/>
  <c r="I842" i="6"/>
  <c r="K841" i="6"/>
  <c r="J841" i="6"/>
  <c r="I841" i="6"/>
  <c r="K840" i="6"/>
  <c r="J840" i="6"/>
  <c r="I840" i="6"/>
  <c r="K839" i="6"/>
  <c r="J839" i="6"/>
  <c r="I839" i="6"/>
  <c r="K838" i="6"/>
  <c r="J838" i="6"/>
  <c r="I838" i="6"/>
  <c r="K837" i="6"/>
  <c r="J837" i="6"/>
  <c r="I837" i="6"/>
  <c r="K836" i="6"/>
  <c r="J836" i="6"/>
  <c r="I836" i="6"/>
  <c r="K835" i="6"/>
  <c r="J835" i="6"/>
  <c r="I835" i="6"/>
  <c r="K834" i="6"/>
  <c r="J834" i="6"/>
  <c r="I834" i="6"/>
  <c r="K833" i="6"/>
  <c r="J833" i="6"/>
  <c r="I833" i="6"/>
  <c r="K832" i="6"/>
  <c r="J832" i="6"/>
  <c r="I832" i="6"/>
  <c r="K831" i="6"/>
  <c r="J831" i="6"/>
  <c r="I831" i="6"/>
  <c r="K830" i="6"/>
  <c r="J830" i="6"/>
  <c r="I830" i="6"/>
  <c r="K829" i="6"/>
  <c r="J829" i="6"/>
  <c r="I829" i="6"/>
  <c r="K828" i="6"/>
  <c r="J828" i="6"/>
  <c r="I828" i="6"/>
  <c r="K827" i="6"/>
  <c r="J827" i="6"/>
  <c r="I827" i="6"/>
  <c r="K826" i="6"/>
  <c r="J826" i="6"/>
  <c r="I826" i="6"/>
  <c r="K825" i="6"/>
  <c r="J825" i="6"/>
  <c r="I825" i="6"/>
  <c r="K824" i="6"/>
  <c r="J824" i="6"/>
  <c r="I824" i="6"/>
  <c r="K823" i="6"/>
  <c r="J823" i="6"/>
  <c r="I823" i="6"/>
  <c r="K822" i="6"/>
  <c r="J822" i="6"/>
  <c r="I822" i="6"/>
  <c r="K821" i="6"/>
  <c r="J821" i="6"/>
  <c r="I821" i="6"/>
  <c r="K820" i="6"/>
  <c r="J820" i="6"/>
  <c r="I820" i="6"/>
  <c r="K819" i="6"/>
  <c r="J819" i="6"/>
  <c r="I819" i="6"/>
  <c r="K818" i="6"/>
  <c r="J818" i="6"/>
  <c r="I818" i="6"/>
  <c r="K817" i="6"/>
  <c r="J817" i="6"/>
  <c r="I817" i="6"/>
  <c r="K816" i="6"/>
  <c r="J816" i="6"/>
  <c r="I816" i="6"/>
  <c r="K815" i="6"/>
  <c r="J815" i="6"/>
  <c r="I815" i="6"/>
  <c r="K814" i="6"/>
  <c r="J814" i="6"/>
  <c r="I814" i="6"/>
  <c r="K813" i="6"/>
  <c r="J813" i="6"/>
  <c r="I813" i="6"/>
  <c r="K812" i="6"/>
  <c r="J812" i="6"/>
  <c r="I812" i="6"/>
  <c r="K811" i="6"/>
  <c r="J811" i="6"/>
  <c r="I811" i="6"/>
  <c r="K810" i="6"/>
  <c r="J810" i="6"/>
  <c r="I810" i="6"/>
  <c r="K809" i="6"/>
  <c r="J809" i="6"/>
  <c r="I809" i="6"/>
  <c r="K808" i="6"/>
  <c r="J808" i="6"/>
  <c r="I808" i="6"/>
  <c r="K807" i="6"/>
  <c r="J807" i="6"/>
  <c r="I807" i="6"/>
  <c r="K806" i="6"/>
  <c r="J806" i="6"/>
  <c r="I806" i="6"/>
  <c r="K805" i="6"/>
  <c r="J805" i="6"/>
  <c r="I805" i="6"/>
  <c r="K804" i="6"/>
  <c r="J804" i="6"/>
  <c r="I804" i="6"/>
  <c r="K803" i="6"/>
  <c r="J803" i="6"/>
  <c r="I803" i="6"/>
  <c r="K802" i="6"/>
  <c r="J802" i="6"/>
  <c r="I802" i="6"/>
  <c r="K801" i="6"/>
  <c r="J801" i="6"/>
  <c r="I801" i="6"/>
  <c r="K800" i="6"/>
  <c r="J800" i="6"/>
  <c r="I800" i="6"/>
  <c r="K799" i="6"/>
  <c r="J799" i="6"/>
  <c r="I799" i="6"/>
  <c r="K798" i="6"/>
  <c r="J798" i="6"/>
  <c r="I798" i="6"/>
  <c r="K797" i="6"/>
  <c r="J797" i="6"/>
  <c r="I797" i="6"/>
  <c r="K796" i="6"/>
  <c r="J796" i="6"/>
  <c r="I796" i="6"/>
  <c r="K795" i="6"/>
  <c r="J795" i="6"/>
  <c r="I795" i="6"/>
  <c r="K794" i="6"/>
  <c r="J794" i="6"/>
  <c r="I794" i="6"/>
  <c r="K793" i="6"/>
  <c r="J793" i="6"/>
  <c r="I793" i="6"/>
  <c r="K792" i="6"/>
  <c r="J792" i="6"/>
  <c r="I792" i="6"/>
  <c r="K791" i="6"/>
  <c r="J791" i="6"/>
  <c r="I791" i="6"/>
  <c r="K790" i="6"/>
  <c r="J790" i="6"/>
  <c r="I790" i="6"/>
  <c r="K789" i="6"/>
  <c r="J789" i="6"/>
  <c r="I789" i="6"/>
  <c r="K788" i="6"/>
  <c r="J788" i="6"/>
  <c r="I788" i="6"/>
  <c r="K787" i="6"/>
  <c r="J787" i="6"/>
  <c r="I787" i="6"/>
  <c r="K786" i="6"/>
  <c r="J786" i="6"/>
  <c r="I786" i="6"/>
  <c r="K785" i="6"/>
  <c r="J785" i="6"/>
  <c r="I785" i="6"/>
  <c r="K784" i="6"/>
  <c r="J784" i="6"/>
  <c r="I784" i="6"/>
  <c r="K783" i="6"/>
  <c r="J783" i="6"/>
  <c r="I783" i="6"/>
  <c r="K782" i="6"/>
  <c r="J782" i="6"/>
  <c r="I782" i="6"/>
  <c r="K781" i="6"/>
  <c r="J781" i="6"/>
  <c r="I781" i="6"/>
  <c r="K780" i="6"/>
  <c r="J780" i="6"/>
  <c r="I780" i="6"/>
  <c r="K779" i="6"/>
  <c r="J779" i="6"/>
  <c r="I779" i="6"/>
  <c r="K778" i="6"/>
  <c r="J778" i="6"/>
  <c r="I778" i="6"/>
  <c r="K777" i="6"/>
  <c r="J777" i="6"/>
  <c r="I777" i="6"/>
  <c r="K776" i="6"/>
  <c r="J776" i="6"/>
  <c r="I776" i="6"/>
  <c r="K775" i="6"/>
  <c r="J775" i="6"/>
  <c r="I775" i="6"/>
  <c r="K774" i="6"/>
  <c r="J774" i="6"/>
  <c r="I774" i="6"/>
  <c r="K773" i="6"/>
  <c r="J773" i="6"/>
  <c r="I773" i="6"/>
  <c r="K772" i="6"/>
  <c r="J772" i="6"/>
  <c r="I772" i="6"/>
  <c r="K771" i="6"/>
  <c r="J771" i="6"/>
  <c r="I771" i="6"/>
  <c r="K770" i="6"/>
  <c r="J770" i="6"/>
  <c r="I770" i="6"/>
  <c r="K769" i="6"/>
  <c r="J769" i="6"/>
  <c r="I769" i="6"/>
  <c r="K768" i="6"/>
  <c r="J768" i="6"/>
  <c r="I768" i="6"/>
  <c r="K767" i="6"/>
  <c r="J767" i="6"/>
  <c r="I767" i="6"/>
  <c r="K766" i="6"/>
  <c r="J766" i="6"/>
  <c r="I766" i="6"/>
  <c r="K765" i="6"/>
  <c r="J765" i="6"/>
  <c r="I765" i="6"/>
  <c r="K764" i="6"/>
  <c r="J764" i="6"/>
  <c r="I764" i="6"/>
  <c r="K763" i="6"/>
  <c r="J763" i="6"/>
  <c r="I763" i="6"/>
  <c r="K762" i="6"/>
  <c r="J762" i="6"/>
  <c r="I762" i="6"/>
  <c r="K761" i="6"/>
  <c r="J761" i="6"/>
  <c r="I761" i="6"/>
  <c r="K760" i="6"/>
  <c r="J760" i="6"/>
  <c r="I760" i="6"/>
  <c r="K759" i="6"/>
  <c r="J759" i="6"/>
  <c r="I759" i="6"/>
  <c r="K758" i="6"/>
  <c r="J758" i="6"/>
  <c r="I758" i="6"/>
  <c r="K757" i="6"/>
  <c r="J757" i="6"/>
  <c r="I757" i="6"/>
  <c r="K756" i="6"/>
  <c r="J756" i="6"/>
  <c r="I756" i="6"/>
  <c r="K755" i="6"/>
  <c r="J755" i="6"/>
  <c r="I755" i="6"/>
  <c r="K754" i="6"/>
  <c r="J754" i="6"/>
  <c r="I754" i="6"/>
  <c r="K753" i="6"/>
  <c r="J753" i="6"/>
  <c r="I753" i="6"/>
  <c r="K752" i="6"/>
  <c r="J752" i="6"/>
  <c r="I752" i="6"/>
  <c r="K751" i="6"/>
  <c r="J751" i="6"/>
  <c r="I751" i="6"/>
  <c r="K750" i="6"/>
  <c r="J750" i="6"/>
  <c r="I750" i="6"/>
  <c r="K749" i="6"/>
  <c r="J749" i="6"/>
  <c r="I749" i="6"/>
  <c r="K748" i="6"/>
  <c r="J748" i="6"/>
  <c r="I748" i="6"/>
  <c r="K747" i="6"/>
  <c r="J747" i="6"/>
  <c r="I747" i="6"/>
  <c r="K746" i="6"/>
  <c r="J746" i="6"/>
  <c r="I746" i="6"/>
  <c r="K745" i="6"/>
  <c r="J745" i="6"/>
  <c r="I745" i="6"/>
  <c r="K744" i="6"/>
  <c r="J744" i="6"/>
  <c r="I744" i="6"/>
  <c r="K743" i="6"/>
  <c r="J743" i="6"/>
  <c r="I743" i="6"/>
  <c r="K742" i="6"/>
  <c r="J742" i="6"/>
  <c r="I742" i="6"/>
  <c r="K741" i="6"/>
  <c r="J741" i="6"/>
  <c r="I741" i="6"/>
  <c r="K740" i="6"/>
  <c r="J740" i="6"/>
  <c r="I740" i="6"/>
  <c r="K739" i="6"/>
  <c r="J739" i="6"/>
  <c r="I739" i="6"/>
  <c r="K738" i="6"/>
  <c r="J738" i="6"/>
  <c r="I738" i="6"/>
  <c r="K737" i="6"/>
  <c r="J737" i="6"/>
  <c r="I737" i="6"/>
  <c r="K736" i="6"/>
  <c r="J736" i="6"/>
  <c r="I736" i="6"/>
  <c r="K735" i="6"/>
  <c r="J735" i="6"/>
  <c r="I735" i="6"/>
  <c r="K734" i="6"/>
  <c r="J734" i="6"/>
  <c r="I734" i="6"/>
  <c r="K733" i="6"/>
  <c r="J733" i="6"/>
  <c r="I733" i="6"/>
  <c r="K732" i="6"/>
  <c r="J732" i="6"/>
  <c r="I732" i="6"/>
  <c r="K731" i="6"/>
  <c r="J731" i="6"/>
  <c r="I731" i="6"/>
  <c r="K730" i="6"/>
  <c r="J730" i="6"/>
  <c r="I730" i="6"/>
  <c r="K729" i="6"/>
  <c r="J729" i="6"/>
  <c r="I729" i="6"/>
  <c r="K728" i="6"/>
  <c r="J728" i="6"/>
  <c r="I728" i="6"/>
  <c r="K727" i="6"/>
  <c r="J727" i="6"/>
  <c r="I727" i="6"/>
  <c r="K726" i="6"/>
  <c r="J726" i="6"/>
  <c r="I726" i="6"/>
  <c r="K725" i="6"/>
  <c r="J725" i="6"/>
  <c r="I725" i="6"/>
  <c r="K724" i="6"/>
  <c r="J724" i="6"/>
  <c r="I724" i="6"/>
  <c r="K723" i="6"/>
  <c r="J723" i="6"/>
  <c r="I723" i="6"/>
  <c r="K722" i="6"/>
  <c r="J722" i="6"/>
  <c r="I722" i="6"/>
  <c r="K721" i="6"/>
  <c r="J721" i="6"/>
  <c r="I721" i="6"/>
  <c r="K720" i="6"/>
  <c r="J720" i="6"/>
  <c r="I720" i="6"/>
  <c r="K719" i="6"/>
  <c r="J719" i="6"/>
  <c r="I719" i="6"/>
  <c r="K718" i="6"/>
  <c r="J718" i="6"/>
  <c r="I718" i="6"/>
  <c r="K717" i="6"/>
  <c r="J717" i="6"/>
  <c r="I717" i="6"/>
  <c r="K716" i="6"/>
  <c r="J716" i="6"/>
  <c r="I716" i="6"/>
  <c r="K715" i="6"/>
  <c r="J715" i="6"/>
  <c r="I715" i="6"/>
  <c r="K714" i="6"/>
  <c r="J714" i="6"/>
  <c r="I714" i="6"/>
  <c r="K713" i="6"/>
  <c r="J713" i="6"/>
  <c r="I713" i="6"/>
  <c r="K712" i="6"/>
  <c r="J712" i="6"/>
  <c r="I712" i="6"/>
  <c r="K711" i="6"/>
  <c r="J711" i="6"/>
  <c r="I711" i="6"/>
  <c r="K710" i="6"/>
  <c r="J710" i="6"/>
  <c r="I710" i="6"/>
  <c r="K709" i="6"/>
  <c r="J709" i="6"/>
  <c r="I709" i="6"/>
  <c r="K708" i="6"/>
  <c r="J708" i="6"/>
  <c r="I708" i="6"/>
  <c r="K707" i="6"/>
  <c r="J707" i="6"/>
  <c r="I707" i="6"/>
  <c r="K706" i="6"/>
  <c r="J706" i="6"/>
  <c r="I706" i="6"/>
  <c r="K705" i="6"/>
  <c r="J705" i="6"/>
  <c r="I705" i="6"/>
  <c r="K704" i="6"/>
  <c r="J704" i="6"/>
  <c r="I704" i="6"/>
  <c r="K703" i="6"/>
  <c r="J703" i="6"/>
  <c r="I703" i="6"/>
  <c r="K702" i="6"/>
  <c r="J702" i="6"/>
  <c r="I702" i="6"/>
  <c r="K701" i="6"/>
  <c r="J701" i="6"/>
  <c r="I701" i="6"/>
  <c r="K700" i="6"/>
  <c r="J700" i="6"/>
  <c r="I700" i="6"/>
  <c r="K699" i="6"/>
  <c r="J699" i="6"/>
  <c r="I699" i="6"/>
  <c r="K698" i="6"/>
  <c r="J698" i="6"/>
  <c r="I698" i="6"/>
  <c r="K697" i="6"/>
  <c r="J697" i="6"/>
  <c r="I697" i="6"/>
  <c r="K696" i="6"/>
  <c r="J696" i="6"/>
  <c r="I696" i="6"/>
  <c r="K695" i="6"/>
  <c r="J695" i="6"/>
  <c r="I695" i="6"/>
  <c r="K694" i="6"/>
  <c r="J694" i="6"/>
  <c r="I694" i="6"/>
  <c r="K693" i="6"/>
  <c r="J693" i="6"/>
  <c r="I693" i="6"/>
  <c r="K692" i="6"/>
  <c r="J692" i="6"/>
  <c r="I692" i="6"/>
  <c r="K691" i="6"/>
  <c r="J691" i="6"/>
  <c r="I691" i="6"/>
  <c r="K690" i="6"/>
  <c r="J690" i="6"/>
  <c r="I690" i="6"/>
  <c r="K689" i="6"/>
  <c r="J689" i="6"/>
  <c r="I689" i="6"/>
  <c r="K688" i="6"/>
  <c r="J688" i="6"/>
  <c r="I688" i="6"/>
  <c r="K687" i="6"/>
  <c r="J687" i="6"/>
  <c r="I687" i="6"/>
  <c r="K686" i="6"/>
  <c r="J686" i="6"/>
  <c r="I686" i="6"/>
  <c r="K685" i="6"/>
  <c r="J685" i="6"/>
  <c r="I685" i="6"/>
  <c r="K684" i="6"/>
  <c r="J684" i="6"/>
  <c r="I684" i="6"/>
  <c r="K683" i="6"/>
  <c r="J683" i="6"/>
  <c r="I683" i="6"/>
  <c r="K682" i="6"/>
  <c r="J682" i="6"/>
  <c r="I682" i="6"/>
  <c r="K681" i="6"/>
  <c r="J681" i="6"/>
  <c r="I681" i="6"/>
  <c r="K680" i="6"/>
  <c r="J680" i="6"/>
  <c r="I680" i="6"/>
  <c r="K679" i="6"/>
  <c r="J679" i="6"/>
  <c r="I679" i="6"/>
  <c r="K678" i="6"/>
  <c r="J678" i="6"/>
  <c r="I678" i="6"/>
  <c r="K677" i="6"/>
  <c r="J677" i="6"/>
  <c r="I677" i="6"/>
  <c r="K676" i="6"/>
  <c r="J676" i="6"/>
  <c r="I676" i="6"/>
  <c r="K675" i="6"/>
  <c r="J675" i="6"/>
  <c r="I675" i="6"/>
  <c r="K674" i="6"/>
  <c r="J674" i="6"/>
  <c r="I674" i="6"/>
  <c r="K673" i="6"/>
  <c r="J673" i="6"/>
  <c r="I673" i="6"/>
  <c r="K672" i="6"/>
  <c r="J672" i="6"/>
  <c r="I672" i="6"/>
  <c r="K671" i="6"/>
  <c r="J671" i="6"/>
  <c r="I671" i="6"/>
  <c r="K670" i="6"/>
  <c r="J670" i="6"/>
  <c r="I670" i="6"/>
  <c r="K669" i="6"/>
  <c r="J669" i="6"/>
  <c r="I669" i="6"/>
  <c r="K668" i="6"/>
  <c r="J668" i="6"/>
  <c r="I668" i="6"/>
  <c r="K667" i="6"/>
  <c r="J667" i="6"/>
  <c r="I667" i="6"/>
  <c r="K666" i="6"/>
  <c r="J666" i="6"/>
  <c r="I666" i="6"/>
  <c r="K665" i="6"/>
  <c r="J665" i="6"/>
  <c r="I665" i="6"/>
  <c r="K664" i="6"/>
  <c r="J664" i="6"/>
  <c r="I664" i="6"/>
  <c r="K663" i="6"/>
  <c r="J663" i="6"/>
  <c r="I663" i="6"/>
  <c r="K662" i="6"/>
  <c r="J662" i="6"/>
  <c r="I662" i="6"/>
  <c r="K661" i="6"/>
  <c r="J661" i="6"/>
  <c r="I661" i="6"/>
  <c r="K660" i="6"/>
  <c r="J660" i="6"/>
  <c r="I660" i="6"/>
  <c r="K659" i="6"/>
  <c r="J659" i="6"/>
  <c r="I659" i="6"/>
  <c r="K658" i="6"/>
  <c r="J658" i="6"/>
  <c r="I658" i="6"/>
  <c r="K657" i="6"/>
  <c r="J657" i="6"/>
  <c r="I657" i="6"/>
  <c r="K656" i="6"/>
  <c r="J656" i="6"/>
  <c r="I656" i="6"/>
  <c r="K655" i="6"/>
  <c r="J655" i="6"/>
  <c r="I655" i="6"/>
  <c r="K654" i="6"/>
  <c r="J654" i="6"/>
  <c r="I654" i="6"/>
  <c r="K653" i="6"/>
  <c r="J653" i="6"/>
  <c r="I653" i="6"/>
  <c r="K652" i="6"/>
  <c r="J652" i="6"/>
  <c r="I652" i="6"/>
  <c r="K651" i="6"/>
  <c r="J651" i="6"/>
  <c r="I651" i="6"/>
  <c r="K650" i="6"/>
  <c r="J650" i="6"/>
  <c r="I650" i="6"/>
  <c r="K649" i="6"/>
  <c r="J649" i="6"/>
  <c r="I649" i="6"/>
  <c r="K648" i="6"/>
  <c r="J648" i="6"/>
  <c r="I648" i="6"/>
  <c r="K647" i="6"/>
  <c r="J647" i="6"/>
  <c r="I647" i="6"/>
  <c r="K646" i="6"/>
  <c r="J646" i="6"/>
  <c r="I646" i="6"/>
  <c r="K645" i="6"/>
  <c r="J645" i="6"/>
  <c r="I645" i="6"/>
  <c r="K644" i="6"/>
  <c r="J644" i="6"/>
  <c r="I644" i="6"/>
  <c r="K643" i="6"/>
  <c r="J643" i="6"/>
  <c r="I643" i="6"/>
  <c r="K642" i="6"/>
  <c r="J642" i="6"/>
  <c r="I642" i="6"/>
  <c r="K641" i="6"/>
  <c r="J641" i="6"/>
  <c r="I641" i="6"/>
  <c r="K640" i="6"/>
  <c r="J640" i="6"/>
  <c r="I640" i="6"/>
  <c r="K639" i="6"/>
  <c r="J639" i="6"/>
  <c r="I639" i="6"/>
  <c r="K638" i="6"/>
  <c r="J638" i="6"/>
  <c r="I638" i="6"/>
  <c r="K637" i="6"/>
  <c r="J637" i="6"/>
  <c r="I637" i="6"/>
  <c r="K636" i="6"/>
  <c r="J636" i="6"/>
  <c r="I636" i="6"/>
  <c r="K635" i="6"/>
  <c r="J635" i="6"/>
  <c r="I635" i="6"/>
  <c r="K634" i="6"/>
  <c r="J634" i="6"/>
  <c r="I634" i="6"/>
  <c r="K633" i="6"/>
  <c r="J633" i="6"/>
  <c r="I633" i="6"/>
  <c r="K632" i="6"/>
  <c r="J632" i="6"/>
  <c r="I632" i="6"/>
  <c r="K631" i="6"/>
  <c r="J631" i="6"/>
  <c r="I631" i="6"/>
  <c r="K630" i="6"/>
  <c r="J630" i="6"/>
  <c r="I630" i="6"/>
  <c r="K629" i="6"/>
  <c r="J629" i="6"/>
  <c r="I629" i="6"/>
  <c r="K628" i="6"/>
  <c r="J628" i="6"/>
  <c r="I628" i="6"/>
  <c r="K627" i="6"/>
  <c r="J627" i="6"/>
  <c r="I627" i="6"/>
  <c r="K626" i="6"/>
  <c r="J626" i="6"/>
  <c r="I626" i="6"/>
  <c r="K625" i="6"/>
  <c r="J625" i="6"/>
  <c r="I625" i="6"/>
  <c r="K624" i="6"/>
  <c r="J624" i="6"/>
  <c r="I624" i="6"/>
  <c r="K623" i="6"/>
  <c r="J623" i="6"/>
  <c r="I623" i="6"/>
  <c r="K622" i="6"/>
  <c r="J622" i="6"/>
  <c r="I622" i="6"/>
  <c r="K621" i="6"/>
  <c r="J621" i="6"/>
  <c r="I621" i="6"/>
  <c r="K620" i="6"/>
  <c r="J620" i="6"/>
  <c r="I620" i="6"/>
  <c r="K619" i="6"/>
  <c r="J619" i="6"/>
  <c r="I619" i="6"/>
  <c r="K618" i="6"/>
  <c r="J618" i="6"/>
  <c r="I618" i="6"/>
  <c r="K617" i="6"/>
  <c r="J617" i="6"/>
  <c r="I617" i="6"/>
  <c r="K616" i="6"/>
  <c r="J616" i="6"/>
  <c r="I616" i="6"/>
  <c r="K615" i="6"/>
  <c r="J615" i="6"/>
  <c r="I615" i="6"/>
  <c r="K614" i="6"/>
  <c r="J614" i="6"/>
  <c r="I614" i="6"/>
  <c r="K613" i="6"/>
  <c r="J613" i="6"/>
  <c r="I613" i="6"/>
  <c r="K612" i="6"/>
  <c r="J612" i="6"/>
  <c r="I612" i="6"/>
  <c r="K611" i="6"/>
  <c r="J611" i="6"/>
  <c r="I611" i="6"/>
  <c r="K610" i="6"/>
  <c r="J610" i="6"/>
  <c r="I610" i="6"/>
  <c r="K609" i="6"/>
  <c r="J609" i="6"/>
  <c r="I609" i="6"/>
  <c r="K608" i="6"/>
  <c r="J608" i="6"/>
  <c r="I608" i="6"/>
  <c r="K607" i="6"/>
  <c r="J607" i="6"/>
  <c r="I607" i="6"/>
  <c r="K606" i="6"/>
  <c r="J606" i="6"/>
  <c r="I606" i="6"/>
  <c r="K605" i="6"/>
  <c r="J605" i="6"/>
  <c r="I605" i="6"/>
  <c r="K604" i="6"/>
  <c r="J604" i="6"/>
  <c r="I604" i="6"/>
  <c r="K603" i="6"/>
  <c r="J603" i="6"/>
  <c r="I603" i="6"/>
  <c r="K602" i="6"/>
  <c r="J602" i="6"/>
  <c r="I602" i="6"/>
  <c r="K601" i="6"/>
  <c r="J601" i="6"/>
  <c r="I601" i="6"/>
  <c r="K600" i="6"/>
  <c r="J600" i="6"/>
  <c r="I600" i="6"/>
  <c r="K599" i="6"/>
  <c r="J599" i="6"/>
  <c r="I599" i="6"/>
  <c r="K598" i="6"/>
  <c r="J598" i="6"/>
  <c r="I598" i="6"/>
  <c r="K597" i="6"/>
  <c r="J597" i="6"/>
  <c r="I597" i="6"/>
  <c r="K596" i="6"/>
  <c r="J596" i="6"/>
  <c r="I596" i="6"/>
  <c r="K595" i="6"/>
  <c r="J595" i="6"/>
  <c r="I595" i="6"/>
  <c r="K594" i="6"/>
  <c r="J594" i="6"/>
  <c r="I594" i="6"/>
  <c r="K593" i="6"/>
  <c r="J593" i="6"/>
  <c r="I593" i="6"/>
  <c r="K592" i="6"/>
  <c r="J592" i="6"/>
  <c r="I592" i="6"/>
  <c r="K591" i="6"/>
  <c r="J591" i="6"/>
  <c r="I591" i="6"/>
  <c r="K590" i="6"/>
  <c r="J590" i="6"/>
  <c r="I590" i="6"/>
  <c r="K589" i="6"/>
  <c r="J589" i="6"/>
  <c r="I589" i="6"/>
  <c r="K588" i="6"/>
  <c r="J588" i="6"/>
  <c r="I588" i="6"/>
  <c r="K587" i="6"/>
  <c r="J587" i="6"/>
  <c r="I587" i="6"/>
  <c r="K586" i="6"/>
  <c r="J586" i="6"/>
  <c r="I586" i="6"/>
  <c r="K585" i="6"/>
  <c r="J585" i="6"/>
  <c r="I585" i="6"/>
  <c r="K584" i="6"/>
  <c r="J584" i="6"/>
  <c r="I584" i="6"/>
  <c r="K583" i="6"/>
  <c r="J583" i="6"/>
  <c r="I583" i="6"/>
  <c r="K582" i="6"/>
  <c r="J582" i="6"/>
  <c r="I582" i="6"/>
  <c r="K581" i="6"/>
  <c r="J581" i="6"/>
  <c r="I581" i="6"/>
  <c r="K580" i="6"/>
  <c r="J580" i="6"/>
  <c r="I580" i="6"/>
  <c r="K579" i="6"/>
  <c r="J579" i="6"/>
  <c r="I579" i="6"/>
  <c r="K578" i="6"/>
  <c r="J578" i="6"/>
  <c r="I578" i="6"/>
  <c r="K577" i="6"/>
  <c r="J577" i="6"/>
  <c r="I577" i="6"/>
  <c r="K576" i="6"/>
  <c r="J576" i="6"/>
  <c r="I576" i="6"/>
  <c r="K575" i="6"/>
  <c r="J575" i="6"/>
  <c r="I575" i="6"/>
  <c r="K574" i="6"/>
  <c r="J574" i="6"/>
  <c r="I574" i="6"/>
  <c r="K573" i="6"/>
  <c r="J573" i="6"/>
  <c r="I573" i="6"/>
  <c r="K572" i="6"/>
  <c r="J572" i="6"/>
  <c r="I572" i="6"/>
  <c r="K571" i="6"/>
  <c r="J571" i="6"/>
  <c r="I571" i="6"/>
  <c r="K570" i="6"/>
  <c r="J570" i="6"/>
  <c r="I570" i="6"/>
  <c r="K569" i="6"/>
  <c r="J569" i="6"/>
  <c r="I569" i="6"/>
  <c r="K568" i="6"/>
  <c r="J568" i="6"/>
  <c r="I568" i="6"/>
  <c r="K567" i="6"/>
  <c r="J567" i="6"/>
  <c r="I567" i="6"/>
  <c r="K566" i="6"/>
  <c r="J566" i="6"/>
  <c r="I566" i="6"/>
  <c r="K565" i="6"/>
  <c r="J565" i="6"/>
  <c r="I565" i="6"/>
  <c r="K564" i="6"/>
  <c r="J564" i="6"/>
  <c r="I564" i="6"/>
  <c r="K563" i="6"/>
  <c r="J563" i="6"/>
  <c r="I563" i="6"/>
  <c r="K562" i="6"/>
  <c r="J562" i="6"/>
  <c r="I562" i="6"/>
  <c r="K561" i="6"/>
  <c r="J561" i="6"/>
  <c r="I561" i="6"/>
  <c r="K560" i="6"/>
  <c r="J560" i="6"/>
  <c r="I560" i="6"/>
  <c r="K559" i="6"/>
  <c r="J559" i="6"/>
  <c r="I559" i="6"/>
  <c r="K558" i="6"/>
  <c r="J558" i="6"/>
  <c r="I558" i="6"/>
  <c r="K557" i="6"/>
  <c r="J557" i="6"/>
  <c r="I557" i="6"/>
  <c r="K556" i="6"/>
  <c r="J556" i="6"/>
  <c r="I556" i="6"/>
  <c r="K555" i="6"/>
  <c r="J555" i="6"/>
  <c r="I555" i="6"/>
  <c r="K554" i="6"/>
  <c r="J554" i="6"/>
  <c r="I554" i="6"/>
  <c r="K553" i="6"/>
  <c r="J553" i="6"/>
  <c r="I553" i="6"/>
  <c r="K552" i="6"/>
  <c r="J552" i="6"/>
  <c r="I552" i="6"/>
  <c r="K551" i="6"/>
  <c r="J551" i="6"/>
  <c r="I551" i="6"/>
  <c r="K550" i="6"/>
  <c r="J550" i="6"/>
  <c r="I550" i="6"/>
  <c r="K549" i="6"/>
  <c r="J549" i="6"/>
  <c r="I549" i="6"/>
  <c r="K548" i="6"/>
  <c r="J548" i="6"/>
  <c r="I548" i="6"/>
  <c r="K547" i="6"/>
  <c r="J547" i="6"/>
  <c r="I547" i="6"/>
  <c r="K546" i="6"/>
  <c r="J546" i="6"/>
  <c r="I546" i="6"/>
  <c r="K545" i="6"/>
  <c r="J545" i="6"/>
  <c r="I545" i="6"/>
  <c r="K544" i="6"/>
  <c r="J544" i="6"/>
  <c r="I544" i="6"/>
  <c r="K543" i="6"/>
  <c r="J543" i="6"/>
  <c r="I543" i="6"/>
  <c r="K542" i="6"/>
  <c r="J542" i="6"/>
  <c r="I542" i="6"/>
  <c r="K541" i="6"/>
  <c r="J541" i="6"/>
  <c r="I541" i="6"/>
  <c r="K540" i="6"/>
  <c r="J540" i="6"/>
  <c r="I540" i="6"/>
  <c r="K539" i="6"/>
  <c r="J539" i="6"/>
  <c r="I539" i="6"/>
  <c r="K538" i="6"/>
  <c r="J538" i="6"/>
  <c r="I538" i="6"/>
  <c r="K537" i="6"/>
  <c r="J537" i="6"/>
  <c r="I537" i="6"/>
  <c r="K536" i="6"/>
  <c r="J536" i="6"/>
  <c r="I536" i="6"/>
  <c r="K535" i="6"/>
  <c r="J535" i="6"/>
  <c r="I535" i="6"/>
  <c r="K534" i="6"/>
  <c r="J534" i="6"/>
  <c r="I534" i="6"/>
  <c r="K533" i="6"/>
  <c r="J533" i="6"/>
  <c r="I533" i="6"/>
  <c r="K532" i="6"/>
  <c r="J532" i="6"/>
  <c r="I532" i="6"/>
  <c r="K531" i="6"/>
  <c r="J531" i="6"/>
  <c r="I531" i="6"/>
  <c r="K530" i="6"/>
  <c r="J530" i="6"/>
  <c r="I530" i="6"/>
  <c r="K529" i="6"/>
  <c r="J529" i="6"/>
  <c r="I529" i="6"/>
  <c r="K528" i="6"/>
  <c r="J528" i="6"/>
  <c r="I528" i="6"/>
  <c r="K527" i="6"/>
  <c r="J527" i="6"/>
  <c r="I527" i="6"/>
  <c r="K526" i="6"/>
  <c r="J526" i="6"/>
  <c r="I526" i="6"/>
  <c r="K525" i="6"/>
  <c r="J525" i="6"/>
  <c r="I525" i="6"/>
  <c r="K524" i="6"/>
  <c r="J524" i="6"/>
  <c r="I524" i="6"/>
  <c r="K523" i="6"/>
  <c r="J523" i="6"/>
  <c r="I523" i="6"/>
  <c r="K522" i="6"/>
  <c r="J522" i="6"/>
  <c r="I522" i="6"/>
  <c r="K521" i="6"/>
  <c r="J521" i="6"/>
  <c r="I521" i="6"/>
  <c r="K520" i="6"/>
  <c r="J520" i="6"/>
  <c r="I520" i="6"/>
  <c r="K519" i="6"/>
  <c r="J519" i="6"/>
  <c r="I519" i="6"/>
  <c r="K518" i="6"/>
  <c r="J518" i="6"/>
  <c r="I518" i="6"/>
  <c r="K517" i="6"/>
  <c r="J517" i="6"/>
  <c r="I517" i="6"/>
  <c r="K516" i="6"/>
  <c r="J516" i="6"/>
  <c r="I516" i="6"/>
  <c r="K515" i="6"/>
  <c r="J515" i="6"/>
  <c r="I515" i="6"/>
  <c r="K514" i="6"/>
  <c r="J514" i="6"/>
  <c r="I514" i="6"/>
  <c r="K513" i="6"/>
  <c r="J513" i="6"/>
  <c r="I513" i="6"/>
  <c r="K512" i="6"/>
  <c r="J512" i="6"/>
  <c r="I512" i="6"/>
  <c r="K511" i="6"/>
  <c r="J511" i="6"/>
  <c r="I511" i="6"/>
  <c r="K510" i="6"/>
  <c r="J510" i="6"/>
  <c r="I510" i="6"/>
  <c r="K509" i="6"/>
  <c r="J509" i="6"/>
  <c r="I509" i="6"/>
  <c r="K508" i="6"/>
  <c r="J508" i="6"/>
  <c r="I508" i="6"/>
  <c r="K507" i="6"/>
  <c r="J507" i="6"/>
  <c r="I507" i="6"/>
  <c r="K506" i="6"/>
  <c r="J506" i="6"/>
  <c r="I506" i="6"/>
  <c r="K505" i="6"/>
  <c r="J505" i="6"/>
  <c r="I505" i="6"/>
  <c r="K504" i="6"/>
  <c r="J504" i="6"/>
  <c r="I504" i="6"/>
  <c r="K503" i="6"/>
  <c r="J503" i="6"/>
  <c r="I503" i="6"/>
  <c r="K502" i="6"/>
  <c r="J502" i="6"/>
  <c r="I502" i="6"/>
  <c r="K501" i="6"/>
  <c r="J501" i="6"/>
  <c r="I501" i="6"/>
  <c r="K500" i="6"/>
  <c r="J500" i="6"/>
  <c r="I500" i="6"/>
  <c r="K499" i="6"/>
  <c r="J499" i="6"/>
  <c r="I499" i="6"/>
  <c r="K498" i="6"/>
  <c r="J498" i="6"/>
  <c r="I498" i="6"/>
  <c r="K497" i="6"/>
  <c r="J497" i="6"/>
  <c r="I497" i="6"/>
  <c r="K496" i="6"/>
  <c r="J496" i="6"/>
  <c r="I496" i="6"/>
  <c r="K495" i="6"/>
  <c r="J495" i="6"/>
  <c r="I495" i="6"/>
  <c r="K494" i="6"/>
  <c r="J494" i="6"/>
  <c r="I494" i="6"/>
  <c r="K493" i="6"/>
  <c r="J493" i="6"/>
  <c r="I493" i="6"/>
  <c r="K492" i="6"/>
  <c r="J492" i="6"/>
  <c r="I492" i="6"/>
  <c r="K491" i="6"/>
  <c r="J491" i="6"/>
  <c r="I491" i="6"/>
  <c r="K490" i="6"/>
  <c r="J490" i="6"/>
  <c r="I490" i="6"/>
  <c r="K489" i="6"/>
  <c r="J489" i="6"/>
  <c r="I489" i="6"/>
  <c r="K488" i="6"/>
  <c r="J488" i="6"/>
  <c r="I488" i="6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2" i="6"/>
  <c r="J482" i="6"/>
  <c r="I482" i="6"/>
  <c r="K481" i="6"/>
  <c r="J481" i="6"/>
  <c r="I481" i="6"/>
  <c r="K480" i="6"/>
  <c r="J480" i="6"/>
  <c r="I480" i="6"/>
  <c r="K479" i="6"/>
  <c r="J479" i="6"/>
  <c r="I479" i="6"/>
  <c r="K478" i="6"/>
  <c r="J478" i="6"/>
  <c r="I478" i="6"/>
  <c r="K477" i="6"/>
  <c r="J477" i="6"/>
  <c r="I477" i="6"/>
  <c r="K476" i="6"/>
  <c r="J476" i="6"/>
  <c r="I476" i="6"/>
  <c r="K475" i="6"/>
  <c r="J475" i="6"/>
  <c r="I475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9" i="6"/>
  <c r="J469" i="6"/>
  <c r="I469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2" i="6"/>
  <c r="J462" i="6"/>
  <c r="I462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8" i="6"/>
  <c r="J448" i="6"/>
  <c r="I448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5" i="6"/>
  <c r="J435" i="6"/>
  <c r="I435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2" i="6"/>
  <c r="J412" i="6"/>
  <c r="I412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7" i="6"/>
  <c r="J407" i="6"/>
  <c r="I407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5" i="6"/>
  <c r="J395" i="6"/>
  <c r="I395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5" i="6"/>
  <c r="J385" i="6"/>
  <c r="I385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4" i="6"/>
  <c r="J374" i="6"/>
  <c r="I374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3" i="6"/>
  <c r="J363" i="6"/>
  <c r="I363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8" i="6"/>
  <c r="J348" i="6"/>
  <c r="I348" i="6"/>
  <c r="K347" i="6"/>
  <c r="J347" i="6"/>
  <c r="I347" i="6"/>
  <c r="K346" i="6"/>
  <c r="J346" i="6"/>
  <c r="I346" i="6"/>
  <c r="K345" i="6"/>
  <c r="J345" i="6"/>
  <c r="I345" i="6"/>
  <c r="K344" i="6"/>
  <c r="J344" i="6"/>
  <c r="I344" i="6"/>
  <c r="K343" i="6"/>
  <c r="J343" i="6"/>
  <c r="I343" i="6"/>
  <c r="K342" i="6"/>
  <c r="J342" i="6"/>
  <c r="I342" i="6"/>
  <c r="K341" i="6"/>
  <c r="J341" i="6"/>
  <c r="I341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30" i="6"/>
  <c r="J330" i="6"/>
  <c r="I330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3" i="6"/>
  <c r="J323" i="6"/>
  <c r="I323" i="6"/>
  <c r="K322" i="6"/>
  <c r="J322" i="6"/>
  <c r="I322" i="6"/>
  <c r="K321" i="6"/>
  <c r="J321" i="6"/>
  <c r="I321" i="6"/>
  <c r="K320" i="6"/>
  <c r="J320" i="6"/>
  <c r="I320" i="6"/>
  <c r="K319" i="6"/>
  <c r="J319" i="6"/>
  <c r="I319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8" i="6"/>
  <c r="J308" i="6"/>
  <c r="I308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2" i="6"/>
  <c r="J302" i="6"/>
  <c r="I302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8" i="6"/>
  <c r="J288" i="6"/>
  <c r="I288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80" i="6"/>
  <c r="J280" i="6"/>
  <c r="I280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4" i="6"/>
  <c r="J274" i="6"/>
  <c r="I274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7" i="6"/>
  <c r="J267" i="6"/>
  <c r="I267" i="6"/>
  <c r="K266" i="6"/>
  <c r="J266" i="6"/>
  <c r="I266" i="6"/>
  <c r="K265" i="6"/>
  <c r="J265" i="6"/>
  <c r="I265" i="6"/>
  <c r="K264" i="6"/>
  <c r="J264" i="6"/>
  <c r="I264" i="6"/>
  <c r="K263" i="6"/>
  <c r="J263" i="6"/>
  <c r="I263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5" i="6"/>
  <c r="J235" i="6"/>
  <c r="I235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9" i="6"/>
  <c r="J229" i="6"/>
  <c r="I229" i="6"/>
  <c r="K228" i="6"/>
  <c r="J228" i="6"/>
  <c r="I228" i="6"/>
  <c r="K227" i="6"/>
  <c r="J227" i="6"/>
  <c r="I227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I207" i="6"/>
  <c r="K206" i="6"/>
  <c r="J206" i="6"/>
  <c r="I206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7" i="6"/>
  <c r="J157" i="6"/>
  <c r="I157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8" i="6"/>
  <c r="J148" i="6"/>
  <c r="I148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5" i="6"/>
  <c r="J105" i="6"/>
  <c r="I105" i="6"/>
  <c r="K104" i="6"/>
  <c r="J104" i="6"/>
  <c r="I104" i="6"/>
  <c r="K103" i="6"/>
  <c r="J103" i="6"/>
  <c r="I103" i="6"/>
  <c r="K102" i="6"/>
  <c r="J102" i="6"/>
  <c r="I102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5" i="6"/>
  <c r="J65" i="6"/>
  <c r="I65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7" i="6"/>
  <c r="J57" i="6"/>
  <c r="I57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K34" i="6"/>
  <c r="J34" i="6"/>
  <c r="I34" i="6"/>
  <c r="K33" i="6"/>
  <c r="J33" i="6"/>
  <c r="I33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6" i="6"/>
  <c r="J26" i="6"/>
  <c r="I26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" i="6"/>
  <c r="J4" i="6"/>
  <c r="I4" i="6"/>
  <c r="K3" i="6"/>
  <c r="J3" i="6"/>
  <c r="I3" i="6"/>
  <c r="G4" i="4" l="1"/>
  <c r="F17" i="4" s="1"/>
  <c r="D16" i="4"/>
  <c r="D8" i="4"/>
  <c r="D15" i="4" s="1"/>
  <c r="E13" i="4"/>
  <c r="D13" i="4"/>
  <c r="D11" i="4"/>
  <c r="C12" i="4"/>
  <c r="J11" i="4"/>
  <c r="J10" i="4" s="1"/>
  <c r="Y8" i="1"/>
  <c r="Y1120" i="1"/>
  <c r="Y1254" i="1"/>
  <c r="Y436" i="1"/>
  <c r="Y186" i="1"/>
  <c r="Y1280" i="1"/>
  <c r="Y4" i="1"/>
  <c r="Y110" i="1"/>
  <c r="Y1306" i="1"/>
  <c r="Y138" i="1"/>
  <c r="Y1266" i="1"/>
  <c r="Y58" i="1"/>
  <c r="AB1207" i="1"/>
  <c r="AB1187" i="1"/>
  <c r="AB777" i="1"/>
  <c r="AB717" i="1"/>
  <c r="AB693" i="1"/>
  <c r="AB598" i="1"/>
  <c r="AB580" i="1"/>
  <c r="AB535" i="1"/>
  <c r="AB353" i="1"/>
  <c r="AB216" i="1"/>
  <c r="AM1367" i="1"/>
  <c r="AM1366" i="1"/>
  <c r="AM1365" i="1"/>
  <c r="AM1364" i="1"/>
  <c r="AM1363" i="1"/>
  <c r="AM1362" i="1"/>
  <c r="AM1361" i="1"/>
  <c r="AO1361" i="1" s="1"/>
  <c r="AP1361" i="1" s="1"/>
  <c r="AB1361" i="1" s="1"/>
  <c r="AM1360" i="1"/>
  <c r="AM1359" i="1"/>
  <c r="AM1358" i="1"/>
  <c r="AO1358" i="1" s="1"/>
  <c r="AP1358" i="1" s="1"/>
  <c r="AB1358" i="1" s="1"/>
  <c r="AM1357" i="1"/>
  <c r="AM1356" i="1"/>
  <c r="AM1355" i="1"/>
  <c r="AM1354" i="1"/>
  <c r="AM1353" i="1"/>
  <c r="AM1352" i="1"/>
  <c r="AM1351" i="1"/>
  <c r="AM1350" i="1"/>
  <c r="AO1350" i="1" s="1"/>
  <c r="AP1350" i="1" s="1"/>
  <c r="AB1350" i="1" s="1"/>
  <c r="AM1349" i="1"/>
  <c r="AM1348" i="1"/>
  <c r="AM1347" i="1"/>
  <c r="AM1346" i="1"/>
  <c r="AM1345" i="1"/>
  <c r="AM1344" i="1"/>
  <c r="AM1343" i="1"/>
  <c r="AM1342" i="1"/>
  <c r="AM1341" i="1"/>
  <c r="AM1340" i="1"/>
  <c r="AM1339" i="1"/>
  <c r="AM1338" i="1"/>
  <c r="AM1337" i="1"/>
  <c r="AM1336" i="1"/>
  <c r="AM1335" i="1"/>
  <c r="AM1334" i="1"/>
  <c r="AO1334" i="1" s="1"/>
  <c r="AP1334" i="1" s="1"/>
  <c r="AB1334" i="1" s="1"/>
  <c r="AM1333" i="1"/>
  <c r="AM1332" i="1"/>
  <c r="AM1331" i="1"/>
  <c r="AM1330" i="1"/>
  <c r="AM1329" i="1"/>
  <c r="AM1328" i="1"/>
  <c r="AM1327" i="1"/>
  <c r="AM1326" i="1"/>
  <c r="AM1325" i="1"/>
  <c r="AM1324" i="1"/>
  <c r="AM1323" i="1"/>
  <c r="AM1322" i="1"/>
  <c r="AM1321" i="1"/>
  <c r="AM1320" i="1"/>
  <c r="AM1319" i="1"/>
  <c r="AM1318" i="1"/>
  <c r="AO1318" i="1" s="1"/>
  <c r="AP1318" i="1" s="1"/>
  <c r="AB1318" i="1" s="1"/>
  <c r="AM1317" i="1"/>
  <c r="AM1316" i="1"/>
  <c r="AM1315" i="1"/>
  <c r="AM1314" i="1"/>
  <c r="AM1313" i="1"/>
  <c r="AM1312" i="1"/>
  <c r="AM1311" i="1"/>
  <c r="AM1310" i="1"/>
  <c r="AM1309" i="1"/>
  <c r="AM1308" i="1"/>
  <c r="AM1307" i="1"/>
  <c r="AM1306" i="1"/>
  <c r="AM1305" i="1"/>
  <c r="AM1304" i="1"/>
  <c r="AM1303" i="1"/>
  <c r="AM1302" i="1"/>
  <c r="AM1301" i="1"/>
  <c r="AM1300" i="1"/>
  <c r="AM1299" i="1"/>
  <c r="AO1299" i="1" s="1"/>
  <c r="AP1299" i="1" s="1"/>
  <c r="AB1299" i="1" s="1"/>
  <c r="AM1298" i="1"/>
  <c r="AM1297" i="1"/>
  <c r="AM1296" i="1"/>
  <c r="AM1295" i="1"/>
  <c r="AM1294" i="1"/>
  <c r="AO1294" i="1" s="1"/>
  <c r="AP1294" i="1" s="1"/>
  <c r="AB1294" i="1" s="1"/>
  <c r="AM1293" i="1"/>
  <c r="AM1292" i="1"/>
  <c r="AM1291" i="1"/>
  <c r="AM1290" i="1"/>
  <c r="AM1289" i="1"/>
  <c r="AM1288" i="1"/>
  <c r="AM1287" i="1"/>
  <c r="AM1286" i="1"/>
  <c r="AM1285" i="1"/>
  <c r="AM1284" i="1"/>
  <c r="AM1283" i="1"/>
  <c r="AO1283" i="1" s="1"/>
  <c r="AP1283" i="1" s="1"/>
  <c r="AB1283" i="1" s="1"/>
  <c r="AM1282" i="1"/>
  <c r="AM1281" i="1"/>
  <c r="AM1280" i="1"/>
  <c r="AM1279" i="1"/>
  <c r="AM1278" i="1"/>
  <c r="AO1278" i="1" s="1"/>
  <c r="AP1278" i="1" s="1"/>
  <c r="AB1278" i="1" s="1"/>
  <c r="AM1277" i="1"/>
  <c r="AM1276" i="1"/>
  <c r="AM1275" i="1"/>
  <c r="AM1274" i="1"/>
  <c r="AM1273" i="1"/>
  <c r="AM1272" i="1"/>
  <c r="AM1271" i="1"/>
  <c r="AM1270" i="1"/>
  <c r="AM1269" i="1"/>
  <c r="AM1268" i="1"/>
  <c r="AM1267" i="1"/>
  <c r="AO1267" i="1" s="1"/>
  <c r="AP1267" i="1" s="1"/>
  <c r="AB1267" i="1" s="1"/>
  <c r="AM1266" i="1"/>
  <c r="AM1265" i="1"/>
  <c r="AM1264" i="1"/>
  <c r="AM1263" i="1"/>
  <c r="AM1262" i="1"/>
  <c r="AM1261" i="1"/>
  <c r="AM1260" i="1"/>
  <c r="AM1259" i="1"/>
  <c r="AM1258" i="1"/>
  <c r="AM1257" i="1"/>
  <c r="AM1256" i="1"/>
  <c r="AM1255" i="1"/>
  <c r="AM1254" i="1"/>
  <c r="AM1253" i="1"/>
  <c r="AM1252" i="1"/>
  <c r="AM1251" i="1"/>
  <c r="AM1250" i="1"/>
  <c r="AM1249" i="1"/>
  <c r="AM1248" i="1"/>
  <c r="AM1247" i="1"/>
  <c r="AM1246" i="1"/>
  <c r="AM1245" i="1"/>
  <c r="AM1244" i="1"/>
  <c r="AM1243" i="1"/>
  <c r="AM1242" i="1"/>
  <c r="AM1241" i="1"/>
  <c r="AM1240" i="1"/>
  <c r="AM1239" i="1"/>
  <c r="AM1238" i="1"/>
  <c r="AM1237" i="1"/>
  <c r="AM1236" i="1"/>
  <c r="AM1235" i="1"/>
  <c r="AM1234" i="1"/>
  <c r="AM1233" i="1"/>
  <c r="AM1232" i="1"/>
  <c r="AM1231" i="1"/>
  <c r="AM1230" i="1"/>
  <c r="AM1229" i="1"/>
  <c r="AM1228" i="1"/>
  <c r="AM1227" i="1"/>
  <c r="AM1226" i="1"/>
  <c r="AM1225" i="1"/>
  <c r="AM1224" i="1"/>
  <c r="AM1223" i="1"/>
  <c r="AM1222" i="1"/>
  <c r="AM1221" i="1"/>
  <c r="AM1220" i="1"/>
  <c r="AM1219" i="1"/>
  <c r="AM1218" i="1"/>
  <c r="AM1217" i="1"/>
  <c r="AM1216" i="1"/>
  <c r="AM1215" i="1"/>
  <c r="AM1214" i="1"/>
  <c r="AM1213" i="1"/>
  <c r="AM1212" i="1"/>
  <c r="AM1211" i="1"/>
  <c r="AM1210" i="1"/>
  <c r="AM1209" i="1"/>
  <c r="AM1208" i="1"/>
  <c r="AM1207" i="1"/>
  <c r="AM1206" i="1"/>
  <c r="AM1205" i="1"/>
  <c r="AM1204" i="1"/>
  <c r="AM1203" i="1"/>
  <c r="AM1202" i="1"/>
  <c r="AM1201" i="1"/>
  <c r="AM1200" i="1"/>
  <c r="AM1199" i="1"/>
  <c r="AM1198" i="1"/>
  <c r="AM1197" i="1"/>
  <c r="AM1196" i="1"/>
  <c r="AM1195" i="1"/>
  <c r="AM1194" i="1"/>
  <c r="AM1193" i="1"/>
  <c r="AM1192" i="1"/>
  <c r="AM1191" i="1"/>
  <c r="AM1190" i="1"/>
  <c r="AM1189" i="1"/>
  <c r="AM1188" i="1"/>
  <c r="AM1187" i="1"/>
  <c r="AM1186" i="1"/>
  <c r="AM1185" i="1"/>
  <c r="AM1184" i="1"/>
  <c r="AO1184" i="1" s="1"/>
  <c r="AP1184" i="1" s="1"/>
  <c r="AB1184" i="1" s="1"/>
  <c r="AM1183" i="1"/>
  <c r="AM1182" i="1"/>
  <c r="AM1181" i="1"/>
  <c r="AM1180" i="1"/>
  <c r="AM1179" i="1"/>
  <c r="AM1178" i="1"/>
  <c r="AM1177" i="1"/>
  <c r="AM1176" i="1"/>
  <c r="AM1175" i="1"/>
  <c r="AM1174" i="1"/>
  <c r="AM1173" i="1"/>
  <c r="AM1172" i="1"/>
  <c r="AM1171" i="1"/>
  <c r="AM1170" i="1"/>
  <c r="AM1169" i="1"/>
  <c r="AM1168" i="1"/>
  <c r="AM1167" i="1"/>
  <c r="AM1166" i="1"/>
  <c r="AM1165" i="1"/>
  <c r="AM1164" i="1"/>
  <c r="AM1163" i="1"/>
  <c r="AM1162" i="1"/>
  <c r="AM1161" i="1"/>
  <c r="AM1160" i="1"/>
  <c r="AM1159" i="1"/>
  <c r="AM1158" i="1"/>
  <c r="AM1157" i="1"/>
  <c r="AM1156" i="1"/>
  <c r="AM1155" i="1"/>
  <c r="AM1154" i="1"/>
  <c r="AM1153" i="1"/>
  <c r="AM1152" i="1"/>
  <c r="AO1152" i="1" s="1"/>
  <c r="AP1152" i="1" s="1"/>
  <c r="AB1152" i="1" s="1"/>
  <c r="AM1151" i="1"/>
  <c r="AM1150" i="1"/>
  <c r="AM1149" i="1"/>
  <c r="AM1148" i="1"/>
  <c r="AM1147" i="1"/>
  <c r="AM1146" i="1"/>
  <c r="AO1146" i="1" s="1"/>
  <c r="AP1146" i="1" s="1"/>
  <c r="AB1146" i="1" s="1"/>
  <c r="AM1145" i="1"/>
  <c r="AM1144" i="1"/>
  <c r="AM1143" i="1"/>
  <c r="AM1142" i="1"/>
  <c r="AM1141" i="1"/>
  <c r="AM1140" i="1"/>
  <c r="AM1139" i="1"/>
  <c r="AM1138" i="1"/>
  <c r="AM1137" i="1"/>
  <c r="AM1136" i="1"/>
  <c r="AO1136" i="1" s="1"/>
  <c r="AP1136" i="1" s="1"/>
  <c r="AB1136" i="1" s="1"/>
  <c r="AM1135" i="1"/>
  <c r="AM1134" i="1"/>
  <c r="AM1133" i="1"/>
  <c r="AM1132" i="1"/>
  <c r="AM1131" i="1"/>
  <c r="AM1130" i="1"/>
  <c r="AM1129" i="1"/>
  <c r="AM1128" i="1"/>
  <c r="AO1128" i="1" s="1"/>
  <c r="AP1128" i="1" s="1"/>
  <c r="AB1128" i="1" s="1"/>
  <c r="AM1127" i="1"/>
  <c r="AM1126" i="1"/>
  <c r="AM1125" i="1"/>
  <c r="AM1124" i="1"/>
  <c r="AM1123" i="1"/>
  <c r="AM1122" i="1"/>
  <c r="AM1121" i="1"/>
  <c r="AM1120" i="1"/>
  <c r="AM1119" i="1"/>
  <c r="AM1118" i="1"/>
  <c r="AM1117" i="1"/>
  <c r="AM1116" i="1"/>
  <c r="AM1115" i="1"/>
  <c r="AM1114" i="1"/>
  <c r="AM1113" i="1"/>
  <c r="AM1112" i="1"/>
  <c r="AM1111" i="1"/>
  <c r="AM1110" i="1"/>
  <c r="AM1109" i="1"/>
  <c r="AM1108" i="1"/>
  <c r="AM1107" i="1"/>
  <c r="AM1106" i="1"/>
  <c r="AM1105" i="1"/>
  <c r="AM1104" i="1"/>
  <c r="AO1104" i="1" s="1"/>
  <c r="AP1104" i="1" s="1"/>
  <c r="AB1104" i="1" s="1"/>
  <c r="AM1103" i="1"/>
  <c r="AM1102" i="1"/>
  <c r="AM1101" i="1"/>
  <c r="AM1100" i="1"/>
  <c r="AM1099" i="1"/>
  <c r="AM1098" i="1"/>
  <c r="AM1097" i="1"/>
  <c r="AM1096" i="1"/>
  <c r="AO1096" i="1" s="1"/>
  <c r="AP1096" i="1" s="1"/>
  <c r="AB1096" i="1" s="1"/>
  <c r="AM1095" i="1"/>
  <c r="AM1094" i="1"/>
  <c r="AM1093" i="1"/>
  <c r="AM1092" i="1"/>
  <c r="AM1091" i="1"/>
  <c r="AM1090" i="1"/>
  <c r="AM1089" i="1"/>
  <c r="AM1088" i="1"/>
  <c r="AM1087" i="1"/>
  <c r="AM1086" i="1"/>
  <c r="AM1085" i="1"/>
  <c r="AM1084" i="1"/>
  <c r="AM1083" i="1"/>
  <c r="AM1082" i="1"/>
  <c r="AM1081" i="1"/>
  <c r="AM1080" i="1"/>
  <c r="AM1079" i="1"/>
  <c r="AM1078" i="1"/>
  <c r="AM1077" i="1"/>
  <c r="AM1076" i="1"/>
  <c r="AM1075" i="1"/>
  <c r="AM1074" i="1"/>
  <c r="AM1073" i="1"/>
  <c r="AM1072" i="1"/>
  <c r="AO1072" i="1" s="1"/>
  <c r="AP1072" i="1" s="1"/>
  <c r="AB1072" i="1" s="1"/>
  <c r="AM1071" i="1"/>
  <c r="AM1070" i="1"/>
  <c r="AM1069" i="1"/>
  <c r="AM1068" i="1"/>
  <c r="AM1067" i="1"/>
  <c r="AM1066" i="1"/>
  <c r="AM1065" i="1"/>
  <c r="AM1064" i="1"/>
  <c r="AO1064" i="1" s="1"/>
  <c r="AP1064" i="1" s="1"/>
  <c r="AB1064" i="1" s="1"/>
  <c r="AM1063" i="1"/>
  <c r="AM1062" i="1"/>
  <c r="AM1061" i="1"/>
  <c r="AM1060" i="1"/>
  <c r="AM1059" i="1"/>
  <c r="AM1058" i="1"/>
  <c r="AM1057" i="1"/>
  <c r="AM1056" i="1"/>
  <c r="AM1055" i="1"/>
  <c r="AM1054" i="1"/>
  <c r="AM1053" i="1"/>
  <c r="AM1052" i="1"/>
  <c r="AM1051" i="1"/>
  <c r="AM1050" i="1"/>
  <c r="AM1049" i="1"/>
  <c r="AM1048" i="1"/>
  <c r="AM1047" i="1"/>
  <c r="AM1046" i="1"/>
  <c r="AM1045" i="1"/>
  <c r="AM1044" i="1"/>
  <c r="AM1043" i="1"/>
  <c r="AM1042" i="1"/>
  <c r="AM1041" i="1"/>
  <c r="AM1040" i="1"/>
  <c r="AO1040" i="1" s="1"/>
  <c r="AP1040" i="1" s="1"/>
  <c r="AB1040" i="1" s="1"/>
  <c r="AM1039" i="1"/>
  <c r="AM1038" i="1"/>
  <c r="AM1037" i="1"/>
  <c r="AM1036" i="1"/>
  <c r="AM1035" i="1"/>
  <c r="AM1034" i="1"/>
  <c r="AM1033" i="1"/>
  <c r="AM1032" i="1"/>
  <c r="AO1032" i="1" s="1"/>
  <c r="AP1032" i="1" s="1"/>
  <c r="AB1032" i="1" s="1"/>
  <c r="AM1031" i="1"/>
  <c r="AM1030" i="1"/>
  <c r="AM1029" i="1"/>
  <c r="AM1028" i="1"/>
  <c r="AM1027" i="1"/>
  <c r="AM1026" i="1"/>
  <c r="AM1025" i="1"/>
  <c r="AM1024" i="1"/>
  <c r="AM1023" i="1"/>
  <c r="AM1022" i="1"/>
  <c r="AM1021" i="1"/>
  <c r="AM1020" i="1"/>
  <c r="AM1019" i="1"/>
  <c r="AM1018" i="1"/>
  <c r="AM1017" i="1"/>
  <c r="AM1016" i="1"/>
  <c r="AM1015" i="1"/>
  <c r="AM1014" i="1"/>
  <c r="AM1013" i="1"/>
  <c r="AM1012" i="1"/>
  <c r="AM1011" i="1"/>
  <c r="AM1010" i="1"/>
  <c r="AM1009" i="1"/>
  <c r="AM1008" i="1"/>
  <c r="AO1008" i="1" s="1"/>
  <c r="AP1008" i="1" s="1"/>
  <c r="AB1008" i="1" s="1"/>
  <c r="AM1007" i="1"/>
  <c r="AM1006" i="1"/>
  <c r="AM1005" i="1"/>
  <c r="AM1004" i="1"/>
  <c r="AM1003" i="1"/>
  <c r="AM1002" i="1"/>
  <c r="AO1002" i="1" s="1"/>
  <c r="AP1002" i="1" s="1"/>
  <c r="AB1002" i="1" s="1"/>
  <c r="AM1001" i="1"/>
  <c r="AM1000" i="1"/>
  <c r="AO1000" i="1" s="1"/>
  <c r="AP1000" i="1" s="1"/>
  <c r="AB1000" i="1" s="1"/>
  <c r="AM999" i="1"/>
  <c r="AM998" i="1"/>
  <c r="AM997" i="1"/>
  <c r="AM996" i="1"/>
  <c r="AM995" i="1"/>
  <c r="AM994" i="1"/>
  <c r="AM993" i="1"/>
  <c r="AM992" i="1"/>
  <c r="AM991" i="1"/>
  <c r="AM990" i="1"/>
  <c r="AM989" i="1"/>
  <c r="AM988" i="1"/>
  <c r="AM987" i="1"/>
  <c r="AM986" i="1"/>
  <c r="AM985" i="1"/>
  <c r="AM984" i="1"/>
  <c r="AM983" i="1"/>
  <c r="AM982" i="1"/>
  <c r="AM981" i="1"/>
  <c r="AM980" i="1"/>
  <c r="AM979" i="1"/>
  <c r="AM978" i="1"/>
  <c r="AM977" i="1"/>
  <c r="AM976" i="1"/>
  <c r="AM975" i="1"/>
  <c r="AM974" i="1"/>
  <c r="AM973" i="1"/>
  <c r="AM972" i="1"/>
  <c r="AM971" i="1"/>
  <c r="AM970" i="1"/>
  <c r="AM969" i="1"/>
  <c r="AM968" i="1"/>
  <c r="AO968" i="1" s="1"/>
  <c r="AP968" i="1" s="1"/>
  <c r="AB968" i="1" s="1"/>
  <c r="AM967" i="1"/>
  <c r="AM966" i="1"/>
  <c r="AM965" i="1"/>
  <c r="AM964" i="1"/>
  <c r="AM963" i="1"/>
  <c r="AM962" i="1"/>
  <c r="AM961" i="1"/>
  <c r="AM960" i="1"/>
  <c r="AM959" i="1"/>
  <c r="AM958" i="1"/>
  <c r="AM957" i="1"/>
  <c r="AM956" i="1"/>
  <c r="AM955" i="1"/>
  <c r="AM954" i="1"/>
  <c r="AM953" i="1"/>
  <c r="AM952" i="1"/>
  <c r="AM951" i="1"/>
  <c r="AM950" i="1"/>
  <c r="AM949" i="1"/>
  <c r="AM948" i="1"/>
  <c r="AM947" i="1"/>
  <c r="AM946" i="1"/>
  <c r="AM945" i="1"/>
  <c r="AM944" i="1"/>
  <c r="AM943" i="1"/>
  <c r="AM942" i="1"/>
  <c r="AM941" i="1"/>
  <c r="AM940" i="1"/>
  <c r="AM939" i="1"/>
  <c r="AM938" i="1"/>
  <c r="AM937" i="1"/>
  <c r="AM936" i="1"/>
  <c r="AO936" i="1" s="1"/>
  <c r="AP936" i="1" s="1"/>
  <c r="AB936" i="1" s="1"/>
  <c r="AM935" i="1"/>
  <c r="AM934" i="1"/>
  <c r="AM933" i="1"/>
  <c r="AM932" i="1"/>
  <c r="AM931" i="1"/>
  <c r="AM930" i="1"/>
  <c r="AM929" i="1"/>
  <c r="AM928" i="1"/>
  <c r="AM927" i="1"/>
  <c r="AM926" i="1"/>
  <c r="AM925" i="1"/>
  <c r="AM924" i="1"/>
  <c r="AM923" i="1"/>
  <c r="AM922" i="1"/>
  <c r="AM921" i="1"/>
  <c r="AM920" i="1"/>
  <c r="AM919" i="1"/>
  <c r="AM918" i="1"/>
  <c r="AM917" i="1"/>
  <c r="AM916" i="1"/>
  <c r="AM915" i="1"/>
  <c r="AM914" i="1"/>
  <c r="AM913" i="1"/>
  <c r="AM912" i="1"/>
  <c r="AM911" i="1"/>
  <c r="AM910" i="1"/>
  <c r="AM909" i="1"/>
  <c r="AM908" i="1"/>
  <c r="AM907" i="1"/>
  <c r="AM906" i="1"/>
  <c r="AM905" i="1"/>
  <c r="AM904" i="1"/>
  <c r="AO904" i="1" s="1"/>
  <c r="AP904" i="1" s="1"/>
  <c r="AB904" i="1" s="1"/>
  <c r="AM903" i="1"/>
  <c r="AM902" i="1"/>
  <c r="AM901" i="1"/>
  <c r="AM900" i="1"/>
  <c r="AM899" i="1"/>
  <c r="AM898" i="1"/>
  <c r="AM897" i="1"/>
  <c r="AM896" i="1"/>
  <c r="AM895" i="1"/>
  <c r="AM894" i="1"/>
  <c r="AM893" i="1"/>
  <c r="AM892" i="1"/>
  <c r="AM891" i="1"/>
  <c r="AM890" i="1"/>
  <c r="AM889" i="1"/>
  <c r="AM888" i="1"/>
  <c r="AM887" i="1"/>
  <c r="AM886" i="1"/>
  <c r="AM885" i="1"/>
  <c r="AM884" i="1"/>
  <c r="AM883" i="1"/>
  <c r="AM882" i="1"/>
  <c r="AM881" i="1"/>
  <c r="AM880" i="1"/>
  <c r="AM879" i="1"/>
  <c r="AM878" i="1"/>
  <c r="AM877" i="1"/>
  <c r="AM876" i="1"/>
  <c r="AM875" i="1"/>
  <c r="AM874" i="1"/>
  <c r="AM873" i="1"/>
  <c r="AM872" i="1"/>
  <c r="AO872" i="1" s="1"/>
  <c r="AP872" i="1" s="1"/>
  <c r="AB872" i="1" s="1"/>
  <c r="AM871" i="1"/>
  <c r="AM870" i="1"/>
  <c r="AM869" i="1"/>
  <c r="AM868" i="1"/>
  <c r="AM867" i="1"/>
  <c r="AM866" i="1"/>
  <c r="AM865" i="1"/>
  <c r="AM864" i="1"/>
  <c r="AM863" i="1"/>
  <c r="AM862" i="1"/>
  <c r="AM861" i="1"/>
  <c r="AM860" i="1"/>
  <c r="AM859" i="1"/>
  <c r="AM858" i="1"/>
  <c r="AM857" i="1"/>
  <c r="AM856" i="1"/>
  <c r="AM855" i="1"/>
  <c r="AM854" i="1"/>
  <c r="AM853" i="1"/>
  <c r="AM852" i="1"/>
  <c r="AM851" i="1"/>
  <c r="AM850" i="1"/>
  <c r="AM849" i="1"/>
  <c r="AM848" i="1"/>
  <c r="AM847" i="1"/>
  <c r="AM846" i="1"/>
  <c r="AM845" i="1"/>
  <c r="AM844" i="1"/>
  <c r="AM843" i="1"/>
  <c r="AM842" i="1"/>
  <c r="AM841" i="1"/>
  <c r="AM840" i="1"/>
  <c r="AO840" i="1" s="1"/>
  <c r="AP840" i="1" s="1"/>
  <c r="AB840" i="1" s="1"/>
  <c r="AM839" i="1"/>
  <c r="AM838" i="1"/>
  <c r="AM837" i="1"/>
  <c r="AM836" i="1"/>
  <c r="AM835" i="1"/>
  <c r="AM834" i="1"/>
  <c r="AM833" i="1"/>
  <c r="AM832" i="1"/>
  <c r="AM831" i="1"/>
  <c r="AM830" i="1"/>
  <c r="AM829" i="1"/>
  <c r="AM828" i="1"/>
  <c r="AM827" i="1"/>
  <c r="AM826" i="1"/>
  <c r="AM825" i="1"/>
  <c r="AM824" i="1"/>
  <c r="AM823" i="1"/>
  <c r="AM822" i="1"/>
  <c r="AM821" i="1"/>
  <c r="AM820" i="1"/>
  <c r="AM819" i="1"/>
  <c r="AM818" i="1"/>
  <c r="AM817" i="1"/>
  <c r="AM816" i="1"/>
  <c r="AM815" i="1"/>
  <c r="AM814" i="1"/>
  <c r="AM813" i="1"/>
  <c r="AM812" i="1"/>
  <c r="AM811" i="1"/>
  <c r="AM810" i="1"/>
  <c r="AM809" i="1"/>
  <c r="AM808" i="1"/>
  <c r="AO808" i="1" s="1"/>
  <c r="AP808" i="1" s="1"/>
  <c r="AB808" i="1" s="1"/>
  <c r="AM807" i="1"/>
  <c r="AM806" i="1"/>
  <c r="AM805" i="1"/>
  <c r="AM804" i="1"/>
  <c r="AM803" i="1"/>
  <c r="AM802" i="1"/>
  <c r="AM801" i="1"/>
  <c r="AM800" i="1"/>
  <c r="AM799" i="1"/>
  <c r="AM798" i="1"/>
  <c r="AM797" i="1"/>
  <c r="AM796" i="1"/>
  <c r="AM795" i="1"/>
  <c r="AM794" i="1"/>
  <c r="AM793" i="1"/>
  <c r="AM792" i="1"/>
  <c r="AM791" i="1"/>
  <c r="AM790" i="1"/>
  <c r="AM789" i="1"/>
  <c r="AM788" i="1"/>
  <c r="AM787" i="1"/>
  <c r="AM786" i="1"/>
  <c r="AM785" i="1"/>
  <c r="AM784" i="1"/>
  <c r="AM783" i="1"/>
  <c r="AM782" i="1"/>
  <c r="AM781" i="1"/>
  <c r="AM780" i="1"/>
  <c r="AM779" i="1"/>
  <c r="AM778" i="1"/>
  <c r="AM777" i="1"/>
  <c r="AM776" i="1"/>
  <c r="AM775" i="1"/>
  <c r="AM774" i="1"/>
  <c r="AM773" i="1"/>
  <c r="AM772" i="1"/>
  <c r="AM771" i="1"/>
  <c r="AM770" i="1"/>
  <c r="AM769" i="1"/>
  <c r="AM768" i="1"/>
  <c r="AM767" i="1"/>
  <c r="AM766" i="1"/>
  <c r="AM765" i="1"/>
  <c r="AM764" i="1"/>
  <c r="AM763" i="1"/>
  <c r="AM762" i="1"/>
  <c r="AM761" i="1"/>
  <c r="AM760" i="1"/>
  <c r="AM759" i="1"/>
  <c r="AM758" i="1"/>
  <c r="AM757" i="1"/>
  <c r="AM756" i="1"/>
  <c r="AM755" i="1"/>
  <c r="AM754" i="1"/>
  <c r="AO754" i="1" s="1"/>
  <c r="AP754" i="1" s="1"/>
  <c r="AB754" i="1" s="1"/>
  <c r="AM753" i="1"/>
  <c r="AM752" i="1"/>
  <c r="AM751" i="1"/>
  <c r="AM750" i="1"/>
  <c r="AM749" i="1"/>
  <c r="AM748" i="1"/>
  <c r="AM747" i="1"/>
  <c r="AM746" i="1"/>
  <c r="AM745" i="1"/>
  <c r="AM744" i="1"/>
  <c r="AM743" i="1"/>
  <c r="AM742" i="1"/>
  <c r="AM741" i="1"/>
  <c r="AM740" i="1"/>
  <c r="AM739" i="1"/>
  <c r="AM738" i="1"/>
  <c r="AM737" i="1"/>
  <c r="AM736" i="1"/>
  <c r="AM735" i="1"/>
  <c r="AM734" i="1"/>
  <c r="AM733" i="1"/>
  <c r="AM732" i="1"/>
  <c r="AM731" i="1"/>
  <c r="AM730" i="1"/>
  <c r="AM729" i="1"/>
  <c r="AM728" i="1"/>
  <c r="AM727" i="1"/>
  <c r="AM726" i="1"/>
  <c r="AM725" i="1"/>
  <c r="AM724" i="1"/>
  <c r="AM723" i="1"/>
  <c r="AM722" i="1"/>
  <c r="AO722" i="1" s="1"/>
  <c r="AP722" i="1" s="1"/>
  <c r="AB722" i="1" s="1"/>
  <c r="AM721" i="1"/>
  <c r="AM720" i="1"/>
  <c r="AM719" i="1"/>
  <c r="AM718" i="1"/>
  <c r="AM717" i="1"/>
  <c r="AM716" i="1"/>
  <c r="AM715" i="1"/>
  <c r="AM714" i="1"/>
  <c r="AM713" i="1"/>
  <c r="AM712" i="1"/>
  <c r="AM711" i="1"/>
  <c r="AM710" i="1"/>
  <c r="AM709" i="1"/>
  <c r="AM708" i="1"/>
  <c r="AM707" i="1"/>
  <c r="AM706" i="1"/>
  <c r="AM705" i="1"/>
  <c r="AM704" i="1"/>
  <c r="AM703" i="1"/>
  <c r="AM702" i="1"/>
  <c r="AM701" i="1"/>
  <c r="AM700" i="1"/>
  <c r="AM699" i="1"/>
  <c r="AM698" i="1"/>
  <c r="AM697" i="1"/>
  <c r="AM696" i="1"/>
  <c r="AM695" i="1"/>
  <c r="AM694" i="1"/>
  <c r="AM693" i="1"/>
  <c r="AM692" i="1"/>
  <c r="AM691" i="1"/>
  <c r="AM690" i="1"/>
  <c r="AM689" i="1"/>
  <c r="AM688" i="1"/>
  <c r="AM687" i="1"/>
  <c r="AM686" i="1"/>
  <c r="AM685" i="1"/>
  <c r="AM684" i="1"/>
  <c r="AM683" i="1"/>
  <c r="AM682" i="1"/>
  <c r="AM681" i="1"/>
  <c r="AM680" i="1"/>
  <c r="AM679" i="1"/>
  <c r="AM678" i="1"/>
  <c r="AM677" i="1"/>
  <c r="AM676" i="1"/>
  <c r="AM675" i="1"/>
  <c r="AM674" i="1"/>
  <c r="AM673" i="1"/>
  <c r="AM672" i="1"/>
  <c r="AM671" i="1"/>
  <c r="AM670" i="1"/>
  <c r="AM669" i="1"/>
  <c r="AM668" i="1"/>
  <c r="AM667" i="1"/>
  <c r="AM666" i="1"/>
  <c r="AM665" i="1"/>
  <c r="AM664" i="1"/>
  <c r="AM663" i="1"/>
  <c r="AM662" i="1"/>
  <c r="AM661" i="1"/>
  <c r="AM660" i="1"/>
  <c r="AM659" i="1"/>
  <c r="AM658" i="1"/>
  <c r="AM657" i="1"/>
  <c r="AM656" i="1"/>
  <c r="AM655" i="1"/>
  <c r="AM654" i="1"/>
  <c r="AM653" i="1"/>
  <c r="AM652" i="1"/>
  <c r="AM651" i="1"/>
  <c r="AM650" i="1"/>
  <c r="AM649" i="1"/>
  <c r="AM648" i="1"/>
  <c r="AM647" i="1"/>
  <c r="AM646" i="1"/>
  <c r="AM645" i="1"/>
  <c r="AM644" i="1"/>
  <c r="AM643" i="1"/>
  <c r="AM642" i="1"/>
  <c r="AM641" i="1"/>
  <c r="AM640" i="1"/>
  <c r="AM639" i="1"/>
  <c r="AM638" i="1"/>
  <c r="AM637" i="1"/>
  <c r="AM636" i="1"/>
  <c r="AM635" i="1"/>
  <c r="AM634" i="1"/>
  <c r="AM633" i="1"/>
  <c r="AM632" i="1"/>
  <c r="AM631" i="1"/>
  <c r="AM630" i="1"/>
  <c r="AM629" i="1"/>
  <c r="AM628" i="1"/>
  <c r="AM627" i="1"/>
  <c r="AM626" i="1"/>
  <c r="AM625" i="1"/>
  <c r="AM624" i="1"/>
  <c r="AM623" i="1"/>
  <c r="AM622" i="1"/>
  <c r="AM621" i="1"/>
  <c r="AM620" i="1"/>
  <c r="AM619" i="1"/>
  <c r="AM618" i="1"/>
  <c r="AM617" i="1"/>
  <c r="AM616" i="1"/>
  <c r="AM615" i="1"/>
  <c r="AM614" i="1"/>
  <c r="AM613" i="1"/>
  <c r="AM612" i="1"/>
  <c r="AM611" i="1"/>
  <c r="AM610" i="1"/>
  <c r="AM609" i="1"/>
  <c r="AM608" i="1"/>
  <c r="AM607" i="1"/>
  <c r="AM606" i="1"/>
  <c r="AM605" i="1"/>
  <c r="AM604" i="1"/>
  <c r="AM603" i="1"/>
  <c r="AM602" i="1"/>
  <c r="AM601" i="1"/>
  <c r="AM600" i="1"/>
  <c r="AM599" i="1"/>
  <c r="AM598" i="1"/>
  <c r="AM597" i="1"/>
  <c r="AM596" i="1"/>
  <c r="AM595" i="1"/>
  <c r="AM594" i="1"/>
  <c r="AM593" i="1"/>
  <c r="AM592" i="1"/>
  <c r="AM591" i="1"/>
  <c r="AM590" i="1"/>
  <c r="AM589" i="1"/>
  <c r="AM588" i="1"/>
  <c r="AM587" i="1"/>
  <c r="AM586" i="1"/>
  <c r="AM585" i="1"/>
  <c r="AM584" i="1"/>
  <c r="AM583" i="1"/>
  <c r="AM582" i="1"/>
  <c r="AM581" i="1"/>
  <c r="AM580" i="1"/>
  <c r="AM579" i="1"/>
  <c r="AM578" i="1"/>
  <c r="AM577" i="1"/>
  <c r="AM576" i="1"/>
  <c r="AM575" i="1"/>
  <c r="AM574" i="1"/>
  <c r="AM573" i="1"/>
  <c r="AM572" i="1"/>
  <c r="AM571" i="1"/>
  <c r="AM570" i="1"/>
  <c r="AM569" i="1"/>
  <c r="AM568" i="1"/>
  <c r="AM567" i="1"/>
  <c r="AM566" i="1"/>
  <c r="AM565" i="1"/>
  <c r="AM564" i="1"/>
  <c r="AM563" i="1"/>
  <c r="AM562" i="1"/>
  <c r="AM561" i="1"/>
  <c r="AM560" i="1"/>
  <c r="AM559" i="1"/>
  <c r="AM558" i="1"/>
  <c r="AM557" i="1"/>
  <c r="AM556" i="1"/>
  <c r="AM555" i="1"/>
  <c r="AM554" i="1"/>
  <c r="AM553" i="1"/>
  <c r="AM552" i="1"/>
  <c r="AM551" i="1"/>
  <c r="AM550" i="1"/>
  <c r="AM549" i="1"/>
  <c r="AM548" i="1"/>
  <c r="AM547" i="1"/>
  <c r="AM546" i="1"/>
  <c r="AM545" i="1"/>
  <c r="AM544" i="1"/>
  <c r="AM543" i="1"/>
  <c r="AM542" i="1"/>
  <c r="AM541" i="1"/>
  <c r="AM540" i="1"/>
  <c r="AM539" i="1"/>
  <c r="AM538" i="1"/>
  <c r="AM537" i="1"/>
  <c r="AM536" i="1"/>
  <c r="AM535" i="1"/>
  <c r="AM534" i="1"/>
  <c r="AM533" i="1"/>
  <c r="AM532" i="1"/>
  <c r="AM531" i="1"/>
  <c r="AM530" i="1"/>
  <c r="AM529" i="1"/>
  <c r="AM528" i="1"/>
  <c r="AM527" i="1"/>
  <c r="AM526" i="1"/>
  <c r="AM525" i="1"/>
  <c r="AM524" i="1"/>
  <c r="AM523" i="1"/>
  <c r="AM522" i="1"/>
  <c r="AM521" i="1"/>
  <c r="AM520" i="1"/>
  <c r="AM519" i="1"/>
  <c r="AM518" i="1"/>
  <c r="AM517" i="1"/>
  <c r="AM516" i="1"/>
  <c r="AM515" i="1"/>
  <c r="AM514" i="1"/>
  <c r="AM513" i="1"/>
  <c r="AM512" i="1"/>
  <c r="AO512" i="1" s="1"/>
  <c r="AP512" i="1" s="1"/>
  <c r="AB512" i="1" s="1"/>
  <c r="AM511" i="1"/>
  <c r="AM510" i="1"/>
  <c r="AM509" i="1"/>
  <c r="AM508" i="1"/>
  <c r="AM507" i="1"/>
  <c r="AM506" i="1"/>
  <c r="AM505" i="1"/>
  <c r="AM504" i="1"/>
  <c r="AM503" i="1"/>
  <c r="AM502" i="1"/>
  <c r="AM501" i="1"/>
  <c r="AM500" i="1"/>
  <c r="AM499" i="1"/>
  <c r="AM498" i="1"/>
  <c r="AM497" i="1"/>
  <c r="AM496" i="1"/>
  <c r="AM495" i="1"/>
  <c r="AM494" i="1"/>
  <c r="AM493" i="1"/>
  <c r="AM492" i="1"/>
  <c r="AM491" i="1"/>
  <c r="AM490" i="1"/>
  <c r="AM489" i="1"/>
  <c r="AM488" i="1"/>
  <c r="AM487" i="1"/>
  <c r="AM486" i="1"/>
  <c r="AM485" i="1"/>
  <c r="AM484" i="1"/>
  <c r="AM483" i="1"/>
  <c r="AM482" i="1"/>
  <c r="AM481" i="1"/>
  <c r="AM480" i="1"/>
  <c r="AM479" i="1"/>
  <c r="AM478" i="1"/>
  <c r="AM477" i="1"/>
  <c r="AM476" i="1"/>
  <c r="AM475" i="1"/>
  <c r="AM474" i="1"/>
  <c r="AM473" i="1"/>
  <c r="AM472" i="1"/>
  <c r="AM471" i="1"/>
  <c r="AM470" i="1"/>
  <c r="AM469" i="1"/>
  <c r="AM468" i="1"/>
  <c r="AM467" i="1"/>
  <c r="AM466" i="1"/>
  <c r="AM465" i="1"/>
  <c r="AM464" i="1"/>
  <c r="AO464" i="1" s="1"/>
  <c r="AP464" i="1" s="1"/>
  <c r="AB464" i="1" s="1"/>
  <c r="AM463" i="1"/>
  <c r="AM462" i="1"/>
  <c r="AM461" i="1"/>
  <c r="AM460" i="1"/>
  <c r="AM459" i="1"/>
  <c r="AM458" i="1"/>
  <c r="AM457" i="1"/>
  <c r="AM456" i="1"/>
  <c r="AM455" i="1"/>
  <c r="AM454" i="1"/>
  <c r="AM453" i="1"/>
  <c r="AM452" i="1"/>
  <c r="AM451" i="1"/>
  <c r="AM450" i="1"/>
  <c r="AM449" i="1"/>
  <c r="AM448" i="1"/>
  <c r="AM447" i="1"/>
  <c r="AM446" i="1"/>
  <c r="AM445" i="1"/>
  <c r="AM444" i="1"/>
  <c r="AM443" i="1"/>
  <c r="AM442" i="1"/>
  <c r="AM441" i="1"/>
  <c r="AM440" i="1"/>
  <c r="AM439" i="1"/>
  <c r="AM438" i="1"/>
  <c r="AM437" i="1"/>
  <c r="AM436" i="1"/>
  <c r="AM435" i="1"/>
  <c r="AM434" i="1"/>
  <c r="AM433" i="1"/>
  <c r="AM432" i="1"/>
  <c r="AM431" i="1"/>
  <c r="AM430" i="1"/>
  <c r="AM429" i="1"/>
  <c r="AM428" i="1"/>
  <c r="AM427" i="1"/>
  <c r="AM426" i="1"/>
  <c r="AM425" i="1"/>
  <c r="AM424" i="1"/>
  <c r="AM423" i="1"/>
  <c r="AM422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O408" i="1" s="1"/>
  <c r="AP408" i="1" s="1"/>
  <c r="AB408" i="1" s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1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5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AM2" i="1"/>
  <c r="O164" i="1"/>
  <c r="M164" i="1"/>
  <c r="AI164" i="1"/>
  <c r="Y164" i="1"/>
  <c r="Z164" i="1"/>
  <c r="AA164" i="1" s="1"/>
  <c r="O464" i="1"/>
  <c r="W464" i="1" s="1"/>
  <c r="M464" i="1"/>
  <c r="AI464" i="1" s="1"/>
  <c r="U464" i="1" s="1"/>
  <c r="V464" i="1" s="1"/>
  <c r="Y464" i="1"/>
  <c r="Z464" i="1"/>
  <c r="AA464" i="1"/>
  <c r="M408" i="1"/>
  <c r="AI408" i="1" s="1"/>
  <c r="U408" i="1" s="1"/>
  <c r="V408" i="1" s="1"/>
  <c r="W408" i="1" s="1"/>
  <c r="O408" i="1"/>
  <c r="Y408" i="1"/>
  <c r="Z408" i="1"/>
  <c r="AA408" i="1" s="1"/>
  <c r="M1367" i="1"/>
  <c r="AI1367" i="1"/>
  <c r="Z1367" i="1" s="1"/>
  <c r="M1366" i="1"/>
  <c r="AI1366" i="1"/>
  <c r="Z1366" i="1" s="1"/>
  <c r="M1365" i="1"/>
  <c r="AI1365" i="1"/>
  <c r="Z1365" i="1" s="1"/>
  <c r="M1364" i="1"/>
  <c r="AI1364" i="1" s="1"/>
  <c r="Z1364" i="1" s="1"/>
  <c r="M1363" i="1"/>
  <c r="AI1363" i="1" s="1"/>
  <c r="Z1363" i="1" s="1"/>
  <c r="M1362" i="1"/>
  <c r="AI1362" i="1" s="1"/>
  <c r="Z1362" i="1" s="1"/>
  <c r="M1361" i="1"/>
  <c r="AI1361" i="1" s="1"/>
  <c r="Z1361" i="1"/>
  <c r="M1360" i="1"/>
  <c r="AI1360" i="1"/>
  <c r="Z1360" i="1"/>
  <c r="M1359" i="1"/>
  <c r="AI1359" i="1"/>
  <c r="Z1359" i="1" s="1"/>
  <c r="M1358" i="1"/>
  <c r="AI1358" i="1"/>
  <c r="Z1358" i="1"/>
  <c r="M1357" i="1"/>
  <c r="AI1357" i="1"/>
  <c r="Z1357" i="1" s="1"/>
  <c r="M1356" i="1"/>
  <c r="AI1356" i="1" s="1"/>
  <c r="Z1356" i="1" s="1"/>
  <c r="M1355" i="1"/>
  <c r="AI1355" i="1"/>
  <c r="Z1355" i="1" s="1"/>
  <c r="M1354" i="1"/>
  <c r="AI1354" i="1" s="1"/>
  <c r="Z1354" i="1"/>
  <c r="M1353" i="1"/>
  <c r="AI1353" i="1" s="1"/>
  <c r="Z1353" i="1"/>
  <c r="M1352" i="1"/>
  <c r="AI1352" i="1" s="1"/>
  <c r="Z1352" i="1"/>
  <c r="M1351" i="1"/>
  <c r="AI1351" i="1"/>
  <c r="Z1351" i="1" s="1"/>
  <c r="M1350" i="1"/>
  <c r="AI1350" i="1"/>
  <c r="Z1350" i="1"/>
  <c r="M1349" i="1"/>
  <c r="AI1349" i="1" s="1"/>
  <c r="Z1349" i="1" s="1"/>
  <c r="M1348" i="1"/>
  <c r="AI1348" i="1" s="1"/>
  <c r="Z1348" i="1" s="1"/>
  <c r="M1347" i="1"/>
  <c r="AI1347" i="1" s="1"/>
  <c r="Z1347" i="1" s="1"/>
  <c r="M1346" i="1"/>
  <c r="AI1346" i="1" s="1"/>
  <c r="Z1346" i="1"/>
  <c r="M1345" i="1"/>
  <c r="AI1345" i="1" s="1"/>
  <c r="Z1345" i="1" s="1"/>
  <c r="M1344" i="1"/>
  <c r="AI1344" i="1" s="1"/>
  <c r="Z1344" i="1" s="1"/>
  <c r="M1343" i="1"/>
  <c r="AI1343" i="1"/>
  <c r="Z1343" i="1" s="1"/>
  <c r="M1342" i="1"/>
  <c r="AI1342" i="1"/>
  <c r="Z1342" i="1" s="1"/>
  <c r="M1341" i="1"/>
  <c r="AI1341" i="1" s="1"/>
  <c r="Z1341" i="1" s="1"/>
  <c r="M1340" i="1"/>
  <c r="AI1340" i="1" s="1"/>
  <c r="Z1340" i="1" s="1"/>
  <c r="M1339" i="1"/>
  <c r="AI1339" i="1" s="1"/>
  <c r="Z1339" i="1"/>
  <c r="M1338" i="1"/>
  <c r="AI1338" i="1" s="1"/>
  <c r="Z1338" i="1" s="1"/>
  <c r="M1337" i="1"/>
  <c r="AI1337" i="1" s="1"/>
  <c r="Z1337" i="1" s="1"/>
  <c r="M1336" i="1"/>
  <c r="AI1336" i="1"/>
  <c r="Z1336" i="1" s="1"/>
  <c r="M1335" i="1"/>
  <c r="AI1335" i="1"/>
  <c r="Z1335" i="1" s="1"/>
  <c r="M1334" i="1"/>
  <c r="AI1334" i="1"/>
  <c r="Z1334" i="1" s="1"/>
  <c r="M1333" i="1"/>
  <c r="AI1333" i="1" s="1"/>
  <c r="Z1333" i="1" s="1"/>
  <c r="M1332" i="1"/>
  <c r="AI1332" i="1"/>
  <c r="Z1332" i="1" s="1"/>
  <c r="M1331" i="1"/>
  <c r="AI1331" i="1"/>
  <c r="Z1331" i="1" s="1"/>
  <c r="M1330" i="1"/>
  <c r="AI1330" i="1" s="1"/>
  <c r="Z1330" i="1"/>
  <c r="M1329" i="1"/>
  <c r="AI1329" i="1" s="1"/>
  <c r="Z1329" i="1" s="1"/>
  <c r="M1328" i="1"/>
  <c r="AI1328" i="1" s="1"/>
  <c r="Z1328" i="1"/>
  <c r="M1327" i="1"/>
  <c r="AI1327" i="1"/>
  <c r="Z1327" i="1"/>
  <c r="M1326" i="1"/>
  <c r="AI1326" i="1"/>
  <c r="Z1326" i="1" s="1"/>
  <c r="M1325" i="1"/>
  <c r="AI1325" i="1"/>
  <c r="Z1325" i="1" s="1"/>
  <c r="M1324" i="1"/>
  <c r="AI1324" i="1" s="1"/>
  <c r="Z1324" i="1" s="1"/>
  <c r="M1323" i="1"/>
  <c r="AI1323" i="1"/>
  <c r="Z1323" i="1" s="1"/>
  <c r="M1322" i="1"/>
  <c r="AI1322" i="1" s="1"/>
  <c r="Z1322" i="1" s="1"/>
  <c r="M1321" i="1"/>
  <c r="AI1321" i="1" s="1"/>
  <c r="Z1321" i="1" s="1"/>
  <c r="M1320" i="1"/>
  <c r="AI1320" i="1"/>
  <c r="Z1320" i="1" s="1"/>
  <c r="M1319" i="1"/>
  <c r="AI1319" i="1"/>
  <c r="Z1319" i="1" s="1"/>
  <c r="M1318" i="1"/>
  <c r="AI1318" i="1"/>
  <c r="Z1318" i="1" s="1"/>
  <c r="M1317" i="1"/>
  <c r="AI1317" i="1" s="1"/>
  <c r="Z1317" i="1" s="1"/>
  <c r="M1316" i="1"/>
  <c r="AI1316" i="1" s="1"/>
  <c r="Z1316" i="1" s="1"/>
  <c r="M1315" i="1"/>
  <c r="AI1315" i="1"/>
  <c r="Z1315" i="1" s="1"/>
  <c r="M1314" i="1"/>
  <c r="AI1314" i="1" s="1"/>
  <c r="Z1314" i="1"/>
  <c r="M1313" i="1"/>
  <c r="AI1313" i="1" s="1"/>
  <c r="Z1313" i="1" s="1"/>
  <c r="M1312" i="1"/>
  <c r="AI1312" i="1" s="1"/>
  <c r="Z1312" i="1" s="1"/>
  <c r="M1311" i="1"/>
  <c r="AI1311" i="1"/>
  <c r="Z1311" i="1"/>
  <c r="M1310" i="1"/>
  <c r="AI1310" i="1"/>
  <c r="Z1310" i="1" s="1"/>
  <c r="M1309" i="1"/>
  <c r="AI1309" i="1"/>
  <c r="Z1309" i="1" s="1"/>
  <c r="M1308" i="1"/>
  <c r="AI1308" i="1" s="1"/>
  <c r="Z1308" i="1" s="1"/>
  <c r="M1307" i="1"/>
  <c r="AI1307" i="1" s="1"/>
  <c r="Z1307" i="1" s="1"/>
  <c r="M1306" i="1"/>
  <c r="AI1306" i="1" s="1"/>
  <c r="M1305" i="1"/>
  <c r="AI1305" i="1"/>
  <c r="Z1305" i="1" s="1"/>
  <c r="M1304" i="1"/>
  <c r="AI1304" i="1" s="1"/>
  <c r="Z1304" i="1" s="1"/>
  <c r="M1303" i="1"/>
  <c r="AI1303" i="1" s="1"/>
  <c r="Z1303" i="1" s="1"/>
  <c r="M1302" i="1"/>
  <c r="AI1302" i="1" s="1"/>
  <c r="Z1302" i="1" s="1"/>
  <c r="M1301" i="1"/>
  <c r="AI1301" i="1" s="1"/>
  <c r="Z1301" i="1" s="1"/>
  <c r="M1300" i="1"/>
  <c r="AI1300" i="1"/>
  <c r="Z1300" i="1" s="1"/>
  <c r="M1299" i="1"/>
  <c r="AI1299" i="1"/>
  <c r="Z1299" i="1"/>
  <c r="M1298" i="1"/>
  <c r="AI1298" i="1" s="1"/>
  <c r="Z1298" i="1" s="1"/>
  <c r="M1297" i="1"/>
  <c r="AI1297" i="1" s="1"/>
  <c r="Z1297" i="1" s="1"/>
  <c r="M1296" i="1"/>
  <c r="AI1296" i="1" s="1"/>
  <c r="Z1296" i="1" s="1"/>
  <c r="M1295" i="1"/>
  <c r="AI1295" i="1" s="1"/>
  <c r="Z1295" i="1" s="1"/>
  <c r="M1294" i="1"/>
  <c r="AI1294" i="1" s="1"/>
  <c r="Z1294" i="1"/>
  <c r="M1293" i="1"/>
  <c r="AI1293" i="1" s="1"/>
  <c r="Z1293" i="1" s="1"/>
  <c r="M1292" i="1"/>
  <c r="AI1292" i="1"/>
  <c r="Z1292" i="1" s="1"/>
  <c r="M1291" i="1"/>
  <c r="AI1291" i="1"/>
  <c r="Z1291" i="1" s="1"/>
  <c r="M1290" i="1"/>
  <c r="AI1290" i="1" s="1"/>
  <c r="Z1290" i="1" s="1"/>
  <c r="M1289" i="1"/>
  <c r="AI1289" i="1"/>
  <c r="Z1289" i="1" s="1"/>
  <c r="M1288" i="1"/>
  <c r="AI1288" i="1" s="1"/>
  <c r="Z1288" i="1"/>
  <c r="M1287" i="1"/>
  <c r="AI1287" i="1" s="1"/>
  <c r="Z1287" i="1" s="1"/>
  <c r="M1286" i="1"/>
  <c r="AI1286" i="1" s="1"/>
  <c r="Z1286" i="1" s="1"/>
  <c r="M1285" i="1"/>
  <c r="AI1285" i="1" s="1"/>
  <c r="Z1285" i="1" s="1"/>
  <c r="M1284" i="1"/>
  <c r="AI1284" i="1"/>
  <c r="Z1284" i="1" s="1"/>
  <c r="M1283" i="1"/>
  <c r="AI1283" i="1"/>
  <c r="Z1283" i="1"/>
  <c r="M1282" i="1"/>
  <c r="AI1282" i="1" s="1"/>
  <c r="Z1282" i="1" s="1"/>
  <c r="M1281" i="1"/>
  <c r="AI1281" i="1" s="1"/>
  <c r="Z1281" i="1" s="1"/>
  <c r="M1280" i="1"/>
  <c r="AI1280" i="1" s="1"/>
  <c r="Z1280" i="1" s="1"/>
  <c r="M1279" i="1"/>
  <c r="AI1279" i="1" s="1"/>
  <c r="Z1279" i="1" s="1"/>
  <c r="M1278" i="1"/>
  <c r="AI1278" i="1" s="1"/>
  <c r="Z1278" i="1"/>
  <c r="M1277" i="1"/>
  <c r="AI1277" i="1" s="1"/>
  <c r="Z1277" i="1" s="1"/>
  <c r="M1276" i="1"/>
  <c r="AI1276" i="1"/>
  <c r="Z1276" i="1" s="1"/>
  <c r="M1275" i="1"/>
  <c r="AI1275" i="1"/>
  <c r="Z1275" i="1" s="1"/>
  <c r="M1274" i="1"/>
  <c r="AI1274" i="1" s="1"/>
  <c r="Z1274" i="1" s="1"/>
  <c r="M1273" i="1"/>
  <c r="AI1273" i="1"/>
  <c r="Z1273" i="1" s="1"/>
  <c r="M1272" i="1"/>
  <c r="AI1272" i="1" s="1"/>
  <c r="Z1272" i="1" s="1"/>
  <c r="M1271" i="1"/>
  <c r="AI1271" i="1" s="1"/>
  <c r="Z1271" i="1" s="1"/>
  <c r="M1270" i="1"/>
  <c r="AI1270" i="1" s="1"/>
  <c r="Z1270" i="1" s="1"/>
  <c r="M1269" i="1"/>
  <c r="AI1269" i="1" s="1"/>
  <c r="Z1269" i="1" s="1"/>
  <c r="M1268" i="1"/>
  <c r="AI1268" i="1"/>
  <c r="Z1268" i="1" s="1"/>
  <c r="M1267" i="1"/>
  <c r="AI1267" i="1"/>
  <c r="Z1267" i="1"/>
  <c r="M1266" i="1"/>
  <c r="AI1266" i="1" s="1"/>
  <c r="M1265" i="1"/>
  <c r="AI1265" i="1"/>
  <c r="Z1265" i="1" s="1"/>
  <c r="M1264" i="1"/>
  <c r="AI1264" i="1"/>
  <c r="Z1264" i="1" s="1"/>
  <c r="M1263" i="1"/>
  <c r="AI1263" i="1"/>
  <c r="Z1263" i="1" s="1"/>
  <c r="M1262" i="1"/>
  <c r="AI1262" i="1"/>
  <c r="Z1262" i="1" s="1"/>
  <c r="M1261" i="1"/>
  <c r="AI1261" i="1" s="1"/>
  <c r="Z1261" i="1" s="1"/>
  <c r="M1260" i="1"/>
  <c r="AI1260" i="1"/>
  <c r="Z1260" i="1" s="1"/>
  <c r="M1259" i="1"/>
  <c r="AI1259" i="1" s="1"/>
  <c r="Z1259" i="1" s="1"/>
  <c r="M1258" i="1"/>
  <c r="AI1258" i="1" s="1"/>
  <c r="Z1258" i="1"/>
  <c r="M1257" i="1"/>
  <c r="AI1257" i="1" s="1"/>
  <c r="Z1257" i="1" s="1"/>
  <c r="M1256" i="1"/>
  <c r="AI1256" i="1"/>
  <c r="Z1256" i="1" s="1"/>
  <c r="M1255" i="1"/>
  <c r="AI1255" i="1"/>
  <c r="Z1255" i="1"/>
  <c r="M1254" i="1"/>
  <c r="AI1254" i="1" s="1"/>
  <c r="Z1254" i="1" s="1"/>
  <c r="M1253" i="1"/>
  <c r="AI1253" i="1" s="1"/>
  <c r="Z1253" i="1" s="1"/>
  <c r="M1252" i="1"/>
  <c r="AI1252" i="1"/>
  <c r="Z1252" i="1" s="1"/>
  <c r="M1251" i="1"/>
  <c r="AI1251" i="1" s="1"/>
  <c r="Z1251" i="1"/>
  <c r="M1250" i="1"/>
  <c r="AI1250" i="1" s="1"/>
  <c r="Z1250" i="1" s="1"/>
  <c r="M1249" i="1"/>
  <c r="AI1249" i="1" s="1"/>
  <c r="Z1249" i="1" s="1"/>
  <c r="M1248" i="1"/>
  <c r="AI1248" i="1"/>
  <c r="Z1248" i="1" s="1"/>
  <c r="M1247" i="1"/>
  <c r="AI1247" i="1"/>
  <c r="Z1247" i="1" s="1"/>
  <c r="M1246" i="1"/>
  <c r="AI1246" i="1" s="1"/>
  <c r="Z1246" i="1" s="1"/>
  <c r="M1245" i="1"/>
  <c r="AI1245" i="1" s="1"/>
  <c r="Z1245" i="1" s="1"/>
  <c r="M1244" i="1"/>
  <c r="AI1244" i="1" s="1"/>
  <c r="Z1244" i="1" s="1"/>
  <c r="M1243" i="1"/>
  <c r="AI1243" i="1" s="1"/>
  <c r="Z1243" i="1" s="1"/>
  <c r="M1242" i="1"/>
  <c r="AI1242" i="1" s="1"/>
  <c r="Z1242" i="1" s="1"/>
  <c r="M1241" i="1"/>
  <c r="AI1241" i="1" s="1"/>
  <c r="Z1241" i="1" s="1"/>
  <c r="M1240" i="1"/>
  <c r="AI1240" i="1"/>
  <c r="Z1240" i="1" s="1"/>
  <c r="M1239" i="1"/>
  <c r="AI1239" i="1"/>
  <c r="Z1239" i="1" s="1"/>
  <c r="M1238" i="1"/>
  <c r="AI1238" i="1" s="1"/>
  <c r="Z1238" i="1" s="1"/>
  <c r="M1237" i="1"/>
  <c r="AI1237" i="1" s="1"/>
  <c r="Z1237" i="1" s="1"/>
  <c r="M1236" i="1"/>
  <c r="AI1236" i="1" s="1"/>
  <c r="Z1236" i="1" s="1"/>
  <c r="M1235" i="1"/>
  <c r="AI1235" i="1" s="1"/>
  <c r="Z1235" i="1" s="1"/>
  <c r="M1234" i="1"/>
  <c r="AI1234" i="1" s="1"/>
  <c r="Z1234" i="1" s="1"/>
  <c r="M1233" i="1"/>
  <c r="AI1233" i="1"/>
  <c r="Z1233" i="1" s="1"/>
  <c r="M1232" i="1"/>
  <c r="AI1232" i="1"/>
  <c r="Z1232" i="1" s="1"/>
  <c r="M1231" i="1"/>
  <c r="AI1231" i="1"/>
  <c r="Z1231" i="1" s="1"/>
  <c r="M1230" i="1"/>
  <c r="AI1230" i="1"/>
  <c r="Z1230" i="1" s="1"/>
  <c r="M1229" i="1"/>
  <c r="AI1229" i="1" s="1"/>
  <c r="Z1229" i="1" s="1"/>
  <c r="M1228" i="1"/>
  <c r="AI1228" i="1"/>
  <c r="Z1228" i="1" s="1"/>
  <c r="M1227" i="1"/>
  <c r="AI1227" i="1" s="1"/>
  <c r="Z1227" i="1" s="1"/>
  <c r="M1226" i="1"/>
  <c r="AI1226" i="1" s="1"/>
  <c r="Z1226" i="1"/>
  <c r="M1225" i="1"/>
  <c r="AI1225" i="1" s="1"/>
  <c r="Z1225" i="1" s="1"/>
  <c r="M1224" i="1"/>
  <c r="AI1224" i="1"/>
  <c r="Z1224" i="1" s="1"/>
  <c r="M1223" i="1"/>
  <c r="AI1223" i="1"/>
  <c r="Z1223" i="1"/>
  <c r="M1222" i="1"/>
  <c r="AI1222" i="1" s="1"/>
  <c r="Z1222" i="1" s="1"/>
  <c r="M1221" i="1"/>
  <c r="AI1221" i="1" s="1"/>
  <c r="Z1221" i="1" s="1"/>
  <c r="M1220" i="1"/>
  <c r="AI1220" i="1"/>
  <c r="Z1220" i="1" s="1"/>
  <c r="M1219" i="1"/>
  <c r="AI1219" i="1" s="1"/>
  <c r="Z1219" i="1"/>
  <c r="M1218" i="1"/>
  <c r="AI1218" i="1" s="1"/>
  <c r="Z1218" i="1" s="1"/>
  <c r="M1217" i="1"/>
  <c r="AI1217" i="1" s="1"/>
  <c r="Z1217" i="1" s="1"/>
  <c r="M1216" i="1"/>
  <c r="AI1216" i="1"/>
  <c r="Z1216" i="1" s="1"/>
  <c r="M1215" i="1"/>
  <c r="AI1215" i="1"/>
  <c r="Z1215" i="1" s="1"/>
  <c r="M1214" i="1"/>
  <c r="AI1214" i="1" s="1"/>
  <c r="Z1214" i="1" s="1"/>
  <c r="M1213" i="1"/>
  <c r="AI1213" i="1" s="1"/>
  <c r="Z1213" i="1" s="1"/>
  <c r="M1212" i="1"/>
  <c r="AI1212" i="1" s="1"/>
  <c r="Z1212" i="1" s="1"/>
  <c r="M1211" i="1"/>
  <c r="AI1211" i="1" s="1"/>
  <c r="Z1211" i="1" s="1"/>
  <c r="M1210" i="1"/>
  <c r="AI1210" i="1" s="1"/>
  <c r="Z1210" i="1" s="1"/>
  <c r="M1209" i="1"/>
  <c r="AI1209" i="1" s="1"/>
  <c r="Z1209" i="1" s="1"/>
  <c r="M1208" i="1"/>
  <c r="AI1208" i="1"/>
  <c r="Z1208" i="1" s="1"/>
  <c r="M1207" i="1"/>
  <c r="AI1207" i="1"/>
  <c r="AO1207" i="1" s="1"/>
  <c r="AP1207" i="1" s="1"/>
  <c r="M1206" i="1"/>
  <c r="AI1206" i="1" s="1"/>
  <c r="Z1206" i="1" s="1"/>
  <c r="M1205" i="1"/>
  <c r="AI1205" i="1" s="1"/>
  <c r="Z1205" i="1" s="1"/>
  <c r="M1204" i="1"/>
  <c r="AI1204" i="1" s="1"/>
  <c r="Z1204" i="1" s="1"/>
  <c r="M1203" i="1"/>
  <c r="AI1203" i="1" s="1"/>
  <c r="Z1203" i="1" s="1"/>
  <c r="M1202" i="1"/>
  <c r="AI1202" i="1" s="1"/>
  <c r="Z1202" i="1" s="1"/>
  <c r="M1201" i="1"/>
  <c r="AI1201" i="1"/>
  <c r="Z1201" i="1" s="1"/>
  <c r="M1200" i="1"/>
  <c r="AI1200" i="1"/>
  <c r="Z1200" i="1" s="1"/>
  <c r="M1199" i="1"/>
  <c r="AI1199" i="1"/>
  <c r="Z1199" i="1" s="1"/>
  <c r="M1198" i="1"/>
  <c r="AI1198" i="1"/>
  <c r="Z1198" i="1" s="1"/>
  <c r="M1197" i="1"/>
  <c r="AI1197" i="1" s="1"/>
  <c r="Z1197" i="1" s="1"/>
  <c r="M1196" i="1"/>
  <c r="AI1196" i="1"/>
  <c r="Z1196" i="1" s="1"/>
  <c r="M1195" i="1"/>
  <c r="AI1195" i="1" s="1"/>
  <c r="Z1195" i="1" s="1"/>
  <c r="M1194" i="1"/>
  <c r="AI1194" i="1" s="1"/>
  <c r="Z1194" i="1"/>
  <c r="M1193" i="1"/>
  <c r="AI1193" i="1" s="1"/>
  <c r="Z1193" i="1" s="1"/>
  <c r="M1192" i="1"/>
  <c r="AI1192" i="1"/>
  <c r="Z1192" i="1" s="1"/>
  <c r="M1191" i="1"/>
  <c r="AI1191" i="1"/>
  <c r="Z1191" i="1"/>
  <c r="M1190" i="1"/>
  <c r="AI1190" i="1" s="1"/>
  <c r="Z1190" i="1" s="1"/>
  <c r="M1189" i="1"/>
  <c r="AI1189" i="1" s="1"/>
  <c r="Z1189" i="1" s="1"/>
  <c r="M1188" i="1"/>
  <c r="AI1188" i="1"/>
  <c r="Z1188" i="1" s="1"/>
  <c r="M1187" i="1"/>
  <c r="AI1187" i="1" s="1"/>
  <c r="Z1187" i="1"/>
  <c r="M1186" i="1"/>
  <c r="AI1186" i="1" s="1"/>
  <c r="Z1186" i="1" s="1"/>
  <c r="M1185" i="1"/>
  <c r="AI1185" i="1" s="1"/>
  <c r="Z1185" i="1" s="1"/>
  <c r="M1184" i="1"/>
  <c r="AI1184" i="1"/>
  <c r="Z1184" i="1" s="1"/>
  <c r="M1183" i="1"/>
  <c r="AI1183" i="1"/>
  <c r="Z1183" i="1" s="1"/>
  <c r="M1182" i="1"/>
  <c r="AI1182" i="1" s="1"/>
  <c r="Z1182" i="1" s="1"/>
  <c r="M1181" i="1"/>
  <c r="AI1181" i="1" s="1"/>
  <c r="Z1181" i="1" s="1"/>
  <c r="M1180" i="1"/>
  <c r="AI1180" i="1" s="1"/>
  <c r="Z1180" i="1" s="1"/>
  <c r="M1179" i="1"/>
  <c r="AI1179" i="1" s="1"/>
  <c r="Z1179" i="1" s="1"/>
  <c r="M1178" i="1"/>
  <c r="AI1178" i="1" s="1"/>
  <c r="Z1178" i="1" s="1"/>
  <c r="M1177" i="1"/>
  <c r="AI1177" i="1" s="1"/>
  <c r="Z1177" i="1" s="1"/>
  <c r="M1176" i="1"/>
  <c r="AI1176" i="1"/>
  <c r="Z1176" i="1" s="1"/>
  <c r="M1175" i="1"/>
  <c r="AI1175" i="1"/>
  <c r="Z1175" i="1" s="1"/>
  <c r="M1174" i="1"/>
  <c r="AI1174" i="1" s="1"/>
  <c r="Z1174" i="1" s="1"/>
  <c r="M1173" i="1"/>
  <c r="AI1173" i="1" s="1"/>
  <c r="Z1173" i="1" s="1"/>
  <c r="M1172" i="1"/>
  <c r="AI1172" i="1" s="1"/>
  <c r="Z1172" i="1" s="1"/>
  <c r="M1171" i="1"/>
  <c r="AI1171" i="1" s="1"/>
  <c r="Z1171" i="1" s="1"/>
  <c r="M1170" i="1"/>
  <c r="AI1170" i="1" s="1"/>
  <c r="Z1170" i="1" s="1"/>
  <c r="M1169" i="1"/>
  <c r="AI1169" i="1"/>
  <c r="Z1169" i="1" s="1"/>
  <c r="M1168" i="1"/>
  <c r="AI1168" i="1"/>
  <c r="Z1168" i="1" s="1"/>
  <c r="M1167" i="1"/>
  <c r="AI1167" i="1"/>
  <c r="Z1167" i="1" s="1"/>
  <c r="M1166" i="1"/>
  <c r="AI1166" i="1"/>
  <c r="Z1166" i="1" s="1"/>
  <c r="M1165" i="1"/>
  <c r="AI1165" i="1" s="1"/>
  <c r="Z1165" i="1" s="1"/>
  <c r="M1164" i="1"/>
  <c r="AI1164" i="1"/>
  <c r="Z1164" i="1" s="1"/>
  <c r="M1163" i="1"/>
  <c r="AI1163" i="1" s="1"/>
  <c r="Z1163" i="1" s="1"/>
  <c r="M1162" i="1"/>
  <c r="AI1162" i="1" s="1"/>
  <c r="Z1162" i="1"/>
  <c r="M1161" i="1"/>
  <c r="AI1161" i="1" s="1"/>
  <c r="Z1161" i="1" s="1"/>
  <c r="M1160" i="1"/>
  <c r="AI1160" i="1"/>
  <c r="Z1160" i="1" s="1"/>
  <c r="M1159" i="1"/>
  <c r="AI1159" i="1"/>
  <c r="Z1159" i="1"/>
  <c r="M1158" i="1"/>
  <c r="AI1158" i="1" s="1"/>
  <c r="Z1158" i="1" s="1"/>
  <c r="M1157" i="1"/>
  <c r="AI1157" i="1" s="1"/>
  <c r="Z1157" i="1" s="1"/>
  <c r="M1156" i="1"/>
  <c r="AI1156" i="1"/>
  <c r="Z1156" i="1" s="1"/>
  <c r="M1155" i="1"/>
  <c r="AI1155" i="1" s="1"/>
  <c r="Z1155" i="1"/>
  <c r="M1154" i="1"/>
  <c r="AI1154" i="1" s="1"/>
  <c r="Z1154" i="1" s="1"/>
  <c r="M1153" i="1"/>
  <c r="AI1153" i="1" s="1"/>
  <c r="Z1153" i="1" s="1"/>
  <c r="M1152" i="1"/>
  <c r="AI1152" i="1"/>
  <c r="Z1152" i="1" s="1"/>
  <c r="M1151" i="1"/>
  <c r="AI1151" i="1"/>
  <c r="Z1151" i="1" s="1"/>
  <c r="M1150" i="1"/>
  <c r="AI1150" i="1" s="1"/>
  <c r="Z1150" i="1" s="1"/>
  <c r="M1149" i="1"/>
  <c r="AI1149" i="1" s="1"/>
  <c r="Z1149" i="1" s="1"/>
  <c r="M1148" i="1"/>
  <c r="AI1148" i="1" s="1"/>
  <c r="Z1148" i="1" s="1"/>
  <c r="M1147" i="1"/>
  <c r="AI1147" i="1" s="1"/>
  <c r="Z1147" i="1" s="1"/>
  <c r="M1146" i="1"/>
  <c r="AI1146" i="1"/>
  <c r="Z1146" i="1"/>
  <c r="M1145" i="1"/>
  <c r="AI1145" i="1" s="1"/>
  <c r="Z1145" i="1" s="1"/>
  <c r="M1144" i="1"/>
  <c r="AI1144" i="1"/>
  <c r="Z1144" i="1" s="1"/>
  <c r="M1143" i="1"/>
  <c r="AI1143" i="1"/>
  <c r="Z1143" i="1"/>
  <c r="M1142" i="1"/>
  <c r="AI1142" i="1" s="1"/>
  <c r="Z1142" i="1" s="1"/>
  <c r="M1141" i="1"/>
  <c r="AI1141" i="1" s="1"/>
  <c r="Z1141" i="1" s="1"/>
  <c r="M1140" i="1"/>
  <c r="AI1140" i="1" s="1"/>
  <c r="Z1140" i="1" s="1"/>
  <c r="M1139" i="1"/>
  <c r="AI1139" i="1" s="1"/>
  <c r="Z1139" i="1"/>
  <c r="M1138" i="1"/>
  <c r="AI1138" i="1" s="1"/>
  <c r="Z1138" i="1" s="1"/>
  <c r="M1137" i="1"/>
  <c r="AI1137" i="1" s="1"/>
  <c r="Z1137" i="1" s="1"/>
  <c r="M1136" i="1"/>
  <c r="AI1136" i="1"/>
  <c r="Z1136" i="1" s="1"/>
  <c r="M1135" i="1"/>
  <c r="AI1135" i="1"/>
  <c r="Z1135" i="1" s="1"/>
  <c r="M1134" i="1"/>
  <c r="AI1134" i="1" s="1"/>
  <c r="Z1134" i="1" s="1"/>
  <c r="M1133" i="1"/>
  <c r="AI1133" i="1" s="1"/>
  <c r="Z1133" i="1" s="1"/>
  <c r="M1132" i="1"/>
  <c r="AI1132" i="1" s="1"/>
  <c r="Z1132" i="1" s="1"/>
  <c r="M1131" i="1"/>
  <c r="AI1131" i="1" s="1"/>
  <c r="Z1131" i="1" s="1"/>
  <c r="M1130" i="1"/>
  <c r="AI1130" i="1" s="1"/>
  <c r="Z1130" i="1" s="1"/>
  <c r="M1129" i="1"/>
  <c r="AI1129" i="1"/>
  <c r="Z1129" i="1" s="1"/>
  <c r="M1128" i="1"/>
  <c r="AI1128" i="1"/>
  <c r="Z1128" i="1" s="1"/>
  <c r="M1127" i="1"/>
  <c r="AI1127" i="1"/>
  <c r="Z1127" i="1" s="1"/>
  <c r="M1126" i="1"/>
  <c r="AI1126" i="1"/>
  <c r="Z1126" i="1" s="1"/>
  <c r="M1125" i="1"/>
  <c r="AI1125" i="1" s="1"/>
  <c r="Z1125" i="1" s="1"/>
  <c r="M1124" i="1"/>
  <c r="AI1124" i="1" s="1"/>
  <c r="Z1124" i="1" s="1"/>
  <c r="M1123" i="1"/>
  <c r="AI1123" i="1" s="1"/>
  <c r="Z1123" i="1" s="1"/>
  <c r="M1122" i="1"/>
  <c r="AI1122" i="1" s="1"/>
  <c r="Z1122" i="1"/>
  <c r="M1121" i="1"/>
  <c r="AI1121" i="1"/>
  <c r="Z1121" i="1" s="1"/>
  <c r="M1120" i="1"/>
  <c r="AI1120" i="1"/>
  <c r="M1119" i="1"/>
  <c r="AI1119" i="1"/>
  <c r="Z1119" i="1"/>
  <c r="M1118" i="1"/>
  <c r="AI1118" i="1"/>
  <c r="Z1118" i="1" s="1"/>
  <c r="M1117" i="1"/>
  <c r="AI1117" i="1" s="1"/>
  <c r="Z1117" i="1" s="1"/>
  <c r="M1116" i="1"/>
  <c r="AI1116" i="1"/>
  <c r="Z1116" i="1" s="1"/>
  <c r="M1115" i="1"/>
  <c r="AI1115" i="1" s="1"/>
  <c r="Z1115" i="1"/>
  <c r="M1114" i="1"/>
  <c r="AI1114" i="1" s="1"/>
  <c r="Z1114" i="1"/>
  <c r="M1113" i="1"/>
  <c r="AI1113" i="1" s="1"/>
  <c r="Z1113" i="1" s="1"/>
  <c r="M1112" i="1"/>
  <c r="AI1112" i="1"/>
  <c r="Z1112" i="1" s="1"/>
  <c r="M1111" i="1"/>
  <c r="AI1111" i="1"/>
  <c r="Z1111" i="1"/>
  <c r="M1110" i="1"/>
  <c r="AI1110" i="1" s="1"/>
  <c r="Z1110" i="1" s="1"/>
  <c r="M1109" i="1"/>
  <c r="AI1109" i="1" s="1"/>
  <c r="Z1109" i="1" s="1"/>
  <c r="M1108" i="1"/>
  <c r="AI1108" i="1" s="1"/>
  <c r="Z1108" i="1" s="1"/>
  <c r="M1107" i="1"/>
  <c r="AI1107" i="1" s="1"/>
  <c r="Z1107" i="1"/>
  <c r="M1106" i="1"/>
  <c r="AI1106" i="1" s="1"/>
  <c r="Z1106" i="1" s="1"/>
  <c r="M1105" i="1"/>
  <c r="AI1105" i="1" s="1"/>
  <c r="Z1105" i="1" s="1"/>
  <c r="M1104" i="1"/>
  <c r="AI1104" i="1"/>
  <c r="Z1104" i="1" s="1"/>
  <c r="M1103" i="1"/>
  <c r="AI1103" i="1"/>
  <c r="Z1103" i="1" s="1"/>
  <c r="M1102" i="1"/>
  <c r="AI1102" i="1" s="1"/>
  <c r="Z1102" i="1" s="1"/>
  <c r="M1101" i="1"/>
  <c r="AI1101" i="1" s="1"/>
  <c r="Z1101" i="1" s="1"/>
  <c r="M1100" i="1"/>
  <c r="AI1100" i="1" s="1"/>
  <c r="Z1100" i="1"/>
  <c r="M1099" i="1"/>
  <c r="AI1099" i="1" s="1"/>
  <c r="Z1099" i="1" s="1"/>
  <c r="M1098" i="1"/>
  <c r="AI1098" i="1" s="1"/>
  <c r="Z1098" i="1" s="1"/>
  <c r="M1097" i="1"/>
  <c r="AI1097" i="1"/>
  <c r="Z1097" i="1" s="1"/>
  <c r="M1096" i="1"/>
  <c r="AI1096" i="1"/>
  <c r="Z1096" i="1" s="1"/>
  <c r="M1095" i="1"/>
  <c r="AI1095" i="1"/>
  <c r="Z1095" i="1" s="1"/>
  <c r="M1094" i="1"/>
  <c r="AI1094" i="1"/>
  <c r="Z1094" i="1" s="1"/>
  <c r="M1093" i="1"/>
  <c r="AI1093" i="1" s="1"/>
  <c r="Z1093" i="1" s="1"/>
  <c r="M1092" i="1"/>
  <c r="AI1092" i="1" s="1"/>
  <c r="Z1092" i="1" s="1"/>
  <c r="M1091" i="1"/>
  <c r="AI1091" i="1" s="1"/>
  <c r="Z1091" i="1" s="1"/>
  <c r="M1090" i="1"/>
  <c r="AI1090" i="1" s="1"/>
  <c r="Z1090" i="1"/>
  <c r="M1089" i="1"/>
  <c r="AI1089" i="1"/>
  <c r="Z1089" i="1" s="1"/>
  <c r="M1088" i="1"/>
  <c r="AI1088" i="1"/>
  <c r="Z1088" i="1" s="1"/>
  <c r="M1087" i="1"/>
  <c r="AI1087" i="1"/>
  <c r="Z1087" i="1"/>
  <c r="M1086" i="1"/>
  <c r="AI1086" i="1"/>
  <c r="Z1086" i="1" s="1"/>
  <c r="M1085" i="1"/>
  <c r="AI1085" i="1" s="1"/>
  <c r="Z1085" i="1" s="1"/>
  <c r="M1084" i="1"/>
  <c r="AI1084" i="1"/>
  <c r="Z1084" i="1" s="1"/>
  <c r="M1083" i="1"/>
  <c r="AI1083" i="1" s="1"/>
  <c r="Z1083" i="1"/>
  <c r="M1082" i="1"/>
  <c r="AI1082" i="1" s="1"/>
  <c r="Z1082" i="1"/>
  <c r="M1081" i="1"/>
  <c r="AI1081" i="1" s="1"/>
  <c r="Z1081" i="1" s="1"/>
  <c r="M1080" i="1"/>
  <c r="AI1080" i="1"/>
  <c r="Z1080" i="1" s="1"/>
  <c r="M1079" i="1"/>
  <c r="AI1079" i="1"/>
  <c r="Z1079" i="1"/>
  <c r="M1078" i="1"/>
  <c r="AI1078" i="1" s="1"/>
  <c r="M1077" i="1"/>
  <c r="AI1077" i="1" s="1"/>
  <c r="Z1077" i="1" s="1"/>
  <c r="M1076" i="1"/>
  <c r="AI1076" i="1"/>
  <c r="Z1076" i="1"/>
  <c r="M1075" i="1"/>
  <c r="AI1075" i="1" s="1"/>
  <c r="Z1075" i="1"/>
  <c r="M1074" i="1"/>
  <c r="AI1074" i="1" s="1"/>
  <c r="Z1074" i="1" s="1"/>
  <c r="M1073" i="1"/>
  <c r="AI1073" i="1" s="1"/>
  <c r="Z1073" i="1" s="1"/>
  <c r="M1072" i="1"/>
  <c r="AI1072" i="1"/>
  <c r="Z1072" i="1" s="1"/>
  <c r="M1071" i="1"/>
  <c r="AI1071" i="1"/>
  <c r="Z1071" i="1" s="1"/>
  <c r="M1070" i="1"/>
  <c r="AI1070" i="1" s="1"/>
  <c r="Z1070" i="1" s="1"/>
  <c r="M1069" i="1"/>
  <c r="AI1069" i="1" s="1"/>
  <c r="Z1069" i="1" s="1"/>
  <c r="M1068" i="1"/>
  <c r="AI1068" i="1" s="1"/>
  <c r="Z1068" i="1" s="1"/>
  <c r="M1067" i="1"/>
  <c r="AI1067" i="1" s="1"/>
  <c r="Z1067" i="1" s="1"/>
  <c r="M1066" i="1"/>
  <c r="AI1066" i="1" s="1"/>
  <c r="Z1066" i="1" s="1"/>
  <c r="M1065" i="1"/>
  <c r="AI1065" i="1"/>
  <c r="Z1065" i="1" s="1"/>
  <c r="M1064" i="1"/>
  <c r="AI1064" i="1"/>
  <c r="Z1064" i="1" s="1"/>
  <c r="M1063" i="1"/>
  <c r="AI1063" i="1"/>
  <c r="Z1063" i="1" s="1"/>
  <c r="M1062" i="1"/>
  <c r="AI1062" i="1"/>
  <c r="Z1062" i="1" s="1"/>
  <c r="M1061" i="1"/>
  <c r="AI1061" i="1" s="1"/>
  <c r="Z1061" i="1" s="1"/>
  <c r="M1060" i="1"/>
  <c r="AI1060" i="1" s="1"/>
  <c r="Z1060" i="1" s="1"/>
  <c r="M1059" i="1"/>
  <c r="AI1059" i="1" s="1"/>
  <c r="Z1059" i="1" s="1"/>
  <c r="M1058" i="1"/>
  <c r="AI1058" i="1" s="1"/>
  <c r="Z1058" i="1"/>
  <c r="M1057" i="1"/>
  <c r="AI1057" i="1"/>
  <c r="Z1057" i="1" s="1"/>
  <c r="M1056" i="1"/>
  <c r="AI1056" i="1"/>
  <c r="Z1056" i="1" s="1"/>
  <c r="M1055" i="1"/>
  <c r="AI1055" i="1"/>
  <c r="Z1055" i="1"/>
  <c r="M1054" i="1"/>
  <c r="AI1054" i="1"/>
  <c r="Z1054" i="1" s="1"/>
  <c r="M1053" i="1"/>
  <c r="AI1053" i="1" s="1"/>
  <c r="Z1053" i="1" s="1"/>
  <c r="M1052" i="1"/>
  <c r="AI1052" i="1"/>
  <c r="Z1052" i="1" s="1"/>
  <c r="M1051" i="1"/>
  <c r="AI1051" i="1" s="1"/>
  <c r="Z1051" i="1"/>
  <c r="M1050" i="1"/>
  <c r="AI1050" i="1" s="1"/>
  <c r="Z1050" i="1"/>
  <c r="M1049" i="1"/>
  <c r="AI1049" i="1" s="1"/>
  <c r="Z1049" i="1" s="1"/>
  <c r="M1048" i="1"/>
  <c r="AI1048" i="1"/>
  <c r="Z1048" i="1" s="1"/>
  <c r="M1047" i="1"/>
  <c r="AI1047" i="1"/>
  <c r="Z1047" i="1"/>
  <c r="M1046" i="1"/>
  <c r="AI1046" i="1" s="1"/>
  <c r="Z1046" i="1" s="1"/>
  <c r="M1045" i="1"/>
  <c r="AI1045" i="1" s="1"/>
  <c r="Z1045" i="1" s="1"/>
  <c r="M1044" i="1"/>
  <c r="AI1044" i="1"/>
  <c r="Z1044" i="1"/>
  <c r="M1043" i="1"/>
  <c r="AI1043" i="1" s="1"/>
  <c r="Z1043" i="1"/>
  <c r="M1042" i="1"/>
  <c r="AI1042" i="1" s="1"/>
  <c r="Z1042" i="1" s="1"/>
  <c r="M1041" i="1"/>
  <c r="AI1041" i="1" s="1"/>
  <c r="Z1041" i="1" s="1"/>
  <c r="M1040" i="1"/>
  <c r="AI1040" i="1"/>
  <c r="Z1040" i="1" s="1"/>
  <c r="M1039" i="1"/>
  <c r="AI1039" i="1"/>
  <c r="Z1039" i="1" s="1"/>
  <c r="M1038" i="1"/>
  <c r="AI1038" i="1" s="1"/>
  <c r="Z1038" i="1" s="1"/>
  <c r="M1037" i="1"/>
  <c r="AI1037" i="1" s="1"/>
  <c r="Z1037" i="1" s="1"/>
  <c r="M1036" i="1"/>
  <c r="AI1036" i="1" s="1"/>
  <c r="Z1036" i="1" s="1"/>
  <c r="M1035" i="1"/>
  <c r="AI1035" i="1" s="1"/>
  <c r="Z1035" i="1" s="1"/>
  <c r="M1034" i="1"/>
  <c r="AI1034" i="1" s="1"/>
  <c r="Z1034" i="1" s="1"/>
  <c r="M1033" i="1"/>
  <c r="AI1033" i="1"/>
  <c r="Z1033" i="1" s="1"/>
  <c r="M1032" i="1"/>
  <c r="AI1032" i="1"/>
  <c r="Z1032" i="1" s="1"/>
  <c r="M1031" i="1"/>
  <c r="AI1031" i="1"/>
  <c r="Z1031" i="1" s="1"/>
  <c r="M1030" i="1"/>
  <c r="AI1030" i="1"/>
  <c r="Z1030" i="1" s="1"/>
  <c r="M1029" i="1"/>
  <c r="AI1029" i="1" s="1"/>
  <c r="Z1029" i="1" s="1"/>
  <c r="M1028" i="1"/>
  <c r="AI1028" i="1" s="1"/>
  <c r="Z1028" i="1" s="1"/>
  <c r="M1027" i="1"/>
  <c r="AI1027" i="1" s="1"/>
  <c r="Z1027" i="1" s="1"/>
  <c r="M1026" i="1"/>
  <c r="AI1026" i="1" s="1"/>
  <c r="Z1026" i="1"/>
  <c r="M1025" i="1"/>
  <c r="AI1025" i="1"/>
  <c r="Z1025" i="1" s="1"/>
  <c r="M1024" i="1"/>
  <c r="AI1024" i="1"/>
  <c r="Z1024" i="1" s="1"/>
  <c r="M1023" i="1"/>
  <c r="AI1023" i="1"/>
  <c r="Z1023" i="1"/>
  <c r="M1022" i="1"/>
  <c r="AI1022" i="1"/>
  <c r="Z1022" i="1" s="1"/>
  <c r="M1021" i="1"/>
  <c r="AI1021" i="1" s="1"/>
  <c r="Z1021" i="1" s="1"/>
  <c r="M1020" i="1"/>
  <c r="AI1020" i="1"/>
  <c r="Z1020" i="1" s="1"/>
  <c r="M1019" i="1"/>
  <c r="AI1019" i="1" s="1"/>
  <c r="Z1019" i="1"/>
  <c r="M1018" i="1"/>
  <c r="AI1018" i="1" s="1"/>
  <c r="Z1018" i="1"/>
  <c r="M1017" i="1"/>
  <c r="AI1017" i="1" s="1"/>
  <c r="Z1017" i="1" s="1"/>
  <c r="M1016" i="1"/>
  <c r="AI1016" i="1"/>
  <c r="Z1016" i="1" s="1"/>
  <c r="M1015" i="1"/>
  <c r="AI1015" i="1"/>
  <c r="Z1015" i="1"/>
  <c r="M1014" i="1"/>
  <c r="AI1014" i="1" s="1"/>
  <c r="Z1014" i="1" s="1"/>
  <c r="M1013" i="1"/>
  <c r="AI1013" i="1" s="1"/>
  <c r="Z1013" i="1" s="1"/>
  <c r="M1012" i="1"/>
  <c r="AI1012" i="1"/>
  <c r="Z1012" i="1"/>
  <c r="M1011" i="1"/>
  <c r="AI1011" i="1" s="1"/>
  <c r="Z1011" i="1"/>
  <c r="M1010" i="1"/>
  <c r="AI1010" i="1" s="1"/>
  <c r="Z1010" i="1" s="1"/>
  <c r="M1009" i="1"/>
  <c r="AI1009" i="1" s="1"/>
  <c r="Z1009" i="1" s="1"/>
  <c r="M1008" i="1"/>
  <c r="AI1008" i="1"/>
  <c r="Z1008" i="1" s="1"/>
  <c r="M1007" i="1"/>
  <c r="AI1007" i="1"/>
  <c r="Z1007" i="1" s="1"/>
  <c r="M1006" i="1"/>
  <c r="AI1006" i="1" s="1"/>
  <c r="Z1006" i="1" s="1"/>
  <c r="M1005" i="1"/>
  <c r="AI1005" i="1" s="1"/>
  <c r="Z1005" i="1" s="1"/>
  <c r="M1004" i="1"/>
  <c r="AI1004" i="1" s="1"/>
  <c r="Z1004" i="1"/>
  <c r="M1003" i="1"/>
  <c r="AI1003" i="1" s="1"/>
  <c r="Z1003" i="1" s="1"/>
  <c r="M1002" i="1"/>
  <c r="AI1002" i="1"/>
  <c r="Z1002" i="1"/>
  <c r="M1001" i="1"/>
  <c r="AI1001" i="1" s="1"/>
  <c r="Z1001" i="1"/>
  <c r="M1000" i="1"/>
  <c r="AI1000" i="1"/>
  <c r="Z1000" i="1" s="1"/>
  <c r="M999" i="1"/>
  <c r="AI999" i="1"/>
  <c r="Z999" i="1"/>
  <c r="M998" i="1"/>
  <c r="AI998" i="1" s="1"/>
  <c r="Z998" i="1" s="1"/>
  <c r="M997" i="1"/>
  <c r="AI997" i="1" s="1"/>
  <c r="Z997" i="1" s="1"/>
  <c r="M996" i="1"/>
  <c r="AI996" i="1" s="1"/>
  <c r="Z996" i="1" s="1"/>
  <c r="M995" i="1"/>
  <c r="AI995" i="1" s="1"/>
  <c r="Z995" i="1"/>
  <c r="M994" i="1"/>
  <c r="AI994" i="1" s="1"/>
  <c r="Z994" i="1" s="1"/>
  <c r="M993" i="1"/>
  <c r="AI993" i="1" s="1"/>
  <c r="Z993" i="1" s="1"/>
  <c r="M992" i="1"/>
  <c r="AI992" i="1"/>
  <c r="Z992" i="1" s="1"/>
  <c r="M991" i="1"/>
  <c r="AI991" i="1"/>
  <c r="Z991" i="1" s="1"/>
  <c r="M990" i="1"/>
  <c r="AI990" i="1" s="1"/>
  <c r="Z990" i="1" s="1"/>
  <c r="M989" i="1"/>
  <c r="AI989" i="1" s="1"/>
  <c r="Z989" i="1" s="1"/>
  <c r="M988" i="1"/>
  <c r="AI988" i="1" s="1"/>
  <c r="Z988" i="1" s="1"/>
  <c r="M987" i="1"/>
  <c r="AI987" i="1" s="1"/>
  <c r="Z987" i="1" s="1"/>
  <c r="M986" i="1"/>
  <c r="AI986" i="1" s="1"/>
  <c r="Z986" i="1" s="1"/>
  <c r="M985" i="1"/>
  <c r="AI985" i="1"/>
  <c r="Z985" i="1" s="1"/>
  <c r="M984" i="1"/>
  <c r="AI984" i="1"/>
  <c r="Z984" i="1" s="1"/>
  <c r="M983" i="1"/>
  <c r="AI983" i="1"/>
  <c r="Z983" i="1" s="1"/>
  <c r="M982" i="1"/>
  <c r="AI982" i="1"/>
  <c r="Z982" i="1" s="1"/>
  <c r="M981" i="1"/>
  <c r="AI981" i="1" s="1"/>
  <c r="Z981" i="1" s="1"/>
  <c r="M980" i="1"/>
  <c r="AI980" i="1"/>
  <c r="Z980" i="1" s="1"/>
  <c r="M979" i="1"/>
  <c r="AI979" i="1" s="1"/>
  <c r="Z979" i="1" s="1"/>
  <c r="M978" i="1"/>
  <c r="AI978" i="1" s="1"/>
  <c r="Z978" i="1"/>
  <c r="M977" i="1"/>
  <c r="AI977" i="1" s="1"/>
  <c r="Z977" i="1"/>
  <c r="M976" i="1"/>
  <c r="AI976" i="1"/>
  <c r="Z976" i="1" s="1"/>
  <c r="M975" i="1"/>
  <c r="AI975" i="1"/>
  <c r="Z975" i="1"/>
  <c r="M974" i="1"/>
  <c r="AI974" i="1" s="1"/>
  <c r="Z974" i="1" s="1"/>
  <c r="M973" i="1"/>
  <c r="AI973" i="1" s="1"/>
  <c r="Z973" i="1" s="1"/>
  <c r="M972" i="1"/>
  <c r="AI972" i="1"/>
  <c r="Z972" i="1" s="1"/>
  <c r="M971" i="1"/>
  <c r="AI971" i="1" s="1"/>
  <c r="Z971" i="1"/>
  <c r="M970" i="1"/>
  <c r="AI970" i="1" s="1"/>
  <c r="Z970" i="1" s="1"/>
  <c r="M969" i="1"/>
  <c r="AI969" i="1" s="1"/>
  <c r="Z969" i="1"/>
  <c r="M968" i="1"/>
  <c r="AI968" i="1"/>
  <c r="Z968" i="1" s="1"/>
  <c r="M967" i="1"/>
  <c r="AI967" i="1"/>
  <c r="Z967" i="1" s="1"/>
  <c r="M966" i="1"/>
  <c r="AI966" i="1" s="1"/>
  <c r="Z966" i="1" s="1"/>
  <c r="M965" i="1"/>
  <c r="AI965" i="1" s="1"/>
  <c r="Z965" i="1" s="1"/>
  <c r="M964" i="1"/>
  <c r="AI964" i="1" s="1"/>
  <c r="Z964" i="1" s="1"/>
  <c r="M963" i="1"/>
  <c r="AI963" i="1" s="1"/>
  <c r="Z963" i="1" s="1"/>
  <c r="M962" i="1"/>
  <c r="AI962" i="1" s="1"/>
  <c r="Z962" i="1" s="1"/>
  <c r="M961" i="1"/>
  <c r="AI961" i="1" s="1"/>
  <c r="Z961" i="1" s="1"/>
  <c r="M960" i="1"/>
  <c r="AI960" i="1"/>
  <c r="Z960" i="1" s="1"/>
  <c r="M959" i="1"/>
  <c r="AI959" i="1"/>
  <c r="Z959" i="1" s="1"/>
  <c r="M958" i="1"/>
  <c r="AI958" i="1" s="1"/>
  <c r="Z958" i="1" s="1"/>
  <c r="M957" i="1"/>
  <c r="AI957" i="1" s="1"/>
  <c r="Z957" i="1" s="1"/>
  <c r="M956" i="1"/>
  <c r="AI956" i="1" s="1"/>
  <c r="Z956" i="1" s="1"/>
  <c r="M955" i="1"/>
  <c r="AI955" i="1" s="1"/>
  <c r="Z955" i="1" s="1"/>
  <c r="M954" i="1"/>
  <c r="AI954" i="1" s="1"/>
  <c r="Z954" i="1" s="1"/>
  <c r="M953" i="1"/>
  <c r="AI953" i="1"/>
  <c r="Z953" i="1" s="1"/>
  <c r="M952" i="1"/>
  <c r="AI952" i="1"/>
  <c r="Z952" i="1" s="1"/>
  <c r="M951" i="1"/>
  <c r="AI951" i="1"/>
  <c r="Z951" i="1" s="1"/>
  <c r="M950" i="1"/>
  <c r="AI950" i="1"/>
  <c r="Z950" i="1" s="1"/>
  <c r="M949" i="1"/>
  <c r="AI949" i="1" s="1"/>
  <c r="Z949" i="1" s="1"/>
  <c r="M948" i="1"/>
  <c r="AI948" i="1"/>
  <c r="Z948" i="1" s="1"/>
  <c r="M947" i="1"/>
  <c r="AI947" i="1" s="1"/>
  <c r="Z947" i="1" s="1"/>
  <c r="M946" i="1"/>
  <c r="AI946" i="1" s="1"/>
  <c r="Z946" i="1"/>
  <c r="M945" i="1"/>
  <c r="AI945" i="1" s="1"/>
  <c r="Z945" i="1" s="1"/>
  <c r="M944" i="1"/>
  <c r="AI944" i="1"/>
  <c r="Z944" i="1" s="1"/>
  <c r="M943" i="1"/>
  <c r="AI943" i="1"/>
  <c r="Z943" i="1"/>
  <c r="M942" i="1"/>
  <c r="AI942" i="1" s="1"/>
  <c r="Z942" i="1" s="1"/>
  <c r="M941" i="1"/>
  <c r="AI941" i="1" s="1"/>
  <c r="Z941" i="1" s="1"/>
  <c r="M940" i="1"/>
  <c r="AI940" i="1"/>
  <c r="Z940" i="1" s="1"/>
  <c r="M939" i="1"/>
  <c r="AI939" i="1" s="1"/>
  <c r="Z939" i="1"/>
  <c r="M938" i="1"/>
  <c r="AI938" i="1" s="1"/>
  <c r="Z938" i="1" s="1"/>
  <c r="M937" i="1"/>
  <c r="AI937" i="1" s="1"/>
  <c r="Z937" i="1" s="1"/>
  <c r="M936" i="1"/>
  <c r="AI936" i="1"/>
  <c r="Z936" i="1" s="1"/>
  <c r="M935" i="1"/>
  <c r="AI935" i="1"/>
  <c r="Z935" i="1" s="1"/>
  <c r="M934" i="1"/>
  <c r="AI934" i="1" s="1"/>
  <c r="Z934" i="1" s="1"/>
  <c r="M933" i="1"/>
  <c r="AI933" i="1" s="1"/>
  <c r="Z933" i="1" s="1"/>
  <c r="M932" i="1"/>
  <c r="AI932" i="1" s="1"/>
  <c r="Z932" i="1" s="1"/>
  <c r="M931" i="1"/>
  <c r="AI931" i="1" s="1"/>
  <c r="Z931" i="1" s="1"/>
  <c r="M930" i="1"/>
  <c r="AI930" i="1" s="1"/>
  <c r="Z930" i="1" s="1"/>
  <c r="M929" i="1"/>
  <c r="AI929" i="1" s="1"/>
  <c r="Z929" i="1" s="1"/>
  <c r="M928" i="1"/>
  <c r="AI928" i="1"/>
  <c r="Z928" i="1" s="1"/>
  <c r="M927" i="1"/>
  <c r="AI927" i="1"/>
  <c r="Z927" i="1" s="1"/>
  <c r="M926" i="1"/>
  <c r="AI926" i="1" s="1"/>
  <c r="Z926" i="1" s="1"/>
  <c r="M925" i="1"/>
  <c r="AI925" i="1" s="1"/>
  <c r="Z925" i="1" s="1"/>
  <c r="M924" i="1"/>
  <c r="AI924" i="1" s="1"/>
  <c r="Z924" i="1" s="1"/>
  <c r="M923" i="1"/>
  <c r="AI923" i="1" s="1"/>
  <c r="Z923" i="1" s="1"/>
  <c r="M922" i="1"/>
  <c r="AI922" i="1" s="1"/>
  <c r="Z922" i="1" s="1"/>
  <c r="M921" i="1"/>
  <c r="AI921" i="1"/>
  <c r="Z921" i="1" s="1"/>
  <c r="M920" i="1"/>
  <c r="AI920" i="1"/>
  <c r="Z920" i="1" s="1"/>
  <c r="M919" i="1"/>
  <c r="AI919" i="1"/>
  <c r="Z919" i="1" s="1"/>
  <c r="M918" i="1"/>
  <c r="AI918" i="1"/>
  <c r="Z918" i="1" s="1"/>
  <c r="M917" i="1"/>
  <c r="AI917" i="1" s="1"/>
  <c r="Z917" i="1" s="1"/>
  <c r="M916" i="1"/>
  <c r="AI916" i="1"/>
  <c r="Z916" i="1" s="1"/>
  <c r="M915" i="1"/>
  <c r="AI915" i="1" s="1"/>
  <c r="Z915" i="1" s="1"/>
  <c r="M914" i="1"/>
  <c r="AI914" i="1" s="1"/>
  <c r="Z914" i="1"/>
  <c r="M913" i="1"/>
  <c r="AI913" i="1" s="1"/>
  <c r="Z913" i="1"/>
  <c r="M912" i="1"/>
  <c r="AI912" i="1"/>
  <c r="Z912" i="1" s="1"/>
  <c r="M911" i="1"/>
  <c r="AI911" i="1"/>
  <c r="Z911" i="1"/>
  <c r="M910" i="1"/>
  <c r="AI910" i="1" s="1"/>
  <c r="Z910" i="1" s="1"/>
  <c r="M909" i="1"/>
  <c r="AI909" i="1" s="1"/>
  <c r="Z909" i="1" s="1"/>
  <c r="M908" i="1"/>
  <c r="AI908" i="1"/>
  <c r="Z908" i="1" s="1"/>
  <c r="M907" i="1"/>
  <c r="AI907" i="1" s="1"/>
  <c r="Z907" i="1"/>
  <c r="M906" i="1"/>
  <c r="AI906" i="1" s="1"/>
  <c r="Z906" i="1" s="1"/>
  <c r="M905" i="1"/>
  <c r="AI905" i="1" s="1"/>
  <c r="Z905" i="1"/>
  <c r="M904" i="1"/>
  <c r="AI904" i="1"/>
  <c r="Z904" i="1" s="1"/>
  <c r="M903" i="1"/>
  <c r="AI903" i="1"/>
  <c r="Z903" i="1" s="1"/>
  <c r="M902" i="1"/>
  <c r="AI902" i="1" s="1"/>
  <c r="Z902" i="1" s="1"/>
  <c r="M901" i="1"/>
  <c r="AI901" i="1" s="1"/>
  <c r="Z901" i="1" s="1"/>
  <c r="M900" i="1"/>
  <c r="AI900" i="1" s="1"/>
  <c r="Z900" i="1" s="1"/>
  <c r="M899" i="1"/>
  <c r="AI899" i="1" s="1"/>
  <c r="Z899" i="1" s="1"/>
  <c r="M898" i="1"/>
  <c r="AI898" i="1" s="1"/>
  <c r="Z898" i="1" s="1"/>
  <c r="M897" i="1"/>
  <c r="AI897" i="1" s="1"/>
  <c r="Z897" i="1" s="1"/>
  <c r="M896" i="1"/>
  <c r="AI896" i="1"/>
  <c r="Z896" i="1" s="1"/>
  <c r="M895" i="1"/>
  <c r="AI895" i="1"/>
  <c r="Z895" i="1" s="1"/>
  <c r="M894" i="1"/>
  <c r="AI894" i="1" s="1"/>
  <c r="Z894" i="1" s="1"/>
  <c r="M893" i="1"/>
  <c r="AI893" i="1" s="1"/>
  <c r="Z893" i="1" s="1"/>
  <c r="M892" i="1"/>
  <c r="AI892" i="1" s="1"/>
  <c r="Z892" i="1" s="1"/>
  <c r="M891" i="1"/>
  <c r="AI891" i="1" s="1"/>
  <c r="Z891" i="1" s="1"/>
  <c r="M890" i="1"/>
  <c r="AI890" i="1" s="1"/>
  <c r="Z890" i="1" s="1"/>
  <c r="M889" i="1"/>
  <c r="AI889" i="1"/>
  <c r="Z889" i="1" s="1"/>
  <c r="M888" i="1"/>
  <c r="AI888" i="1"/>
  <c r="Z888" i="1" s="1"/>
  <c r="M887" i="1"/>
  <c r="AI887" i="1"/>
  <c r="Z887" i="1" s="1"/>
  <c r="M886" i="1"/>
  <c r="AI886" i="1"/>
  <c r="Z886" i="1" s="1"/>
  <c r="M885" i="1"/>
  <c r="AI885" i="1" s="1"/>
  <c r="Z885" i="1" s="1"/>
  <c r="M884" i="1"/>
  <c r="AI884" i="1"/>
  <c r="Z884" i="1" s="1"/>
  <c r="M883" i="1"/>
  <c r="AI883" i="1" s="1"/>
  <c r="Z883" i="1" s="1"/>
  <c r="M882" i="1"/>
  <c r="AI882" i="1" s="1"/>
  <c r="Z882" i="1"/>
  <c r="M881" i="1"/>
  <c r="AI881" i="1" s="1"/>
  <c r="Z881" i="1"/>
  <c r="M880" i="1"/>
  <c r="AI880" i="1"/>
  <c r="Z880" i="1" s="1"/>
  <c r="M879" i="1"/>
  <c r="AI879" i="1"/>
  <c r="Z879" i="1"/>
  <c r="M878" i="1"/>
  <c r="AI878" i="1" s="1"/>
  <c r="Z878" i="1" s="1"/>
  <c r="M877" i="1"/>
  <c r="AI877" i="1" s="1"/>
  <c r="Z877" i="1" s="1"/>
  <c r="M876" i="1"/>
  <c r="AI876" i="1"/>
  <c r="Z876" i="1" s="1"/>
  <c r="M875" i="1"/>
  <c r="AI875" i="1" s="1"/>
  <c r="Z875" i="1"/>
  <c r="M874" i="1"/>
  <c r="AI874" i="1" s="1"/>
  <c r="Z874" i="1" s="1"/>
  <c r="M873" i="1"/>
  <c r="AI873" i="1" s="1"/>
  <c r="Z873" i="1" s="1"/>
  <c r="M872" i="1"/>
  <c r="AI872" i="1"/>
  <c r="Z872" i="1" s="1"/>
  <c r="M871" i="1"/>
  <c r="AI871" i="1"/>
  <c r="Z871" i="1" s="1"/>
  <c r="M870" i="1"/>
  <c r="AI870" i="1" s="1"/>
  <c r="Z870" i="1" s="1"/>
  <c r="M869" i="1"/>
  <c r="AI869" i="1" s="1"/>
  <c r="Z869" i="1" s="1"/>
  <c r="M868" i="1"/>
  <c r="AI868" i="1" s="1"/>
  <c r="Z868" i="1" s="1"/>
  <c r="M867" i="1"/>
  <c r="AI867" i="1" s="1"/>
  <c r="Z867" i="1"/>
  <c r="M866" i="1"/>
  <c r="AI866" i="1" s="1"/>
  <c r="Z866" i="1" s="1"/>
  <c r="M865" i="1"/>
  <c r="AI865" i="1" s="1"/>
  <c r="Z865" i="1" s="1"/>
  <c r="M864" i="1"/>
  <c r="AI864" i="1"/>
  <c r="Z864" i="1" s="1"/>
  <c r="M863" i="1"/>
  <c r="AI863" i="1"/>
  <c r="Z863" i="1" s="1"/>
  <c r="M862" i="1"/>
  <c r="AI862" i="1" s="1"/>
  <c r="Z862" i="1" s="1"/>
  <c r="M861" i="1"/>
  <c r="AI861" i="1" s="1"/>
  <c r="Z861" i="1" s="1"/>
  <c r="M860" i="1"/>
  <c r="AI860" i="1" s="1"/>
  <c r="Z860" i="1" s="1"/>
  <c r="M859" i="1"/>
  <c r="AI859" i="1" s="1"/>
  <c r="Z859" i="1" s="1"/>
  <c r="M858" i="1"/>
  <c r="AI858" i="1" s="1"/>
  <c r="Z858" i="1" s="1"/>
  <c r="M857" i="1"/>
  <c r="AI857" i="1"/>
  <c r="Z857" i="1" s="1"/>
  <c r="M856" i="1"/>
  <c r="AI856" i="1"/>
  <c r="Z856" i="1" s="1"/>
  <c r="M855" i="1"/>
  <c r="AI855" i="1"/>
  <c r="Z855" i="1" s="1"/>
  <c r="M854" i="1"/>
  <c r="AI854" i="1"/>
  <c r="Z854" i="1" s="1"/>
  <c r="M853" i="1"/>
  <c r="AI853" i="1" s="1"/>
  <c r="Z853" i="1" s="1"/>
  <c r="M852" i="1"/>
  <c r="AI852" i="1"/>
  <c r="Z852" i="1" s="1"/>
  <c r="M851" i="1"/>
  <c r="AI851" i="1" s="1"/>
  <c r="Z851" i="1" s="1"/>
  <c r="M850" i="1"/>
  <c r="AI850" i="1" s="1"/>
  <c r="Z850" i="1"/>
  <c r="M849" i="1"/>
  <c r="AI849" i="1" s="1"/>
  <c r="Z849" i="1"/>
  <c r="M848" i="1"/>
  <c r="AI848" i="1"/>
  <c r="Z848" i="1" s="1"/>
  <c r="M847" i="1"/>
  <c r="AI847" i="1"/>
  <c r="Z847" i="1"/>
  <c r="M846" i="1"/>
  <c r="AI846" i="1" s="1"/>
  <c r="Z846" i="1" s="1"/>
  <c r="M845" i="1"/>
  <c r="AI845" i="1" s="1"/>
  <c r="Z845" i="1" s="1"/>
  <c r="M844" i="1"/>
  <c r="AI844" i="1"/>
  <c r="Z844" i="1" s="1"/>
  <c r="M843" i="1"/>
  <c r="AI843" i="1" s="1"/>
  <c r="Z843" i="1"/>
  <c r="M842" i="1"/>
  <c r="AI842" i="1" s="1"/>
  <c r="Z842" i="1" s="1"/>
  <c r="M841" i="1"/>
  <c r="AI841" i="1" s="1"/>
  <c r="Z841" i="1"/>
  <c r="M840" i="1"/>
  <c r="AI840" i="1"/>
  <c r="Z840" i="1" s="1"/>
  <c r="M839" i="1"/>
  <c r="AI839" i="1"/>
  <c r="Z839" i="1" s="1"/>
  <c r="M838" i="1"/>
  <c r="AI838" i="1" s="1"/>
  <c r="Z838" i="1" s="1"/>
  <c r="M837" i="1"/>
  <c r="AI837" i="1" s="1"/>
  <c r="Z837" i="1" s="1"/>
  <c r="M836" i="1"/>
  <c r="AI836" i="1" s="1"/>
  <c r="Z836" i="1" s="1"/>
  <c r="M835" i="1"/>
  <c r="AI835" i="1" s="1"/>
  <c r="Z835" i="1" s="1"/>
  <c r="M834" i="1"/>
  <c r="AI834" i="1" s="1"/>
  <c r="Z834" i="1" s="1"/>
  <c r="M833" i="1"/>
  <c r="AI833" i="1" s="1"/>
  <c r="Z833" i="1" s="1"/>
  <c r="M832" i="1"/>
  <c r="AI832" i="1"/>
  <c r="Z832" i="1" s="1"/>
  <c r="M831" i="1"/>
  <c r="AI831" i="1"/>
  <c r="Z831" i="1" s="1"/>
  <c r="M830" i="1"/>
  <c r="AI830" i="1" s="1"/>
  <c r="Z830" i="1" s="1"/>
  <c r="M829" i="1"/>
  <c r="AI829" i="1" s="1"/>
  <c r="Z829" i="1" s="1"/>
  <c r="M828" i="1"/>
  <c r="AI828" i="1" s="1"/>
  <c r="Z828" i="1" s="1"/>
  <c r="M827" i="1"/>
  <c r="AI827" i="1" s="1"/>
  <c r="Z827" i="1" s="1"/>
  <c r="M826" i="1"/>
  <c r="AI826" i="1" s="1"/>
  <c r="Z826" i="1" s="1"/>
  <c r="M825" i="1"/>
  <c r="AI825" i="1"/>
  <c r="Z825" i="1"/>
  <c r="M824" i="1"/>
  <c r="AI824" i="1"/>
  <c r="Z824" i="1" s="1"/>
  <c r="M823" i="1"/>
  <c r="AI823" i="1"/>
  <c r="Z823" i="1" s="1"/>
  <c r="M822" i="1"/>
  <c r="AI822" i="1"/>
  <c r="Z822" i="1" s="1"/>
  <c r="M821" i="1"/>
  <c r="AI821" i="1" s="1"/>
  <c r="Z821" i="1" s="1"/>
  <c r="M820" i="1"/>
  <c r="AI820" i="1"/>
  <c r="Z820" i="1" s="1"/>
  <c r="M819" i="1"/>
  <c r="AI819" i="1" s="1"/>
  <c r="Z819" i="1" s="1"/>
  <c r="M818" i="1"/>
  <c r="AI818" i="1" s="1"/>
  <c r="Z818" i="1"/>
  <c r="M817" i="1"/>
  <c r="AI817" i="1" s="1"/>
  <c r="Z817" i="1" s="1"/>
  <c r="M816" i="1"/>
  <c r="AI816" i="1"/>
  <c r="Z816" i="1" s="1"/>
  <c r="M815" i="1"/>
  <c r="AI815" i="1"/>
  <c r="Z815" i="1"/>
  <c r="M814" i="1"/>
  <c r="AI814" i="1" s="1"/>
  <c r="Z814" i="1" s="1"/>
  <c r="M813" i="1"/>
  <c r="AI813" i="1" s="1"/>
  <c r="Z813" i="1" s="1"/>
  <c r="M812" i="1"/>
  <c r="AI812" i="1"/>
  <c r="Z812" i="1" s="1"/>
  <c r="M811" i="1"/>
  <c r="AI811" i="1" s="1"/>
  <c r="Z811" i="1"/>
  <c r="M810" i="1"/>
  <c r="AI810" i="1" s="1"/>
  <c r="Z810" i="1" s="1"/>
  <c r="M809" i="1"/>
  <c r="AI809" i="1" s="1"/>
  <c r="Z809" i="1"/>
  <c r="M808" i="1"/>
  <c r="AI808" i="1"/>
  <c r="Z808" i="1" s="1"/>
  <c r="M807" i="1"/>
  <c r="AI807" i="1"/>
  <c r="Z807" i="1" s="1"/>
  <c r="M806" i="1"/>
  <c r="AI806" i="1" s="1"/>
  <c r="Z806" i="1" s="1"/>
  <c r="M805" i="1"/>
  <c r="AI805" i="1" s="1"/>
  <c r="Z805" i="1" s="1"/>
  <c r="M804" i="1"/>
  <c r="AI804" i="1" s="1"/>
  <c r="Z804" i="1"/>
  <c r="M803" i="1"/>
  <c r="AI803" i="1" s="1"/>
  <c r="Z803" i="1" s="1"/>
  <c r="M802" i="1"/>
  <c r="AI802" i="1" s="1"/>
  <c r="Z802" i="1" s="1"/>
  <c r="M801" i="1"/>
  <c r="AI801" i="1" s="1"/>
  <c r="Z801" i="1" s="1"/>
  <c r="M800" i="1"/>
  <c r="AI800" i="1"/>
  <c r="Z800" i="1" s="1"/>
  <c r="M799" i="1"/>
  <c r="AI799" i="1"/>
  <c r="Z799" i="1" s="1"/>
  <c r="M798" i="1"/>
  <c r="AI798" i="1" s="1"/>
  <c r="Z798" i="1" s="1"/>
  <c r="M797" i="1"/>
  <c r="AI797" i="1" s="1"/>
  <c r="Z797" i="1" s="1"/>
  <c r="M796" i="1"/>
  <c r="AI796" i="1"/>
  <c r="Z796" i="1" s="1"/>
  <c r="M795" i="1"/>
  <c r="AI795" i="1" s="1"/>
  <c r="Z795" i="1" s="1"/>
  <c r="M794" i="1"/>
  <c r="AI794" i="1" s="1"/>
  <c r="Z794" i="1" s="1"/>
  <c r="M793" i="1"/>
  <c r="AI793" i="1"/>
  <c r="Z793" i="1"/>
  <c r="M792" i="1"/>
  <c r="AI792" i="1"/>
  <c r="Z792" i="1" s="1"/>
  <c r="M791" i="1"/>
  <c r="AI791" i="1"/>
  <c r="Z791" i="1" s="1"/>
  <c r="M790" i="1"/>
  <c r="AI790" i="1"/>
  <c r="Z790" i="1" s="1"/>
  <c r="M789" i="1"/>
  <c r="AI789" i="1" s="1"/>
  <c r="Z789" i="1" s="1"/>
  <c r="M788" i="1"/>
  <c r="AI788" i="1"/>
  <c r="Z788" i="1" s="1"/>
  <c r="M787" i="1"/>
  <c r="AI787" i="1" s="1"/>
  <c r="Z787" i="1" s="1"/>
  <c r="M786" i="1"/>
  <c r="AI786" i="1" s="1"/>
  <c r="Z786" i="1"/>
  <c r="M785" i="1"/>
  <c r="AI785" i="1" s="1"/>
  <c r="Z785" i="1"/>
  <c r="M784" i="1"/>
  <c r="AI784" i="1"/>
  <c r="Z784" i="1" s="1"/>
  <c r="M783" i="1"/>
  <c r="AI783" i="1"/>
  <c r="Z783" i="1"/>
  <c r="M782" i="1"/>
  <c r="AI782" i="1" s="1"/>
  <c r="Z782" i="1" s="1"/>
  <c r="M781" i="1"/>
  <c r="AI781" i="1" s="1"/>
  <c r="Z781" i="1" s="1"/>
  <c r="M780" i="1"/>
  <c r="AI780" i="1"/>
  <c r="Z780" i="1" s="1"/>
  <c r="M779" i="1"/>
  <c r="AI779" i="1" s="1"/>
  <c r="Z779" i="1"/>
  <c r="M778" i="1"/>
  <c r="AI778" i="1" s="1"/>
  <c r="Z778" i="1" s="1"/>
  <c r="M777" i="1"/>
  <c r="AI777" i="1" s="1"/>
  <c r="M776" i="1"/>
  <c r="AI776" i="1"/>
  <c r="Z776" i="1" s="1"/>
  <c r="M775" i="1"/>
  <c r="AI775" i="1"/>
  <c r="Z775" i="1" s="1"/>
  <c r="M774" i="1"/>
  <c r="AI774" i="1" s="1"/>
  <c r="Z774" i="1" s="1"/>
  <c r="M773" i="1"/>
  <c r="AI773" i="1" s="1"/>
  <c r="Z773" i="1" s="1"/>
  <c r="M772" i="1"/>
  <c r="AI772" i="1" s="1"/>
  <c r="Z772" i="1" s="1"/>
  <c r="M771" i="1"/>
  <c r="AI771" i="1" s="1"/>
  <c r="Z771" i="1" s="1"/>
  <c r="M770" i="1"/>
  <c r="AI770" i="1" s="1"/>
  <c r="Z770" i="1" s="1"/>
  <c r="M769" i="1"/>
  <c r="AI769" i="1" s="1"/>
  <c r="Z769" i="1" s="1"/>
  <c r="M768" i="1"/>
  <c r="AI768" i="1"/>
  <c r="Z768" i="1" s="1"/>
  <c r="M767" i="1"/>
  <c r="AI767" i="1"/>
  <c r="Z767" i="1" s="1"/>
  <c r="M766" i="1"/>
  <c r="AI766" i="1" s="1"/>
  <c r="Z766" i="1" s="1"/>
  <c r="M765" i="1"/>
  <c r="AI765" i="1" s="1"/>
  <c r="Z765" i="1" s="1"/>
  <c r="M764" i="1"/>
  <c r="AI764" i="1"/>
  <c r="Z764" i="1" s="1"/>
  <c r="M763" i="1"/>
  <c r="AI763" i="1" s="1"/>
  <c r="Z763" i="1" s="1"/>
  <c r="M762" i="1"/>
  <c r="AI762" i="1" s="1"/>
  <c r="Z762" i="1" s="1"/>
  <c r="M761" i="1"/>
  <c r="AI761" i="1"/>
  <c r="Z761" i="1" s="1"/>
  <c r="M760" i="1"/>
  <c r="AI760" i="1"/>
  <c r="Z760" i="1" s="1"/>
  <c r="M759" i="1"/>
  <c r="AI759" i="1"/>
  <c r="Z759" i="1" s="1"/>
  <c r="M758" i="1"/>
  <c r="AI758" i="1"/>
  <c r="Z758" i="1" s="1"/>
  <c r="M757" i="1"/>
  <c r="AI757" i="1" s="1"/>
  <c r="Z757" i="1" s="1"/>
  <c r="M756" i="1"/>
  <c r="AI756" i="1"/>
  <c r="Z756" i="1" s="1"/>
  <c r="M755" i="1"/>
  <c r="AI755" i="1" s="1"/>
  <c r="Z755" i="1" s="1"/>
  <c r="M754" i="1"/>
  <c r="AI754" i="1" s="1"/>
  <c r="Z754" i="1"/>
  <c r="M753" i="1"/>
  <c r="AI753" i="1" s="1"/>
  <c r="Z753" i="1" s="1"/>
  <c r="M752" i="1"/>
  <c r="AI752" i="1"/>
  <c r="Z752" i="1" s="1"/>
  <c r="M751" i="1"/>
  <c r="AI751" i="1"/>
  <c r="Z751" i="1"/>
  <c r="M750" i="1"/>
  <c r="AI750" i="1" s="1"/>
  <c r="Z750" i="1" s="1"/>
  <c r="M749" i="1"/>
  <c r="AI749" i="1" s="1"/>
  <c r="Z749" i="1" s="1"/>
  <c r="M748" i="1"/>
  <c r="AI748" i="1"/>
  <c r="Z748" i="1" s="1"/>
  <c r="M747" i="1"/>
  <c r="AI747" i="1" s="1"/>
  <c r="Z747" i="1"/>
  <c r="M746" i="1"/>
  <c r="AI746" i="1" s="1"/>
  <c r="Z746" i="1" s="1"/>
  <c r="M745" i="1"/>
  <c r="AI745" i="1" s="1"/>
  <c r="Z745" i="1"/>
  <c r="M744" i="1"/>
  <c r="AI744" i="1"/>
  <c r="Z744" i="1" s="1"/>
  <c r="M743" i="1"/>
  <c r="AI743" i="1"/>
  <c r="Z743" i="1" s="1"/>
  <c r="M742" i="1"/>
  <c r="AI742" i="1" s="1"/>
  <c r="Z742" i="1" s="1"/>
  <c r="M741" i="1"/>
  <c r="AI741" i="1" s="1"/>
  <c r="Z741" i="1" s="1"/>
  <c r="M740" i="1"/>
  <c r="AI740" i="1"/>
  <c r="Z740" i="1"/>
  <c r="M739" i="1"/>
  <c r="AI739" i="1" s="1"/>
  <c r="Z739" i="1" s="1"/>
  <c r="M738" i="1"/>
  <c r="AI738" i="1" s="1"/>
  <c r="Z738" i="1" s="1"/>
  <c r="M737" i="1"/>
  <c r="AI737" i="1" s="1"/>
  <c r="Z737" i="1" s="1"/>
  <c r="M736" i="1"/>
  <c r="AI736" i="1"/>
  <c r="Z736" i="1" s="1"/>
  <c r="M735" i="1"/>
  <c r="AI735" i="1"/>
  <c r="Z735" i="1" s="1"/>
  <c r="M734" i="1"/>
  <c r="AI734" i="1" s="1"/>
  <c r="Z734" i="1" s="1"/>
  <c r="M733" i="1"/>
  <c r="AI733" i="1" s="1"/>
  <c r="Z733" i="1" s="1"/>
  <c r="M732" i="1"/>
  <c r="AI732" i="1" s="1"/>
  <c r="Z732" i="1" s="1"/>
  <c r="M731" i="1"/>
  <c r="AI731" i="1" s="1"/>
  <c r="Z731" i="1" s="1"/>
  <c r="M730" i="1"/>
  <c r="AI730" i="1" s="1"/>
  <c r="Z730" i="1" s="1"/>
  <c r="M729" i="1"/>
  <c r="AI729" i="1"/>
  <c r="Z729" i="1" s="1"/>
  <c r="M728" i="1"/>
  <c r="AI728" i="1"/>
  <c r="Z728" i="1" s="1"/>
  <c r="M727" i="1"/>
  <c r="AI727" i="1"/>
  <c r="Z727" i="1" s="1"/>
  <c r="M726" i="1"/>
  <c r="AI726" i="1"/>
  <c r="Z726" i="1" s="1"/>
  <c r="M725" i="1"/>
  <c r="AI725" i="1" s="1"/>
  <c r="Z725" i="1" s="1"/>
  <c r="M724" i="1"/>
  <c r="AI724" i="1"/>
  <c r="Z724" i="1" s="1"/>
  <c r="M723" i="1"/>
  <c r="AI723" i="1" s="1"/>
  <c r="Z723" i="1" s="1"/>
  <c r="M722" i="1"/>
  <c r="AI722" i="1"/>
  <c r="Z722" i="1"/>
  <c r="M721" i="1"/>
  <c r="AI721" i="1"/>
  <c r="Z721" i="1" s="1"/>
  <c r="M720" i="1"/>
  <c r="AI720" i="1"/>
  <c r="Z720" i="1" s="1"/>
  <c r="M719" i="1"/>
  <c r="AI719" i="1"/>
  <c r="Z719" i="1"/>
  <c r="M718" i="1"/>
  <c r="AI718" i="1"/>
  <c r="Z718" i="1" s="1"/>
  <c r="M717" i="1"/>
  <c r="AI717" i="1" s="1"/>
  <c r="M716" i="1"/>
  <c r="AI716" i="1" s="1"/>
  <c r="Z716" i="1" s="1"/>
  <c r="M715" i="1"/>
  <c r="AI715" i="1" s="1"/>
  <c r="Z715" i="1"/>
  <c r="M714" i="1"/>
  <c r="AI714" i="1" s="1"/>
  <c r="Z714" i="1"/>
  <c r="M713" i="1"/>
  <c r="AI713" i="1"/>
  <c r="Z713" i="1" s="1"/>
  <c r="M712" i="1"/>
  <c r="AI712" i="1"/>
  <c r="Z712" i="1" s="1"/>
  <c r="M711" i="1"/>
  <c r="AI711" i="1"/>
  <c r="Z711" i="1"/>
  <c r="M710" i="1"/>
  <c r="AI710" i="1"/>
  <c r="Z710" i="1" s="1"/>
  <c r="M709" i="1"/>
  <c r="AI709" i="1" s="1"/>
  <c r="Z709" i="1" s="1"/>
  <c r="M708" i="1"/>
  <c r="AI708" i="1"/>
  <c r="Z708" i="1" s="1"/>
  <c r="M707" i="1"/>
  <c r="AI707" i="1" s="1"/>
  <c r="Z707" i="1"/>
  <c r="M706" i="1"/>
  <c r="AI706" i="1" s="1"/>
  <c r="Z706" i="1"/>
  <c r="M705" i="1"/>
  <c r="AI705" i="1" s="1"/>
  <c r="Z705" i="1"/>
  <c r="M704" i="1"/>
  <c r="AI704" i="1"/>
  <c r="Z704" i="1" s="1"/>
  <c r="M703" i="1"/>
  <c r="AI703" i="1"/>
  <c r="Z703" i="1"/>
  <c r="M702" i="1"/>
  <c r="AI702" i="1" s="1"/>
  <c r="Z702" i="1" s="1"/>
  <c r="M701" i="1"/>
  <c r="AI701" i="1"/>
  <c r="Z701" i="1" s="1"/>
  <c r="M700" i="1"/>
  <c r="AI700" i="1"/>
  <c r="Z700" i="1" s="1"/>
  <c r="M699" i="1"/>
  <c r="AI699" i="1" s="1"/>
  <c r="Z699" i="1" s="1"/>
  <c r="M698" i="1"/>
  <c r="AI698" i="1"/>
  <c r="Z698" i="1" s="1"/>
  <c r="M697" i="1"/>
  <c r="AI697" i="1" s="1"/>
  <c r="Z697" i="1" s="1"/>
  <c r="M696" i="1"/>
  <c r="AI696" i="1" s="1"/>
  <c r="Z696" i="1" s="1"/>
  <c r="M695" i="1"/>
  <c r="AI695" i="1" s="1"/>
  <c r="Z695" i="1"/>
  <c r="M694" i="1"/>
  <c r="AI694" i="1"/>
  <c r="Z694" i="1" s="1"/>
  <c r="M693" i="1"/>
  <c r="AI693" i="1"/>
  <c r="AO693" i="1" s="1"/>
  <c r="AP693" i="1" s="1"/>
  <c r="Z693" i="1"/>
  <c r="M692" i="1"/>
  <c r="AI692" i="1"/>
  <c r="Z692" i="1" s="1"/>
  <c r="M691" i="1"/>
  <c r="AI691" i="1" s="1"/>
  <c r="Z691" i="1" s="1"/>
  <c r="M690" i="1"/>
  <c r="AI690" i="1"/>
  <c r="Z690" i="1" s="1"/>
  <c r="M689" i="1"/>
  <c r="AI689" i="1" s="1"/>
  <c r="Z689" i="1" s="1"/>
  <c r="M688" i="1"/>
  <c r="AI688" i="1" s="1"/>
  <c r="Z688" i="1" s="1"/>
  <c r="M687" i="1"/>
  <c r="AI687" i="1" s="1"/>
  <c r="Z687" i="1"/>
  <c r="M686" i="1"/>
  <c r="AI686" i="1"/>
  <c r="Z686" i="1" s="1"/>
  <c r="M685" i="1"/>
  <c r="AI685" i="1"/>
  <c r="Z685" i="1"/>
  <c r="M684" i="1"/>
  <c r="AI684" i="1"/>
  <c r="Z684" i="1" s="1"/>
  <c r="M683" i="1"/>
  <c r="AI683" i="1" s="1"/>
  <c r="Z683" i="1" s="1"/>
  <c r="M682" i="1"/>
  <c r="AI682" i="1"/>
  <c r="Z682" i="1" s="1"/>
  <c r="M681" i="1"/>
  <c r="AI681" i="1" s="1"/>
  <c r="Z681" i="1" s="1"/>
  <c r="M680" i="1"/>
  <c r="AI680" i="1" s="1"/>
  <c r="Z680" i="1" s="1"/>
  <c r="M679" i="1"/>
  <c r="AI679" i="1" s="1"/>
  <c r="Z679" i="1"/>
  <c r="M678" i="1"/>
  <c r="AI678" i="1"/>
  <c r="Z678" i="1" s="1"/>
  <c r="M677" i="1"/>
  <c r="AI677" i="1"/>
  <c r="Z677" i="1"/>
  <c r="M676" i="1"/>
  <c r="AI676" i="1"/>
  <c r="Z676" i="1" s="1"/>
  <c r="M675" i="1"/>
  <c r="AI675" i="1" s="1"/>
  <c r="Z675" i="1" s="1"/>
  <c r="M674" i="1"/>
  <c r="AI674" i="1"/>
  <c r="Z674" i="1" s="1"/>
  <c r="M673" i="1"/>
  <c r="AI673" i="1" s="1"/>
  <c r="Z673" i="1" s="1"/>
  <c r="M672" i="1"/>
  <c r="AI672" i="1" s="1"/>
  <c r="Z672" i="1" s="1"/>
  <c r="M671" i="1"/>
  <c r="AI671" i="1" s="1"/>
  <c r="Z671" i="1"/>
  <c r="M670" i="1"/>
  <c r="AI670" i="1"/>
  <c r="Z670" i="1" s="1"/>
  <c r="M669" i="1"/>
  <c r="AI669" i="1"/>
  <c r="Z669" i="1"/>
  <c r="M668" i="1"/>
  <c r="AI668" i="1"/>
  <c r="Z668" i="1" s="1"/>
  <c r="M667" i="1"/>
  <c r="AI667" i="1" s="1"/>
  <c r="Z667" i="1" s="1"/>
  <c r="M666" i="1"/>
  <c r="AI666" i="1"/>
  <c r="Z666" i="1" s="1"/>
  <c r="M665" i="1"/>
  <c r="AI665" i="1" s="1"/>
  <c r="Z665" i="1" s="1"/>
  <c r="M664" i="1"/>
  <c r="AI664" i="1" s="1"/>
  <c r="Z664" i="1" s="1"/>
  <c r="M663" i="1"/>
  <c r="AI663" i="1" s="1"/>
  <c r="Z663" i="1"/>
  <c r="M662" i="1"/>
  <c r="AI662" i="1"/>
  <c r="Z662" i="1" s="1"/>
  <c r="M661" i="1"/>
  <c r="AI661" i="1"/>
  <c r="Z661" i="1"/>
  <c r="M660" i="1"/>
  <c r="AI660" i="1"/>
  <c r="Z660" i="1" s="1"/>
  <c r="M659" i="1"/>
  <c r="AI659" i="1" s="1"/>
  <c r="Z659" i="1" s="1"/>
  <c r="M658" i="1"/>
  <c r="AI658" i="1"/>
  <c r="Z658" i="1" s="1"/>
  <c r="M657" i="1"/>
  <c r="AI657" i="1" s="1"/>
  <c r="Z657" i="1" s="1"/>
  <c r="M656" i="1"/>
  <c r="AI656" i="1" s="1"/>
  <c r="Z656" i="1" s="1"/>
  <c r="M655" i="1"/>
  <c r="AI655" i="1" s="1"/>
  <c r="Z655" i="1"/>
  <c r="M654" i="1"/>
  <c r="AI654" i="1"/>
  <c r="Z654" i="1" s="1"/>
  <c r="M653" i="1"/>
  <c r="AI653" i="1"/>
  <c r="Z653" i="1"/>
  <c r="M652" i="1"/>
  <c r="AI652" i="1"/>
  <c r="Z652" i="1" s="1"/>
  <c r="M651" i="1"/>
  <c r="AI651" i="1" s="1"/>
  <c r="Z651" i="1" s="1"/>
  <c r="M650" i="1"/>
  <c r="AI650" i="1"/>
  <c r="Z650" i="1" s="1"/>
  <c r="M649" i="1"/>
  <c r="AI649" i="1" s="1"/>
  <c r="Z649" i="1" s="1"/>
  <c r="M648" i="1"/>
  <c r="AI648" i="1" s="1"/>
  <c r="Z648" i="1" s="1"/>
  <c r="M647" i="1"/>
  <c r="AI647" i="1" s="1"/>
  <c r="Z647" i="1"/>
  <c r="M646" i="1"/>
  <c r="AI646" i="1"/>
  <c r="Z646" i="1" s="1"/>
  <c r="M645" i="1"/>
  <c r="AI645" i="1"/>
  <c r="Z645" i="1"/>
  <c r="M644" i="1"/>
  <c r="AI644" i="1"/>
  <c r="Z644" i="1" s="1"/>
  <c r="M643" i="1"/>
  <c r="AI643" i="1" s="1"/>
  <c r="Z643" i="1" s="1"/>
  <c r="M642" i="1"/>
  <c r="AI642" i="1"/>
  <c r="Z642" i="1" s="1"/>
  <c r="M641" i="1"/>
  <c r="AI641" i="1" s="1"/>
  <c r="Z641" i="1" s="1"/>
  <c r="M640" i="1"/>
  <c r="AI640" i="1" s="1"/>
  <c r="Z640" i="1" s="1"/>
  <c r="M639" i="1"/>
  <c r="AI639" i="1" s="1"/>
  <c r="Z639" i="1"/>
  <c r="M638" i="1"/>
  <c r="AI638" i="1"/>
  <c r="Z638" i="1" s="1"/>
  <c r="M637" i="1"/>
  <c r="AI637" i="1"/>
  <c r="Z637" i="1"/>
  <c r="M636" i="1"/>
  <c r="AI636" i="1"/>
  <c r="Z636" i="1" s="1"/>
  <c r="M635" i="1"/>
  <c r="AI635" i="1" s="1"/>
  <c r="Z635" i="1" s="1"/>
  <c r="M634" i="1"/>
  <c r="AI634" i="1"/>
  <c r="Z634" i="1" s="1"/>
  <c r="M633" i="1"/>
  <c r="AI633" i="1" s="1"/>
  <c r="Z633" i="1" s="1"/>
  <c r="M632" i="1"/>
  <c r="AI632" i="1" s="1"/>
  <c r="Z632" i="1" s="1"/>
  <c r="M631" i="1"/>
  <c r="AI631" i="1" s="1"/>
  <c r="Z631" i="1"/>
  <c r="M630" i="1"/>
  <c r="AI630" i="1"/>
  <c r="Z630" i="1" s="1"/>
  <c r="M629" i="1"/>
  <c r="AI629" i="1"/>
  <c r="AO629" i="1" s="1"/>
  <c r="AP629" i="1" s="1"/>
  <c r="AB629" i="1" s="1"/>
  <c r="Z629" i="1"/>
  <c r="M628" i="1"/>
  <c r="AI628" i="1"/>
  <c r="Z628" i="1" s="1"/>
  <c r="M627" i="1"/>
  <c r="AI627" i="1" s="1"/>
  <c r="Z627" i="1" s="1"/>
  <c r="M626" i="1"/>
  <c r="AI626" i="1"/>
  <c r="Z626" i="1" s="1"/>
  <c r="M625" i="1"/>
  <c r="AI625" i="1" s="1"/>
  <c r="Z625" i="1"/>
  <c r="M624" i="1"/>
  <c r="AI624" i="1" s="1"/>
  <c r="Z624" i="1" s="1"/>
  <c r="M623" i="1"/>
  <c r="AI623" i="1" s="1"/>
  <c r="Z623" i="1"/>
  <c r="M622" i="1"/>
  <c r="AI622" i="1"/>
  <c r="Z622" i="1" s="1"/>
  <c r="M621" i="1"/>
  <c r="AI621" i="1"/>
  <c r="Z621" i="1"/>
  <c r="M620" i="1"/>
  <c r="AI620" i="1"/>
  <c r="Z620" i="1" s="1"/>
  <c r="M619" i="1"/>
  <c r="AI619" i="1" s="1"/>
  <c r="Z619" i="1" s="1"/>
  <c r="M618" i="1"/>
  <c r="AI618" i="1"/>
  <c r="Z618" i="1" s="1"/>
  <c r="M617" i="1"/>
  <c r="AI617" i="1" s="1"/>
  <c r="Z617" i="1"/>
  <c r="M616" i="1"/>
  <c r="AI616" i="1" s="1"/>
  <c r="Z616" i="1" s="1"/>
  <c r="M615" i="1"/>
  <c r="AI615" i="1" s="1"/>
  <c r="Z615" i="1"/>
  <c r="M614" i="1"/>
  <c r="AI614" i="1"/>
  <c r="Z614" i="1" s="1"/>
  <c r="M613" i="1"/>
  <c r="AI613" i="1"/>
  <c r="Z613" i="1"/>
  <c r="M612" i="1"/>
  <c r="AI612" i="1"/>
  <c r="Z612" i="1" s="1"/>
  <c r="M611" i="1"/>
  <c r="AI611" i="1" s="1"/>
  <c r="Z611" i="1" s="1"/>
  <c r="M610" i="1"/>
  <c r="AI610" i="1"/>
  <c r="Z610" i="1" s="1"/>
  <c r="M609" i="1"/>
  <c r="AI609" i="1" s="1"/>
  <c r="Z609" i="1"/>
  <c r="M608" i="1"/>
  <c r="AI608" i="1" s="1"/>
  <c r="Z608" i="1" s="1"/>
  <c r="M607" i="1"/>
  <c r="AI607" i="1" s="1"/>
  <c r="Z607" i="1"/>
  <c r="M606" i="1"/>
  <c r="AI606" i="1"/>
  <c r="Z606" i="1" s="1"/>
  <c r="M605" i="1"/>
  <c r="AI605" i="1"/>
  <c r="Z605" i="1"/>
  <c r="M604" i="1"/>
  <c r="AI604" i="1"/>
  <c r="Z604" i="1" s="1"/>
  <c r="M603" i="1"/>
  <c r="AI603" i="1" s="1"/>
  <c r="Z603" i="1" s="1"/>
  <c r="M602" i="1"/>
  <c r="AI602" i="1"/>
  <c r="Z602" i="1" s="1"/>
  <c r="M601" i="1"/>
  <c r="AI601" i="1" s="1"/>
  <c r="Z601" i="1"/>
  <c r="M600" i="1"/>
  <c r="AI600" i="1" s="1"/>
  <c r="Z600" i="1" s="1"/>
  <c r="M599" i="1"/>
  <c r="AI599" i="1" s="1"/>
  <c r="Z599" i="1"/>
  <c r="M598" i="1"/>
  <c r="AI598" i="1"/>
  <c r="Z598" i="1" s="1"/>
  <c r="M597" i="1"/>
  <c r="AI597" i="1"/>
  <c r="Z597" i="1"/>
  <c r="M596" i="1"/>
  <c r="AI596" i="1"/>
  <c r="Z596" i="1" s="1"/>
  <c r="M595" i="1"/>
  <c r="AI595" i="1" s="1"/>
  <c r="Z595" i="1" s="1"/>
  <c r="M594" i="1"/>
  <c r="AI594" i="1"/>
  <c r="Z594" i="1" s="1"/>
  <c r="M593" i="1"/>
  <c r="AI593" i="1" s="1"/>
  <c r="Z593" i="1"/>
  <c r="M592" i="1"/>
  <c r="AI592" i="1" s="1"/>
  <c r="Z592" i="1" s="1"/>
  <c r="M591" i="1"/>
  <c r="AI591" i="1" s="1"/>
  <c r="Z591" i="1"/>
  <c r="M590" i="1"/>
  <c r="AI590" i="1"/>
  <c r="Z590" i="1" s="1"/>
  <c r="M589" i="1"/>
  <c r="AI589" i="1"/>
  <c r="Z589" i="1"/>
  <c r="M588" i="1"/>
  <c r="AI588" i="1"/>
  <c r="Z588" i="1" s="1"/>
  <c r="M587" i="1"/>
  <c r="AI587" i="1" s="1"/>
  <c r="Z587" i="1" s="1"/>
  <c r="M586" i="1"/>
  <c r="AI586" i="1"/>
  <c r="Z586" i="1" s="1"/>
  <c r="M585" i="1"/>
  <c r="AI585" i="1" s="1"/>
  <c r="Z585" i="1"/>
  <c r="M584" i="1"/>
  <c r="AI584" i="1" s="1"/>
  <c r="Z584" i="1" s="1"/>
  <c r="M583" i="1"/>
  <c r="AI583" i="1" s="1"/>
  <c r="Z583" i="1"/>
  <c r="M582" i="1"/>
  <c r="AI582" i="1"/>
  <c r="Z582" i="1" s="1"/>
  <c r="M581" i="1"/>
  <c r="AI581" i="1"/>
  <c r="Z581" i="1"/>
  <c r="M580" i="1"/>
  <c r="AI580" i="1"/>
  <c r="M579" i="1"/>
  <c r="AI579" i="1" s="1"/>
  <c r="Z579" i="1" s="1"/>
  <c r="M578" i="1"/>
  <c r="AI578" i="1"/>
  <c r="Z578" i="1" s="1"/>
  <c r="M577" i="1"/>
  <c r="AI577" i="1" s="1"/>
  <c r="Z577" i="1"/>
  <c r="M576" i="1"/>
  <c r="AI576" i="1" s="1"/>
  <c r="Z576" i="1" s="1"/>
  <c r="M575" i="1"/>
  <c r="AI575" i="1" s="1"/>
  <c r="Z575" i="1"/>
  <c r="M574" i="1"/>
  <c r="AI574" i="1"/>
  <c r="Z574" i="1" s="1"/>
  <c r="M573" i="1"/>
  <c r="AI573" i="1"/>
  <c r="Z573" i="1"/>
  <c r="M572" i="1"/>
  <c r="AI572" i="1"/>
  <c r="Z572" i="1" s="1"/>
  <c r="M571" i="1"/>
  <c r="AI571" i="1" s="1"/>
  <c r="Z571" i="1" s="1"/>
  <c r="M570" i="1"/>
  <c r="AI570" i="1"/>
  <c r="Z570" i="1" s="1"/>
  <c r="M569" i="1"/>
  <c r="AI569" i="1" s="1"/>
  <c r="Z569" i="1"/>
  <c r="M568" i="1"/>
  <c r="AI568" i="1" s="1"/>
  <c r="AO568" i="1" s="1"/>
  <c r="AP568" i="1" s="1"/>
  <c r="AB568" i="1" s="1"/>
  <c r="M567" i="1"/>
  <c r="AI567" i="1" s="1"/>
  <c r="Z567" i="1"/>
  <c r="M566" i="1"/>
  <c r="AI566" i="1"/>
  <c r="Z566" i="1" s="1"/>
  <c r="M565" i="1"/>
  <c r="AI565" i="1"/>
  <c r="Z565" i="1"/>
  <c r="M564" i="1"/>
  <c r="AI564" i="1"/>
  <c r="Z564" i="1" s="1"/>
  <c r="M563" i="1"/>
  <c r="AI563" i="1" s="1"/>
  <c r="Z563" i="1" s="1"/>
  <c r="M562" i="1"/>
  <c r="AI562" i="1"/>
  <c r="Z562" i="1" s="1"/>
  <c r="M561" i="1"/>
  <c r="AI561" i="1" s="1"/>
  <c r="Z561" i="1"/>
  <c r="M560" i="1"/>
  <c r="AI560" i="1" s="1"/>
  <c r="Z560" i="1" s="1"/>
  <c r="M559" i="1"/>
  <c r="AI559" i="1" s="1"/>
  <c r="Z559" i="1"/>
  <c r="M558" i="1"/>
  <c r="AI558" i="1"/>
  <c r="Z558" i="1" s="1"/>
  <c r="M557" i="1"/>
  <c r="AI557" i="1"/>
  <c r="Z557" i="1"/>
  <c r="M556" i="1"/>
  <c r="AI556" i="1"/>
  <c r="Z556" i="1" s="1"/>
  <c r="M555" i="1"/>
  <c r="AI555" i="1" s="1"/>
  <c r="Z555" i="1" s="1"/>
  <c r="M554" i="1"/>
  <c r="AI554" i="1"/>
  <c r="Z554" i="1" s="1"/>
  <c r="M553" i="1"/>
  <c r="AI553" i="1" s="1"/>
  <c r="Z553" i="1"/>
  <c r="M552" i="1"/>
  <c r="AI552" i="1" s="1"/>
  <c r="Z552" i="1" s="1"/>
  <c r="M551" i="1"/>
  <c r="AI551" i="1" s="1"/>
  <c r="Z551" i="1"/>
  <c r="M550" i="1"/>
  <c r="AI550" i="1"/>
  <c r="Z550" i="1" s="1"/>
  <c r="M549" i="1"/>
  <c r="AI549" i="1"/>
  <c r="Z549" i="1"/>
  <c r="M548" i="1"/>
  <c r="AI548" i="1"/>
  <c r="Z548" i="1" s="1"/>
  <c r="M547" i="1"/>
  <c r="AI547" i="1" s="1"/>
  <c r="Z547" i="1" s="1"/>
  <c r="M546" i="1"/>
  <c r="AI546" i="1"/>
  <c r="Z546" i="1" s="1"/>
  <c r="M545" i="1"/>
  <c r="AI545" i="1" s="1"/>
  <c r="Z545" i="1"/>
  <c r="M544" i="1"/>
  <c r="AI544" i="1" s="1"/>
  <c r="AO544" i="1" s="1"/>
  <c r="AP544" i="1" s="1"/>
  <c r="AB544" i="1" s="1"/>
  <c r="M543" i="1"/>
  <c r="AI543" i="1" s="1"/>
  <c r="Z543" i="1"/>
  <c r="M542" i="1"/>
  <c r="AI542" i="1"/>
  <c r="Z542" i="1" s="1"/>
  <c r="M541" i="1"/>
  <c r="AI541" i="1"/>
  <c r="Z541" i="1"/>
  <c r="M540" i="1"/>
  <c r="AI540" i="1"/>
  <c r="Z540" i="1" s="1"/>
  <c r="M539" i="1"/>
  <c r="AI539" i="1" s="1"/>
  <c r="Z539" i="1" s="1"/>
  <c r="M538" i="1"/>
  <c r="AI538" i="1"/>
  <c r="Z538" i="1" s="1"/>
  <c r="M537" i="1"/>
  <c r="AI537" i="1" s="1"/>
  <c r="Z537" i="1"/>
  <c r="M536" i="1"/>
  <c r="AI536" i="1" s="1"/>
  <c r="Z536" i="1" s="1"/>
  <c r="M535" i="1"/>
  <c r="AI535" i="1" s="1"/>
  <c r="Z535" i="1"/>
  <c r="M534" i="1"/>
  <c r="AI534" i="1"/>
  <c r="M533" i="1"/>
  <c r="AI533" i="1"/>
  <c r="Z533" i="1"/>
  <c r="M532" i="1"/>
  <c r="AI532" i="1"/>
  <c r="Z532" i="1" s="1"/>
  <c r="M531" i="1"/>
  <c r="AI531" i="1" s="1"/>
  <c r="Z531" i="1" s="1"/>
  <c r="M530" i="1"/>
  <c r="AI530" i="1"/>
  <c r="Z530" i="1" s="1"/>
  <c r="M529" i="1"/>
  <c r="AI529" i="1" s="1"/>
  <c r="Z529" i="1"/>
  <c r="M528" i="1"/>
  <c r="AI528" i="1" s="1"/>
  <c r="Z528" i="1" s="1"/>
  <c r="M527" i="1"/>
  <c r="AI527" i="1" s="1"/>
  <c r="Z527" i="1"/>
  <c r="M526" i="1"/>
  <c r="AI526" i="1"/>
  <c r="Z526" i="1" s="1"/>
  <c r="M525" i="1"/>
  <c r="AI525" i="1"/>
  <c r="Z525" i="1"/>
  <c r="M524" i="1"/>
  <c r="AI524" i="1"/>
  <c r="Z524" i="1" s="1"/>
  <c r="M523" i="1"/>
  <c r="AI523" i="1" s="1"/>
  <c r="Z523" i="1" s="1"/>
  <c r="M522" i="1"/>
  <c r="AI522" i="1"/>
  <c r="Z522" i="1" s="1"/>
  <c r="M521" i="1"/>
  <c r="AI521" i="1" s="1"/>
  <c r="Z521" i="1"/>
  <c r="M520" i="1"/>
  <c r="AI520" i="1" s="1"/>
  <c r="Z520" i="1" s="1"/>
  <c r="M519" i="1"/>
  <c r="AI519" i="1" s="1"/>
  <c r="Z519" i="1"/>
  <c r="M518" i="1"/>
  <c r="AI518" i="1"/>
  <c r="Z518" i="1" s="1"/>
  <c r="M517" i="1"/>
  <c r="AI517" i="1"/>
  <c r="Z517" i="1"/>
  <c r="M516" i="1"/>
  <c r="AI516" i="1"/>
  <c r="Z516" i="1" s="1"/>
  <c r="M515" i="1"/>
  <c r="AI515" i="1" s="1"/>
  <c r="Z515" i="1" s="1"/>
  <c r="M514" i="1"/>
  <c r="AI514" i="1"/>
  <c r="Z514" i="1" s="1"/>
  <c r="M513" i="1"/>
  <c r="AI513" i="1" s="1"/>
  <c r="Z513" i="1"/>
  <c r="M512" i="1"/>
  <c r="AI512" i="1"/>
  <c r="Z512" i="1"/>
  <c r="M511" i="1"/>
  <c r="AI511" i="1" s="1"/>
  <c r="Z511" i="1" s="1"/>
  <c r="M510" i="1"/>
  <c r="AI510" i="1"/>
  <c r="Z510" i="1" s="1"/>
  <c r="M509" i="1"/>
  <c r="AI509" i="1"/>
  <c r="Z509" i="1" s="1"/>
  <c r="M508" i="1"/>
  <c r="AI508" i="1"/>
  <c r="Z508" i="1" s="1"/>
  <c r="M507" i="1"/>
  <c r="AI507" i="1" s="1"/>
  <c r="Z507" i="1" s="1"/>
  <c r="M506" i="1"/>
  <c r="AI506" i="1"/>
  <c r="Z506" i="1" s="1"/>
  <c r="M505" i="1"/>
  <c r="AI505" i="1" s="1"/>
  <c r="Z505" i="1"/>
  <c r="M504" i="1"/>
  <c r="AI504" i="1" s="1"/>
  <c r="AO504" i="1" s="1"/>
  <c r="AP504" i="1" s="1"/>
  <c r="AB504" i="1" s="1"/>
  <c r="M503" i="1"/>
  <c r="AI503" i="1" s="1"/>
  <c r="Z503" i="1" s="1"/>
  <c r="M502" i="1"/>
  <c r="AI502" i="1"/>
  <c r="Z502" i="1" s="1"/>
  <c r="M501" i="1"/>
  <c r="AI501" i="1"/>
  <c r="Z501" i="1" s="1"/>
  <c r="M500" i="1"/>
  <c r="AI500" i="1"/>
  <c r="Z500" i="1" s="1"/>
  <c r="M499" i="1"/>
  <c r="AI499" i="1" s="1"/>
  <c r="Z499" i="1" s="1"/>
  <c r="M498" i="1"/>
  <c r="AI498" i="1"/>
  <c r="Z498" i="1" s="1"/>
  <c r="M497" i="1"/>
  <c r="AI497" i="1" s="1"/>
  <c r="Z497" i="1"/>
  <c r="M496" i="1"/>
  <c r="AI496" i="1" s="1"/>
  <c r="Z496" i="1" s="1"/>
  <c r="M495" i="1"/>
  <c r="AI495" i="1" s="1"/>
  <c r="M494" i="1"/>
  <c r="AI494" i="1"/>
  <c r="Z494" i="1" s="1"/>
  <c r="M493" i="1"/>
  <c r="AI493" i="1"/>
  <c r="Z493" i="1" s="1"/>
  <c r="M492" i="1"/>
  <c r="AI492" i="1"/>
  <c r="Z492" i="1" s="1"/>
  <c r="M491" i="1"/>
  <c r="AI491" i="1" s="1"/>
  <c r="Z491" i="1" s="1"/>
  <c r="M490" i="1"/>
  <c r="AI490" i="1"/>
  <c r="Z490" i="1" s="1"/>
  <c r="M489" i="1"/>
  <c r="AI489" i="1" s="1"/>
  <c r="Z489" i="1"/>
  <c r="M488" i="1"/>
  <c r="AI488" i="1" s="1"/>
  <c r="Z488" i="1" s="1"/>
  <c r="M487" i="1"/>
  <c r="AI487" i="1" s="1"/>
  <c r="Z487" i="1" s="1"/>
  <c r="M486" i="1"/>
  <c r="AI486" i="1"/>
  <c r="Z486" i="1" s="1"/>
  <c r="M485" i="1"/>
  <c r="AI485" i="1"/>
  <c r="Z485" i="1" s="1"/>
  <c r="M484" i="1"/>
  <c r="AI484" i="1"/>
  <c r="Z484" i="1" s="1"/>
  <c r="M483" i="1"/>
  <c r="AI483" i="1" s="1"/>
  <c r="Z483" i="1" s="1"/>
  <c r="M482" i="1"/>
  <c r="AI482" i="1"/>
  <c r="Z482" i="1" s="1"/>
  <c r="M481" i="1"/>
  <c r="AI481" i="1" s="1"/>
  <c r="Z481" i="1"/>
  <c r="M480" i="1"/>
  <c r="AI480" i="1" s="1"/>
  <c r="Z480" i="1" s="1"/>
  <c r="M479" i="1"/>
  <c r="AI479" i="1" s="1"/>
  <c r="Z479" i="1" s="1"/>
  <c r="M478" i="1"/>
  <c r="AI478" i="1"/>
  <c r="Z478" i="1" s="1"/>
  <c r="M477" i="1"/>
  <c r="AI477" i="1"/>
  <c r="Z477" i="1" s="1"/>
  <c r="M476" i="1"/>
  <c r="AI476" i="1"/>
  <c r="Z476" i="1" s="1"/>
  <c r="M475" i="1"/>
  <c r="AI475" i="1" s="1"/>
  <c r="Z475" i="1" s="1"/>
  <c r="M474" i="1"/>
  <c r="AI474" i="1"/>
  <c r="Z474" i="1" s="1"/>
  <c r="M473" i="1"/>
  <c r="AI473" i="1" s="1"/>
  <c r="Z473" i="1"/>
  <c r="M472" i="1"/>
  <c r="AI472" i="1" s="1"/>
  <c r="Z472" i="1" s="1"/>
  <c r="M471" i="1"/>
  <c r="AI471" i="1" s="1"/>
  <c r="Z471" i="1" s="1"/>
  <c r="M470" i="1"/>
  <c r="AI470" i="1"/>
  <c r="M469" i="1"/>
  <c r="AI469" i="1"/>
  <c r="Z469" i="1" s="1"/>
  <c r="M468" i="1"/>
  <c r="AI468" i="1"/>
  <c r="Z468" i="1" s="1"/>
  <c r="M467" i="1"/>
  <c r="AI467" i="1" s="1"/>
  <c r="Z467" i="1" s="1"/>
  <c r="M466" i="1"/>
  <c r="AI466" i="1"/>
  <c r="Z466" i="1" s="1"/>
  <c r="M465" i="1"/>
  <c r="AI465" i="1" s="1"/>
  <c r="Z465" i="1"/>
  <c r="M463" i="1"/>
  <c r="AI463" i="1" s="1"/>
  <c r="Z463" i="1" s="1"/>
  <c r="M462" i="1"/>
  <c r="AI462" i="1" s="1"/>
  <c r="Z462" i="1" s="1"/>
  <c r="M461" i="1"/>
  <c r="AI461" i="1"/>
  <c r="Z461" i="1" s="1"/>
  <c r="M460" i="1"/>
  <c r="AI460" i="1"/>
  <c r="Z460" i="1" s="1"/>
  <c r="M459" i="1"/>
  <c r="AI459" i="1"/>
  <c r="Z459" i="1" s="1"/>
  <c r="M458" i="1"/>
  <c r="AI458" i="1" s="1"/>
  <c r="Z458" i="1" s="1"/>
  <c r="M457" i="1"/>
  <c r="AI457" i="1"/>
  <c r="Z457" i="1" s="1"/>
  <c r="M456" i="1"/>
  <c r="AI456" i="1" s="1"/>
  <c r="Z456" i="1"/>
  <c r="M455" i="1"/>
  <c r="AI455" i="1" s="1"/>
  <c r="Z455" i="1" s="1"/>
  <c r="M454" i="1"/>
  <c r="AI454" i="1" s="1"/>
  <c r="Z454" i="1" s="1"/>
  <c r="M453" i="1"/>
  <c r="AI453" i="1"/>
  <c r="Z453" i="1" s="1"/>
  <c r="M452" i="1"/>
  <c r="AI452" i="1"/>
  <c r="Z452" i="1" s="1"/>
  <c r="M451" i="1"/>
  <c r="AI451" i="1"/>
  <c r="Z451" i="1" s="1"/>
  <c r="M450" i="1"/>
  <c r="AI450" i="1" s="1"/>
  <c r="Z450" i="1" s="1"/>
  <c r="M449" i="1"/>
  <c r="AI449" i="1"/>
  <c r="Z449" i="1" s="1"/>
  <c r="M448" i="1"/>
  <c r="AI448" i="1" s="1"/>
  <c r="Z448" i="1"/>
  <c r="M447" i="1"/>
  <c r="AI447" i="1" s="1"/>
  <c r="Z447" i="1" s="1"/>
  <c r="M446" i="1"/>
  <c r="AI446" i="1" s="1"/>
  <c r="Z446" i="1" s="1"/>
  <c r="M445" i="1"/>
  <c r="AI445" i="1"/>
  <c r="Z445" i="1" s="1"/>
  <c r="M444" i="1"/>
  <c r="AI444" i="1"/>
  <c r="Z444" i="1" s="1"/>
  <c r="M443" i="1"/>
  <c r="AI443" i="1"/>
  <c r="Z443" i="1" s="1"/>
  <c r="M442" i="1"/>
  <c r="AI442" i="1" s="1"/>
  <c r="Z442" i="1" s="1"/>
  <c r="M441" i="1"/>
  <c r="AI441" i="1"/>
  <c r="Z441" i="1" s="1"/>
  <c r="M440" i="1"/>
  <c r="AI440" i="1" s="1"/>
  <c r="AO440" i="1" s="1"/>
  <c r="AP440" i="1" s="1"/>
  <c r="AB440" i="1" s="1"/>
  <c r="Z440" i="1"/>
  <c r="M439" i="1"/>
  <c r="AI439" i="1" s="1"/>
  <c r="Z439" i="1" s="1"/>
  <c r="M438" i="1"/>
  <c r="AI438" i="1" s="1"/>
  <c r="Z438" i="1" s="1"/>
  <c r="M437" i="1"/>
  <c r="AI437" i="1"/>
  <c r="Z437" i="1" s="1"/>
  <c r="M436" i="1"/>
  <c r="AI436" i="1"/>
  <c r="Z436" i="1" s="1"/>
  <c r="M435" i="1"/>
  <c r="AI435" i="1" s="1"/>
  <c r="Z435" i="1" s="1"/>
  <c r="M434" i="1"/>
  <c r="AI434" i="1"/>
  <c r="Z434" i="1" s="1"/>
  <c r="M433" i="1"/>
  <c r="AI433" i="1"/>
  <c r="Z433" i="1" s="1"/>
  <c r="M432" i="1"/>
  <c r="AI432" i="1"/>
  <c r="Z432" i="1" s="1"/>
  <c r="M431" i="1"/>
  <c r="AI431" i="1" s="1"/>
  <c r="Z431" i="1" s="1"/>
  <c r="M430" i="1"/>
  <c r="AI430" i="1" s="1"/>
  <c r="M429" i="1"/>
  <c r="AI429" i="1" s="1"/>
  <c r="Z429" i="1"/>
  <c r="M428" i="1"/>
  <c r="AI428" i="1" s="1"/>
  <c r="Z428" i="1"/>
  <c r="M427" i="1"/>
  <c r="AI427" i="1" s="1"/>
  <c r="Z427" i="1" s="1"/>
  <c r="M426" i="1"/>
  <c r="AI426" i="1"/>
  <c r="Z426" i="1" s="1"/>
  <c r="M425" i="1"/>
  <c r="AI425" i="1"/>
  <c r="Z425" i="1" s="1"/>
  <c r="M424" i="1"/>
  <c r="AI424" i="1"/>
  <c r="Z424" i="1" s="1"/>
  <c r="M423" i="1"/>
  <c r="AI423" i="1" s="1"/>
  <c r="Z423" i="1" s="1"/>
  <c r="M422" i="1"/>
  <c r="AI422" i="1" s="1"/>
  <c r="Z422" i="1" s="1"/>
  <c r="M421" i="1"/>
  <c r="AI421" i="1" s="1"/>
  <c r="Z421" i="1"/>
  <c r="M420" i="1"/>
  <c r="AI420" i="1" s="1"/>
  <c r="Z420" i="1"/>
  <c r="M419" i="1"/>
  <c r="AI419" i="1" s="1"/>
  <c r="Z419" i="1" s="1"/>
  <c r="M418" i="1"/>
  <c r="AI418" i="1"/>
  <c r="Z418" i="1" s="1"/>
  <c r="M417" i="1"/>
  <c r="AI417" i="1"/>
  <c r="Z417" i="1" s="1"/>
  <c r="M416" i="1"/>
  <c r="AI416" i="1"/>
  <c r="Z416" i="1" s="1"/>
  <c r="M415" i="1"/>
  <c r="AI415" i="1" s="1"/>
  <c r="Z415" i="1" s="1"/>
  <c r="M414" i="1"/>
  <c r="AI414" i="1" s="1"/>
  <c r="Z414" i="1" s="1"/>
  <c r="M413" i="1"/>
  <c r="AI413" i="1" s="1"/>
  <c r="Z413" i="1"/>
  <c r="M412" i="1"/>
  <c r="AI412" i="1" s="1"/>
  <c r="Z412" i="1"/>
  <c r="M411" i="1"/>
  <c r="AI411" i="1" s="1"/>
  <c r="Z411" i="1" s="1"/>
  <c r="M410" i="1"/>
  <c r="AI410" i="1"/>
  <c r="Z410" i="1" s="1"/>
  <c r="M409" i="1"/>
  <c r="AI409" i="1"/>
  <c r="Z409" i="1" s="1"/>
  <c r="M407" i="1"/>
  <c r="AI407" i="1"/>
  <c r="Z407" i="1" s="1"/>
  <c r="M406" i="1"/>
  <c r="AI406" i="1" s="1"/>
  <c r="Z406" i="1" s="1"/>
  <c r="M405" i="1"/>
  <c r="AI405" i="1" s="1"/>
  <c r="Z405" i="1" s="1"/>
  <c r="M404" i="1"/>
  <c r="AI404" i="1" s="1"/>
  <c r="Z404" i="1"/>
  <c r="M403" i="1"/>
  <c r="AI403" i="1" s="1"/>
  <c r="Z403" i="1"/>
  <c r="M402" i="1"/>
  <c r="AI402" i="1" s="1"/>
  <c r="Z402" i="1" s="1"/>
  <c r="M401" i="1"/>
  <c r="AI401" i="1"/>
  <c r="Z401" i="1" s="1"/>
  <c r="M400" i="1"/>
  <c r="AI400" i="1"/>
  <c r="Z400" i="1" s="1"/>
  <c r="M399" i="1"/>
  <c r="AI399" i="1"/>
  <c r="Z399" i="1" s="1"/>
  <c r="M398" i="1"/>
  <c r="AI398" i="1" s="1"/>
  <c r="Z398" i="1" s="1"/>
  <c r="M397" i="1"/>
  <c r="AI397" i="1" s="1"/>
  <c r="Z397" i="1" s="1"/>
  <c r="M396" i="1"/>
  <c r="AI396" i="1" s="1"/>
  <c r="Z396" i="1"/>
  <c r="M395" i="1"/>
  <c r="AI395" i="1" s="1"/>
  <c r="Z395" i="1"/>
  <c r="M394" i="1"/>
  <c r="AI394" i="1" s="1"/>
  <c r="Z394" i="1" s="1"/>
  <c r="M393" i="1"/>
  <c r="AI393" i="1"/>
  <c r="Z393" i="1" s="1"/>
  <c r="M392" i="1"/>
  <c r="AI392" i="1"/>
  <c r="AO392" i="1" s="1"/>
  <c r="AP392" i="1" s="1"/>
  <c r="AB392" i="1" s="1"/>
  <c r="Z392" i="1"/>
  <c r="M391" i="1"/>
  <c r="AI391" i="1" s="1"/>
  <c r="Z391" i="1" s="1"/>
  <c r="M390" i="1"/>
  <c r="AI390" i="1" s="1"/>
  <c r="Z390" i="1" s="1"/>
  <c r="M389" i="1"/>
  <c r="AI389" i="1"/>
  <c r="Z389" i="1"/>
  <c r="M388" i="1"/>
  <c r="AI388" i="1" s="1"/>
  <c r="Z388" i="1" s="1"/>
  <c r="M387" i="1"/>
  <c r="AI387" i="1" s="1"/>
  <c r="Z387" i="1" s="1"/>
  <c r="M386" i="1"/>
  <c r="AI386" i="1" s="1"/>
  <c r="Z386" i="1" s="1"/>
  <c r="M385" i="1"/>
  <c r="AI385" i="1"/>
  <c r="Z385" i="1" s="1"/>
  <c r="M384" i="1"/>
  <c r="AI384" i="1"/>
  <c r="Z384" i="1" s="1"/>
  <c r="M383" i="1"/>
  <c r="AI383" i="1" s="1"/>
  <c r="Z383" i="1" s="1"/>
  <c r="M382" i="1"/>
  <c r="AI382" i="1" s="1"/>
  <c r="Z382" i="1" s="1"/>
  <c r="M381" i="1"/>
  <c r="AI381" i="1" s="1"/>
  <c r="Z381" i="1" s="1"/>
  <c r="M380" i="1"/>
  <c r="AI380" i="1" s="1"/>
  <c r="Z380" i="1" s="1"/>
  <c r="M379" i="1"/>
  <c r="AI379" i="1" s="1"/>
  <c r="Z379" i="1" s="1"/>
  <c r="M378" i="1"/>
  <c r="AI378" i="1"/>
  <c r="Z378" i="1" s="1"/>
  <c r="M377" i="1"/>
  <c r="AI377" i="1"/>
  <c r="Z377" i="1" s="1"/>
  <c r="M376" i="1"/>
  <c r="AI376" i="1"/>
  <c r="Z376" i="1" s="1"/>
  <c r="M375" i="1"/>
  <c r="AI375" i="1"/>
  <c r="M374" i="1"/>
  <c r="AI374" i="1" s="1"/>
  <c r="Z374" i="1" s="1"/>
  <c r="M373" i="1"/>
  <c r="AI373" i="1"/>
  <c r="Z373" i="1" s="1"/>
  <c r="M372" i="1"/>
  <c r="AI372" i="1" s="1"/>
  <c r="Z372" i="1" s="1"/>
  <c r="M371" i="1"/>
  <c r="AI371" i="1" s="1"/>
  <c r="Z371" i="1"/>
  <c r="M370" i="1"/>
  <c r="AI370" i="1" s="1"/>
  <c r="Z370" i="1" s="1"/>
  <c r="M369" i="1"/>
  <c r="AI369" i="1"/>
  <c r="Z369" i="1" s="1"/>
  <c r="M368" i="1"/>
  <c r="AI368" i="1"/>
  <c r="Z368" i="1"/>
  <c r="M367" i="1"/>
  <c r="AI367" i="1" s="1"/>
  <c r="Z367" i="1" s="1"/>
  <c r="M366" i="1"/>
  <c r="AI366" i="1" s="1"/>
  <c r="M365" i="1"/>
  <c r="AI365" i="1"/>
  <c r="Z365" i="1" s="1"/>
  <c r="M364" i="1"/>
  <c r="AI364" i="1" s="1"/>
  <c r="Z364" i="1"/>
  <c r="M363" i="1"/>
  <c r="AI363" i="1" s="1"/>
  <c r="Z363" i="1" s="1"/>
  <c r="M362" i="1"/>
  <c r="AI362" i="1" s="1"/>
  <c r="Z362" i="1"/>
  <c r="M361" i="1"/>
  <c r="AI361" i="1"/>
  <c r="Z361" i="1" s="1"/>
  <c r="M360" i="1"/>
  <c r="AI360" i="1"/>
  <c r="Z360" i="1" s="1"/>
  <c r="M359" i="1"/>
  <c r="AI359" i="1" s="1"/>
  <c r="Z359" i="1" s="1"/>
  <c r="M358" i="1"/>
  <c r="AI358" i="1" s="1"/>
  <c r="Z358" i="1" s="1"/>
  <c r="M357" i="1"/>
  <c r="AI357" i="1"/>
  <c r="Z357" i="1"/>
  <c r="M356" i="1"/>
  <c r="AI356" i="1" s="1"/>
  <c r="Z356" i="1" s="1"/>
  <c r="M355" i="1"/>
  <c r="AI355" i="1" s="1"/>
  <c r="Z355" i="1" s="1"/>
  <c r="M354" i="1"/>
  <c r="AI354" i="1" s="1"/>
  <c r="Z354" i="1" s="1"/>
  <c r="M353" i="1"/>
  <c r="AI353" i="1"/>
  <c r="Z353" i="1" s="1"/>
  <c r="M352" i="1"/>
  <c r="AI352" i="1"/>
  <c r="Z352" i="1" s="1"/>
  <c r="M351" i="1"/>
  <c r="AI351" i="1" s="1"/>
  <c r="Z351" i="1" s="1"/>
  <c r="M350" i="1"/>
  <c r="AI350" i="1" s="1"/>
  <c r="Z350" i="1" s="1"/>
  <c r="M349" i="1"/>
  <c r="AI349" i="1" s="1"/>
  <c r="Z349" i="1" s="1"/>
  <c r="M348" i="1"/>
  <c r="AI348" i="1" s="1"/>
  <c r="Z348" i="1" s="1"/>
  <c r="M347" i="1"/>
  <c r="AI347" i="1" s="1"/>
  <c r="Z347" i="1" s="1"/>
  <c r="M346" i="1"/>
  <c r="AI346" i="1"/>
  <c r="Z346" i="1" s="1"/>
  <c r="M345" i="1"/>
  <c r="AI345" i="1"/>
  <c r="M344" i="1"/>
  <c r="AI344" i="1"/>
  <c r="Z344" i="1" s="1"/>
  <c r="M343" i="1"/>
  <c r="AI343" i="1"/>
  <c r="Z343" i="1" s="1"/>
  <c r="M342" i="1"/>
  <c r="AI342" i="1" s="1"/>
  <c r="Z342" i="1" s="1"/>
  <c r="M341" i="1"/>
  <c r="AI341" i="1"/>
  <c r="Z341" i="1" s="1"/>
  <c r="M340" i="1"/>
  <c r="AI340" i="1" s="1"/>
  <c r="Z340" i="1" s="1"/>
  <c r="M339" i="1"/>
  <c r="AI339" i="1" s="1"/>
  <c r="Z339" i="1"/>
  <c r="M338" i="1"/>
  <c r="AI338" i="1" s="1"/>
  <c r="Z338" i="1" s="1"/>
  <c r="M337" i="1"/>
  <c r="AI337" i="1"/>
  <c r="Z337" i="1" s="1"/>
  <c r="M336" i="1"/>
  <c r="AI336" i="1"/>
  <c r="Z336" i="1"/>
  <c r="M335" i="1"/>
  <c r="AI335" i="1" s="1"/>
  <c r="Z335" i="1" s="1"/>
  <c r="M334" i="1"/>
  <c r="AI334" i="1" s="1"/>
  <c r="Z334" i="1" s="1"/>
  <c r="M333" i="1"/>
  <c r="AI333" i="1"/>
  <c r="Z333" i="1" s="1"/>
  <c r="M332" i="1"/>
  <c r="AI332" i="1" s="1"/>
  <c r="Z332" i="1"/>
  <c r="M331" i="1"/>
  <c r="AI331" i="1" s="1"/>
  <c r="Z331" i="1" s="1"/>
  <c r="M330" i="1"/>
  <c r="AI330" i="1" s="1"/>
  <c r="Z330" i="1"/>
  <c r="M329" i="1"/>
  <c r="AI329" i="1"/>
  <c r="Z329" i="1" s="1"/>
  <c r="M328" i="1"/>
  <c r="AI328" i="1"/>
  <c r="Z328" i="1" s="1"/>
  <c r="M327" i="1"/>
  <c r="AI327" i="1" s="1"/>
  <c r="Z327" i="1" s="1"/>
  <c r="M326" i="1"/>
  <c r="AI326" i="1" s="1"/>
  <c r="Z326" i="1" s="1"/>
  <c r="M325" i="1"/>
  <c r="AI325" i="1"/>
  <c r="Z325" i="1"/>
  <c r="M324" i="1"/>
  <c r="AI324" i="1" s="1"/>
  <c r="Z324" i="1" s="1"/>
  <c r="M323" i="1"/>
  <c r="AI323" i="1" s="1"/>
  <c r="Z323" i="1" s="1"/>
  <c r="M322" i="1"/>
  <c r="AI322" i="1" s="1"/>
  <c r="Z322" i="1" s="1"/>
  <c r="M321" i="1"/>
  <c r="AI321" i="1"/>
  <c r="Z321" i="1" s="1"/>
  <c r="M320" i="1"/>
  <c r="AI320" i="1"/>
  <c r="Z320" i="1" s="1"/>
  <c r="M319" i="1"/>
  <c r="AI319" i="1" s="1"/>
  <c r="Z319" i="1" s="1"/>
  <c r="M318" i="1"/>
  <c r="AI318" i="1" s="1"/>
  <c r="Z318" i="1" s="1"/>
  <c r="M317" i="1"/>
  <c r="AI317" i="1" s="1"/>
  <c r="Z317" i="1" s="1"/>
  <c r="M316" i="1"/>
  <c r="AI316" i="1" s="1"/>
  <c r="Z316" i="1" s="1"/>
  <c r="M315" i="1"/>
  <c r="AI315" i="1" s="1"/>
  <c r="Z315" i="1" s="1"/>
  <c r="M314" i="1"/>
  <c r="AI314" i="1"/>
  <c r="Z314" i="1" s="1"/>
  <c r="M313" i="1"/>
  <c r="AI313" i="1"/>
  <c r="Z313" i="1" s="1"/>
  <c r="M312" i="1"/>
  <c r="AI312" i="1"/>
  <c r="Z312" i="1" s="1"/>
  <c r="M311" i="1"/>
  <c r="AI311" i="1"/>
  <c r="M310" i="1"/>
  <c r="AI310" i="1" s="1"/>
  <c r="Z310" i="1" s="1"/>
  <c r="M309" i="1"/>
  <c r="AI309" i="1"/>
  <c r="Z309" i="1" s="1"/>
  <c r="M308" i="1"/>
  <c r="AI308" i="1" s="1"/>
  <c r="Z308" i="1" s="1"/>
  <c r="M307" i="1"/>
  <c r="AI307" i="1" s="1"/>
  <c r="Z307" i="1"/>
  <c r="M306" i="1"/>
  <c r="AI306" i="1" s="1"/>
  <c r="Z306" i="1" s="1"/>
  <c r="M305" i="1"/>
  <c r="AI305" i="1"/>
  <c r="Z305" i="1" s="1"/>
  <c r="M304" i="1"/>
  <c r="AI304" i="1"/>
  <c r="Z304" i="1"/>
  <c r="M303" i="1"/>
  <c r="AI303" i="1" s="1"/>
  <c r="Z303" i="1" s="1"/>
  <c r="M302" i="1"/>
  <c r="AI302" i="1" s="1"/>
  <c r="Z302" i="1" s="1"/>
  <c r="M301" i="1"/>
  <c r="AI301" i="1"/>
  <c r="Z301" i="1" s="1"/>
  <c r="M300" i="1"/>
  <c r="AI300" i="1" s="1"/>
  <c r="Z300" i="1"/>
  <c r="M299" i="1"/>
  <c r="AI299" i="1" s="1"/>
  <c r="Z299" i="1" s="1"/>
  <c r="M298" i="1"/>
  <c r="AI298" i="1" s="1"/>
  <c r="AO298" i="1" s="1"/>
  <c r="AP298" i="1" s="1"/>
  <c r="AB298" i="1" s="1"/>
  <c r="Z298" i="1"/>
  <c r="M297" i="1"/>
  <c r="AI297" i="1"/>
  <c r="Z297" i="1" s="1"/>
  <c r="M296" i="1"/>
  <c r="AI296" i="1"/>
  <c r="Z296" i="1" s="1"/>
  <c r="M295" i="1"/>
  <c r="AI295" i="1" s="1"/>
  <c r="Z295" i="1" s="1"/>
  <c r="M294" i="1"/>
  <c r="AI294" i="1" s="1"/>
  <c r="Z294" i="1" s="1"/>
  <c r="M293" i="1"/>
  <c r="AI293" i="1"/>
  <c r="Z293" i="1"/>
  <c r="M292" i="1"/>
  <c r="AI292" i="1" s="1"/>
  <c r="Z292" i="1" s="1"/>
  <c r="M291" i="1"/>
  <c r="AI291" i="1" s="1"/>
  <c r="Z291" i="1" s="1"/>
  <c r="M290" i="1"/>
  <c r="AI290" i="1" s="1"/>
  <c r="Z290" i="1" s="1"/>
  <c r="M289" i="1"/>
  <c r="AI289" i="1"/>
  <c r="Z289" i="1" s="1"/>
  <c r="M288" i="1"/>
  <c r="AI288" i="1"/>
  <c r="Z288" i="1" s="1"/>
  <c r="M287" i="1"/>
  <c r="AI287" i="1" s="1"/>
  <c r="Z287" i="1" s="1"/>
  <c r="M286" i="1"/>
  <c r="AI286" i="1" s="1"/>
  <c r="Z286" i="1" s="1"/>
  <c r="M285" i="1"/>
  <c r="AI285" i="1"/>
  <c r="Z285" i="1" s="1"/>
  <c r="M284" i="1"/>
  <c r="AI284" i="1" s="1"/>
  <c r="Z284" i="1" s="1"/>
  <c r="M283" i="1"/>
  <c r="AI283" i="1" s="1"/>
  <c r="Z283" i="1" s="1"/>
  <c r="M282" i="1"/>
  <c r="AI282" i="1"/>
  <c r="Z282" i="1"/>
  <c r="M281" i="1"/>
  <c r="AI281" i="1"/>
  <c r="M280" i="1"/>
  <c r="AI280" i="1"/>
  <c r="Z280" i="1" s="1"/>
  <c r="M279" i="1"/>
  <c r="AI279" i="1"/>
  <c r="Z279" i="1" s="1"/>
  <c r="M278" i="1"/>
  <c r="AI278" i="1" s="1"/>
  <c r="Z278" i="1" s="1"/>
  <c r="M277" i="1"/>
  <c r="AI277" i="1"/>
  <c r="Z277" i="1" s="1"/>
  <c r="M276" i="1"/>
  <c r="AI276" i="1" s="1"/>
  <c r="Z276" i="1" s="1"/>
  <c r="M275" i="1"/>
  <c r="AI275" i="1" s="1"/>
  <c r="Z275" i="1"/>
  <c r="M274" i="1"/>
  <c r="AI274" i="1" s="1"/>
  <c r="Z274" i="1" s="1"/>
  <c r="M273" i="1"/>
  <c r="AI273" i="1"/>
  <c r="Z273" i="1" s="1"/>
  <c r="M272" i="1"/>
  <c r="AI272" i="1"/>
  <c r="Z272" i="1"/>
  <c r="M271" i="1"/>
  <c r="AI271" i="1" s="1"/>
  <c r="Z271" i="1" s="1"/>
  <c r="M270" i="1"/>
  <c r="AI270" i="1" s="1"/>
  <c r="Z270" i="1" s="1"/>
  <c r="M269" i="1"/>
  <c r="AI269" i="1"/>
  <c r="Z269" i="1" s="1"/>
  <c r="M268" i="1"/>
  <c r="AI268" i="1" s="1"/>
  <c r="Z268" i="1"/>
  <c r="M267" i="1"/>
  <c r="AI267" i="1" s="1"/>
  <c r="Z267" i="1" s="1"/>
  <c r="M266" i="1"/>
  <c r="AI266" i="1" s="1"/>
  <c r="Z266" i="1"/>
  <c r="M265" i="1"/>
  <c r="AI265" i="1"/>
  <c r="Z265" i="1" s="1"/>
  <c r="M264" i="1"/>
  <c r="AI264" i="1"/>
  <c r="Z264" i="1" s="1"/>
  <c r="M263" i="1"/>
  <c r="AI263" i="1" s="1"/>
  <c r="Z263" i="1" s="1"/>
  <c r="M262" i="1"/>
  <c r="AI262" i="1" s="1"/>
  <c r="Z262" i="1" s="1"/>
  <c r="M261" i="1"/>
  <c r="AI261" i="1"/>
  <c r="Z261" i="1"/>
  <c r="M260" i="1"/>
  <c r="AI260" i="1" s="1"/>
  <c r="Z260" i="1" s="1"/>
  <c r="M259" i="1"/>
  <c r="AI259" i="1" s="1"/>
  <c r="Z259" i="1" s="1"/>
  <c r="M258" i="1"/>
  <c r="AI258" i="1" s="1"/>
  <c r="Z258" i="1" s="1"/>
  <c r="M257" i="1"/>
  <c r="AI257" i="1"/>
  <c r="M256" i="1"/>
  <c r="AI256" i="1"/>
  <c r="Z256" i="1" s="1"/>
  <c r="M255" i="1"/>
  <c r="AI255" i="1" s="1"/>
  <c r="Z255" i="1" s="1"/>
  <c r="M254" i="1"/>
  <c r="AI254" i="1" s="1"/>
  <c r="Z254" i="1" s="1"/>
  <c r="M253" i="1"/>
  <c r="AI253" i="1"/>
  <c r="Z253" i="1" s="1"/>
  <c r="M252" i="1"/>
  <c r="AI252" i="1" s="1"/>
  <c r="Z252" i="1" s="1"/>
  <c r="M251" i="1"/>
  <c r="AI251" i="1" s="1"/>
  <c r="Z251" i="1" s="1"/>
  <c r="M250" i="1"/>
  <c r="AI250" i="1"/>
  <c r="Z250" i="1"/>
  <c r="M249" i="1"/>
  <c r="AI249" i="1"/>
  <c r="Z249" i="1" s="1"/>
  <c r="M248" i="1"/>
  <c r="AI248" i="1"/>
  <c r="Z248" i="1" s="1"/>
  <c r="M247" i="1"/>
  <c r="AI247" i="1"/>
  <c r="Z247" i="1" s="1"/>
  <c r="M246" i="1"/>
  <c r="AI246" i="1" s="1"/>
  <c r="Z246" i="1" s="1"/>
  <c r="M245" i="1"/>
  <c r="AI245" i="1"/>
  <c r="Z245" i="1" s="1"/>
  <c r="M244" i="1"/>
  <c r="AI244" i="1" s="1"/>
  <c r="Z244" i="1" s="1"/>
  <c r="M243" i="1"/>
  <c r="AI243" i="1" s="1"/>
  <c r="Z243" i="1"/>
  <c r="M242" i="1"/>
  <c r="AI242" i="1" s="1"/>
  <c r="Z242" i="1" s="1"/>
  <c r="M241" i="1"/>
  <c r="AI241" i="1"/>
  <c r="Z241" i="1" s="1"/>
  <c r="M240" i="1"/>
  <c r="AI240" i="1"/>
  <c r="Z240" i="1"/>
  <c r="M239" i="1"/>
  <c r="AI239" i="1" s="1"/>
  <c r="Z239" i="1" s="1"/>
  <c r="M238" i="1"/>
  <c r="AI238" i="1" s="1"/>
  <c r="Z238" i="1" s="1"/>
  <c r="M237" i="1"/>
  <c r="AI237" i="1"/>
  <c r="Z237" i="1" s="1"/>
  <c r="M236" i="1"/>
  <c r="AI236" i="1" s="1"/>
  <c r="Z236" i="1"/>
  <c r="M235" i="1"/>
  <c r="AI235" i="1" s="1"/>
  <c r="Z235" i="1" s="1"/>
  <c r="M234" i="1"/>
  <c r="AI234" i="1" s="1"/>
  <c r="AO234" i="1" s="1"/>
  <c r="AP234" i="1" s="1"/>
  <c r="AB234" i="1" s="1"/>
  <c r="Z234" i="1"/>
  <c r="M233" i="1"/>
  <c r="AI233" i="1"/>
  <c r="Z233" i="1" s="1"/>
  <c r="M232" i="1"/>
  <c r="AI232" i="1"/>
  <c r="Z232" i="1" s="1"/>
  <c r="M231" i="1"/>
  <c r="AI231" i="1" s="1"/>
  <c r="Z231" i="1" s="1"/>
  <c r="M230" i="1"/>
  <c r="AI230" i="1" s="1"/>
  <c r="Z230" i="1" s="1"/>
  <c r="M229" i="1"/>
  <c r="AI229" i="1"/>
  <c r="Z229" i="1"/>
  <c r="M228" i="1"/>
  <c r="AI228" i="1" s="1"/>
  <c r="Z228" i="1" s="1"/>
  <c r="M227" i="1"/>
  <c r="AI227" i="1" s="1"/>
  <c r="Z227" i="1" s="1"/>
  <c r="M226" i="1"/>
  <c r="AI226" i="1" s="1"/>
  <c r="Z226" i="1" s="1"/>
  <c r="M225" i="1"/>
  <c r="AI225" i="1"/>
  <c r="Z225" i="1" s="1"/>
  <c r="M224" i="1"/>
  <c r="AI224" i="1"/>
  <c r="Z224" i="1" s="1"/>
  <c r="M223" i="1"/>
  <c r="AI223" i="1" s="1"/>
  <c r="Z223" i="1" s="1"/>
  <c r="M222" i="1"/>
  <c r="AI222" i="1" s="1"/>
  <c r="Z222" i="1" s="1"/>
  <c r="M221" i="1"/>
  <c r="AI221" i="1"/>
  <c r="Z221" i="1" s="1"/>
  <c r="M220" i="1"/>
  <c r="AI220" i="1" s="1"/>
  <c r="AO220" i="1" s="1"/>
  <c r="AP220" i="1" s="1"/>
  <c r="AB220" i="1" s="1"/>
  <c r="M219" i="1"/>
  <c r="AI219" i="1" s="1"/>
  <c r="Z219" i="1" s="1"/>
  <c r="M218" i="1"/>
  <c r="AI218" i="1"/>
  <c r="Z218" i="1"/>
  <c r="M217" i="1"/>
  <c r="AI217" i="1"/>
  <c r="Z217" i="1" s="1"/>
  <c r="M216" i="1"/>
  <c r="AI216" i="1"/>
  <c r="Z216" i="1" s="1"/>
  <c r="M215" i="1"/>
  <c r="AI215" i="1"/>
  <c r="Z215" i="1" s="1"/>
  <c r="M214" i="1"/>
  <c r="AI214" i="1" s="1"/>
  <c r="M213" i="1"/>
  <c r="AI213" i="1"/>
  <c r="Z213" i="1" s="1"/>
  <c r="M212" i="1"/>
  <c r="AI212" i="1" s="1"/>
  <c r="Z212" i="1" s="1"/>
  <c r="M211" i="1"/>
  <c r="AI211" i="1" s="1"/>
  <c r="Z211" i="1"/>
  <c r="M210" i="1"/>
  <c r="AI210" i="1" s="1"/>
  <c r="Z210" i="1" s="1"/>
  <c r="M209" i="1"/>
  <c r="AI209" i="1"/>
  <c r="Z209" i="1" s="1"/>
  <c r="M208" i="1"/>
  <c r="AI208" i="1"/>
  <c r="Z208" i="1"/>
  <c r="M207" i="1"/>
  <c r="AI207" i="1" s="1"/>
  <c r="Z207" i="1" s="1"/>
  <c r="M206" i="1"/>
  <c r="AI206" i="1" s="1"/>
  <c r="M205" i="1"/>
  <c r="AI205" i="1"/>
  <c r="Z205" i="1" s="1"/>
  <c r="M204" i="1"/>
  <c r="AI204" i="1" s="1"/>
  <c r="AO204" i="1" s="1"/>
  <c r="AP204" i="1" s="1"/>
  <c r="AB204" i="1" s="1"/>
  <c r="Z204" i="1"/>
  <c r="M203" i="1"/>
  <c r="AI203" i="1" s="1"/>
  <c r="Z203" i="1" s="1"/>
  <c r="M202" i="1"/>
  <c r="AI202" i="1" s="1"/>
  <c r="Z202" i="1"/>
  <c r="M201" i="1"/>
  <c r="AI201" i="1"/>
  <c r="Z201" i="1" s="1"/>
  <c r="M200" i="1"/>
  <c r="AI200" i="1"/>
  <c r="Z200" i="1" s="1"/>
  <c r="M199" i="1"/>
  <c r="AI199" i="1" s="1"/>
  <c r="Z199" i="1" s="1"/>
  <c r="M198" i="1"/>
  <c r="AI198" i="1" s="1"/>
  <c r="M197" i="1"/>
  <c r="AI197" i="1"/>
  <c r="Z197" i="1"/>
  <c r="M196" i="1"/>
  <c r="AI196" i="1" s="1"/>
  <c r="AO196" i="1" s="1"/>
  <c r="AP196" i="1" s="1"/>
  <c r="AB196" i="1" s="1"/>
  <c r="M195" i="1"/>
  <c r="AI195" i="1" s="1"/>
  <c r="Z195" i="1" s="1"/>
  <c r="M194" i="1"/>
  <c r="AI194" i="1" s="1"/>
  <c r="Z194" i="1" s="1"/>
  <c r="M193" i="1"/>
  <c r="AI193" i="1"/>
  <c r="Z193" i="1" s="1"/>
  <c r="M192" i="1"/>
  <c r="AI192" i="1"/>
  <c r="Z192" i="1" s="1"/>
  <c r="M191" i="1"/>
  <c r="AI191" i="1" s="1"/>
  <c r="Z191" i="1" s="1"/>
  <c r="M190" i="1"/>
  <c r="AI190" i="1" s="1"/>
  <c r="M189" i="1"/>
  <c r="AI189" i="1"/>
  <c r="Z189" i="1" s="1"/>
  <c r="M188" i="1"/>
  <c r="AI188" i="1" s="1"/>
  <c r="AO188" i="1" s="1"/>
  <c r="AP188" i="1" s="1"/>
  <c r="AB188" i="1" s="1"/>
  <c r="M187" i="1"/>
  <c r="AI187" i="1" s="1"/>
  <c r="Z187" i="1" s="1"/>
  <c r="M186" i="1"/>
  <c r="AI186" i="1"/>
  <c r="M185" i="1"/>
  <c r="AI185" i="1" s="1"/>
  <c r="Z185" i="1" s="1"/>
  <c r="M184" i="1"/>
  <c r="AI184" i="1" s="1"/>
  <c r="Z184" i="1" s="1"/>
  <c r="M183" i="1"/>
  <c r="AI183" i="1" s="1"/>
  <c r="Z183" i="1" s="1"/>
  <c r="M182" i="1"/>
  <c r="AI182" i="1"/>
  <c r="Z182" i="1" s="1"/>
  <c r="M181" i="1"/>
  <c r="AI181" i="1"/>
  <c r="Z181" i="1" s="1"/>
  <c r="M180" i="1"/>
  <c r="AI180" i="1" s="1"/>
  <c r="M179" i="1"/>
  <c r="AI179" i="1" s="1"/>
  <c r="M178" i="1"/>
  <c r="AI178" i="1"/>
  <c r="Z178" i="1" s="1"/>
  <c r="M177" i="1"/>
  <c r="AI177" i="1" s="1"/>
  <c r="Z177" i="1" s="1"/>
  <c r="M176" i="1"/>
  <c r="AI176" i="1" s="1"/>
  <c r="Z176" i="1" s="1"/>
  <c r="M175" i="1"/>
  <c r="AI175" i="1"/>
  <c r="Z175" i="1"/>
  <c r="M174" i="1"/>
  <c r="AI174" i="1"/>
  <c r="Z174" i="1" s="1"/>
  <c r="M173" i="1"/>
  <c r="AI173" i="1"/>
  <c r="Z173" i="1" s="1"/>
  <c r="M172" i="1"/>
  <c r="AI172" i="1"/>
  <c r="M171" i="1"/>
  <c r="AI171" i="1" s="1"/>
  <c r="M170" i="1"/>
  <c r="AI170" i="1"/>
  <c r="Z170" i="1" s="1"/>
  <c r="M169" i="1"/>
  <c r="AI169" i="1" s="1"/>
  <c r="Z169" i="1" s="1"/>
  <c r="M168" i="1"/>
  <c r="AI168" i="1" s="1"/>
  <c r="Z168" i="1"/>
  <c r="M167" i="1"/>
  <c r="AI167" i="1" s="1"/>
  <c r="Z167" i="1" s="1"/>
  <c r="M166" i="1"/>
  <c r="AI166" i="1"/>
  <c r="Z166" i="1" s="1"/>
  <c r="M165" i="1"/>
  <c r="AI165" i="1"/>
  <c r="Z165" i="1"/>
  <c r="M163" i="1"/>
  <c r="AI163" i="1" s="1"/>
  <c r="M162" i="1"/>
  <c r="AI162" i="1" s="1"/>
  <c r="Z162" i="1" s="1"/>
  <c r="M161" i="1"/>
  <c r="AI161" i="1"/>
  <c r="Z161" i="1" s="1"/>
  <c r="M160" i="1"/>
  <c r="AI160" i="1" s="1"/>
  <c r="Z160" i="1"/>
  <c r="M159" i="1"/>
  <c r="AI159" i="1" s="1"/>
  <c r="Z159" i="1" s="1"/>
  <c r="M158" i="1"/>
  <c r="AI158" i="1" s="1"/>
  <c r="Z158" i="1" s="1"/>
  <c r="M157" i="1"/>
  <c r="AI157" i="1"/>
  <c r="Z157" i="1" s="1"/>
  <c r="M156" i="1"/>
  <c r="AI156" i="1"/>
  <c r="AO156" i="1" s="1"/>
  <c r="AP156" i="1" s="1"/>
  <c r="AB156" i="1" s="1"/>
  <c r="M155" i="1"/>
  <c r="AI155" i="1" s="1"/>
  <c r="M154" i="1"/>
  <c r="AI154" i="1" s="1"/>
  <c r="Z154" i="1" s="1"/>
  <c r="M153" i="1"/>
  <c r="AI153" i="1"/>
  <c r="Z153" i="1"/>
  <c r="M152" i="1"/>
  <c r="AI152" i="1" s="1"/>
  <c r="Z152" i="1" s="1"/>
  <c r="M151" i="1"/>
  <c r="AI151" i="1" s="1"/>
  <c r="Z151" i="1" s="1"/>
  <c r="M150" i="1"/>
  <c r="AI150" i="1" s="1"/>
  <c r="Z150" i="1" s="1"/>
  <c r="M149" i="1"/>
  <c r="AI149" i="1"/>
  <c r="Z149" i="1" s="1"/>
  <c r="M148" i="1"/>
  <c r="AI148" i="1"/>
  <c r="AO148" i="1" s="1"/>
  <c r="AP148" i="1" s="1"/>
  <c r="AB148" i="1" s="1"/>
  <c r="M147" i="1"/>
  <c r="AI147" i="1" s="1"/>
  <c r="M146" i="1"/>
  <c r="AI146" i="1" s="1"/>
  <c r="Z146" i="1" s="1"/>
  <c r="M145" i="1"/>
  <c r="AI145" i="1"/>
  <c r="Z145" i="1" s="1"/>
  <c r="M144" i="1"/>
  <c r="AI144" i="1" s="1"/>
  <c r="Z144" i="1" s="1"/>
  <c r="M143" i="1"/>
  <c r="AI143" i="1" s="1"/>
  <c r="Z143" i="1" s="1"/>
  <c r="M142" i="1"/>
  <c r="AI142" i="1"/>
  <c r="Z142" i="1"/>
  <c r="M141" i="1"/>
  <c r="AI141" i="1"/>
  <c r="Z141" i="1" s="1"/>
  <c r="M140" i="1"/>
  <c r="AI140" i="1"/>
  <c r="M139" i="1"/>
  <c r="AI139" i="1"/>
  <c r="M138" i="1"/>
  <c r="AI138" i="1" s="1"/>
  <c r="Z138" i="1" s="1"/>
  <c r="M137" i="1"/>
  <c r="AI137" i="1"/>
  <c r="Z137" i="1" s="1"/>
  <c r="M136" i="1"/>
  <c r="AI136" i="1" s="1"/>
  <c r="Z136" i="1" s="1"/>
  <c r="M135" i="1"/>
  <c r="AI135" i="1" s="1"/>
  <c r="Z135" i="1"/>
  <c r="M134" i="1"/>
  <c r="AI134" i="1" s="1"/>
  <c r="Z134" i="1" s="1"/>
  <c r="M133" i="1"/>
  <c r="AI133" i="1"/>
  <c r="Z133" i="1" s="1"/>
  <c r="M132" i="1"/>
  <c r="AI132" i="1"/>
  <c r="AO132" i="1" s="1"/>
  <c r="AP132" i="1" s="1"/>
  <c r="AB132" i="1" s="1"/>
  <c r="Z132" i="1"/>
  <c r="M131" i="1"/>
  <c r="AI131" i="1" s="1"/>
  <c r="M130" i="1"/>
  <c r="AI130" i="1" s="1"/>
  <c r="Z130" i="1" s="1"/>
  <c r="M129" i="1"/>
  <c r="AI129" i="1"/>
  <c r="Z129" i="1" s="1"/>
  <c r="M128" i="1"/>
  <c r="AI128" i="1" s="1"/>
  <c r="Z128" i="1"/>
  <c r="M127" i="1"/>
  <c r="AI127" i="1" s="1"/>
  <c r="Z127" i="1" s="1"/>
  <c r="M126" i="1"/>
  <c r="AI126" i="1" s="1"/>
  <c r="Z126" i="1" s="1"/>
  <c r="M125" i="1"/>
  <c r="AI125" i="1"/>
  <c r="Z125" i="1" s="1"/>
  <c r="M124" i="1"/>
  <c r="AI124" i="1"/>
  <c r="AO124" i="1" s="1"/>
  <c r="AP124" i="1" s="1"/>
  <c r="AB124" i="1" s="1"/>
  <c r="M123" i="1"/>
  <c r="AI123" i="1" s="1"/>
  <c r="M122" i="1"/>
  <c r="AI122" i="1" s="1"/>
  <c r="Z122" i="1" s="1"/>
  <c r="M121" i="1"/>
  <c r="AI121" i="1"/>
  <c r="Z121" i="1"/>
  <c r="M120" i="1"/>
  <c r="AI120" i="1" s="1"/>
  <c r="Z120" i="1" s="1"/>
  <c r="M119" i="1"/>
  <c r="AI119" i="1" s="1"/>
  <c r="Z119" i="1" s="1"/>
  <c r="M118" i="1"/>
  <c r="AI118" i="1" s="1"/>
  <c r="Z118" i="1" s="1"/>
  <c r="M117" i="1"/>
  <c r="AI117" i="1"/>
  <c r="Z117" i="1" s="1"/>
  <c r="M116" i="1"/>
  <c r="AI116" i="1"/>
  <c r="AO116" i="1" s="1"/>
  <c r="AP116" i="1" s="1"/>
  <c r="AB116" i="1" s="1"/>
  <c r="M115" i="1"/>
  <c r="AI115" i="1" s="1"/>
  <c r="M114" i="1"/>
  <c r="AI114" i="1" s="1"/>
  <c r="Z114" i="1" s="1"/>
  <c r="M113" i="1"/>
  <c r="AI113" i="1"/>
  <c r="Z113" i="1" s="1"/>
  <c r="M112" i="1"/>
  <c r="AI112" i="1" s="1"/>
  <c r="Z112" i="1" s="1"/>
  <c r="M111" i="1"/>
  <c r="AI111" i="1" s="1"/>
  <c r="Z111" i="1" s="1"/>
  <c r="M110" i="1"/>
  <c r="AI110" i="1"/>
  <c r="AD110" i="1" s="1"/>
  <c r="Z110" i="1"/>
  <c r="M109" i="1"/>
  <c r="AI109" i="1"/>
  <c r="Z109" i="1" s="1"/>
  <c r="M108" i="1"/>
  <c r="AI108" i="1"/>
  <c r="Z108" i="1" s="1"/>
  <c r="M107" i="1"/>
  <c r="AI107" i="1"/>
  <c r="M106" i="1"/>
  <c r="AI106" i="1" s="1"/>
  <c r="Z106" i="1" s="1"/>
  <c r="M105" i="1"/>
  <c r="AI105" i="1"/>
  <c r="AO105" i="1" s="1"/>
  <c r="AP105" i="1" s="1"/>
  <c r="AB105" i="1" s="1"/>
  <c r="M104" i="1"/>
  <c r="AI104" i="1" s="1"/>
  <c r="Z104" i="1" s="1"/>
  <c r="M103" i="1"/>
  <c r="AI103" i="1" s="1"/>
  <c r="Z103" i="1"/>
  <c r="M102" i="1"/>
  <c r="AI102" i="1" s="1"/>
  <c r="M101" i="1"/>
  <c r="AI101" i="1"/>
  <c r="Z101" i="1" s="1"/>
  <c r="M100" i="1"/>
  <c r="AI100" i="1"/>
  <c r="Z100" i="1"/>
  <c r="M99" i="1"/>
  <c r="AI99" i="1" s="1"/>
  <c r="M98" i="1"/>
  <c r="AI98" i="1" s="1"/>
  <c r="Z98" i="1" s="1"/>
  <c r="M97" i="1"/>
  <c r="AI97" i="1"/>
  <c r="Z97" i="1" s="1"/>
  <c r="M96" i="1"/>
  <c r="AI96" i="1" s="1"/>
  <c r="Z96" i="1"/>
  <c r="M95" i="1"/>
  <c r="AI95" i="1" s="1"/>
  <c r="Z95" i="1" s="1"/>
  <c r="M94" i="1"/>
  <c r="AI94" i="1" s="1"/>
  <c r="AO94" i="1" s="1"/>
  <c r="AP94" i="1" s="1"/>
  <c r="AB94" i="1" s="1"/>
  <c r="M93" i="1"/>
  <c r="AI93" i="1"/>
  <c r="Z93" i="1" s="1"/>
  <c r="M92" i="1"/>
  <c r="AI92" i="1"/>
  <c r="Z92" i="1" s="1"/>
  <c r="M91" i="1"/>
  <c r="AI91" i="1" s="1"/>
  <c r="M90" i="1"/>
  <c r="AI90" i="1" s="1"/>
  <c r="Z90" i="1" s="1"/>
  <c r="M89" i="1"/>
  <c r="AI89" i="1"/>
  <c r="AO89" i="1" s="1"/>
  <c r="AP89" i="1" s="1"/>
  <c r="AB89" i="1" s="1"/>
  <c r="Z89" i="1"/>
  <c r="M88" i="1"/>
  <c r="AI88" i="1" s="1"/>
  <c r="Z88" i="1" s="1"/>
  <c r="M87" i="1"/>
  <c r="AI87" i="1" s="1"/>
  <c r="Z87" i="1" s="1"/>
  <c r="M86" i="1"/>
  <c r="AI86" i="1" s="1"/>
  <c r="M85" i="1"/>
  <c r="AI85" i="1"/>
  <c r="Z85" i="1" s="1"/>
  <c r="M84" i="1"/>
  <c r="AI84" i="1"/>
  <c r="Z84" i="1" s="1"/>
  <c r="M83" i="1"/>
  <c r="AI83" i="1" s="1"/>
  <c r="M82" i="1"/>
  <c r="AI82" i="1" s="1"/>
  <c r="Z82" i="1" s="1"/>
  <c r="M81" i="1"/>
  <c r="AI81" i="1"/>
  <c r="AO81" i="1" s="1"/>
  <c r="AP81" i="1" s="1"/>
  <c r="AB81" i="1" s="1"/>
  <c r="M80" i="1"/>
  <c r="AI80" i="1" s="1"/>
  <c r="Z80" i="1" s="1"/>
  <c r="M79" i="1"/>
  <c r="AI79" i="1" s="1"/>
  <c r="Z79" i="1" s="1"/>
  <c r="M78" i="1"/>
  <c r="AI78" i="1"/>
  <c r="AO78" i="1" s="1"/>
  <c r="AP78" i="1" s="1"/>
  <c r="AB78" i="1" s="1"/>
  <c r="Z78" i="1"/>
  <c r="M77" i="1"/>
  <c r="AI77" i="1"/>
  <c r="Z77" i="1" s="1"/>
  <c r="M76" i="1"/>
  <c r="AI76" i="1"/>
  <c r="Z76" i="1" s="1"/>
  <c r="M75" i="1"/>
  <c r="AI75" i="1"/>
  <c r="M74" i="1"/>
  <c r="AI74" i="1" s="1"/>
  <c r="Z74" i="1" s="1"/>
  <c r="M73" i="1"/>
  <c r="AI73" i="1"/>
  <c r="AO73" i="1" s="1"/>
  <c r="AP73" i="1" s="1"/>
  <c r="AB73" i="1" s="1"/>
  <c r="M72" i="1"/>
  <c r="AI72" i="1" s="1"/>
  <c r="Z72" i="1" s="1"/>
  <c r="M71" i="1"/>
  <c r="AI71" i="1" s="1"/>
  <c r="Z71" i="1"/>
  <c r="M70" i="1"/>
  <c r="AI70" i="1" s="1"/>
  <c r="M69" i="1"/>
  <c r="AI69" i="1"/>
  <c r="Z69" i="1" s="1"/>
  <c r="M68" i="1"/>
  <c r="AI68" i="1"/>
  <c r="Z68" i="1"/>
  <c r="M67" i="1"/>
  <c r="AI67" i="1" s="1"/>
  <c r="M66" i="1"/>
  <c r="AI66" i="1" s="1"/>
  <c r="Z66" i="1" s="1"/>
  <c r="M65" i="1"/>
  <c r="AI65" i="1"/>
  <c r="Z65" i="1" s="1"/>
  <c r="M64" i="1"/>
  <c r="AI64" i="1" s="1"/>
  <c r="Z64" i="1"/>
  <c r="M63" i="1"/>
  <c r="AI63" i="1" s="1"/>
  <c r="Z63" i="1" s="1"/>
  <c r="M62" i="1"/>
  <c r="AI62" i="1" s="1"/>
  <c r="AO62" i="1" s="1"/>
  <c r="AP62" i="1" s="1"/>
  <c r="AB62" i="1" s="1"/>
  <c r="M61" i="1"/>
  <c r="AI61" i="1"/>
  <c r="Z61" i="1" s="1"/>
  <c r="M60" i="1"/>
  <c r="AI60" i="1"/>
  <c r="Z60" i="1" s="1"/>
  <c r="M59" i="1"/>
  <c r="AI59" i="1" s="1"/>
  <c r="M58" i="1"/>
  <c r="AI58" i="1" s="1"/>
  <c r="Z58" i="1" s="1"/>
  <c r="M57" i="1"/>
  <c r="AI57" i="1"/>
  <c r="Z57" i="1"/>
  <c r="M56" i="1"/>
  <c r="AI56" i="1" s="1"/>
  <c r="AO56" i="1" s="1"/>
  <c r="AP56" i="1" s="1"/>
  <c r="AB56" i="1" s="1"/>
  <c r="M55" i="1"/>
  <c r="AI55" i="1" s="1"/>
  <c r="Z55" i="1" s="1"/>
  <c r="M54" i="1"/>
  <c r="AI54" i="1" s="1"/>
  <c r="Z54" i="1" s="1"/>
  <c r="M53" i="1"/>
  <c r="AI53" i="1"/>
  <c r="Z53" i="1" s="1"/>
  <c r="M52" i="1"/>
  <c r="AI52" i="1"/>
  <c r="Z52" i="1" s="1"/>
  <c r="M51" i="1"/>
  <c r="AI51" i="1" s="1"/>
  <c r="Z51" i="1" s="1"/>
  <c r="M50" i="1"/>
  <c r="AI50" i="1" s="1"/>
  <c r="Z50" i="1" s="1"/>
  <c r="M49" i="1"/>
  <c r="AI49" i="1"/>
  <c r="AO49" i="1" s="1"/>
  <c r="AP49" i="1" s="1"/>
  <c r="AB49" i="1" s="1"/>
  <c r="M48" i="1"/>
  <c r="AI48" i="1" s="1"/>
  <c r="Z48" i="1" s="1"/>
  <c r="M47" i="1"/>
  <c r="AI47" i="1" s="1"/>
  <c r="Z47" i="1" s="1"/>
  <c r="M46" i="1"/>
  <c r="AI46" i="1"/>
  <c r="Z46" i="1"/>
  <c r="M45" i="1"/>
  <c r="AI45" i="1"/>
  <c r="Z45" i="1" s="1"/>
  <c r="M44" i="1"/>
  <c r="AI44" i="1"/>
  <c r="Z44" i="1" s="1"/>
  <c r="M43" i="1"/>
  <c r="AI43" i="1"/>
  <c r="Z43" i="1" s="1"/>
  <c r="M42" i="1"/>
  <c r="AI42" i="1" s="1"/>
  <c r="Z42" i="1" s="1"/>
  <c r="M41" i="1"/>
  <c r="AI41" i="1"/>
  <c r="Z41" i="1" s="1"/>
  <c r="M40" i="1"/>
  <c r="AI40" i="1" s="1"/>
  <c r="M39" i="1"/>
  <c r="AI39" i="1" s="1"/>
  <c r="Z39" i="1"/>
  <c r="M38" i="1"/>
  <c r="AI38" i="1" s="1"/>
  <c r="Z38" i="1" s="1"/>
  <c r="M37" i="1"/>
  <c r="AI37" i="1"/>
  <c r="Z37" i="1" s="1"/>
  <c r="M36" i="1"/>
  <c r="AI36" i="1"/>
  <c r="Z36" i="1"/>
  <c r="M35" i="1"/>
  <c r="AI35" i="1" s="1"/>
  <c r="Z35" i="1" s="1"/>
  <c r="M34" i="1"/>
  <c r="AI34" i="1" s="1"/>
  <c r="Z34" i="1" s="1"/>
  <c r="M33" i="1"/>
  <c r="AI33" i="1"/>
  <c r="Z33" i="1" s="1"/>
  <c r="M32" i="1"/>
  <c r="AI32" i="1" s="1"/>
  <c r="AO32" i="1" s="1"/>
  <c r="AP32" i="1" s="1"/>
  <c r="AB32" i="1" s="1"/>
  <c r="Z32" i="1"/>
  <c r="M31" i="1"/>
  <c r="AI31" i="1" s="1"/>
  <c r="Z31" i="1" s="1"/>
  <c r="M30" i="1"/>
  <c r="AI30" i="1" s="1"/>
  <c r="Z30" i="1"/>
  <c r="M29" i="1"/>
  <c r="AI29" i="1"/>
  <c r="Z29" i="1" s="1"/>
  <c r="M28" i="1"/>
  <c r="AI28" i="1"/>
  <c r="Z28" i="1" s="1"/>
  <c r="M27" i="1"/>
  <c r="AI27" i="1" s="1"/>
  <c r="Z27" i="1" s="1"/>
  <c r="M26" i="1"/>
  <c r="AI26" i="1" s="1"/>
  <c r="Z26" i="1" s="1"/>
  <c r="M25" i="1"/>
  <c r="AI25" i="1"/>
  <c r="AO25" i="1" s="1"/>
  <c r="AP25" i="1" s="1"/>
  <c r="AB25" i="1" s="1"/>
  <c r="Z25" i="1"/>
  <c r="M24" i="1"/>
  <c r="AI24" i="1" s="1"/>
  <c r="Z24" i="1" s="1"/>
  <c r="M23" i="1"/>
  <c r="AI23" i="1" s="1"/>
  <c r="Z23" i="1" s="1"/>
  <c r="M22" i="1"/>
  <c r="AI22" i="1" s="1"/>
  <c r="Z22" i="1" s="1"/>
  <c r="M21" i="1"/>
  <c r="AI21" i="1"/>
  <c r="Z21" i="1" s="1"/>
  <c r="M20" i="1"/>
  <c r="AI20" i="1"/>
  <c r="Z20" i="1" s="1"/>
  <c r="M19" i="1"/>
  <c r="AI19" i="1" s="1"/>
  <c r="Z19" i="1" s="1"/>
  <c r="M18" i="1"/>
  <c r="AI18" i="1" s="1"/>
  <c r="Z18" i="1" s="1"/>
  <c r="M17" i="1"/>
  <c r="AI17" i="1"/>
  <c r="Z17" i="1" s="1"/>
  <c r="M16" i="1"/>
  <c r="AI16" i="1" s="1"/>
  <c r="AO16" i="1" s="1"/>
  <c r="AP16" i="1" s="1"/>
  <c r="AB16" i="1" s="1"/>
  <c r="M15" i="1"/>
  <c r="AI15" i="1" s="1"/>
  <c r="Z15" i="1" s="1"/>
  <c r="M14" i="1"/>
  <c r="AI14" i="1"/>
  <c r="Z14" i="1"/>
  <c r="M13" i="1"/>
  <c r="AI13" i="1"/>
  <c r="Z13" i="1" s="1"/>
  <c r="M12" i="1"/>
  <c r="AI12" i="1"/>
  <c r="Z12" i="1" s="1"/>
  <c r="M11" i="1"/>
  <c r="AI11" i="1"/>
  <c r="Z11" i="1" s="1"/>
  <c r="M10" i="1"/>
  <c r="AI10" i="1" s="1"/>
  <c r="Z10" i="1" s="1"/>
  <c r="M9" i="1"/>
  <c r="AI9" i="1"/>
  <c r="M8" i="1"/>
  <c r="AI8" i="1" s="1"/>
  <c r="M7" i="1"/>
  <c r="AI7" i="1" s="1"/>
  <c r="Z7" i="1"/>
  <c r="M6" i="1"/>
  <c r="AI6" i="1" s="1"/>
  <c r="AO6" i="1" s="1"/>
  <c r="AP6" i="1" s="1"/>
  <c r="AB6" i="1" s="1"/>
  <c r="Z6" i="1"/>
  <c r="M5" i="1"/>
  <c r="AI5" i="1"/>
  <c r="Z5" i="1" s="1"/>
  <c r="M4" i="1"/>
  <c r="AI4" i="1"/>
  <c r="Z4" i="1"/>
  <c r="M3" i="1"/>
  <c r="AI3" i="1" s="1"/>
  <c r="M2" i="1"/>
  <c r="AI2" i="1" s="1"/>
  <c r="Z2" i="1" s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Y1367" i="1"/>
  <c r="Y1366" i="1"/>
  <c r="Y1365" i="1"/>
  <c r="Y1364" i="1"/>
  <c r="Y1363" i="1"/>
  <c r="Y1362" i="1"/>
  <c r="Y1361" i="1"/>
  <c r="Y1360" i="1"/>
  <c r="Y1359" i="1"/>
  <c r="Y1358" i="1"/>
  <c r="Y1357" i="1"/>
  <c r="Y1356" i="1"/>
  <c r="Y1355" i="1"/>
  <c r="Y1354" i="1"/>
  <c r="Y1353" i="1"/>
  <c r="Y1352" i="1"/>
  <c r="Y1351" i="1"/>
  <c r="Y1350" i="1"/>
  <c r="Y1349" i="1"/>
  <c r="Y1348" i="1"/>
  <c r="Y1347" i="1"/>
  <c r="Y1346" i="1"/>
  <c r="Y1345" i="1"/>
  <c r="Y1344" i="1"/>
  <c r="Y1343" i="1"/>
  <c r="Y1342" i="1"/>
  <c r="Y1341" i="1"/>
  <c r="Y1340" i="1"/>
  <c r="Y1339" i="1"/>
  <c r="Y1338" i="1"/>
  <c r="Y1337" i="1"/>
  <c r="Y1336" i="1"/>
  <c r="Y1335" i="1"/>
  <c r="Y1334" i="1"/>
  <c r="Y1333" i="1"/>
  <c r="Y1332" i="1"/>
  <c r="Y1331" i="1"/>
  <c r="Y1330" i="1"/>
  <c r="Y1329" i="1"/>
  <c r="Y1328" i="1"/>
  <c r="Y1327" i="1"/>
  <c r="Y1326" i="1"/>
  <c r="Y1325" i="1"/>
  <c r="Y1324" i="1"/>
  <c r="Y1323" i="1"/>
  <c r="Y1322" i="1"/>
  <c r="Y1321" i="1"/>
  <c r="Y1320" i="1"/>
  <c r="Y1319" i="1"/>
  <c r="Y1318" i="1"/>
  <c r="Y1317" i="1"/>
  <c r="Y1316" i="1"/>
  <c r="Y1315" i="1"/>
  <c r="Y1314" i="1"/>
  <c r="Y1313" i="1"/>
  <c r="Y1312" i="1"/>
  <c r="Y1311" i="1"/>
  <c r="Y1310" i="1"/>
  <c r="Y1309" i="1"/>
  <c r="Y1308" i="1"/>
  <c r="Y1307" i="1"/>
  <c r="Y1305" i="1"/>
  <c r="Y1304" i="1"/>
  <c r="Y1303" i="1"/>
  <c r="Y1302" i="1"/>
  <c r="Y1301" i="1"/>
  <c r="Y1300" i="1"/>
  <c r="Y1299" i="1"/>
  <c r="Y1298" i="1"/>
  <c r="Y1297" i="1"/>
  <c r="Y1296" i="1"/>
  <c r="Y1295" i="1"/>
  <c r="Y1294" i="1"/>
  <c r="Y1293" i="1"/>
  <c r="Y1292" i="1"/>
  <c r="Y1291" i="1"/>
  <c r="Y1290" i="1"/>
  <c r="Y1289" i="1"/>
  <c r="Y1288" i="1"/>
  <c r="Y1287" i="1"/>
  <c r="Y1286" i="1"/>
  <c r="Y1285" i="1"/>
  <c r="Y1284" i="1"/>
  <c r="Y1283" i="1"/>
  <c r="Y1282" i="1"/>
  <c r="Y1281" i="1"/>
  <c r="Y1279" i="1"/>
  <c r="Y1278" i="1"/>
  <c r="Y1277" i="1"/>
  <c r="Y1276" i="1"/>
  <c r="Y1275" i="1"/>
  <c r="Y1274" i="1"/>
  <c r="Y1273" i="1"/>
  <c r="Y1272" i="1"/>
  <c r="Y1271" i="1"/>
  <c r="Y1270" i="1"/>
  <c r="Y1269" i="1"/>
  <c r="Y1268" i="1"/>
  <c r="Y1267" i="1"/>
  <c r="Y1265" i="1"/>
  <c r="Y1264" i="1"/>
  <c r="Y1263" i="1"/>
  <c r="Y1262" i="1"/>
  <c r="Y1261" i="1"/>
  <c r="Y1260" i="1"/>
  <c r="Y1259" i="1"/>
  <c r="Y1258" i="1"/>
  <c r="Y1257" i="1"/>
  <c r="Y1256" i="1"/>
  <c r="Y1255" i="1"/>
  <c r="Y1253" i="1"/>
  <c r="Y1252" i="1"/>
  <c r="Y1251" i="1"/>
  <c r="Y1250" i="1"/>
  <c r="Y1249" i="1"/>
  <c r="Y1248" i="1"/>
  <c r="Y1247" i="1"/>
  <c r="Y1246" i="1"/>
  <c r="Y1245" i="1"/>
  <c r="Y1244" i="1"/>
  <c r="Y1243" i="1"/>
  <c r="Y1242" i="1"/>
  <c r="Y1241" i="1"/>
  <c r="Y1240" i="1"/>
  <c r="Y1239" i="1"/>
  <c r="Y1238" i="1"/>
  <c r="Y1237" i="1"/>
  <c r="Y1236" i="1"/>
  <c r="Y1235" i="1"/>
  <c r="Y1234" i="1"/>
  <c r="Y1233" i="1"/>
  <c r="Y1232" i="1"/>
  <c r="Y1231" i="1"/>
  <c r="Y1230" i="1"/>
  <c r="Y1229" i="1"/>
  <c r="Y1228" i="1"/>
  <c r="Y1227" i="1"/>
  <c r="Y1226" i="1"/>
  <c r="Y1225" i="1"/>
  <c r="Y1224" i="1"/>
  <c r="Y1223" i="1"/>
  <c r="Y1222" i="1"/>
  <c r="Y1221" i="1"/>
  <c r="Y1220" i="1"/>
  <c r="Y1219" i="1"/>
  <c r="Y1218" i="1"/>
  <c r="Y1217" i="1"/>
  <c r="Y1216" i="1"/>
  <c r="Y1215" i="1"/>
  <c r="Y1214" i="1"/>
  <c r="Y1213" i="1"/>
  <c r="Y1212" i="1"/>
  <c r="Y1211" i="1"/>
  <c r="Y1210" i="1"/>
  <c r="Y1209" i="1"/>
  <c r="Y1208" i="1"/>
  <c r="Y1207" i="1"/>
  <c r="Y1206" i="1"/>
  <c r="Y1205" i="1"/>
  <c r="Y1204" i="1"/>
  <c r="Y1203" i="1"/>
  <c r="Y1202" i="1"/>
  <c r="Y1201" i="1"/>
  <c r="Y1200" i="1"/>
  <c r="Y1199" i="1"/>
  <c r="Y1198" i="1"/>
  <c r="Y1197" i="1"/>
  <c r="Y1196" i="1"/>
  <c r="Y1195" i="1"/>
  <c r="Y1194" i="1"/>
  <c r="Y1193" i="1"/>
  <c r="Y1192" i="1"/>
  <c r="Y1191" i="1"/>
  <c r="Y1190" i="1"/>
  <c r="Y1189" i="1"/>
  <c r="Y1188" i="1"/>
  <c r="Y1187" i="1"/>
  <c r="Y1186" i="1"/>
  <c r="Y1185" i="1"/>
  <c r="Y1184" i="1"/>
  <c r="Y1183" i="1"/>
  <c r="Y1182" i="1"/>
  <c r="Y1181" i="1"/>
  <c r="Y1180" i="1"/>
  <c r="Y1179" i="1"/>
  <c r="Y1178" i="1"/>
  <c r="Y1177" i="1"/>
  <c r="Y1176" i="1"/>
  <c r="Y1175" i="1"/>
  <c r="Y1174" i="1"/>
  <c r="Y1173" i="1"/>
  <c r="Y1172" i="1"/>
  <c r="Y1171" i="1"/>
  <c r="Y1170" i="1"/>
  <c r="Y1169" i="1"/>
  <c r="Y1168" i="1"/>
  <c r="Y1167" i="1"/>
  <c r="Y1166" i="1"/>
  <c r="Y1165" i="1"/>
  <c r="Y1164" i="1"/>
  <c r="Y1163" i="1"/>
  <c r="Y1162" i="1"/>
  <c r="Y1161" i="1"/>
  <c r="Y1160" i="1"/>
  <c r="Y1159" i="1"/>
  <c r="Y1158" i="1"/>
  <c r="Y1157" i="1"/>
  <c r="Y1156" i="1"/>
  <c r="Y1155" i="1"/>
  <c r="Y1154" i="1"/>
  <c r="Y1153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134" i="1"/>
  <c r="Y1133" i="1"/>
  <c r="Y1132" i="1"/>
  <c r="Y1131" i="1"/>
  <c r="Y1130" i="1"/>
  <c r="Y1129" i="1"/>
  <c r="Y1128" i="1"/>
  <c r="Y1127" i="1"/>
  <c r="Y1126" i="1"/>
  <c r="Y1125" i="1"/>
  <c r="Y1124" i="1"/>
  <c r="Y1123" i="1"/>
  <c r="Y1122" i="1"/>
  <c r="Y1121" i="1"/>
  <c r="Y1119" i="1"/>
  <c r="Y1118" i="1"/>
  <c r="Y1117" i="1"/>
  <c r="Y1116" i="1"/>
  <c r="Y1115" i="1"/>
  <c r="Y1114" i="1"/>
  <c r="Y1113" i="1"/>
  <c r="Y1112" i="1"/>
  <c r="Y1111" i="1"/>
  <c r="Y1110" i="1"/>
  <c r="Y1109" i="1"/>
  <c r="Y1108" i="1"/>
  <c r="Y1107" i="1"/>
  <c r="Y1106" i="1"/>
  <c r="Y1105" i="1"/>
  <c r="Y1104" i="1"/>
  <c r="Y1103" i="1"/>
  <c r="Y1102" i="1"/>
  <c r="Y1101" i="1"/>
  <c r="Y1100" i="1"/>
  <c r="Y1099" i="1"/>
  <c r="Y1098" i="1"/>
  <c r="Y1097" i="1"/>
  <c r="Y1096" i="1"/>
  <c r="Y1095" i="1"/>
  <c r="Y1094" i="1"/>
  <c r="Y1093" i="1"/>
  <c r="Y1092" i="1"/>
  <c r="Y1091" i="1"/>
  <c r="Y1090" i="1"/>
  <c r="Y1089" i="1"/>
  <c r="Y1088" i="1"/>
  <c r="Y1087" i="1"/>
  <c r="Y1086" i="1"/>
  <c r="Y1085" i="1"/>
  <c r="Y1084" i="1"/>
  <c r="Y1083" i="1"/>
  <c r="Y1082" i="1"/>
  <c r="Y1081" i="1"/>
  <c r="Y1080" i="1"/>
  <c r="Y1079" i="1"/>
  <c r="Y1078" i="1"/>
  <c r="Y1077" i="1"/>
  <c r="Y1076" i="1"/>
  <c r="Y1075" i="1"/>
  <c r="Y1074" i="1"/>
  <c r="Y1073" i="1"/>
  <c r="Y1072" i="1"/>
  <c r="Y1071" i="1"/>
  <c r="Y1070" i="1"/>
  <c r="Y1069" i="1"/>
  <c r="Y1068" i="1"/>
  <c r="Y1067" i="1"/>
  <c r="Y1066" i="1"/>
  <c r="Y1065" i="1"/>
  <c r="Y1064" i="1"/>
  <c r="Y1063" i="1"/>
  <c r="Y1062" i="1"/>
  <c r="Y1061" i="1"/>
  <c r="Y1060" i="1"/>
  <c r="Y1059" i="1"/>
  <c r="Y1058" i="1"/>
  <c r="Y1057" i="1"/>
  <c r="Y1056" i="1"/>
  <c r="Y1055" i="1"/>
  <c r="Y1054" i="1"/>
  <c r="Y1053" i="1"/>
  <c r="Y1052" i="1"/>
  <c r="Y1051" i="1"/>
  <c r="Y1050" i="1"/>
  <c r="Y1049" i="1"/>
  <c r="Y1048" i="1"/>
  <c r="Y1047" i="1"/>
  <c r="Y1046" i="1"/>
  <c r="Y1045" i="1"/>
  <c r="Y1044" i="1"/>
  <c r="Y1043" i="1"/>
  <c r="Y1042" i="1"/>
  <c r="Y1041" i="1"/>
  <c r="Y1040" i="1"/>
  <c r="Y1039" i="1"/>
  <c r="Y1038" i="1"/>
  <c r="Y1037" i="1"/>
  <c r="Y1036" i="1"/>
  <c r="Y1035" i="1"/>
  <c r="Y1034" i="1"/>
  <c r="Y1033" i="1"/>
  <c r="Y1032" i="1"/>
  <c r="Y1031" i="1"/>
  <c r="Y1030" i="1"/>
  <c r="Y1029" i="1"/>
  <c r="Y1028" i="1"/>
  <c r="Y1027" i="1"/>
  <c r="Y1026" i="1"/>
  <c r="Y1025" i="1"/>
  <c r="Y1024" i="1"/>
  <c r="Y1023" i="1"/>
  <c r="Y1022" i="1"/>
  <c r="Y1021" i="1"/>
  <c r="Y1020" i="1"/>
  <c r="Y1019" i="1"/>
  <c r="Y1018" i="1"/>
  <c r="Y1017" i="1"/>
  <c r="Y1016" i="1"/>
  <c r="Y1015" i="1"/>
  <c r="Y1014" i="1"/>
  <c r="Y1013" i="1"/>
  <c r="Y1012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7" i="1"/>
  <c r="Y6" i="1"/>
  <c r="Y5" i="1"/>
  <c r="Y3" i="1"/>
  <c r="Y2" i="1"/>
  <c r="AJ563" i="1"/>
  <c r="AK563" i="1" s="1"/>
  <c r="AJ550" i="1"/>
  <c r="AK550" i="1" s="1"/>
  <c r="AJ130" i="1"/>
  <c r="AK130" i="1" s="1"/>
  <c r="AJ464" i="1"/>
  <c r="AK464" i="1" s="1"/>
  <c r="AJ408" i="1"/>
  <c r="AK408" i="1" s="1"/>
  <c r="AJ164" i="1"/>
  <c r="AK164" i="1" s="1"/>
  <c r="AJ723" i="1"/>
  <c r="AK723" i="1" s="1"/>
  <c r="AJ1367" i="1"/>
  <c r="AK1367" i="1" s="1"/>
  <c r="AJ1366" i="1"/>
  <c r="AK1366" i="1" s="1"/>
  <c r="AJ1365" i="1"/>
  <c r="AK1365" i="1" s="1"/>
  <c r="AJ1364" i="1"/>
  <c r="AK1364" i="1" s="1"/>
  <c r="AJ1363" i="1"/>
  <c r="AK1363" i="1" s="1"/>
  <c r="AJ1362" i="1"/>
  <c r="AK1362" i="1" s="1"/>
  <c r="AJ1361" i="1"/>
  <c r="AK1361" i="1" s="1"/>
  <c r="AJ1360" i="1"/>
  <c r="AK1360" i="1" s="1"/>
  <c r="AJ1359" i="1"/>
  <c r="AK1359" i="1" s="1"/>
  <c r="AJ1358" i="1"/>
  <c r="AK1358" i="1" s="1"/>
  <c r="AJ1357" i="1"/>
  <c r="AK1357" i="1" s="1"/>
  <c r="AJ1356" i="1"/>
  <c r="AK1356" i="1" s="1"/>
  <c r="AJ1355" i="1"/>
  <c r="AK1355" i="1" s="1"/>
  <c r="AJ1354" i="1"/>
  <c r="AK1354" i="1" s="1"/>
  <c r="AJ1353" i="1"/>
  <c r="AK1353" i="1" s="1"/>
  <c r="AJ1352" i="1"/>
  <c r="AK1352" i="1" s="1"/>
  <c r="AJ1351" i="1"/>
  <c r="AK1351" i="1" s="1"/>
  <c r="AJ1350" i="1"/>
  <c r="AK1350" i="1" s="1"/>
  <c r="AJ1349" i="1"/>
  <c r="AK1349" i="1" s="1"/>
  <c r="AJ1348" i="1"/>
  <c r="AK1348" i="1" s="1"/>
  <c r="AJ1347" i="1"/>
  <c r="AK1347" i="1" s="1"/>
  <c r="AJ1346" i="1"/>
  <c r="AK1346" i="1" s="1"/>
  <c r="AJ1345" i="1"/>
  <c r="AK1345" i="1" s="1"/>
  <c r="AJ1344" i="1"/>
  <c r="AK1344" i="1" s="1"/>
  <c r="AJ1343" i="1"/>
  <c r="AK1343" i="1" s="1"/>
  <c r="AJ1342" i="1"/>
  <c r="AK1342" i="1" s="1"/>
  <c r="AJ1341" i="1"/>
  <c r="AK1341" i="1" s="1"/>
  <c r="AJ1340" i="1"/>
  <c r="AK1340" i="1" s="1"/>
  <c r="AJ1339" i="1"/>
  <c r="AK1339" i="1" s="1"/>
  <c r="AJ1338" i="1"/>
  <c r="AK1338" i="1" s="1"/>
  <c r="AJ1337" i="1"/>
  <c r="AK1337" i="1" s="1"/>
  <c r="AJ1336" i="1"/>
  <c r="AK1336" i="1" s="1"/>
  <c r="AJ1335" i="1"/>
  <c r="AK1335" i="1" s="1"/>
  <c r="AJ1334" i="1"/>
  <c r="AK1334" i="1" s="1"/>
  <c r="AJ1333" i="1"/>
  <c r="AK1333" i="1" s="1"/>
  <c r="AJ1332" i="1"/>
  <c r="AK1332" i="1" s="1"/>
  <c r="AJ1331" i="1"/>
  <c r="AK1331" i="1" s="1"/>
  <c r="AJ1330" i="1"/>
  <c r="AK1330" i="1" s="1"/>
  <c r="AJ1329" i="1"/>
  <c r="AK1329" i="1" s="1"/>
  <c r="AJ1328" i="1"/>
  <c r="AK1328" i="1" s="1"/>
  <c r="AJ1327" i="1"/>
  <c r="AK1327" i="1" s="1"/>
  <c r="AJ1326" i="1"/>
  <c r="AK1326" i="1" s="1"/>
  <c r="AJ1325" i="1"/>
  <c r="AK1325" i="1" s="1"/>
  <c r="AJ1324" i="1"/>
  <c r="AK1324" i="1" s="1"/>
  <c r="AJ1323" i="1"/>
  <c r="AK1323" i="1" s="1"/>
  <c r="AJ1322" i="1"/>
  <c r="AK1322" i="1" s="1"/>
  <c r="AJ1321" i="1"/>
  <c r="AK1321" i="1" s="1"/>
  <c r="AJ1320" i="1"/>
  <c r="AK1320" i="1" s="1"/>
  <c r="AJ1319" i="1"/>
  <c r="AK1319" i="1" s="1"/>
  <c r="AJ1318" i="1"/>
  <c r="AK1318" i="1" s="1"/>
  <c r="AJ1317" i="1"/>
  <c r="AK1317" i="1" s="1"/>
  <c r="AJ1316" i="1"/>
  <c r="AK1316" i="1" s="1"/>
  <c r="AJ1315" i="1"/>
  <c r="AK1315" i="1" s="1"/>
  <c r="AJ1314" i="1"/>
  <c r="AK1314" i="1" s="1"/>
  <c r="AJ1313" i="1"/>
  <c r="AK1313" i="1" s="1"/>
  <c r="AJ1312" i="1"/>
  <c r="AK1312" i="1" s="1"/>
  <c r="AJ1311" i="1"/>
  <c r="AK1311" i="1" s="1"/>
  <c r="AJ1310" i="1"/>
  <c r="AK1310" i="1" s="1"/>
  <c r="AJ1309" i="1"/>
  <c r="AK1309" i="1" s="1"/>
  <c r="AJ1308" i="1"/>
  <c r="AK1308" i="1" s="1"/>
  <c r="AJ1307" i="1"/>
  <c r="AK1307" i="1" s="1"/>
  <c r="AJ1306" i="1"/>
  <c r="AK1306" i="1" s="1"/>
  <c r="AJ1305" i="1"/>
  <c r="AK1305" i="1" s="1"/>
  <c r="AJ1304" i="1"/>
  <c r="AK1304" i="1" s="1"/>
  <c r="AJ1303" i="1"/>
  <c r="AK1303" i="1" s="1"/>
  <c r="AJ1302" i="1"/>
  <c r="AK1302" i="1" s="1"/>
  <c r="AJ1301" i="1"/>
  <c r="AK1301" i="1" s="1"/>
  <c r="AJ1300" i="1"/>
  <c r="AK1300" i="1" s="1"/>
  <c r="AJ1299" i="1"/>
  <c r="AK1299" i="1" s="1"/>
  <c r="AJ1298" i="1"/>
  <c r="AK1298" i="1" s="1"/>
  <c r="AJ1297" i="1"/>
  <c r="AK1297" i="1"/>
  <c r="AJ1296" i="1"/>
  <c r="AK1296" i="1" s="1"/>
  <c r="AJ1295" i="1"/>
  <c r="AK1295" i="1" s="1"/>
  <c r="AJ1294" i="1"/>
  <c r="AK1294" i="1" s="1"/>
  <c r="AJ1293" i="1"/>
  <c r="AK1293" i="1" s="1"/>
  <c r="AJ1292" i="1"/>
  <c r="AK1292" i="1" s="1"/>
  <c r="AJ1291" i="1"/>
  <c r="AK1291" i="1" s="1"/>
  <c r="AJ1290" i="1"/>
  <c r="AK1290" i="1" s="1"/>
  <c r="AJ1289" i="1"/>
  <c r="AK1289" i="1" s="1"/>
  <c r="AJ1288" i="1"/>
  <c r="AK1288" i="1" s="1"/>
  <c r="AJ1287" i="1"/>
  <c r="AK1287" i="1" s="1"/>
  <c r="AJ1286" i="1"/>
  <c r="AK1286" i="1" s="1"/>
  <c r="AJ1285" i="1"/>
  <c r="AK1285" i="1" s="1"/>
  <c r="AJ1284" i="1"/>
  <c r="AK1284" i="1" s="1"/>
  <c r="AJ1283" i="1"/>
  <c r="AK1283" i="1" s="1"/>
  <c r="AJ1282" i="1"/>
  <c r="AK1282" i="1" s="1"/>
  <c r="AJ1281" i="1"/>
  <c r="AK1281" i="1" s="1"/>
  <c r="AJ1280" i="1"/>
  <c r="AK1280" i="1" s="1"/>
  <c r="AJ1279" i="1"/>
  <c r="AK1279" i="1" s="1"/>
  <c r="AJ1278" i="1"/>
  <c r="AK1278" i="1" s="1"/>
  <c r="AJ1277" i="1"/>
  <c r="AK1277" i="1" s="1"/>
  <c r="AJ1276" i="1"/>
  <c r="AK1276" i="1" s="1"/>
  <c r="AJ1275" i="1"/>
  <c r="AK1275" i="1" s="1"/>
  <c r="AJ1274" i="1"/>
  <c r="AK1274" i="1" s="1"/>
  <c r="AJ1273" i="1"/>
  <c r="AK1273" i="1" s="1"/>
  <c r="AJ1272" i="1"/>
  <c r="AK1272" i="1" s="1"/>
  <c r="AJ1271" i="1"/>
  <c r="AK1271" i="1" s="1"/>
  <c r="AJ1270" i="1"/>
  <c r="AK1270" i="1" s="1"/>
  <c r="AJ1269" i="1"/>
  <c r="AK1269" i="1" s="1"/>
  <c r="AJ1268" i="1"/>
  <c r="AK1268" i="1" s="1"/>
  <c r="AJ1267" i="1"/>
  <c r="AK1267" i="1" s="1"/>
  <c r="AJ1266" i="1"/>
  <c r="AK1266" i="1" s="1"/>
  <c r="AJ1265" i="1"/>
  <c r="AK1265" i="1" s="1"/>
  <c r="AJ1264" i="1"/>
  <c r="AK1264" i="1" s="1"/>
  <c r="AJ1263" i="1"/>
  <c r="AK1263" i="1" s="1"/>
  <c r="AJ1262" i="1"/>
  <c r="AK1262" i="1" s="1"/>
  <c r="AJ1261" i="1"/>
  <c r="AK1261" i="1" s="1"/>
  <c r="AJ1260" i="1"/>
  <c r="AK1260" i="1" s="1"/>
  <c r="AJ1259" i="1"/>
  <c r="AK1259" i="1" s="1"/>
  <c r="AJ1258" i="1"/>
  <c r="AK1258" i="1" s="1"/>
  <c r="AJ1257" i="1"/>
  <c r="AK1257" i="1" s="1"/>
  <c r="AJ1256" i="1"/>
  <c r="AK1256" i="1" s="1"/>
  <c r="AJ1255" i="1"/>
  <c r="AK1255" i="1" s="1"/>
  <c r="AJ1254" i="1"/>
  <c r="AK1254" i="1" s="1"/>
  <c r="AJ1253" i="1"/>
  <c r="AK1253" i="1" s="1"/>
  <c r="AJ1252" i="1"/>
  <c r="AK1252" i="1" s="1"/>
  <c r="AJ1251" i="1"/>
  <c r="AK1251" i="1" s="1"/>
  <c r="AJ1250" i="1"/>
  <c r="AK1250" i="1" s="1"/>
  <c r="AJ1249" i="1"/>
  <c r="AK1249" i="1" s="1"/>
  <c r="AJ1248" i="1"/>
  <c r="AK1248" i="1" s="1"/>
  <c r="AJ1247" i="1"/>
  <c r="AK1247" i="1" s="1"/>
  <c r="AJ1246" i="1"/>
  <c r="AK1246" i="1" s="1"/>
  <c r="AJ1245" i="1"/>
  <c r="AK1245" i="1" s="1"/>
  <c r="AJ1244" i="1"/>
  <c r="AK1244" i="1" s="1"/>
  <c r="AJ1243" i="1"/>
  <c r="AK1243" i="1" s="1"/>
  <c r="AJ1242" i="1"/>
  <c r="AK1242" i="1" s="1"/>
  <c r="AJ1241" i="1"/>
  <c r="AK1241" i="1" s="1"/>
  <c r="AJ1240" i="1"/>
  <c r="AK1240" i="1" s="1"/>
  <c r="AJ1239" i="1"/>
  <c r="AK1239" i="1" s="1"/>
  <c r="AJ1238" i="1"/>
  <c r="AK1238" i="1" s="1"/>
  <c r="AJ1237" i="1"/>
  <c r="AK1237" i="1" s="1"/>
  <c r="AJ1236" i="1"/>
  <c r="AK1236" i="1" s="1"/>
  <c r="AJ1235" i="1"/>
  <c r="AK1235" i="1" s="1"/>
  <c r="AJ1234" i="1"/>
  <c r="AK1234" i="1" s="1"/>
  <c r="AJ1233" i="1"/>
  <c r="AK1233" i="1" s="1"/>
  <c r="AJ1232" i="1"/>
  <c r="AK1232" i="1" s="1"/>
  <c r="AJ1231" i="1"/>
  <c r="AK1231" i="1" s="1"/>
  <c r="AJ1230" i="1"/>
  <c r="AK1230" i="1" s="1"/>
  <c r="AJ1229" i="1"/>
  <c r="AK1229" i="1" s="1"/>
  <c r="AJ1228" i="1"/>
  <c r="AK1228" i="1" s="1"/>
  <c r="AJ1227" i="1"/>
  <c r="AK1227" i="1" s="1"/>
  <c r="AJ1226" i="1"/>
  <c r="AK1226" i="1" s="1"/>
  <c r="AJ1225" i="1"/>
  <c r="AK1225" i="1" s="1"/>
  <c r="AJ1224" i="1"/>
  <c r="AK1224" i="1" s="1"/>
  <c r="AJ1223" i="1"/>
  <c r="AK1223" i="1" s="1"/>
  <c r="AJ1222" i="1"/>
  <c r="AK1222" i="1" s="1"/>
  <c r="AJ1221" i="1"/>
  <c r="AK1221" i="1" s="1"/>
  <c r="AJ1220" i="1"/>
  <c r="AK1220" i="1" s="1"/>
  <c r="AJ1219" i="1"/>
  <c r="AK1219" i="1" s="1"/>
  <c r="AJ1218" i="1"/>
  <c r="AK1218" i="1" s="1"/>
  <c r="AJ1217" i="1"/>
  <c r="AK1217" i="1" s="1"/>
  <c r="AJ1216" i="1"/>
  <c r="AK1216" i="1" s="1"/>
  <c r="AJ1215" i="1"/>
  <c r="AK1215" i="1" s="1"/>
  <c r="AJ1214" i="1"/>
  <c r="AK1214" i="1" s="1"/>
  <c r="AJ1213" i="1"/>
  <c r="AK1213" i="1" s="1"/>
  <c r="AJ1212" i="1"/>
  <c r="AK1212" i="1" s="1"/>
  <c r="AJ1211" i="1"/>
  <c r="AK1211" i="1" s="1"/>
  <c r="AJ1210" i="1"/>
  <c r="AK1210" i="1" s="1"/>
  <c r="AJ1209" i="1"/>
  <c r="AK1209" i="1" s="1"/>
  <c r="AJ1208" i="1"/>
  <c r="AK1208" i="1" s="1"/>
  <c r="AJ1207" i="1"/>
  <c r="AK1207" i="1" s="1"/>
  <c r="AJ1206" i="1"/>
  <c r="AK1206" i="1" s="1"/>
  <c r="AJ1205" i="1"/>
  <c r="AK1205" i="1" s="1"/>
  <c r="AJ1204" i="1"/>
  <c r="AK1204" i="1" s="1"/>
  <c r="AJ1203" i="1"/>
  <c r="AK1203" i="1" s="1"/>
  <c r="AJ1202" i="1"/>
  <c r="AK1202" i="1" s="1"/>
  <c r="AJ1201" i="1"/>
  <c r="AK1201" i="1" s="1"/>
  <c r="AJ1200" i="1"/>
  <c r="AK1200" i="1" s="1"/>
  <c r="AJ1199" i="1"/>
  <c r="AK1199" i="1" s="1"/>
  <c r="AJ1198" i="1"/>
  <c r="AK1198" i="1" s="1"/>
  <c r="AJ1197" i="1"/>
  <c r="AK1197" i="1" s="1"/>
  <c r="AJ1196" i="1"/>
  <c r="AK1196" i="1" s="1"/>
  <c r="AJ1195" i="1"/>
  <c r="AK1195" i="1" s="1"/>
  <c r="AJ1194" i="1"/>
  <c r="AK1194" i="1" s="1"/>
  <c r="AJ1193" i="1"/>
  <c r="AK1193" i="1" s="1"/>
  <c r="AJ1192" i="1"/>
  <c r="AK1192" i="1" s="1"/>
  <c r="AJ1191" i="1"/>
  <c r="AK1191" i="1" s="1"/>
  <c r="AJ1190" i="1"/>
  <c r="AK1190" i="1" s="1"/>
  <c r="AJ1189" i="1"/>
  <c r="AK1189" i="1" s="1"/>
  <c r="AJ1188" i="1"/>
  <c r="AK1188" i="1" s="1"/>
  <c r="AJ1187" i="1"/>
  <c r="AK1187" i="1" s="1"/>
  <c r="AJ1186" i="1"/>
  <c r="AK1186" i="1" s="1"/>
  <c r="AJ1185" i="1"/>
  <c r="AK1185" i="1" s="1"/>
  <c r="AJ1184" i="1"/>
  <c r="AK1184" i="1" s="1"/>
  <c r="AJ1183" i="1"/>
  <c r="AK1183" i="1" s="1"/>
  <c r="AJ1182" i="1"/>
  <c r="AK1182" i="1" s="1"/>
  <c r="AJ1181" i="1"/>
  <c r="AK1181" i="1" s="1"/>
  <c r="AJ1180" i="1"/>
  <c r="AK1180" i="1" s="1"/>
  <c r="AJ1179" i="1"/>
  <c r="AK1179" i="1" s="1"/>
  <c r="AJ1178" i="1"/>
  <c r="AK1178" i="1" s="1"/>
  <c r="AJ1177" i="1"/>
  <c r="AK1177" i="1" s="1"/>
  <c r="AJ1176" i="1"/>
  <c r="AK1176" i="1" s="1"/>
  <c r="AJ1175" i="1"/>
  <c r="AK1175" i="1" s="1"/>
  <c r="AJ1174" i="1"/>
  <c r="AK1174" i="1" s="1"/>
  <c r="AJ1173" i="1"/>
  <c r="AK1173" i="1" s="1"/>
  <c r="AJ1172" i="1"/>
  <c r="AK1172" i="1" s="1"/>
  <c r="AJ1171" i="1"/>
  <c r="AK1171" i="1" s="1"/>
  <c r="AJ1170" i="1"/>
  <c r="AK1170" i="1" s="1"/>
  <c r="AJ1169" i="1"/>
  <c r="AK1169" i="1" s="1"/>
  <c r="AJ1168" i="1"/>
  <c r="AK1168" i="1" s="1"/>
  <c r="AJ1167" i="1"/>
  <c r="AK1167" i="1" s="1"/>
  <c r="AJ1166" i="1"/>
  <c r="AK1166" i="1" s="1"/>
  <c r="AJ1165" i="1"/>
  <c r="AK1165" i="1" s="1"/>
  <c r="AJ1164" i="1"/>
  <c r="AK1164" i="1" s="1"/>
  <c r="AJ1163" i="1"/>
  <c r="AK1163" i="1" s="1"/>
  <c r="AJ1162" i="1"/>
  <c r="AK1162" i="1" s="1"/>
  <c r="AJ1161" i="1"/>
  <c r="AK1161" i="1" s="1"/>
  <c r="AJ1160" i="1"/>
  <c r="AK1160" i="1" s="1"/>
  <c r="AJ1159" i="1"/>
  <c r="AK1159" i="1" s="1"/>
  <c r="AJ1158" i="1"/>
  <c r="AK1158" i="1" s="1"/>
  <c r="AJ1157" i="1"/>
  <c r="AK1157" i="1" s="1"/>
  <c r="AJ1156" i="1"/>
  <c r="AK1156" i="1" s="1"/>
  <c r="AJ1155" i="1"/>
  <c r="AK1155" i="1" s="1"/>
  <c r="AJ1154" i="1"/>
  <c r="AK1154" i="1" s="1"/>
  <c r="AJ1153" i="1"/>
  <c r="AK1153" i="1" s="1"/>
  <c r="AJ1152" i="1"/>
  <c r="AK1152" i="1" s="1"/>
  <c r="AJ1151" i="1"/>
  <c r="AK1151" i="1" s="1"/>
  <c r="AJ1150" i="1"/>
  <c r="AK1150" i="1" s="1"/>
  <c r="AJ1149" i="1"/>
  <c r="AK1149" i="1" s="1"/>
  <c r="AJ1148" i="1"/>
  <c r="AK1148" i="1" s="1"/>
  <c r="AJ1147" i="1"/>
  <c r="AK1147" i="1" s="1"/>
  <c r="AJ1146" i="1"/>
  <c r="AK1146" i="1" s="1"/>
  <c r="AJ1145" i="1"/>
  <c r="AK1145" i="1" s="1"/>
  <c r="AJ1144" i="1"/>
  <c r="AK1144" i="1" s="1"/>
  <c r="AJ1143" i="1"/>
  <c r="AK1143" i="1" s="1"/>
  <c r="AJ1142" i="1"/>
  <c r="AK1142" i="1" s="1"/>
  <c r="AJ1141" i="1"/>
  <c r="AK1141" i="1" s="1"/>
  <c r="AJ1140" i="1"/>
  <c r="AK1140" i="1" s="1"/>
  <c r="AJ1139" i="1"/>
  <c r="AK1139" i="1" s="1"/>
  <c r="AJ1138" i="1"/>
  <c r="AK1138" i="1" s="1"/>
  <c r="AJ1137" i="1"/>
  <c r="AK1137" i="1" s="1"/>
  <c r="AJ1136" i="1"/>
  <c r="AK1136" i="1" s="1"/>
  <c r="AJ1135" i="1"/>
  <c r="AK1135" i="1" s="1"/>
  <c r="AJ1134" i="1"/>
  <c r="AK1134" i="1" s="1"/>
  <c r="AJ1133" i="1"/>
  <c r="AK1133" i="1" s="1"/>
  <c r="AJ1132" i="1"/>
  <c r="AK1132" i="1" s="1"/>
  <c r="AJ1131" i="1"/>
  <c r="AK1131" i="1" s="1"/>
  <c r="AJ1130" i="1"/>
  <c r="AK1130" i="1" s="1"/>
  <c r="AJ1129" i="1"/>
  <c r="AK1129" i="1" s="1"/>
  <c r="AJ1128" i="1"/>
  <c r="AK1128" i="1" s="1"/>
  <c r="AJ1127" i="1"/>
  <c r="AK1127" i="1" s="1"/>
  <c r="AJ1126" i="1"/>
  <c r="AK1126" i="1" s="1"/>
  <c r="AJ1125" i="1"/>
  <c r="AK1125" i="1" s="1"/>
  <c r="AJ1124" i="1"/>
  <c r="AK1124" i="1" s="1"/>
  <c r="AJ1123" i="1"/>
  <c r="AK1123" i="1" s="1"/>
  <c r="AJ1122" i="1"/>
  <c r="AK1122" i="1" s="1"/>
  <c r="AJ1121" i="1"/>
  <c r="AK1121" i="1" s="1"/>
  <c r="AJ1120" i="1"/>
  <c r="AK1120" i="1" s="1"/>
  <c r="AJ1119" i="1"/>
  <c r="AK1119" i="1" s="1"/>
  <c r="AJ1118" i="1"/>
  <c r="AK1118" i="1" s="1"/>
  <c r="AJ1117" i="1"/>
  <c r="AK1117" i="1" s="1"/>
  <c r="AJ1116" i="1"/>
  <c r="AK1116" i="1" s="1"/>
  <c r="AJ1115" i="1"/>
  <c r="AK1115" i="1" s="1"/>
  <c r="AJ1114" i="1"/>
  <c r="AK1114" i="1" s="1"/>
  <c r="AJ1113" i="1"/>
  <c r="AK1113" i="1" s="1"/>
  <c r="AJ1112" i="1"/>
  <c r="AK1112" i="1" s="1"/>
  <c r="AJ1111" i="1"/>
  <c r="AK1111" i="1" s="1"/>
  <c r="AJ1110" i="1"/>
  <c r="AK1110" i="1" s="1"/>
  <c r="AJ1109" i="1"/>
  <c r="AK1109" i="1" s="1"/>
  <c r="AJ1108" i="1"/>
  <c r="AK1108" i="1" s="1"/>
  <c r="AJ1107" i="1"/>
  <c r="AK1107" i="1" s="1"/>
  <c r="AJ1106" i="1"/>
  <c r="AK1106" i="1" s="1"/>
  <c r="AJ1105" i="1"/>
  <c r="AK1105" i="1" s="1"/>
  <c r="AJ1104" i="1"/>
  <c r="AK1104" i="1" s="1"/>
  <c r="AJ1103" i="1"/>
  <c r="AK1103" i="1" s="1"/>
  <c r="AJ1102" i="1"/>
  <c r="AK1102" i="1" s="1"/>
  <c r="AJ1101" i="1"/>
  <c r="AK1101" i="1" s="1"/>
  <c r="AJ1100" i="1"/>
  <c r="AK1100" i="1" s="1"/>
  <c r="AJ1099" i="1"/>
  <c r="AK1099" i="1" s="1"/>
  <c r="AJ1098" i="1"/>
  <c r="AK1098" i="1" s="1"/>
  <c r="AJ1097" i="1"/>
  <c r="AK1097" i="1" s="1"/>
  <c r="AJ1096" i="1"/>
  <c r="AK1096" i="1" s="1"/>
  <c r="AJ1095" i="1"/>
  <c r="AK1095" i="1" s="1"/>
  <c r="AJ1094" i="1"/>
  <c r="AK1094" i="1" s="1"/>
  <c r="AJ1093" i="1"/>
  <c r="AK1093" i="1" s="1"/>
  <c r="AJ1092" i="1"/>
  <c r="AK1092" i="1" s="1"/>
  <c r="AJ1091" i="1"/>
  <c r="AK1091" i="1" s="1"/>
  <c r="AJ1090" i="1"/>
  <c r="AK1090" i="1" s="1"/>
  <c r="AJ1089" i="1"/>
  <c r="AK1089" i="1" s="1"/>
  <c r="AJ1088" i="1"/>
  <c r="AK1088" i="1" s="1"/>
  <c r="AJ1087" i="1"/>
  <c r="AK1087" i="1" s="1"/>
  <c r="AJ1086" i="1"/>
  <c r="AK1086" i="1" s="1"/>
  <c r="AJ1085" i="1"/>
  <c r="AK1085" i="1" s="1"/>
  <c r="AJ1084" i="1"/>
  <c r="AK1084" i="1" s="1"/>
  <c r="AJ1083" i="1"/>
  <c r="AK1083" i="1" s="1"/>
  <c r="AJ1082" i="1"/>
  <c r="AK1082" i="1" s="1"/>
  <c r="AJ1081" i="1"/>
  <c r="AK1081" i="1" s="1"/>
  <c r="AJ1080" i="1"/>
  <c r="AK1080" i="1" s="1"/>
  <c r="AJ1079" i="1"/>
  <c r="AK1079" i="1" s="1"/>
  <c r="AJ1078" i="1"/>
  <c r="AK1078" i="1" s="1"/>
  <c r="AJ1077" i="1"/>
  <c r="AK1077" i="1" s="1"/>
  <c r="AJ1076" i="1"/>
  <c r="AK1076" i="1" s="1"/>
  <c r="AJ1075" i="1"/>
  <c r="AK1075" i="1" s="1"/>
  <c r="AJ1074" i="1"/>
  <c r="AK1074" i="1" s="1"/>
  <c r="AJ1073" i="1"/>
  <c r="AK1073" i="1" s="1"/>
  <c r="AJ1072" i="1"/>
  <c r="AK1072" i="1" s="1"/>
  <c r="AJ1071" i="1"/>
  <c r="AK1071" i="1" s="1"/>
  <c r="AJ1070" i="1"/>
  <c r="AK1070" i="1" s="1"/>
  <c r="AJ1069" i="1"/>
  <c r="AK1069" i="1" s="1"/>
  <c r="AJ1068" i="1"/>
  <c r="AK1068" i="1" s="1"/>
  <c r="AJ1067" i="1"/>
  <c r="AK1067" i="1" s="1"/>
  <c r="AJ1066" i="1"/>
  <c r="AK1066" i="1" s="1"/>
  <c r="AJ1065" i="1"/>
  <c r="AK1065" i="1" s="1"/>
  <c r="AJ1064" i="1"/>
  <c r="AK1064" i="1" s="1"/>
  <c r="AJ1063" i="1"/>
  <c r="AK1063" i="1" s="1"/>
  <c r="AJ1062" i="1"/>
  <c r="AK1062" i="1" s="1"/>
  <c r="AJ1061" i="1"/>
  <c r="AK1061" i="1" s="1"/>
  <c r="AJ1060" i="1"/>
  <c r="AK1060" i="1" s="1"/>
  <c r="AJ1059" i="1"/>
  <c r="AK1059" i="1" s="1"/>
  <c r="AJ1058" i="1"/>
  <c r="AK1058" i="1" s="1"/>
  <c r="AJ1057" i="1"/>
  <c r="AK1057" i="1" s="1"/>
  <c r="AJ1056" i="1"/>
  <c r="AK1056" i="1" s="1"/>
  <c r="AJ1055" i="1"/>
  <c r="AK1055" i="1" s="1"/>
  <c r="AJ1054" i="1"/>
  <c r="AK1054" i="1" s="1"/>
  <c r="AJ1053" i="1"/>
  <c r="AK1053" i="1" s="1"/>
  <c r="AJ1052" i="1"/>
  <c r="AK1052" i="1" s="1"/>
  <c r="AJ1051" i="1"/>
  <c r="AK1051" i="1" s="1"/>
  <c r="AJ1050" i="1"/>
  <c r="AK1050" i="1" s="1"/>
  <c r="AJ1049" i="1"/>
  <c r="AK1049" i="1" s="1"/>
  <c r="AJ1048" i="1"/>
  <c r="AK1048" i="1" s="1"/>
  <c r="AJ1047" i="1"/>
  <c r="AK1047" i="1" s="1"/>
  <c r="AJ1046" i="1"/>
  <c r="AK1046" i="1" s="1"/>
  <c r="AJ1045" i="1"/>
  <c r="AK1045" i="1" s="1"/>
  <c r="AJ1044" i="1"/>
  <c r="AK1044" i="1" s="1"/>
  <c r="AJ1043" i="1"/>
  <c r="AK1043" i="1" s="1"/>
  <c r="AJ1042" i="1"/>
  <c r="AK1042" i="1" s="1"/>
  <c r="AJ1041" i="1"/>
  <c r="AK1041" i="1" s="1"/>
  <c r="AJ1040" i="1"/>
  <c r="AK1040" i="1" s="1"/>
  <c r="AJ1039" i="1"/>
  <c r="AK1039" i="1" s="1"/>
  <c r="AJ1038" i="1"/>
  <c r="AK1038" i="1" s="1"/>
  <c r="AJ1037" i="1"/>
  <c r="AK1037" i="1" s="1"/>
  <c r="AJ1036" i="1"/>
  <c r="AK1036" i="1" s="1"/>
  <c r="AJ1035" i="1"/>
  <c r="AK1035" i="1" s="1"/>
  <c r="AJ1034" i="1"/>
  <c r="AK1034" i="1" s="1"/>
  <c r="AJ1033" i="1"/>
  <c r="AK1033" i="1" s="1"/>
  <c r="AJ1032" i="1"/>
  <c r="AK1032" i="1" s="1"/>
  <c r="AJ1031" i="1"/>
  <c r="AK1031" i="1" s="1"/>
  <c r="AJ1030" i="1"/>
  <c r="AK1030" i="1" s="1"/>
  <c r="AJ1029" i="1"/>
  <c r="AK1029" i="1" s="1"/>
  <c r="AJ1028" i="1"/>
  <c r="AK1028" i="1" s="1"/>
  <c r="AJ1027" i="1"/>
  <c r="AK1027" i="1" s="1"/>
  <c r="AJ1026" i="1"/>
  <c r="AK1026" i="1" s="1"/>
  <c r="AJ1025" i="1"/>
  <c r="AK1025" i="1" s="1"/>
  <c r="AJ1024" i="1"/>
  <c r="AK1024" i="1" s="1"/>
  <c r="AJ1023" i="1"/>
  <c r="AK1023" i="1" s="1"/>
  <c r="AJ1022" i="1"/>
  <c r="AK1022" i="1" s="1"/>
  <c r="AJ1021" i="1"/>
  <c r="AK1021" i="1" s="1"/>
  <c r="AJ1020" i="1"/>
  <c r="AK1020" i="1" s="1"/>
  <c r="AJ1019" i="1"/>
  <c r="AK1019" i="1" s="1"/>
  <c r="AJ1018" i="1"/>
  <c r="AK1018" i="1" s="1"/>
  <c r="AJ1017" i="1"/>
  <c r="AK1017" i="1" s="1"/>
  <c r="AJ1016" i="1"/>
  <c r="AK1016" i="1" s="1"/>
  <c r="AJ1015" i="1"/>
  <c r="AK1015" i="1" s="1"/>
  <c r="AJ1014" i="1"/>
  <c r="AK1014" i="1" s="1"/>
  <c r="AJ1013" i="1"/>
  <c r="AK1013" i="1" s="1"/>
  <c r="AJ1012" i="1"/>
  <c r="AK1012" i="1" s="1"/>
  <c r="AJ1011" i="1"/>
  <c r="AK1011" i="1" s="1"/>
  <c r="AJ1010" i="1"/>
  <c r="AK1010" i="1" s="1"/>
  <c r="AJ1009" i="1"/>
  <c r="AK1009" i="1" s="1"/>
  <c r="AJ1008" i="1"/>
  <c r="AK1008" i="1" s="1"/>
  <c r="AJ1007" i="1"/>
  <c r="AK1007" i="1" s="1"/>
  <c r="AJ1006" i="1"/>
  <c r="AK1006" i="1" s="1"/>
  <c r="AJ1005" i="1"/>
  <c r="AK1005" i="1" s="1"/>
  <c r="AJ1004" i="1"/>
  <c r="AK1004" i="1" s="1"/>
  <c r="AJ1003" i="1"/>
  <c r="AK1003" i="1" s="1"/>
  <c r="AJ1002" i="1"/>
  <c r="AK1002" i="1" s="1"/>
  <c r="AJ1001" i="1"/>
  <c r="AK1001" i="1" s="1"/>
  <c r="AJ1000" i="1"/>
  <c r="AK1000" i="1" s="1"/>
  <c r="AJ999" i="1"/>
  <c r="AK999" i="1" s="1"/>
  <c r="AJ998" i="1"/>
  <c r="AK998" i="1" s="1"/>
  <c r="AJ997" i="1"/>
  <c r="AK997" i="1" s="1"/>
  <c r="AJ996" i="1"/>
  <c r="AK996" i="1" s="1"/>
  <c r="AJ995" i="1"/>
  <c r="AK995" i="1" s="1"/>
  <c r="AJ994" i="1"/>
  <c r="AK994" i="1"/>
  <c r="AJ993" i="1"/>
  <c r="AK993" i="1" s="1"/>
  <c r="AJ992" i="1"/>
  <c r="AK992" i="1" s="1"/>
  <c r="AJ991" i="1"/>
  <c r="AK991" i="1" s="1"/>
  <c r="AJ990" i="1"/>
  <c r="AK990" i="1" s="1"/>
  <c r="AJ989" i="1"/>
  <c r="AK989" i="1" s="1"/>
  <c r="AJ988" i="1"/>
  <c r="AK988" i="1" s="1"/>
  <c r="AJ987" i="1"/>
  <c r="AK987" i="1" s="1"/>
  <c r="AJ986" i="1"/>
  <c r="AK986" i="1" s="1"/>
  <c r="AJ985" i="1"/>
  <c r="AK985" i="1" s="1"/>
  <c r="AJ984" i="1"/>
  <c r="AK984" i="1" s="1"/>
  <c r="AJ983" i="1"/>
  <c r="AK983" i="1" s="1"/>
  <c r="AJ982" i="1"/>
  <c r="AK982" i="1" s="1"/>
  <c r="AJ981" i="1"/>
  <c r="AK981" i="1" s="1"/>
  <c r="AJ980" i="1"/>
  <c r="AK980" i="1" s="1"/>
  <c r="AJ979" i="1"/>
  <c r="AK979" i="1"/>
  <c r="AJ978" i="1"/>
  <c r="AK978" i="1" s="1"/>
  <c r="AJ977" i="1"/>
  <c r="AK977" i="1" s="1"/>
  <c r="AJ976" i="1"/>
  <c r="AK976" i="1" s="1"/>
  <c r="AJ975" i="1"/>
  <c r="AK975" i="1" s="1"/>
  <c r="AJ974" i="1"/>
  <c r="AK974" i="1" s="1"/>
  <c r="AJ973" i="1"/>
  <c r="AK973" i="1" s="1"/>
  <c r="AJ972" i="1"/>
  <c r="AK972" i="1" s="1"/>
  <c r="AJ971" i="1"/>
  <c r="AK971" i="1" s="1"/>
  <c r="AJ970" i="1"/>
  <c r="AK970" i="1" s="1"/>
  <c r="AJ969" i="1"/>
  <c r="AK969" i="1" s="1"/>
  <c r="AJ968" i="1"/>
  <c r="AK968" i="1" s="1"/>
  <c r="AJ967" i="1"/>
  <c r="AK967" i="1" s="1"/>
  <c r="AJ966" i="1"/>
  <c r="AK966" i="1" s="1"/>
  <c r="AJ965" i="1"/>
  <c r="AK965" i="1" s="1"/>
  <c r="AJ964" i="1"/>
  <c r="AK964" i="1" s="1"/>
  <c r="AJ963" i="1"/>
  <c r="AK963" i="1" s="1"/>
  <c r="AJ962" i="1"/>
  <c r="AK962" i="1" s="1"/>
  <c r="AJ961" i="1"/>
  <c r="AK961" i="1" s="1"/>
  <c r="AJ960" i="1"/>
  <c r="AK960" i="1" s="1"/>
  <c r="AJ959" i="1"/>
  <c r="AK959" i="1" s="1"/>
  <c r="AJ958" i="1"/>
  <c r="AK958" i="1" s="1"/>
  <c r="AJ957" i="1"/>
  <c r="AK957" i="1" s="1"/>
  <c r="AJ956" i="1"/>
  <c r="AK956" i="1" s="1"/>
  <c r="AJ955" i="1"/>
  <c r="AK955" i="1" s="1"/>
  <c r="AJ954" i="1"/>
  <c r="AK954" i="1" s="1"/>
  <c r="AJ953" i="1"/>
  <c r="AK953" i="1" s="1"/>
  <c r="AJ952" i="1"/>
  <c r="AK952" i="1" s="1"/>
  <c r="AJ951" i="1"/>
  <c r="AK951" i="1" s="1"/>
  <c r="AJ950" i="1"/>
  <c r="AK950" i="1" s="1"/>
  <c r="AJ949" i="1"/>
  <c r="AK949" i="1" s="1"/>
  <c r="AJ948" i="1"/>
  <c r="AK948" i="1" s="1"/>
  <c r="AJ947" i="1"/>
  <c r="AK947" i="1" s="1"/>
  <c r="AJ946" i="1"/>
  <c r="AK946" i="1" s="1"/>
  <c r="AJ945" i="1"/>
  <c r="AK945" i="1" s="1"/>
  <c r="AJ944" i="1"/>
  <c r="AK944" i="1" s="1"/>
  <c r="AJ943" i="1"/>
  <c r="AK943" i="1" s="1"/>
  <c r="AJ942" i="1"/>
  <c r="AK942" i="1" s="1"/>
  <c r="AJ941" i="1"/>
  <c r="AK941" i="1" s="1"/>
  <c r="AJ940" i="1"/>
  <c r="AK940" i="1" s="1"/>
  <c r="AJ939" i="1"/>
  <c r="AK939" i="1" s="1"/>
  <c r="AJ938" i="1"/>
  <c r="AK938" i="1" s="1"/>
  <c r="AJ937" i="1"/>
  <c r="AK937" i="1" s="1"/>
  <c r="AJ936" i="1"/>
  <c r="AK936" i="1" s="1"/>
  <c r="AJ935" i="1"/>
  <c r="AK935" i="1" s="1"/>
  <c r="AJ934" i="1"/>
  <c r="AK934" i="1" s="1"/>
  <c r="J12" i="4" s="1"/>
  <c r="AJ933" i="1"/>
  <c r="AK933" i="1" s="1"/>
  <c r="AJ932" i="1"/>
  <c r="AK932" i="1" s="1"/>
  <c r="AJ931" i="1"/>
  <c r="AK931" i="1" s="1"/>
  <c r="AJ930" i="1"/>
  <c r="AK930" i="1" s="1"/>
  <c r="AJ929" i="1"/>
  <c r="AK929" i="1" s="1"/>
  <c r="AJ928" i="1"/>
  <c r="AK928" i="1" s="1"/>
  <c r="AJ927" i="1"/>
  <c r="AK927" i="1" s="1"/>
  <c r="AJ926" i="1"/>
  <c r="AK926" i="1" s="1"/>
  <c r="AJ925" i="1"/>
  <c r="AK925" i="1" s="1"/>
  <c r="AJ924" i="1"/>
  <c r="AK924" i="1" s="1"/>
  <c r="AJ923" i="1"/>
  <c r="AK923" i="1" s="1"/>
  <c r="AJ922" i="1"/>
  <c r="AK922" i="1" s="1"/>
  <c r="AJ921" i="1"/>
  <c r="AK921" i="1" s="1"/>
  <c r="AJ920" i="1"/>
  <c r="AK920" i="1" s="1"/>
  <c r="AJ919" i="1"/>
  <c r="AK919" i="1" s="1"/>
  <c r="AJ918" i="1"/>
  <c r="AK918" i="1" s="1"/>
  <c r="AJ917" i="1"/>
  <c r="AK917" i="1" s="1"/>
  <c r="AJ916" i="1"/>
  <c r="AK916" i="1" s="1"/>
  <c r="AJ915" i="1"/>
  <c r="AK915" i="1" s="1"/>
  <c r="AJ914" i="1"/>
  <c r="AK914" i="1" s="1"/>
  <c r="AJ913" i="1"/>
  <c r="AK913" i="1"/>
  <c r="AJ912" i="1"/>
  <c r="AK912" i="1" s="1"/>
  <c r="AJ911" i="1"/>
  <c r="AK911" i="1" s="1"/>
  <c r="AJ910" i="1"/>
  <c r="AK910" i="1" s="1"/>
  <c r="AJ909" i="1"/>
  <c r="AK909" i="1" s="1"/>
  <c r="AJ908" i="1"/>
  <c r="AK908" i="1" s="1"/>
  <c r="AJ907" i="1"/>
  <c r="AK907" i="1" s="1"/>
  <c r="AJ906" i="1"/>
  <c r="AK906" i="1" s="1"/>
  <c r="AJ905" i="1"/>
  <c r="AK905" i="1" s="1"/>
  <c r="AJ904" i="1"/>
  <c r="AK904" i="1" s="1"/>
  <c r="AJ903" i="1"/>
  <c r="AK903" i="1" s="1"/>
  <c r="AJ902" i="1"/>
  <c r="AK902" i="1" s="1"/>
  <c r="AJ901" i="1"/>
  <c r="AK901" i="1" s="1"/>
  <c r="AJ900" i="1"/>
  <c r="AK900" i="1" s="1"/>
  <c r="AJ899" i="1"/>
  <c r="AK899" i="1" s="1"/>
  <c r="AJ898" i="1"/>
  <c r="AK898" i="1"/>
  <c r="AJ897" i="1"/>
  <c r="AK897" i="1" s="1"/>
  <c r="AJ896" i="1"/>
  <c r="AK896" i="1" s="1"/>
  <c r="AJ895" i="1"/>
  <c r="AK895" i="1" s="1"/>
  <c r="AJ894" i="1"/>
  <c r="AK894" i="1" s="1"/>
  <c r="AJ893" i="1"/>
  <c r="AK893" i="1" s="1"/>
  <c r="AJ892" i="1"/>
  <c r="AK892" i="1" s="1"/>
  <c r="AJ891" i="1"/>
  <c r="AK891" i="1" s="1"/>
  <c r="AJ890" i="1"/>
  <c r="AK890" i="1" s="1"/>
  <c r="AJ889" i="1"/>
  <c r="AK889" i="1" s="1"/>
  <c r="AJ888" i="1"/>
  <c r="AK888" i="1" s="1"/>
  <c r="AJ887" i="1"/>
  <c r="AK887" i="1" s="1"/>
  <c r="AJ886" i="1"/>
  <c r="AK886" i="1" s="1"/>
  <c r="AJ885" i="1"/>
  <c r="AK885" i="1" s="1"/>
  <c r="AJ884" i="1"/>
  <c r="AK884" i="1" s="1"/>
  <c r="AJ883" i="1"/>
  <c r="AK883" i="1" s="1"/>
  <c r="AJ882" i="1"/>
  <c r="AK882" i="1" s="1"/>
  <c r="AJ881" i="1"/>
  <c r="AK881" i="1" s="1"/>
  <c r="AJ880" i="1"/>
  <c r="AK880" i="1" s="1"/>
  <c r="AJ879" i="1"/>
  <c r="AK879" i="1" s="1"/>
  <c r="AJ878" i="1"/>
  <c r="AK878" i="1" s="1"/>
  <c r="AJ877" i="1"/>
  <c r="AK877" i="1" s="1"/>
  <c r="AJ876" i="1"/>
  <c r="AK876" i="1" s="1"/>
  <c r="AJ875" i="1"/>
  <c r="AK875" i="1"/>
  <c r="AJ874" i="1"/>
  <c r="AK874" i="1" s="1"/>
  <c r="AJ873" i="1"/>
  <c r="AK873" i="1" s="1"/>
  <c r="AJ872" i="1"/>
  <c r="AK872" i="1" s="1"/>
  <c r="AJ871" i="1"/>
  <c r="AK871" i="1" s="1"/>
  <c r="AJ870" i="1"/>
  <c r="AK870" i="1" s="1"/>
  <c r="AJ869" i="1"/>
  <c r="AK869" i="1" s="1"/>
  <c r="AJ868" i="1"/>
  <c r="AK868" i="1" s="1"/>
  <c r="AJ867" i="1"/>
  <c r="AK867" i="1" s="1"/>
  <c r="AJ866" i="1"/>
  <c r="AK866" i="1" s="1"/>
  <c r="AJ865" i="1"/>
  <c r="AK865" i="1" s="1"/>
  <c r="AJ864" i="1"/>
  <c r="AK864" i="1" s="1"/>
  <c r="AJ863" i="1"/>
  <c r="AK863" i="1" s="1"/>
  <c r="AJ862" i="1"/>
  <c r="AK862" i="1" s="1"/>
  <c r="AJ861" i="1"/>
  <c r="AK861" i="1" s="1"/>
  <c r="AJ860" i="1"/>
  <c r="AK860" i="1" s="1"/>
  <c r="AJ859" i="1"/>
  <c r="AK859" i="1" s="1"/>
  <c r="AJ858" i="1"/>
  <c r="AK858" i="1" s="1"/>
  <c r="AJ857" i="1"/>
  <c r="AK857" i="1" s="1"/>
  <c r="AJ856" i="1"/>
  <c r="AK856" i="1" s="1"/>
  <c r="AJ855" i="1"/>
  <c r="AK855" i="1" s="1"/>
  <c r="AJ854" i="1"/>
  <c r="AK854" i="1" s="1"/>
  <c r="AJ853" i="1"/>
  <c r="AK853" i="1" s="1"/>
  <c r="AJ852" i="1"/>
  <c r="AK852" i="1" s="1"/>
  <c r="AJ851" i="1"/>
  <c r="AK851" i="1" s="1"/>
  <c r="AJ850" i="1"/>
  <c r="AK850" i="1" s="1"/>
  <c r="AJ849" i="1"/>
  <c r="AK849" i="1" s="1"/>
  <c r="AJ848" i="1"/>
  <c r="AK848" i="1" s="1"/>
  <c r="AJ847" i="1"/>
  <c r="AK847" i="1" s="1"/>
  <c r="AJ846" i="1"/>
  <c r="AK846" i="1" s="1"/>
  <c r="AJ845" i="1"/>
  <c r="AK845" i="1" s="1"/>
  <c r="AJ844" i="1"/>
  <c r="AK844" i="1" s="1"/>
  <c r="AJ843" i="1"/>
  <c r="AK843" i="1" s="1"/>
  <c r="AJ842" i="1"/>
  <c r="AK842" i="1" s="1"/>
  <c r="AJ841" i="1"/>
  <c r="AK841" i="1" s="1"/>
  <c r="AJ840" i="1"/>
  <c r="AK840" i="1" s="1"/>
  <c r="AJ839" i="1"/>
  <c r="AK839" i="1" s="1"/>
  <c r="AJ838" i="1"/>
  <c r="AK838" i="1" s="1"/>
  <c r="AJ837" i="1"/>
  <c r="AK837" i="1" s="1"/>
  <c r="AJ836" i="1"/>
  <c r="AK836" i="1" s="1"/>
  <c r="AJ835" i="1"/>
  <c r="AK835" i="1" s="1"/>
  <c r="AJ834" i="1"/>
  <c r="AK834" i="1" s="1"/>
  <c r="AJ833" i="1"/>
  <c r="AK833" i="1" s="1"/>
  <c r="AJ832" i="1"/>
  <c r="AK832" i="1" s="1"/>
  <c r="AJ831" i="1"/>
  <c r="AK831" i="1" s="1"/>
  <c r="AJ830" i="1"/>
  <c r="AK830" i="1" s="1"/>
  <c r="AJ829" i="1"/>
  <c r="AK829" i="1" s="1"/>
  <c r="AJ828" i="1"/>
  <c r="AK828" i="1" s="1"/>
  <c r="AJ827" i="1"/>
  <c r="AK827" i="1" s="1"/>
  <c r="AJ826" i="1"/>
  <c r="AK826" i="1" s="1"/>
  <c r="AJ825" i="1"/>
  <c r="AK825" i="1" s="1"/>
  <c r="AJ824" i="1"/>
  <c r="AK824" i="1" s="1"/>
  <c r="AJ823" i="1"/>
  <c r="AK823" i="1" s="1"/>
  <c r="AJ822" i="1"/>
  <c r="AK822" i="1" s="1"/>
  <c r="AJ821" i="1"/>
  <c r="AK821" i="1" s="1"/>
  <c r="AJ820" i="1"/>
  <c r="AK820" i="1" s="1"/>
  <c r="AJ819" i="1"/>
  <c r="AK819" i="1" s="1"/>
  <c r="AJ818" i="1"/>
  <c r="AK818" i="1" s="1"/>
  <c r="AJ817" i="1"/>
  <c r="AK817" i="1" s="1"/>
  <c r="AJ816" i="1"/>
  <c r="AK816" i="1" s="1"/>
  <c r="AJ815" i="1"/>
  <c r="AK815" i="1" s="1"/>
  <c r="AJ814" i="1"/>
  <c r="AK814" i="1" s="1"/>
  <c r="AJ813" i="1"/>
  <c r="AK813" i="1" s="1"/>
  <c r="AJ812" i="1"/>
  <c r="AK812" i="1" s="1"/>
  <c r="AJ811" i="1"/>
  <c r="AK811" i="1" s="1"/>
  <c r="AJ810" i="1"/>
  <c r="AK810" i="1" s="1"/>
  <c r="AJ809" i="1"/>
  <c r="AK809" i="1" s="1"/>
  <c r="AJ808" i="1"/>
  <c r="AK808" i="1" s="1"/>
  <c r="AJ807" i="1"/>
  <c r="AK807" i="1" s="1"/>
  <c r="AJ806" i="1"/>
  <c r="AK806" i="1" s="1"/>
  <c r="AJ805" i="1"/>
  <c r="AK805" i="1" s="1"/>
  <c r="AJ804" i="1"/>
  <c r="AK804" i="1" s="1"/>
  <c r="AJ803" i="1"/>
  <c r="AK803" i="1" s="1"/>
  <c r="AJ802" i="1"/>
  <c r="AK802" i="1" s="1"/>
  <c r="AJ801" i="1"/>
  <c r="AK801" i="1" s="1"/>
  <c r="AJ800" i="1"/>
  <c r="AK800" i="1" s="1"/>
  <c r="AJ799" i="1"/>
  <c r="AK799" i="1" s="1"/>
  <c r="AJ798" i="1"/>
  <c r="AK798" i="1" s="1"/>
  <c r="AJ797" i="1"/>
  <c r="AK797" i="1" s="1"/>
  <c r="AJ796" i="1"/>
  <c r="AK796" i="1" s="1"/>
  <c r="AJ795" i="1"/>
  <c r="AK795" i="1" s="1"/>
  <c r="AJ794" i="1"/>
  <c r="AK794" i="1" s="1"/>
  <c r="AJ793" i="1"/>
  <c r="AK793" i="1" s="1"/>
  <c r="AJ792" i="1"/>
  <c r="AK792" i="1" s="1"/>
  <c r="AJ791" i="1"/>
  <c r="AK791" i="1" s="1"/>
  <c r="AJ790" i="1"/>
  <c r="AK790" i="1" s="1"/>
  <c r="AJ789" i="1"/>
  <c r="AK789" i="1" s="1"/>
  <c r="AJ788" i="1"/>
  <c r="AK788" i="1" s="1"/>
  <c r="AJ787" i="1"/>
  <c r="AK787" i="1" s="1"/>
  <c r="AJ786" i="1"/>
  <c r="AK786" i="1" s="1"/>
  <c r="AJ785" i="1"/>
  <c r="AK785" i="1" s="1"/>
  <c r="AJ784" i="1"/>
  <c r="AK784" i="1" s="1"/>
  <c r="AJ783" i="1"/>
  <c r="AK783" i="1" s="1"/>
  <c r="AJ782" i="1"/>
  <c r="AK782" i="1" s="1"/>
  <c r="AJ781" i="1"/>
  <c r="AK781" i="1" s="1"/>
  <c r="AJ780" i="1"/>
  <c r="AK780" i="1" s="1"/>
  <c r="AJ779" i="1"/>
  <c r="AK779" i="1" s="1"/>
  <c r="AJ778" i="1"/>
  <c r="AK778" i="1" s="1"/>
  <c r="AJ777" i="1"/>
  <c r="AK777" i="1" s="1"/>
  <c r="AJ776" i="1"/>
  <c r="AK776" i="1" s="1"/>
  <c r="AJ775" i="1"/>
  <c r="AK775" i="1" s="1"/>
  <c r="AJ774" i="1"/>
  <c r="AK774" i="1" s="1"/>
  <c r="AJ773" i="1"/>
  <c r="AK773" i="1" s="1"/>
  <c r="AJ772" i="1"/>
  <c r="AK772" i="1" s="1"/>
  <c r="AJ771" i="1"/>
  <c r="AK771" i="1" s="1"/>
  <c r="AJ770" i="1"/>
  <c r="AK770" i="1" s="1"/>
  <c r="AJ769" i="1"/>
  <c r="AK769" i="1" s="1"/>
  <c r="AJ768" i="1"/>
  <c r="AK768" i="1" s="1"/>
  <c r="AJ767" i="1"/>
  <c r="AK767" i="1" s="1"/>
  <c r="AJ766" i="1"/>
  <c r="AK766" i="1" s="1"/>
  <c r="AJ765" i="1"/>
  <c r="AK765" i="1" s="1"/>
  <c r="AJ764" i="1"/>
  <c r="AK764" i="1" s="1"/>
  <c r="AJ763" i="1"/>
  <c r="AK763" i="1" s="1"/>
  <c r="AJ762" i="1"/>
  <c r="AK762" i="1" s="1"/>
  <c r="AJ761" i="1"/>
  <c r="AK761" i="1" s="1"/>
  <c r="AJ760" i="1"/>
  <c r="AK760" i="1" s="1"/>
  <c r="AJ759" i="1"/>
  <c r="AK759" i="1" s="1"/>
  <c r="AJ758" i="1"/>
  <c r="AK758" i="1" s="1"/>
  <c r="AJ757" i="1"/>
  <c r="AK757" i="1" s="1"/>
  <c r="AJ756" i="1"/>
  <c r="AK756" i="1" s="1"/>
  <c r="AJ755" i="1"/>
  <c r="AK755" i="1" s="1"/>
  <c r="AJ754" i="1"/>
  <c r="AK754" i="1" s="1"/>
  <c r="AJ753" i="1"/>
  <c r="AK753" i="1" s="1"/>
  <c r="AJ752" i="1"/>
  <c r="AK752" i="1" s="1"/>
  <c r="AJ751" i="1"/>
  <c r="AK751" i="1" s="1"/>
  <c r="AJ750" i="1"/>
  <c r="AK750" i="1" s="1"/>
  <c r="AJ749" i="1"/>
  <c r="AK749" i="1" s="1"/>
  <c r="AJ748" i="1"/>
  <c r="AK748" i="1" s="1"/>
  <c r="AJ747" i="1"/>
  <c r="AK747" i="1" s="1"/>
  <c r="AJ746" i="1"/>
  <c r="AK746" i="1" s="1"/>
  <c r="AJ745" i="1"/>
  <c r="AK745" i="1" s="1"/>
  <c r="AJ744" i="1"/>
  <c r="AK744" i="1" s="1"/>
  <c r="AJ743" i="1"/>
  <c r="AK743" i="1" s="1"/>
  <c r="AJ742" i="1"/>
  <c r="AK742" i="1" s="1"/>
  <c r="AJ741" i="1"/>
  <c r="AK741" i="1" s="1"/>
  <c r="AJ740" i="1"/>
  <c r="AK740" i="1" s="1"/>
  <c r="AJ739" i="1"/>
  <c r="AK739" i="1" s="1"/>
  <c r="AJ738" i="1"/>
  <c r="AK738" i="1" s="1"/>
  <c r="AJ737" i="1"/>
  <c r="AK737" i="1" s="1"/>
  <c r="AJ736" i="1"/>
  <c r="AK736" i="1" s="1"/>
  <c r="AJ735" i="1"/>
  <c r="AK735" i="1" s="1"/>
  <c r="AJ734" i="1"/>
  <c r="AK734" i="1" s="1"/>
  <c r="AJ733" i="1"/>
  <c r="AK733" i="1" s="1"/>
  <c r="AJ732" i="1"/>
  <c r="AK732" i="1" s="1"/>
  <c r="AJ731" i="1"/>
  <c r="AK731" i="1" s="1"/>
  <c r="AJ730" i="1"/>
  <c r="AK730" i="1" s="1"/>
  <c r="AJ729" i="1"/>
  <c r="AK729" i="1" s="1"/>
  <c r="AJ728" i="1"/>
  <c r="AK728" i="1" s="1"/>
  <c r="AJ727" i="1"/>
  <c r="AK727" i="1" s="1"/>
  <c r="AJ726" i="1"/>
  <c r="AK726" i="1" s="1"/>
  <c r="AJ725" i="1"/>
  <c r="AK725" i="1" s="1"/>
  <c r="AJ724" i="1"/>
  <c r="AK724" i="1" s="1"/>
  <c r="AJ722" i="1"/>
  <c r="AK722" i="1" s="1"/>
  <c r="AJ721" i="1"/>
  <c r="AK721" i="1" s="1"/>
  <c r="AJ720" i="1"/>
  <c r="AK720" i="1" s="1"/>
  <c r="AJ719" i="1"/>
  <c r="AK719" i="1" s="1"/>
  <c r="AJ718" i="1"/>
  <c r="AK718" i="1" s="1"/>
  <c r="AJ717" i="1"/>
  <c r="AK717" i="1" s="1"/>
  <c r="AJ716" i="1"/>
  <c r="AK716" i="1" s="1"/>
  <c r="AJ715" i="1"/>
  <c r="AK715" i="1" s="1"/>
  <c r="AJ714" i="1"/>
  <c r="AK714" i="1" s="1"/>
  <c r="AJ713" i="1"/>
  <c r="AK713" i="1" s="1"/>
  <c r="AJ712" i="1"/>
  <c r="AK712" i="1" s="1"/>
  <c r="AJ711" i="1"/>
  <c r="AK711" i="1" s="1"/>
  <c r="AJ710" i="1"/>
  <c r="AK710" i="1" s="1"/>
  <c r="AJ709" i="1"/>
  <c r="AK709" i="1" s="1"/>
  <c r="AJ708" i="1"/>
  <c r="AK708" i="1" s="1"/>
  <c r="AJ707" i="1"/>
  <c r="AK707" i="1" s="1"/>
  <c r="AJ706" i="1"/>
  <c r="AK706" i="1" s="1"/>
  <c r="AJ705" i="1"/>
  <c r="AK705" i="1" s="1"/>
  <c r="AJ704" i="1"/>
  <c r="AK704" i="1" s="1"/>
  <c r="AJ703" i="1"/>
  <c r="AK703" i="1" s="1"/>
  <c r="AJ702" i="1"/>
  <c r="AK702" i="1" s="1"/>
  <c r="AJ701" i="1"/>
  <c r="AK701" i="1" s="1"/>
  <c r="AJ700" i="1"/>
  <c r="AK700" i="1" s="1"/>
  <c r="AJ699" i="1"/>
  <c r="AK699" i="1" s="1"/>
  <c r="AJ698" i="1"/>
  <c r="AK698" i="1" s="1"/>
  <c r="AJ697" i="1"/>
  <c r="AK697" i="1" s="1"/>
  <c r="AJ696" i="1"/>
  <c r="AK696" i="1" s="1"/>
  <c r="AJ695" i="1"/>
  <c r="AK695" i="1" s="1"/>
  <c r="AJ694" i="1"/>
  <c r="AK694" i="1" s="1"/>
  <c r="AJ693" i="1"/>
  <c r="AK693" i="1" s="1"/>
  <c r="AJ692" i="1"/>
  <c r="AK692" i="1" s="1"/>
  <c r="AJ691" i="1"/>
  <c r="AK691" i="1" s="1"/>
  <c r="AJ690" i="1"/>
  <c r="AK690" i="1" s="1"/>
  <c r="AJ689" i="1"/>
  <c r="AK689" i="1" s="1"/>
  <c r="AJ688" i="1"/>
  <c r="AK688" i="1" s="1"/>
  <c r="AJ687" i="1"/>
  <c r="AK687" i="1" s="1"/>
  <c r="AJ686" i="1"/>
  <c r="AK686" i="1" s="1"/>
  <c r="AJ685" i="1"/>
  <c r="AK685" i="1" s="1"/>
  <c r="AJ684" i="1"/>
  <c r="AK684" i="1" s="1"/>
  <c r="AJ683" i="1"/>
  <c r="AK683" i="1" s="1"/>
  <c r="AJ682" i="1"/>
  <c r="AK682" i="1" s="1"/>
  <c r="AJ681" i="1"/>
  <c r="AK681" i="1" s="1"/>
  <c r="AJ680" i="1"/>
  <c r="AK680" i="1" s="1"/>
  <c r="AJ679" i="1"/>
  <c r="AK679" i="1" s="1"/>
  <c r="AJ678" i="1"/>
  <c r="AK678" i="1" s="1"/>
  <c r="AJ677" i="1"/>
  <c r="AK677" i="1" s="1"/>
  <c r="AJ676" i="1"/>
  <c r="AK676" i="1" s="1"/>
  <c r="AJ675" i="1"/>
  <c r="AK675" i="1" s="1"/>
  <c r="AJ674" i="1"/>
  <c r="AK674" i="1" s="1"/>
  <c r="AJ673" i="1"/>
  <c r="AK673" i="1" s="1"/>
  <c r="AJ672" i="1"/>
  <c r="AK672" i="1" s="1"/>
  <c r="AJ671" i="1"/>
  <c r="AK671" i="1" s="1"/>
  <c r="AJ670" i="1"/>
  <c r="AK670" i="1" s="1"/>
  <c r="AJ669" i="1"/>
  <c r="AK669" i="1" s="1"/>
  <c r="AJ668" i="1"/>
  <c r="AK668" i="1" s="1"/>
  <c r="AJ667" i="1"/>
  <c r="AK667" i="1" s="1"/>
  <c r="AJ666" i="1"/>
  <c r="AK666" i="1" s="1"/>
  <c r="AJ665" i="1"/>
  <c r="AK665" i="1" s="1"/>
  <c r="AJ664" i="1"/>
  <c r="AK664" i="1" s="1"/>
  <c r="AJ663" i="1"/>
  <c r="AK663" i="1" s="1"/>
  <c r="AJ662" i="1"/>
  <c r="AK662" i="1" s="1"/>
  <c r="AJ661" i="1"/>
  <c r="AK661" i="1" s="1"/>
  <c r="AJ660" i="1"/>
  <c r="AK660" i="1" s="1"/>
  <c r="AJ659" i="1"/>
  <c r="AK659" i="1" s="1"/>
  <c r="AJ658" i="1"/>
  <c r="AK658" i="1" s="1"/>
  <c r="AJ657" i="1"/>
  <c r="AK657" i="1" s="1"/>
  <c r="AJ656" i="1"/>
  <c r="AK656" i="1" s="1"/>
  <c r="AJ655" i="1"/>
  <c r="AK655" i="1" s="1"/>
  <c r="AJ654" i="1"/>
  <c r="AK654" i="1" s="1"/>
  <c r="AJ653" i="1"/>
  <c r="AK653" i="1" s="1"/>
  <c r="AJ652" i="1"/>
  <c r="AK652" i="1" s="1"/>
  <c r="AJ651" i="1"/>
  <c r="AK651" i="1" s="1"/>
  <c r="AJ650" i="1"/>
  <c r="AK650" i="1" s="1"/>
  <c r="AJ649" i="1"/>
  <c r="AK649" i="1" s="1"/>
  <c r="AJ648" i="1"/>
  <c r="AK648" i="1" s="1"/>
  <c r="AJ647" i="1"/>
  <c r="AK647" i="1" s="1"/>
  <c r="AJ646" i="1"/>
  <c r="AK646" i="1" s="1"/>
  <c r="AJ645" i="1"/>
  <c r="AK645" i="1" s="1"/>
  <c r="AJ644" i="1"/>
  <c r="AK644" i="1" s="1"/>
  <c r="AJ643" i="1"/>
  <c r="AK643" i="1" s="1"/>
  <c r="AJ642" i="1"/>
  <c r="AK642" i="1" s="1"/>
  <c r="AJ641" i="1"/>
  <c r="AK641" i="1" s="1"/>
  <c r="AJ640" i="1"/>
  <c r="AK640" i="1" s="1"/>
  <c r="AJ639" i="1"/>
  <c r="AK639" i="1" s="1"/>
  <c r="AJ638" i="1"/>
  <c r="AK638" i="1" s="1"/>
  <c r="AJ637" i="1"/>
  <c r="AK637" i="1" s="1"/>
  <c r="AJ636" i="1"/>
  <c r="AK636" i="1" s="1"/>
  <c r="AJ635" i="1"/>
  <c r="AK635" i="1" s="1"/>
  <c r="AJ634" i="1"/>
  <c r="AK634" i="1" s="1"/>
  <c r="AJ633" i="1"/>
  <c r="AK633" i="1" s="1"/>
  <c r="AJ632" i="1"/>
  <c r="AK632" i="1" s="1"/>
  <c r="AJ631" i="1"/>
  <c r="AK631" i="1" s="1"/>
  <c r="AJ630" i="1"/>
  <c r="AK630" i="1" s="1"/>
  <c r="AJ629" i="1"/>
  <c r="AK629" i="1" s="1"/>
  <c r="AJ628" i="1"/>
  <c r="AK628" i="1" s="1"/>
  <c r="AJ627" i="1"/>
  <c r="AK627" i="1" s="1"/>
  <c r="AJ626" i="1"/>
  <c r="AK626" i="1" s="1"/>
  <c r="AJ625" i="1"/>
  <c r="AK625" i="1" s="1"/>
  <c r="AJ624" i="1"/>
  <c r="AK624" i="1" s="1"/>
  <c r="AJ623" i="1"/>
  <c r="AK623" i="1" s="1"/>
  <c r="AJ622" i="1"/>
  <c r="AK622" i="1" s="1"/>
  <c r="AJ621" i="1"/>
  <c r="AK621" i="1" s="1"/>
  <c r="AJ620" i="1"/>
  <c r="AK620" i="1" s="1"/>
  <c r="AJ619" i="1"/>
  <c r="AK619" i="1" s="1"/>
  <c r="AJ618" i="1"/>
  <c r="AK618" i="1" s="1"/>
  <c r="AJ617" i="1"/>
  <c r="AK617" i="1" s="1"/>
  <c r="AJ616" i="1"/>
  <c r="AK616" i="1" s="1"/>
  <c r="AJ615" i="1"/>
  <c r="AK615" i="1" s="1"/>
  <c r="AJ614" i="1"/>
  <c r="AK614" i="1" s="1"/>
  <c r="AJ613" i="1"/>
  <c r="AK613" i="1" s="1"/>
  <c r="AJ612" i="1"/>
  <c r="AK612" i="1" s="1"/>
  <c r="AJ611" i="1"/>
  <c r="AK611" i="1" s="1"/>
  <c r="AJ610" i="1"/>
  <c r="AK610" i="1" s="1"/>
  <c r="AJ609" i="1"/>
  <c r="AK609" i="1" s="1"/>
  <c r="AJ608" i="1"/>
  <c r="AK608" i="1" s="1"/>
  <c r="AJ607" i="1"/>
  <c r="AK607" i="1" s="1"/>
  <c r="AJ606" i="1"/>
  <c r="AK606" i="1" s="1"/>
  <c r="AJ605" i="1"/>
  <c r="AK605" i="1" s="1"/>
  <c r="AJ604" i="1"/>
  <c r="AK604" i="1" s="1"/>
  <c r="AJ603" i="1"/>
  <c r="AK603" i="1" s="1"/>
  <c r="AJ602" i="1"/>
  <c r="AK602" i="1" s="1"/>
  <c r="AJ601" i="1"/>
  <c r="AK601" i="1" s="1"/>
  <c r="AJ600" i="1"/>
  <c r="AK600" i="1" s="1"/>
  <c r="AJ599" i="1"/>
  <c r="AK599" i="1" s="1"/>
  <c r="AJ598" i="1"/>
  <c r="AK598" i="1" s="1"/>
  <c r="AJ597" i="1"/>
  <c r="AK597" i="1" s="1"/>
  <c r="AJ596" i="1"/>
  <c r="AK596" i="1" s="1"/>
  <c r="AJ595" i="1"/>
  <c r="AK595" i="1" s="1"/>
  <c r="AJ594" i="1"/>
  <c r="AK594" i="1" s="1"/>
  <c r="AJ593" i="1"/>
  <c r="AK593" i="1" s="1"/>
  <c r="AJ592" i="1"/>
  <c r="AK592" i="1" s="1"/>
  <c r="AJ591" i="1"/>
  <c r="AK591" i="1" s="1"/>
  <c r="AJ590" i="1"/>
  <c r="AK590" i="1" s="1"/>
  <c r="AJ589" i="1"/>
  <c r="AK589" i="1" s="1"/>
  <c r="AJ588" i="1"/>
  <c r="AK588" i="1" s="1"/>
  <c r="AJ587" i="1"/>
  <c r="AK587" i="1" s="1"/>
  <c r="AJ586" i="1"/>
  <c r="AK586" i="1" s="1"/>
  <c r="AJ585" i="1"/>
  <c r="AK585" i="1" s="1"/>
  <c r="AJ584" i="1"/>
  <c r="AK584" i="1" s="1"/>
  <c r="AJ583" i="1"/>
  <c r="AK583" i="1" s="1"/>
  <c r="AJ582" i="1"/>
  <c r="AK582" i="1" s="1"/>
  <c r="AJ581" i="1"/>
  <c r="AK581" i="1" s="1"/>
  <c r="AJ580" i="1"/>
  <c r="AK580" i="1" s="1"/>
  <c r="AJ579" i="1"/>
  <c r="AK579" i="1" s="1"/>
  <c r="AJ578" i="1"/>
  <c r="AK578" i="1" s="1"/>
  <c r="AJ577" i="1"/>
  <c r="AK577" i="1" s="1"/>
  <c r="AJ576" i="1"/>
  <c r="AK576" i="1" s="1"/>
  <c r="AJ575" i="1"/>
  <c r="AK575" i="1" s="1"/>
  <c r="AJ574" i="1"/>
  <c r="AK574" i="1" s="1"/>
  <c r="AJ573" i="1"/>
  <c r="AK573" i="1" s="1"/>
  <c r="AJ572" i="1"/>
  <c r="AK572" i="1" s="1"/>
  <c r="AJ571" i="1"/>
  <c r="AK571" i="1" s="1"/>
  <c r="AJ570" i="1"/>
  <c r="AK570" i="1" s="1"/>
  <c r="AJ569" i="1"/>
  <c r="AK569" i="1" s="1"/>
  <c r="AJ568" i="1"/>
  <c r="AK568" i="1" s="1"/>
  <c r="AJ567" i="1"/>
  <c r="AK567" i="1" s="1"/>
  <c r="AJ566" i="1"/>
  <c r="AK566" i="1" s="1"/>
  <c r="AJ565" i="1"/>
  <c r="AK565" i="1" s="1"/>
  <c r="AJ564" i="1"/>
  <c r="AK564" i="1" s="1"/>
  <c r="AJ562" i="1"/>
  <c r="AK562" i="1" s="1"/>
  <c r="AJ561" i="1"/>
  <c r="AK561" i="1" s="1"/>
  <c r="AJ560" i="1"/>
  <c r="AK560" i="1" s="1"/>
  <c r="AJ559" i="1"/>
  <c r="AK559" i="1"/>
  <c r="AJ558" i="1"/>
  <c r="AK558" i="1" s="1"/>
  <c r="AJ557" i="1"/>
  <c r="AK557" i="1" s="1"/>
  <c r="AJ556" i="1"/>
  <c r="AK556" i="1" s="1"/>
  <c r="AJ555" i="1"/>
  <c r="AK555" i="1" s="1"/>
  <c r="AJ554" i="1"/>
  <c r="AK554" i="1" s="1"/>
  <c r="AJ553" i="1"/>
  <c r="AK553" i="1" s="1"/>
  <c r="AJ552" i="1"/>
  <c r="AK552" i="1" s="1"/>
  <c r="AJ551" i="1"/>
  <c r="AK551" i="1" s="1"/>
  <c r="AJ549" i="1"/>
  <c r="AK549" i="1" s="1"/>
  <c r="AJ548" i="1"/>
  <c r="AK548" i="1" s="1"/>
  <c r="AJ547" i="1"/>
  <c r="AK547" i="1" s="1"/>
  <c r="AJ546" i="1"/>
  <c r="AK546" i="1" s="1"/>
  <c r="AJ545" i="1"/>
  <c r="AK545" i="1" s="1"/>
  <c r="AJ544" i="1"/>
  <c r="AK544" i="1" s="1"/>
  <c r="AJ543" i="1"/>
  <c r="AK543" i="1"/>
  <c r="AJ542" i="1"/>
  <c r="AK542" i="1"/>
  <c r="AJ541" i="1"/>
  <c r="AK541" i="1" s="1"/>
  <c r="AJ540" i="1"/>
  <c r="AK540" i="1" s="1"/>
  <c r="AJ539" i="1"/>
  <c r="AK539" i="1" s="1"/>
  <c r="AJ538" i="1"/>
  <c r="AK538" i="1" s="1"/>
  <c r="AJ537" i="1"/>
  <c r="AK537" i="1" s="1"/>
  <c r="AJ536" i="1"/>
  <c r="AK536" i="1" s="1"/>
  <c r="AJ535" i="1"/>
  <c r="AK535" i="1" s="1"/>
  <c r="AJ534" i="1"/>
  <c r="AK534" i="1" s="1"/>
  <c r="AJ533" i="1"/>
  <c r="AK533" i="1" s="1"/>
  <c r="AJ532" i="1"/>
  <c r="AK532" i="1" s="1"/>
  <c r="AJ531" i="1"/>
  <c r="AK531" i="1" s="1"/>
  <c r="AJ530" i="1"/>
  <c r="AK530" i="1" s="1"/>
  <c r="AJ529" i="1"/>
  <c r="AK529" i="1" s="1"/>
  <c r="AJ528" i="1"/>
  <c r="AK528" i="1" s="1"/>
  <c r="AJ527" i="1"/>
  <c r="AK527" i="1" s="1"/>
  <c r="AJ526" i="1"/>
  <c r="AK526" i="1" s="1"/>
  <c r="AJ525" i="1"/>
  <c r="AK525" i="1" s="1"/>
  <c r="AJ524" i="1"/>
  <c r="AK524" i="1" s="1"/>
  <c r="AJ523" i="1"/>
  <c r="AK523" i="1" s="1"/>
  <c r="AJ522" i="1"/>
  <c r="AK522" i="1" s="1"/>
  <c r="AJ521" i="1"/>
  <c r="AK521" i="1" s="1"/>
  <c r="AJ520" i="1"/>
  <c r="AK520" i="1"/>
  <c r="AJ519" i="1"/>
  <c r="AK519" i="1" s="1"/>
  <c r="AJ518" i="1"/>
  <c r="AK518" i="1" s="1"/>
  <c r="AJ517" i="1"/>
  <c r="AK517" i="1" s="1"/>
  <c r="AJ516" i="1"/>
  <c r="AK516" i="1" s="1"/>
  <c r="AJ515" i="1"/>
  <c r="AK515" i="1" s="1"/>
  <c r="AJ514" i="1"/>
  <c r="AK514" i="1" s="1"/>
  <c r="AJ513" i="1"/>
  <c r="AK513" i="1" s="1"/>
  <c r="AJ512" i="1"/>
  <c r="AK512" i="1" s="1"/>
  <c r="AJ511" i="1"/>
  <c r="AK511" i="1" s="1"/>
  <c r="AJ510" i="1"/>
  <c r="AK510" i="1" s="1"/>
  <c r="AJ509" i="1"/>
  <c r="AK509" i="1" s="1"/>
  <c r="AJ508" i="1"/>
  <c r="AK508" i="1" s="1"/>
  <c r="AJ507" i="1"/>
  <c r="AK507" i="1" s="1"/>
  <c r="AJ506" i="1"/>
  <c r="AK506" i="1" s="1"/>
  <c r="AJ505" i="1"/>
  <c r="AK505" i="1" s="1"/>
  <c r="AJ504" i="1"/>
  <c r="AK504" i="1" s="1"/>
  <c r="AJ503" i="1"/>
  <c r="AK503" i="1" s="1"/>
  <c r="AJ502" i="1"/>
  <c r="AK502" i="1" s="1"/>
  <c r="AJ501" i="1"/>
  <c r="AK501" i="1" s="1"/>
  <c r="AJ500" i="1"/>
  <c r="AK500" i="1" s="1"/>
  <c r="AJ499" i="1"/>
  <c r="AK499" i="1"/>
  <c r="AJ498" i="1"/>
  <c r="AK498" i="1" s="1"/>
  <c r="AJ497" i="1"/>
  <c r="AK497" i="1" s="1"/>
  <c r="AJ496" i="1"/>
  <c r="AK496" i="1" s="1"/>
  <c r="AJ495" i="1"/>
  <c r="AK495" i="1" s="1"/>
  <c r="AJ494" i="1"/>
  <c r="AK494" i="1" s="1"/>
  <c r="AJ493" i="1"/>
  <c r="AK493" i="1" s="1"/>
  <c r="AJ492" i="1"/>
  <c r="AK492" i="1" s="1"/>
  <c r="AJ491" i="1"/>
  <c r="AK491" i="1" s="1"/>
  <c r="AJ490" i="1"/>
  <c r="AK490" i="1" s="1"/>
  <c r="AJ489" i="1"/>
  <c r="AK489" i="1" s="1"/>
  <c r="AJ488" i="1"/>
  <c r="AK488" i="1" s="1"/>
  <c r="AJ487" i="1"/>
  <c r="AK487" i="1" s="1"/>
  <c r="AJ486" i="1"/>
  <c r="AK486" i="1" s="1"/>
  <c r="AJ485" i="1"/>
  <c r="AK485" i="1" s="1"/>
  <c r="AJ484" i="1"/>
  <c r="AK484" i="1" s="1"/>
  <c r="AJ483" i="1"/>
  <c r="AK483" i="1" s="1"/>
  <c r="AJ482" i="1"/>
  <c r="AK482" i="1" s="1"/>
  <c r="AJ481" i="1"/>
  <c r="AK481" i="1" s="1"/>
  <c r="AJ480" i="1"/>
  <c r="AK480" i="1" s="1"/>
  <c r="AJ479" i="1"/>
  <c r="AK479" i="1" s="1"/>
  <c r="AJ478" i="1"/>
  <c r="AK478" i="1" s="1"/>
  <c r="AJ477" i="1"/>
  <c r="AK477" i="1" s="1"/>
  <c r="AJ476" i="1"/>
  <c r="AK476" i="1" s="1"/>
  <c r="AJ475" i="1"/>
  <c r="AK475" i="1" s="1"/>
  <c r="AJ474" i="1"/>
  <c r="AK474" i="1" s="1"/>
  <c r="AJ473" i="1"/>
  <c r="AK473" i="1" s="1"/>
  <c r="AJ472" i="1"/>
  <c r="AK472" i="1" s="1"/>
  <c r="AJ471" i="1"/>
  <c r="AK471" i="1" s="1"/>
  <c r="AJ470" i="1"/>
  <c r="AK470" i="1" s="1"/>
  <c r="AJ469" i="1"/>
  <c r="AK469" i="1" s="1"/>
  <c r="AJ468" i="1"/>
  <c r="AK468" i="1" s="1"/>
  <c r="AJ467" i="1"/>
  <c r="AK467" i="1" s="1"/>
  <c r="AJ466" i="1"/>
  <c r="AK466" i="1" s="1"/>
  <c r="AJ465" i="1"/>
  <c r="AK465" i="1" s="1"/>
  <c r="AJ463" i="1"/>
  <c r="AK463" i="1" s="1"/>
  <c r="AJ462" i="1"/>
  <c r="AK462" i="1" s="1"/>
  <c r="AJ461" i="1"/>
  <c r="AK461" i="1" s="1"/>
  <c r="AJ460" i="1"/>
  <c r="AK460" i="1" s="1"/>
  <c r="AJ459" i="1"/>
  <c r="AK459" i="1" s="1"/>
  <c r="AJ458" i="1"/>
  <c r="AK458" i="1" s="1"/>
  <c r="AJ457" i="1"/>
  <c r="AK457" i="1" s="1"/>
  <c r="AJ456" i="1"/>
  <c r="AK456" i="1" s="1"/>
  <c r="AJ455" i="1"/>
  <c r="AK455" i="1" s="1"/>
  <c r="AJ454" i="1"/>
  <c r="AK454" i="1" s="1"/>
  <c r="AJ453" i="1"/>
  <c r="AK453" i="1" s="1"/>
  <c r="AJ452" i="1"/>
  <c r="AK452" i="1" s="1"/>
  <c r="AJ451" i="1"/>
  <c r="AK451" i="1" s="1"/>
  <c r="AJ450" i="1"/>
  <c r="AK450" i="1" s="1"/>
  <c r="AJ449" i="1"/>
  <c r="AK449" i="1" s="1"/>
  <c r="AJ448" i="1"/>
  <c r="AK448" i="1" s="1"/>
  <c r="AJ447" i="1"/>
  <c r="AK447" i="1" s="1"/>
  <c r="AJ446" i="1"/>
  <c r="AK446" i="1" s="1"/>
  <c r="AJ445" i="1"/>
  <c r="AK445" i="1" s="1"/>
  <c r="AJ444" i="1"/>
  <c r="AK444" i="1" s="1"/>
  <c r="AJ443" i="1"/>
  <c r="AK443" i="1" s="1"/>
  <c r="AJ442" i="1"/>
  <c r="AK442" i="1" s="1"/>
  <c r="AJ441" i="1"/>
  <c r="AK441" i="1" s="1"/>
  <c r="AJ440" i="1"/>
  <c r="AK440" i="1" s="1"/>
  <c r="AJ439" i="1"/>
  <c r="AK439" i="1" s="1"/>
  <c r="AJ438" i="1"/>
  <c r="AK438" i="1" s="1"/>
  <c r="AJ437" i="1"/>
  <c r="AK437" i="1" s="1"/>
  <c r="AJ436" i="1"/>
  <c r="AK436" i="1" s="1"/>
  <c r="AJ435" i="1"/>
  <c r="AK435" i="1" s="1"/>
  <c r="AJ434" i="1"/>
  <c r="AK434" i="1" s="1"/>
  <c r="AJ433" i="1"/>
  <c r="AK433" i="1" s="1"/>
  <c r="AJ432" i="1"/>
  <c r="AK432" i="1" s="1"/>
  <c r="AJ431" i="1"/>
  <c r="AK431" i="1" s="1"/>
  <c r="AJ430" i="1"/>
  <c r="AK430" i="1" s="1"/>
  <c r="AJ429" i="1"/>
  <c r="AK429" i="1" s="1"/>
  <c r="AJ428" i="1"/>
  <c r="AK428" i="1" s="1"/>
  <c r="AJ427" i="1"/>
  <c r="AK427" i="1" s="1"/>
  <c r="AJ426" i="1"/>
  <c r="AK426" i="1" s="1"/>
  <c r="AJ425" i="1"/>
  <c r="AK425" i="1" s="1"/>
  <c r="AJ424" i="1"/>
  <c r="AK424" i="1" s="1"/>
  <c r="AJ423" i="1"/>
  <c r="AK423" i="1" s="1"/>
  <c r="AJ422" i="1"/>
  <c r="AK422" i="1" s="1"/>
  <c r="AJ421" i="1"/>
  <c r="AK421" i="1" s="1"/>
  <c r="AJ420" i="1"/>
  <c r="AK420" i="1" s="1"/>
  <c r="AJ419" i="1"/>
  <c r="AK419" i="1" s="1"/>
  <c r="AJ418" i="1"/>
  <c r="AK418" i="1" s="1"/>
  <c r="AJ417" i="1"/>
  <c r="AK417" i="1" s="1"/>
  <c r="AJ416" i="1"/>
  <c r="AK416" i="1" s="1"/>
  <c r="AJ415" i="1"/>
  <c r="AK415" i="1" s="1"/>
  <c r="AJ414" i="1"/>
  <c r="AK414" i="1" s="1"/>
  <c r="AJ413" i="1"/>
  <c r="AK413" i="1" s="1"/>
  <c r="AJ412" i="1"/>
  <c r="AK412" i="1" s="1"/>
  <c r="AJ411" i="1"/>
  <c r="AK411" i="1" s="1"/>
  <c r="AJ410" i="1"/>
  <c r="AK410" i="1" s="1"/>
  <c r="AJ409" i="1"/>
  <c r="AK409" i="1" s="1"/>
  <c r="AJ407" i="1"/>
  <c r="AK407" i="1" s="1"/>
  <c r="AJ406" i="1"/>
  <c r="AK406" i="1" s="1"/>
  <c r="AJ405" i="1"/>
  <c r="AK405" i="1" s="1"/>
  <c r="AJ404" i="1"/>
  <c r="AK404" i="1" s="1"/>
  <c r="AJ403" i="1"/>
  <c r="AK403" i="1" s="1"/>
  <c r="AJ402" i="1"/>
  <c r="AK402" i="1" s="1"/>
  <c r="AJ401" i="1"/>
  <c r="AK401" i="1" s="1"/>
  <c r="AJ400" i="1"/>
  <c r="AK400" i="1" s="1"/>
  <c r="AJ399" i="1"/>
  <c r="AK399" i="1" s="1"/>
  <c r="AJ398" i="1"/>
  <c r="AK398" i="1" s="1"/>
  <c r="AJ397" i="1"/>
  <c r="AK397" i="1" s="1"/>
  <c r="AJ396" i="1"/>
  <c r="AK396" i="1" s="1"/>
  <c r="AJ395" i="1"/>
  <c r="AK395" i="1" s="1"/>
  <c r="AJ394" i="1"/>
  <c r="AK394" i="1" s="1"/>
  <c r="AJ393" i="1"/>
  <c r="AK393" i="1" s="1"/>
  <c r="AJ392" i="1"/>
  <c r="AK392" i="1" s="1"/>
  <c r="AJ391" i="1"/>
  <c r="AK391" i="1" s="1"/>
  <c r="AJ390" i="1"/>
  <c r="AK390" i="1" s="1"/>
  <c r="AJ389" i="1"/>
  <c r="AK389" i="1" s="1"/>
  <c r="AJ388" i="1"/>
  <c r="AK388" i="1" s="1"/>
  <c r="AJ387" i="1"/>
  <c r="AK387" i="1" s="1"/>
  <c r="AJ386" i="1"/>
  <c r="AK386" i="1" s="1"/>
  <c r="AJ385" i="1"/>
  <c r="AK385" i="1" s="1"/>
  <c r="AJ384" i="1"/>
  <c r="AK384" i="1" s="1"/>
  <c r="AJ383" i="1"/>
  <c r="AK383" i="1" s="1"/>
  <c r="AJ382" i="1"/>
  <c r="AK382" i="1" s="1"/>
  <c r="AJ381" i="1"/>
  <c r="AK381" i="1" s="1"/>
  <c r="AJ380" i="1"/>
  <c r="AK380" i="1" s="1"/>
  <c r="AJ379" i="1"/>
  <c r="AK379" i="1" s="1"/>
  <c r="AJ378" i="1"/>
  <c r="AK378" i="1" s="1"/>
  <c r="AJ377" i="1"/>
  <c r="AK377" i="1" s="1"/>
  <c r="AJ376" i="1"/>
  <c r="AK376" i="1" s="1"/>
  <c r="AJ375" i="1"/>
  <c r="AK375" i="1" s="1"/>
  <c r="AJ374" i="1"/>
  <c r="AK374" i="1" s="1"/>
  <c r="AJ373" i="1"/>
  <c r="AK373" i="1" s="1"/>
  <c r="AJ372" i="1"/>
  <c r="AK372" i="1" s="1"/>
  <c r="AJ371" i="1"/>
  <c r="AK371" i="1" s="1"/>
  <c r="AJ370" i="1"/>
  <c r="AK370" i="1" s="1"/>
  <c r="AJ369" i="1"/>
  <c r="AK369" i="1" s="1"/>
  <c r="AJ368" i="1"/>
  <c r="AK368" i="1" s="1"/>
  <c r="AJ367" i="1"/>
  <c r="AK367" i="1" s="1"/>
  <c r="AJ366" i="1"/>
  <c r="AK366" i="1" s="1"/>
  <c r="AJ365" i="1"/>
  <c r="AK365" i="1" s="1"/>
  <c r="AJ364" i="1"/>
  <c r="AK364" i="1" s="1"/>
  <c r="AJ363" i="1"/>
  <c r="AK363" i="1" s="1"/>
  <c r="AJ362" i="1"/>
  <c r="AK362" i="1" s="1"/>
  <c r="AJ361" i="1"/>
  <c r="AK361" i="1" s="1"/>
  <c r="AJ360" i="1"/>
  <c r="AK360" i="1" s="1"/>
  <c r="AJ359" i="1"/>
  <c r="AK359" i="1" s="1"/>
  <c r="AJ358" i="1"/>
  <c r="AK358" i="1" s="1"/>
  <c r="AJ357" i="1"/>
  <c r="AK357" i="1" s="1"/>
  <c r="AJ356" i="1"/>
  <c r="AK356" i="1" s="1"/>
  <c r="AJ355" i="1"/>
  <c r="AK355" i="1" s="1"/>
  <c r="AJ354" i="1"/>
  <c r="AK354" i="1" s="1"/>
  <c r="AJ353" i="1"/>
  <c r="AK353" i="1" s="1"/>
  <c r="AJ352" i="1"/>
  <c r="AK352" i="1" s="1"/>
  <c r="AJ351" i="1"/>
  <c r="AK351" i="1" s="1"/>
  <c r="AJ350" i="1"/>
  <c r="AK350" i="1" s="1"/>
  <c r="AJ349" i="1"/>
  <c r="AK349" i="1" s="1"/>
  <c r="AJ348" i="1"/>
  <c r="AK348" i="1" s="1"/>
  <c r="AJ347" i="1"/>
  <c r="AK347" i="1" s="1"/>
  <c r="AJ346" i="1"/>
  <c r="AK346" i="1" s="1"/>
  <c r="AJ345" i="1"/>
  <c r="AK345" i="1" s="1"/>
  <c r="AJ344" i="1"/>
  <c r="AK344" i="1" s="1"/>
  <c r="AJ343" i="1"/>
  <c r="AK343" i="1" s="1"/>
  <c r="AJ342" i="1"/>
  <c r="AK342" i="1" s="1"/>
  <c r="AJ341" i="1"/>
  <c r="AK341" i="1" s="1"/>
  <c r="AJ340" i="1"/>
  <c r="AK340" i="1" s="1"/>
  <c r="AJ339" i="1"/>
  <c r="AK339" i="1" s="1"/>
  <c r="AJ338" i="1"/>
  <c r="AK338" i="1" s="1"/>
  <c r="AJ337" i="1"/>
  <c r="AK337" i="1" s="1"/>
  <c r="AJ336" i="1"/>
  <c r="AK336" i="1" s="1"/>
  <c r="AJ335" i="1"/>
  <c r="AK335" i="1" s="1"/>
  <c r="AJ334" i="1"/>
  <c r="AK334" i="1" s="1"/>
  <c r="AJ333" i="1"/>
  <c r="AK333" i="1" s="1"/>
  <c r="AJ332" i="1"/>
  <c r="AK332" i="1" s="1"/>
  <c r="AJ331" i="1"/>
  <c r="AK331" i="1" s="1"/>
  <c r="AJ330" i="1"/>
  <c r="AK330" i="1" s="1"/>
  <c r="AJ329" i="1"/>
  <c r="AK329" i="1" s="1"/>
  <c r="AJ328" i="1"/>
  <c r="AK328" i="1" s="1"/>
  <c r="AJ327" i="1"/>
  <c r="AK327" i="1" s="1"/>
  <c r="AJ326" i="1"/>
  <c r="AK326" i="1" s="1"/>
  <c r="AJ325" i="1"/>
  <c r="AK325" i="1" s="1"/>
  <c r="AJ324" i="1"/>
  <c r="AK324" i="1" s="1"/>
  <c r="AJ323" i="1"/>
  <c r="AK323" i="1" s="1"/>
  <c r="AJ322" i="1"/>
  <c r="AK322" i="1" s="1"/>
  <c r="AJ321" i="1"/>
  <c r="AK321" i="1" s="1"/>
  <c r="AJ320" i="1"/>
  <c r="AK320" i="1" s="1"/>
  <c r="AJ319" i="1"/>
  <c r="AK319" i="1" s="1"/>
  <c r="AJ318" i="1"/>
  <c r="AK318" i="1" s="1"/>
  <c r="AJ317" i="1"/>
  <c r="AK317" i="1" s="1"/>
  <c r="AJ316" i="1"/>
  <c r="AK316" i="1" s="1"/>
  <c r="AJ315" i="1"/>
  <c r="AK315" i="1" s="1"/>
  <c r="AJ314" i="1"/>
  <c r="AK314" i="1" s="1"/>
  <c r="AJ313" i="1"/>
  <c r="AK313" i="1" s="1"/>
  <c r="AJ312" i="1"/>
  <c r="AK312" i="1" s="1"/>
  <c r="AJ311" i="1"/>
  <c r="AK311" i="1" s="1"/>
  <c r="AJ310" i="1"/>
  <c r="AK310" i="1" s="1"/>
  <c r="AJ309" i="1"/>
  <c r="AK309" i="1" s="1"/>
  <c r="AJ308" i="1"/>
  <c r="AK308" i="1" s="1"/>
  <c r="AJ307" i="1"/>
  <c r="AK307" i="1" s="1"/>
  <c r="AJ306" i="1"/>
  <c r="AK306" i="1" s="1"/>
  <c r="AJ305" i="1"/>
  <c r="AK305" i="1" s="1"/>
  <c r="AJ304" i="1"/>
  <c r="AK304" i="1" s="1"/>
  <c r="AJ303" i="1"/>
  <c r="AK303" i="1" s="1"/>
  <c r="AJ302" i="1"/>
  <c r="AK302" i="1" s="1"/>
  <c r="AJ301" i="1"/>
  <c r="AK301" i="1" s="1"/>
  <c r="AJ300" i="1"/>
  <c r="AK300" i="1" s="1"/>
  <c r="AJ299" i="1"/>
  <c r="AK299" i="1" s="1"/>
  <c r="AJ298" i="1"/>
  <c r="AK298" i="1" s="1"/>
  <c r="AJ297" i="1"/>
  <c r="AK297" i="1" s="1"/>
  <c r="AJ296" i="1"/>
  <c r="AK296" i="1" s="1"/>
  <c r="AJ295" i="1"/>
  <c r="AK295" i="1" s="1"/>
  <c r="AJ294" i="1"/>
  <c r="AK294" i="1" s="1"/>
  <c r="AJ293" i="1"/>
  <c r="AK293" i="1" s="1"/>
  <c r="AJ292" i="1"/>
  <c r="AK292" i="1" s="1"/>
  <c r="AJ291" i="1"/>
  <c r="AK291" i="1" s="1"/>
  <c r="AJ290" i="1"/>
  <c r="AK290" i="1" s="1"/>
  <c r="AJ289" i="1"/>
  <c r="AK289" i="1" s="1"/>
  <c r="AJ288" i="1"/>
  <c r="AK288" i="1" s="1"/>
  <c r="AJ287" i="1"/>
  <c r="AK287" i="1" s="1"/>
  <c r="AJ286" i="1"/>
  <c r="AK286" i="1" s="1"/>
  <c r="AJ285" i="1"/>
  <c r="AK285" i="1" s="1"/>
  <c r="AJ284" i="1"/>
  <c r="AK284" i="1" s="1"/>
  <c r="AJ283" i="1"/>
  <c r="AK283" i="1" s="1"/>
  <c r="AJ282" i="1"/>
  <c r="AK282" i="1" s="1"/>
  <c r="AJ281" i="1"/>
  <c r="AK281" i="1" s="1"/>
  <c r="AJ280" i="1"/>
  <c r="AK280" i="1" s="1"/>
  <c r="AJ279" i="1"/>
  <c r="AK279" i="1" s="1"/>
  <c r="AJ278" i="1"/>
  <c r="AK278" i="1" s="1"/>
  <c r="AJ277" i="1"/>
  <c r="AK277" i="1" s="1"/>
  <c r="AJ276" i="1"/>
  <c r="AK276" i="1" s="1"/>
  <c r="AJ275" i="1"/>
  <c r="AK275" i="1" s="1"/>
  <c r="AJ274" i="1"/>
  <c r="AK274" i="1" s="1"/>
  <c r="AJ273" i="1"/>
  <c r="AK273" i="1" s="1"/>
  <c r="AJ272" i="1"/>
  <c r="AK272" i="1" s="1"/>
  <c r="AJ271" i="1"/>
  <c r="AK271" i="1" s="1"/>
  <c r="AJ270" i="1"/>
  <c r="AK270" i="1" s="1"/>
  <c r="AJ269" i="1"/>
  <c r="AK269" i="1" s="1"/>
  <c r="AJ268" i="1"/>
  <c r="AK268" i="1"/>
  <c r="AJ267" i="1"/>
  <c r="AK267" i="1" s="1"/>
  <c r="AJ266" i="1"/>
  <c r="AK266" i="1" s="1"/>
  <c r="AJ265" i="1"/>
  <c r="AK265" i="1" s="1"/>
  <c r="AJ264" i="1"/>
  <c r="AK264" i="1" s="1"/>
  <c r="AJ263" i="1"/>
  <c r="AK263" i="1" s="1"/>
  <c r="AJ262" i="1"/>
  <c r="AK262" i="1" s="1"/>
  <c r="AJ261" i="1"/>
  <c r="AK261" i="1" s="1"/>
  <c r="AJ260" i="1"/>
  <c r="AK260" i="1" s="1"/>
  <c r="AJ259" i="1"/>
  <c r="AK259" i="1" s="1"/>
  <c r="AJ258" i="1"/>
  <c r="AK258" i="1" s="1"/>
  <c r="AJ257" i="1"/>
  <c r="AK257" i="1" s="1"/>
  <c r="AJ256" i="1"/>
  <c r="AK256" i="1" s="1"/>
  <c r="AJ255" i="1"/>
  <c r="AK255" i="1" s="1"/>
  <c r="AJ254" i="1"/>
  <c r="AK254" i="1" s="1"/>
  <c r="AJ253" i="1"/>
  <c r="AK253" i="1" s="1"/>
  <c r="AJ252" i="1"/>
  <c r="AK252" i="1" s="1"/>
  <c r="AJ251" i="1"/>
  <c r="AK251" i="1" s="1"/>
  <c r="AJ250" i="1"/>
  <c r="AK250" i="1" s="1"/>
  <c r="AJ249" i="1"/>
  <c r="AK249" i="1" s="1"/>
  <c r="AJ248" i="1"/>
  <c r="AK248" i="1" s="1"/>
  <c r="AJ247" i="1"/>
  <c r="AK247" i="1" s="1"/>
  <c r="AJ246" i="1"/>
  <c r="AK246" i="1" s="1"/>
  <c r="AJ245" i="1"/>
  <c r="AK245" i="1" s="1"/>
  <c r="AJ244" i="1"/>
  <c r="AK244" i="1" s="1"/>
  <c r="AJ243" i="1"/>
  <c r="AK243" i="1" s="1"/>
  <c r="AJ242" i="1"/>
  <c r="AK242" i="1" s="1"/>
  <c r="AJ241" i="1"/>
  <c r="AK241" i="1" s="1"/>
  <c r="AJ240" i="1"/>
  <c r="AK240" i="1" s="1"/>
  <c r="AJ239" i="1"/>
  <c r="AK239" i="1" s="1"/>
  <c r="AJ238" i="1"/>
  <c r="AK238" i="1" s="1"/>
  <c r="AJ237" i="1"/>
  <c r="AK237" i="1" s="1"/>
  <c r="AJ236" i="1"/>
  <c r="AK236" i="1" s="1"/>
  <c r="AJ235" i="1"/>
  <c r="AK235" i="1" s="1"/>
  <c r="AJ234" i="1"/>
  <c r="AK234" i="1" s="1"/>
  <c r="AJ233" i="1"/>
  <c r="AK233" i="1" s="1"/>
  <c r="AJ232" i="1"/>
  <c r="AK232" i="1" s="1"/>
  <c r="AJ231" i="1"/>
  <c r="AK231" i="1" s="1"/>
  <c r="AJ230" i="1"/>
  <c r="AK230" i="1" s="1"/>
  <c r="AJ229" i="1"/>
  <c r="AK229" i="1" s="1"/>
  <c r="AJ228" i="1"/>
  <c r="AK228" i="1" s="1"/>
  <c r="AJ227" i="1"/>
  <c r="AK227" i="1" s="1"/>
  <c r="AJ226" i="1"/>
  <c r="AK226" i="1" s="1"/>
  <c r="AJ225" i="1"/>
  <c r="AK225" i="1" s="1"/>
  <c r="AJ224" i="1"/>
  <c r="AK224" i="1" s="1"/>
  <c r="AJ223" i="1"/>
  <c r="AK223" i="1" s="1"/>
  <c r="AJ222" i="1"/>
  <c r="AK222" i="1" s="1"/>
  <c r="AJ221" i="1"/>
  <c r="AK221" i="1" s="1"/>
  <c r="AJ220" i="1"/>
  <c r="AK220" i="1" s="1"/>
  <c r="AJ219" i="1"/>
  <c r="AK219" i="1" s="1"/>
  <c r="AJ218" i="1"/>
  <c r="AK218" i="1" s="1"/>
  <c r="AJ217" i="1"/>
  <c r="AK217" i="1" s="1"/>
  <c r="AJ216" i="1"/>
  <c r="AK216" i="1" s="1"/>
  <c r="AJ215" i="1"/>
  <c r="AK215" i="1" s="1"/>
  <c r="AJ214" i="1"/>
  <c r="AK214" i="1" s="1"/>
  <c r="AJ213" i="1"/>
  <c r="AK213" i="1" s="1"/>
  <c r="AJ212" i="1"/>
  <c r="AK212" i="1" s="1"/>
  <c r="AJ211" i="1"/>
  <c r="AK211" i="1" s="1"/>
  <c r="AJ210" i="1"/>
  <c r="AK210" i="1" s="1"/>
  <c r="AJ209" i="1"/>
  <c r="AK209" i="1" s="1"/>
  <c r="AJ208" i="1"/>
  <c r="AK208" i="1" s="1"/>
  <c r="AJ207" i="1"/>
  <c r="AK207" i="1" s="1"/>
  <c r="AJ206" i="1"/>
  <c r="AK206" i="1" s="1"/>
  <c r="AJ205" i="1"/>
  <c r="AK205" i="1" s="1"/>
  <c r="AJ204" i="1"/>
  <c r="AK204" i="1" s="1"/>
  <c r="AJ203" i="1"/>
  <c r="AK203" i="1" s="1"/>
  <c r="AJ202" i="1"/>
  <c r="AK202" i="1" s="1"/>
  <c r="AJ201" i="1"/>
  <c r="AK201" i="1" s="1"/>
  <c r="AJ200" i="1"/>
  <c r="AK200" i="1" s="1"/>
  <c r="AJ199" i="1"/>
  <c r="AK199" i="1" s="1"/>
  <c r="AJ198" i="1"/>
  <c r="AK198" i="1" s="1"/>
  <c r="AJ197" i="1"/>
  <c r="AK197" i="1"/>
  <c r="AJ196" i="1"/>
  <c r="AK196" i="1" s="1"/>
  <c r="AJ195" i="1"/>
  <c r="AK195" i="1" s="1"/>
  <c r="AJ194" i="1"/>
  <c r="AK194" i="1" s="1"/>
  <c r="AJ193" i="1"/>
  <c r="AK193" i="1" s="1"/>
  <c r="AJ192" i="1"/>
  <c r="AK192" i="1" s="1"/>
  <c r="AJ191" i="1"/>
  <c r="AK191" i="1" s="1"/>
  <c r="AJ190" i="1"/>
  <c r="AK190" i="1" s="1"/>
  <c r="AJ189" i="1"/>
  <c r="AK189" i="1" s="1"/>
  <c r="AJ188" i="1"/>
  <c r="AK188" i="1" s="1"/>
  <c r="AJ187" i="1"/>
  <c r="AK187" i="1" s="1"/>
  <c r="AJ186" i="1"/>
  <c r="AK186" i="1" s="1"/>
  <c r="AJ185" i="1"/>
  <c r="AK185" i="1" s="1"/>
  <c r="AJ184" i="1"/>
  <c r="AK184" i="1" s="1"/>
  <c r="AJ183" i="1"/>
  <c r="AK183" i="1" s="1"/>
  <c r="AJ182" i="1"/>
  <c r="AK182" i="1" s="1"/>
  <c r="AJ181" i="1"/>
  <c r="AK181" i="1" s="1"/>
  <c r="AJ180" i="1"/>
  <c r="AK180" i="1" s="1"/>
  <c r="AJ179" i="1"/>
  <c r="AK179" i="1" s="1"/>
  <c r="AJ178" i="1"/>
  <c r="AK178" i="1" s="1"/>
  <c r="AJ177" i="1"/>
  <c r="AK177" i="1" s="1"/>
  <c r="AJ176" i="1"/>
  <c r="AK176" i="1" s="1"/>
  <c r="AJ175" i="1"/>
  <c r="AK175" i="1" s="1"/>
  <c r="AJ174" i="1"/>
  <c r="AK174" i="1" s="1"/>
  <c r="AJ173" i="1"/>
  <c r="AK173" i="1" s="1"/>
  <c r="AJ172" i="1"/>
  <c r="AK172" i="1" s="1"/>
  <c r="AJ171" i="1"/>
  <c r="AK171" i="1" s="1"/>
  <c r="AJ170" i="1"/>
  <c r="AK170" i="1" s="1"/>
  <c r="AJ169" i="1"/>
  <c r="AK169" i="1" s="1"/>
  <c r="AJ168" i="1"/>
  <c r="AK168" i="1" s="1"/>
  <c r="AJ167" i="1"/>
  <c r="AK167" i="1" s="1"/>
  <c r="AJ166" i="1"/>
  <c r="AK166" i="1" s="1"/>
  <c r="AJ165" i="1"/>
  <c r="AK165" i="1" s="1"/>
  <c r="AJ163" i="1"/>
  <c r="AK163" i="1" s="1"/>
  <c r="AJ162" i="1"/>
  <c r="AK162" i="1" s="1"/>
  <c r="AJ161" i="1"/>
  <c r="AK161" i="1" s="1"/>
  <c r="AJ160" i="1"/>
  <c r="AK160" i="1" s="1"/>
  <c r="AJ159" i="1"/>
  <c r="AK159" i="1" s="1"/>
  <c r="AJ158" i="1"/>
  <c r="AK158" i="1" s="1"/>
  <c r="AJ157" i="1"/>
  <c r="AK157" i="1" s="1"/>
  <c r="AJ156" i="1"/>
  <c r="AK156" i="1" s="1"/>
  <c r="AJ155" i="1"/>
  <c r="AK155" i="1" s="1"/>
  <c r="AJ154" i="1"/>
  <c r="AK154" i="1" s="1"/>
  <c r="AJ153" i="1"/>
  <c r="AK153" i="1" s="1"/>
  <c r="AJ152" i="1"/>
  <c r="AK152" i="1" s="1"/>
  <c r="AJ151" i="1"/>
  <c r="AK151" i="1" s="1"/>
  <c r="AJ150" i="1"/>
  <c r="AK150" i="1" s="1"/>
  <c r="AJ149" i="1"/>
  <c r="AK149" i="1" s="1"/>
  <c r="AJ148" i="1"/>
  <c r="AK148" i="1" s="1"/>
  <c r="AJ147" i="1"/>
  <c r="AK147" i="1" s="1"/>
  <c r="AJ146" i="1"/>
  <c r="AK146" i="1" s="1"/>
  <c r="AJ145" i="1"/>
  <c r="AK145" i="1" s="1"/>
  <c r="AJ144" i="1"/>
  <c r="AK144" i="1"/>
  <c r="AJ143" i="1"/>
  <c r="AK143" i="1" s="1"/>
  <c r="AJ142" i="1"/>
  <c r="AK142" i="1" s="1"/>
  <c r="AJ141" i="1"/>
  <c r="AK141" i="1" s="1"/>
  <c r="AJ140" i="1"/>
  <c r="AK140" i="1" s="1"/>
  <c r="AJ139" i="1"/>
  <c r="AK139" i="1" s="1"/>
  <c r="AJ138" i="1"/>
  <c r="AK138" i="1" s="1"/>
  <c r="AJ137" i="1"/>
  <c r="AK137" i="1" s="1"/>
  <c r="AJ136" i="1"/>
  <c r="AK136" i="1" s="1"/>
  <c r="AJ135" i="1"/>
  <c r="AK135" i="1" s="1"/>
  <c r="AJ134" i="1"/>
  <c r="AK134" i="1" s="1"/>
  <c r="AJ133" i="1"/>
  <c r="AK133" i="1" s="1"/>
  <c r="AJ132" i="1"/>
  <c r="AK132" i="1" s="1"/>
  <c r="AJ131" i="1"/>
  <c r="AK131" i="1" s="1"/>
  <c r="AJ129" i="1"/>
  <c r="AK129" i="1" s="1"/>
  <c r="AJ128" i="1"/>
  <c r="AK128" i="1" s="1"/>
  <c r="AJ127" i="1"/>
  <c r="AK127" i="1" s="1"/>
  <c r="AJ126" i="1"/>
  <c r="AK126" i="1" s="1"/>
  <c r="AJ125" i="1"/>
  <c r="AK125" i="1" s="1"/>
  <c r="AJ124" i="1"/>
  <c r="AK124" i="1" s="1"/>
  <c r="AJ123" i="1"/>
  <c r="AK123" i="1" s="1"/>
  <c r="AJ122" i="1"/>
  <c r="AK122" i="1" s="1"/>
  <c r="AJ121" i="1"/>
  <c r="AK121" i="1" s="1"/>
  <c r="AJ120" i="1"/>
  <c r="AK120" i="1" s="1"/>
  <c r="AJ119" i="1"/>
  <c r="AK119" i="1" s="1"/>
  <c r="AJ118" i="1"/>
  <c r="AK118" i="1" s="1"/>
  <c r="AJ117" i="1"/>
  <c r="AK117" i="1" s="1"/>
  <c r="AJ116" i="1"/>
  <c r="AK116" i="1" s="1"/>
  <c r="AJ115" i="1"/>
  <c r="AK115" i="1" s="1"/>
  <c r="AJ114" i="1"/>
  <c r="AK114" i="1" s="1"/>
  <c r="AJ113" i="1"/>
  <c r="AK113" i="1" s="1"/>
  <c r="AJ112" i="1"/>
  <c r="AK112" i="1" s="1"/>
  <c r="AJ111" i="1"/>
  <c r="AK111" i="1" s="1"/>
  <c r="AJ110" i="1"/>
  <c r="AK110" i="1" s="1"/>
  <c r="AJ109" i="1"/>
  <c r="AK109" i="1" s="1"/>
  <c r="AJ108" i="1"/>
  <c r="AK108" i="1" s="1"/>
  <c r="AJ107" i="1"/>
  <c r="AK107" i="1" s="1"/>
  <c r="AJ106" i="1"/>
  <c r="AK106" i="1" s="1"/>
  <c r="AJ105" i="1"/>
  <c r="AK105" i="1" s="1"/>
  <c r="AJ104" i="1"/>
  <c r="AK104" i="1" s="1"/>
  <c r="AJ103" i="1"/>
  <c r="AK103" i="1" s="1"/>
  <c r="AJ102" i="1"/>
  <c r="AK102" i="1" s="1"/>
  <c r="AJ101" i="1"/>
  <c r="AK101" i="1" s="1"/>
  <c r="AJ100" i="1"/>
  <c r="AK100" i="1"/>
  <c r="AJ99" i="1"/>
  <c r="AK99" i="1" s="1"/>
  <c r="AJ98" i="1"/>
  <c r="AK98" i="1" s="1"/>
  <c r="AJ97" i="1"/>
  <c r="AK97" i="1" s="1"/>
  <c r="AJ96" i="1"/>
  <c r="AK96" i="1" s="1"/>
  <c r="AJ95" i="1"/>
  <c r="AK95" i="1" s="1"/>
  <c r="AJ94" i="1"/>
  <c r="AK94" i="1" s="1"/>
  <c r="AJ93" i="1"/>
  <c r="AK93" i="1" s="1"/>
  <c r="AJ92" i="1"/>
  <c r="AK92" i="1" s="1"/>
  <c r="AJ91" i="1"/>
  <c r="AK91" i="1" s="1"/>
  <c r="AJ90" i="1"/>
  <c r="AK90" i="1" s="1"/>
  <c r="AJ89" i="1"/>
  <c r="AK89" i="1" s="1"/>
  <c r="AJ88" i="1"/>
  <c r="AK88" i="1" s="1"/>
  <c r="AJ87" i="1"/>
  <c r="AK87" i="1" s="1"/>
  <c r="AJ86" i="1"/>
  <c r="AK86" i="1" s="1"/>
  <c r="AJ85" i="1"/>
  <c r="AK85" i="1" s="1"/>
  <c r="AJ84" i="1"/>
  <c r="AK84" i="1" s="1"/>
  <c r="AJ83" i="1"/>
  <c r="AK83" i="1" s="1"/>
  <c r="AJ82" i="1"/>
  <c r="AK82" i="1" s="1"/>
  <c r="AJ81" i="1"/>
  <c r="AK81" i="1" s="1"/>
  <c r="AJ80" i="1"/>
  <c r="AK80" i="1" s="1"/>
  <c r="AJ79" i="1"/>
  <c r="AK79" i="1" s="1"/>
  <c r="AJ78" i="1"/>
  <c r="AK78" i="1" s="1"/>
  <c r="AJ77" i="1"/>
  <c r="AK77" i="1" s="1"/>
  <c r="AJ76" i="1"/>
  <c r="AK76" i="1" s="1"/>
  <c r="AJ75" i="1"/>
  <c r="AK75" i="1" s="1"/>
  <c r="AJ74" i="1"/>
  <c r="AK74" i="1" s="1"/>
  <c r="AJ73" i="1"/>
  <c r="AK73" i="1" s="1"/>
  <c r="AJ72" i="1"/>
  <c r="AK72" i="1" s="1"/>
  <c r="AJ71" i="1"/>
  <c r="AK71" i="1"/>
  <c r="AJ70" i="1"/>
  <c r="AK70" i="1" s="1"/>
  <c r="AJ69" i="1"/>
  <c r="AK69" i="1" s="1"/>
  <c r="AJ68" i="1"/>
  <c r="AK68" i="1" s="1"/>
  <c r="AJ67" i="1"/>
  <c r="AK67" i="1" s="1"/>
  <c r="AJ66" i="1"/>
  <c r="AK66" i="1" s="1"/>
  <c r="AJ65" i="1"/>
  <c r="AK65" i="1" s="1"/>
  <c r="AJ64" i="1"/>
  <c r="AK64" i="1" s="1"/>
  <c r="AJ63" i="1"/>
  <c r="AK63" i="1" s="1"/>
  <c r="AJ62" i="1"/>
  <c r="AK62" i="1" s="1"/>
  <c r="AJ61" i="1"/>
  <c r="AK61" i="1" s="1"/>
  <c r="AJ60" i="1"/>
  <c r="AK60" i="1" s="1"/>
  <c r="AJ59" i="1"/>
  <c r="AK59" i="1"/>
  <c r="AJ58" i="1"/>
  <c r="AK58" i="1" s="1"/>
  <c r="AJ57" i="1"/>
  <c r="AK57" i="1" s="1"/>
  <c r="AJ56" i="1"/>
  <c r="AK56" i="1" s="1"/>
  <c r="AJ55" i="1"/>
  <c r="AK55" i="1" s="1"/>
  <c r="AJ54" i="1"/>
  <c r="AK54" i="1" s="1"/>
  <c r="AJ53" i="1"/>
  <c r="AK53" i="1" s="1"/>
  <c r="AJ52" i="1"/>
  <c r="AK52" i="1" s="1"/>
  <c r="AJ51" i="1"/>
  <c r="AK51" i="1" s="1"/>
  <c r="AJ50" i="1"/>
  <c r="AK50" i="1" s="1"/>
  <c r="AJ49" i="1"/>
  <c r="AK49" i="1" s="1"/>
  <c r="AJ48" i="1"/>
  <c r="AK48" i="1" s="1"/>
  <c r="AJ47" i="1"/>
  <c r="AK47" i="1" s="1"/>
  <c r="AJ46" i="1"/>
  <c r="AK46" i="1" s="1"/>
  <c r="AJ45" i="1"/>
  <c r="AK45" i="1" s="1"/>
  <c r="AJ44" i="1"/>
  <c r="AK44" i="1" s="1"/>
  <c r="AJ43" i="1"/>
  <c r="AK43" i="1" s="1"/>
  <c r="AJ42" i="1"/>
  <c r="AK42" i="1" s="1"/>
  <c r="AJ41" i="1"/>
  <c r="AK41" i="1" s="1"/>
  <c r="AJ40" i="1"/>
  <c r="AK40" i="1" s="1"/>
  <c r="AJ39" i="1"/>
  <c r="AK39" i="1" s="1"/>
  <c r="AJ38" i="1"/>
  <c r="AK38" i="1" s="1"/>
  <c r="AJ37" i="1"/>
  <c r="AK37" i="1" s="1"/>
  <c r="AJ36" i="1"/>
  <c r="AK36" i="1" s="1"/>
  <c r="AJ35" i="1"/>
  <c r="AK35" i="1" s="1"/>
  <c r="AJ34" i="1"/>
  <c r="AK34" i="1" s="1"/>
  <c r="AJ33" i="1"/>
  <c r="AK33" i="1" s="1"/>
  <c r="AJ32" i="1"/>
  <c r="AK32" i="1" s="1"/>
  <c r="AJ31" i="1"/>
  <c r="AK31" i="1" s="1"/>
  <c r="AJ30" i="1"/>
  <c r="AK30" i="1" s="1"/>
  <c r="AJ29" i="1"/>
  <c r="AK29" i="1" s="1"/>
  <c r="AJ28" i="1"/>
  <c r="AK28" i="1" s="1"/>
  <c r="AJ27" i="1"/>
  <c r="AK27" i="1" s="1"/>
  <c r="AJ26" i="1"/>
  <c r="AK26" i="1" s="1"/>
  <c r="AJ25" i="1"/>
  <c r="AK25" i="1" s="1"/>
  <c r="AJ24" i="1"/>
  <c r="AK24" i="1" s="1"/>
  <c r="AJ23" i="1"/>
  <c r="AK23" i="1" s="1"/>
  <c r="AJ22" i="1"/>
  <c r="AK22" i="1" s="1"/>
  <c r="AJ21" i="1"/>
  <c r="AK21" i="1" s="1"/>
  <c r="AJ20" i="1"/>
  <c r="AK20" i="1" s="1"/>
  <c r="AJ19" i="1"/>
  <c r="AK19" i="1" s="1"/>
  <c r="AJ18" i="1"/>
  <c r="AK18" i="1" s="1"/>
  <c r="AJ17" i="1"/>
  <c r="AK17" i="1" s="1"/>
  <c r="AJ16" i="1"/>
  <c r="AK16" i="1" s="1"/>
  <c r="AJ15" i="1"/>
  <c r="AK15" i="1" s="1"/>
  <c r="AJ14" i="1"/>
  <c r="AK14" i="1" s="1"/>
  <c r="AJ13" i="1"/>
  <c r="AK13" i="1" s="1"/>
  <c r="AJ12" i="1"/>
  <c r="AK12" i="1" s="1"/>
  <c r="AJ11" i="1"/>
  <c r="AK11" i="1" s="1"/>
  <c r="AJ10" i="1"/>
  <c r="AK10" i="1" s="1"/>
  <c r="AJ9" i="1"/>
  <c r="AK9" i="1" s="1"/>
  <c r="AJ8" i="1"/>
  <c r="AK8" i="1" s="1"/>
  <c r="AJ7" i="1"/>
  <c r="AK7" i="1" s="1"/>
  <c r="AJ6" i="1"/>
  <c r="AK6" i="1" s="1"/>
  <c r="AJ5" i="1"/>
  <c r="AK5" i="1" s="1"/>
  <c r="AJ4" i="1"/>
  <c r="AK4" i="1" s="1"/>
  <c r="AJ3" i="1"/>
  <c r="AK3" i="1" s="1"/>
  <c r="AJ2" i="1"/>
  <c r="AK2" i="1" s="1"/>
  <c r="J8" i="4"/>
  <c r="J7" i="4"/>
  <c r="K2" i="6"/>
  <c r="J2" i="6"/>
  <c r="J6" i="4"/>
  <c r="I2" i="6"/>
  <c r="O2" i="1"/>
  <c r="U2" i="1"/>
  <c r="V2" i="1" s="1"/>
  <c r="W2" i="1"/>
  <c r="AA2" i="1"/>
  <c r="U930" i="1"/>
  <c r="V930" i="1" s="1"/>
  <c r="O930" i="1"/>
  <c r="W930" i="1"/>
  <c r="AA930" i="1"/>
  <c r="O727" i="1"/>
  <c r="U727" i="1"/>
  <c r="V727" i="1"/>
  <c r="W727" i="1"/>
  <c r="AA727" i="1"/>
  <c r="O563" i="1"/>
  <c r="U563" i="1"/>
  <c r="V563" i="1"/>
  <c r="AA563" i="1"/>
  <c r="U550" i="1"/>
  <c r="V550" i="1"/>
  <c r="W550" i="1" s="1"/>
  <c r="O550" i="1"/>
  <c r="AA550" i="1"/>
  <c r="U130" i="1"/>
  <c r="V130" i="1" s="1"/>
  <c r="O130" i="1"/>
  <c r="W130" i="1" s="1"/>
  <c r="AD130" i="1"/>
  <c r="U8" i="1"/>
  <c r="U1120" i="1"/>
  <c r="V1120" i="1" s="1"/>
  <c r="W1120" i="1" s="1"/>
  <c r="U436" i="1"/>
  <c r="U186" i="1"/>
  <c r="U1306" i="1"/>
  <c r="AG1367" i="1"/>
  <c r="AG1366" i="1"/>
  <c r="AG1365" i="1"/>
  <c r="AG1364" i="1"/>
  <c r="AG1363" i="1"/>
  <c r="AG1362" i="1"/>
  <c r="AG1361" i="1"/>
  <c r="AG1360" i="1"/>
  <c r="AG1359" i="1"/>
  <c r="AG1358" i="1"/>
  <c r="AG1357" i="1"/>
  <c r="AG1356" i="1"/>
  <c r="AG1355" i="1"/>
  <c r="AG1354" i="1"/>
  <c r="AG1353" i="1"/>
  <c r="AG1352" i="1"/>
  <c r="AG1351" i="1"/>
  <c r="AG1350" i="1"/>
  <c r="AG1349" i="1"/>
  <c r="AG1348" i="1"/>
  <c r="AG1347" i="1"/>
  <c r="AG1346" i="1"/>
  <c r="AG1345" i="1"/>
  <c r="AG1344" i="1"/>
  <c r="AG1343" i="1"/>
  <c r="AG1342" i="1"/>
  <c r="AG1341" i="1"/>
  <c r="AG1340" i="1"/>
  <c r="AG1339" i="1"/>
  <c r="AG1338" i="1"/>
  <c r="AG1337" i="1"/>
  <c r="AG1336" i="1"/>
  <c r="AG1335" i="1"/>
  <c r="AG1334" i="1"/>
  <c r="AG1333" i="1"/>
  <c r="AG1332" i="1"/>
  <c r="AG1331" i="1"/>
  <c r="AG1330" i="1"/>
  <c r="AG1329" i="1"/>
  <c r="AG1328" i="1"/>
  <c r="AG1327" i="1"/>
  <c r="AG1326" i="1"/>
  <c r="AG1325" i="1"/>
  <c r="AG1324" i="1"/>
  <c r="AG1323" i="1"/>
  <c r="AG1322" i="1"/>
  <c r="AG1321" i="1"/>
  <c r="AG1320" i="1"/>
  <c r="AG1319" i="1"/>
  <c r="AG1318" i="1"/>
  <c r="AG1317" i="1"/>
  <c r="AG1316" i="1"/>
  <c r="AG1315" i="1"/>
  <c r="AG1314" i="1"/>
  <c r="AG1313" i="1"/>
  <c r="AG1312" i="1"/>
  <c r="AG1311" i="1"/>
  <c r="AG1310" i="1"/>
  <c r="AG1309" i="1"/>
  <c r="AG1308" i="1"/>
  <c r="AG1307" i="1"/>
  <c r="AG1306" i="1"/>
  <c r="AG1305" i="1"/>
  <c r="AG1304" i="1"/>
  <c r="AG1303" i="1"/>
  <c r="AG1302" i="1"/>
  <c r="AG1301" i="1"/>
  <c r="AG1300" i="1"/>
  <c r="AG1299" i="1"/>
  <c r="AG1298" i="1"/>
  <c r="AG1297" i="1"/>
  <c r="AG1296" i="1"/>
  <c r="AG1295" i="1"/>
  <c r="AG1294" i="1"/>
  <c r="AG1293" i="1"/>
  <c r="AG1292" i="1"/>
  <c r="AG1291" i="1"/>
  <c r="AG1290" i="1"/>
  <c r="AG1289" i="1"/>
  <c r="AG1288" i="1"/>
  <c r="AG1287" i="1"/>
  <c r="AG1286" i="1"/>
  <c r="AG1285" i="1"/>
  <c r="AG1284" i="1"/>
  <c r="AG1283" i="1"/>
  <c r="AG1282" i="1"/>
  <c r="AG1281" i="1"/>
  <c r="AG1280" i="1"/>
  <c r="AG1279" i="1"/>
  <c r="AG1278" i="1"/>
  <c r="AG1277" i="1"/>
  <c r="AG1276" i="1"/>
  <c r="AG1275" i="1"/>
  <c r="AG1274" i="1"/>
  <c r="AG1273" i="1"/>
  <c r="AG1272" i="1"/>
  <c r="AG1271" i="1"/>
  <c r="AG1270" i="1"/>
  <c r="AG1269" i="1"/>
  <c r="AG1268" i="1"/>
  <c r="AG1267" i="1"/>
  <c r="AG1266" i="1"/>
  <c r="AG1265" i="1"/>
  <c r="AG1264" i="1"/>
  <c r="AG1263" i="1"/>
  <c r="AG1262" i="1"/>
  <c r="AG1261" i="1"/>
  <c r="AG1260" i="1"/>
  <c r="AG1259" i="1"/>
  <c r="AG1258" i="1"/>
  <c r="AG1257" i="1"/>
  <c r="AG1256" i="1"/>
  <c r="AG1255" i="1"/>
  <c r="AG1254" i="1"/>
  <c r="AG1253" i="1"/>
  <c r="AG1252" i="1"/>
  <c r="AG1251" i="1"/>
  <c r="AG1250" i="1"/>
  <c r="AG1249" i="1"/>
  <c r="AG1248" i="1"/>
  <c r="AG1247" i="1"/>
  <c r="AG1246" i="1"/>
  <c r="AG1245" i="1"/>
  <c r="AG1244" i="1"/>
  <c r="AG1243" i="1"/>
  <c r="AG1242" i="1"/>
  <c r="AG1241" i="1"/>
  <c r="AG1240" i="1"/>
  <c r="AG1239" i="1"/>
  <c r="AG1238" i="1"/>
  <c r="AG1237" i="1"/>
  <c r="AG1236" i="1"/>
  <c r="AG1235" i="1"/>
  <c r="AG1234" i="1"/>
  <c r="AG1233" i="1"/>
  <c r="AG1232" i="1"/>
  <c r="AG1231" i="1"/>
  <c r="AG1230" i="1"/>
  <c r="AG1229" i="1"/>
  <c r="AG1228" i="1"/>
  <c r="AG1227" i="1"/>
  <c r="AG1226" i="1"/>
  <c r="AG1225" i="1"/>
  <c r="AG1224" i="1"/>
  <c r="AG1223" i="1"/>
  <c r="AG1222" i="1"/>
  <c r="AG1221" i="1"/>
  <c r="AG1220" i="1"/>
  <c r="AG1219" i="1"/>
  <c r="AG1218" i="1"/>
  <c r="AG1217" i="1"/>
  <c r="AG1216" i="1"/>
  <c r="AG1215" i="1"/>
  <c r="AG1214" i="1"/>
  <c r="AG1213" i="1"/>
  <c r="AG1212" i="1"/>
  <c r="AG1211" i="1"/>
  <c r="AG1210" i="1"/>
  <c r="AG1209" i="1"/>
  <c r="AG1208" i="1"/>
  <c r="AG1207" i="1"/>
  <c r="AG1206" i="1"/>
  <c r="AG1205" i="1"/>
  <c r="AG1204" i="1"/>
  <c r="AG1203" i="1"/>
  <c r="AG1202" i="1"/>
  <c r="AG1201" i="1"/>
  <c r="AG1200" i="1"/>
  <c r="AG1199" i="1"/>
  <c r="AG1198" i="1"/>
  <c r="AG1197" i="1"/>
  <c r="AG1196" i="1"/>
  <c r="AG1195" i="1"/>
  <c r="AG1194" i="1"/>
  <c r="AG1193" i="1"/>
  <c r="AG1192" i="1"/>
  <c r="AG1191" i="1"/>
  <c r="AG1190" i="1"/>
  <c r="AG1189" i="1"/>
  <c r="AG1188" i="1"/>
  <c r="AG1187" i="1"/>
  <c r="AG1186" i="1"/>
  <c r="AG1185" i="1"/>
  <c r="AG1184" i="1"/>
  <c r="AG1183" i="1"/>
  <c r="AG1182" i="1"/>
  <c r="AG1181" i="1"/>
  <c r="AG1180" i="1"/>
  <c r="AG1179" i="1"/>
  <c r="AG1178" i="1"/>
  <c r="AG1177" i="1"/>
  <c r="AG1176" i="1"/>
  <c r="AG1175" i="1"/>
  <c r="AG1174" i="1"/>
  <c r="AG1173" i="1"/>
  <c r="AG1172" i="1"/>
  <c r="AG1171" i="1"/>
  <c r="AG1170" i="1"/>
  <c r="AG1169" i="1"/>
  <c r="AG1168" i="1"/>
  <c r="AG1167" i="1"/>
  <c r="AG1166" i="1"/>
  <c r="AG1165" i="1"/>
  <c r="AG1164" i="1"/>
  <c r="AG1163" i="1"/>
  <c r="AG1162" i="1"/>
  <c r="AG1161" i="1"/>
  <c r="AG1160" i="1"/>
  <c r="AG1159" i="1"/>
  <c r="AG1158" i="1"/>
  <c r="AG1157" i="1"/>
  <c r="AG1156" i="1"/>
  <c r="AG1155" i="1"/>
  <c r="AG1154" i="1"/>
  <c r="AG1153" i="1"/>
  <c r="AG1152" i="1"/>
  <c r="AG1151" i="1"/>
  <c r="AG1150" i="1"/>
  <c r="AG1149" i="1"/>
  <c r="AG1148" i="1"/>
  <c r="AG1147" i="1"/>
  <c r="AG1146" i="1"/>
  <c r="AG1145" i="1"/>
  <c r="AG1144" i="1"/>
  <c r="AG1143" i="1"/>
  <c r="AG1142" i="1"/>
  <c r="AG1141" i="1"/>
  <c r="AG1140" i="1"/>
  <c r="AG1139" i="1"/>
  <c r="AG1138" i="1"/>
  <c r="AG1137" i="1"/>
  <c r="AG1136" i="1"/>
  <c r="AG1135" i="1"/>
  <c r="AG1134" i="1"/>
  <c r="AG1133" i="1"/>
  <c r="AG1132" i="1"/>
  <c r="AG1131" i="1"/>
  <c r="AG1130" i="1"/>
  <c r="AG1129" i="1"/>
  <c r="AG1128" i="1"/>
  <c r="AG1127" i="1"/>
  <c r="AG1126" i="1"/>
  <c r="AG1125" i="1"/>
  <c r="AG1124" i="1"/>
  <c r="AG1123" i="1"/>
  <c r="AG1122" i="1"/>
  <c r="AG1121" i="1"/>
  <c r="AG1120" i="1"/>
  <c r="AG1119" i="1"/>
  <c r="AG1118" i="1"/>
  <c r="AG1117" i="1"/>
  <c r="AG1116" i="1"/>
  <c r="AG1115" i="1"/>
  <c r="AG1114" i="1"/>
  <c r="AG1113" i="1"/>
  <c r="AG1112" i="1"/>
  <c r="AG1111" i="1"/>
  <c r="AG1110" i="1"/>
  <c r="AG1109" i="1"/>
  <c r="AG1108" i="1"/>
  <c r="AG1107" i="1"/>
  <c r="AG1106" i="1"/>
  <c r="AG1105" i="1"/>
  <c r="AG1104" i="1"/>
  <c r="AG1103" i="1"/>
  <c r="AG1102" i="1"/>
  <c r="AG1101" i="1"/>
  <c r="AG1100" i="1"/>
  <c r="AG1099" i="1"/>
  <c r="AG1098" i="1"/>
  <c r="AG1097" i="1"/>
  <c r="AG1096" i="1"/>
  <c r="AG1095" i="1"/>
  <c r="AG1094" i="1"/>
  <c r="AG1093" i="1"/>
  <c r="AG1092" i="1"/>
  <c r="AG1091" i="1"/>
  <c r="AG1090" i="1"/>
  <c r="AG1089" i="1"/>
  <c r="AG1088" i="1"/>
  <c r="AG1087" i="1"/>
  <c r="AG1086" i="1"/>
  <c r="AG1085" i="1"/>
  <c r="AG1084" i="1"/>
  <c r="AG1083" i="1"/>
  <c r="AG1082" i="1"/>
  <c r="AG1081" i="1"/>
  <c r="AG1080" i="1"/>
  <c r="AG1079" i="1"/>
  <c r="AG1078" i="1"/>
  <c r="AG1077" i="1"/>
  <c r="AG1076" i="1"/>
  <c r="AG1075" i="1"/>
  <c r="AG1074" i="1"/>
  <c r="AG1073" i="1"/>
  <c r="AG1072" i="1"/>
  <c r="AG1071" i="1"/>
  <c r="AG1070" i="1"/>
  <c r="AG1069" i="1"/>
  <c r="AG1068" i="1"/>
  <c r="AG1067" i="1"/>
  <c r="AG1066" i="1"/>
  <c r="AG1065" i="1"/>
  <c r="AG1064" i="1"/>
  <c r="AG1063" i="1"/>
  <c r="AG1062" i="1"/>
  <c r="AG1061" i="1"/>
  <c r="AG1060" i="1"/>
  <c r="AG1059" i="1"/>
  <c r="AG1058" i="1"/>
  <c r="AG1057" i="1"/>
  <c r="AG1056" i="1"/>
  <c r="AG1055" i="1"/>
  <c r="AG1054" i="1"/>
  <c r="AG1053" i="1"/>
  <c r="AG1052" i="1"/>
  <c r="AG1051" i="1"/>
  <c r="AG1050" i="1"/>
  <c r="AG1049" i="1"/>
  <c r="AG1048" i="1"/>
  <c r="AG1047" i="1"/>
  <c r="AG1046" i="1"/>
  <c r="AG1045" i="1"/>
  <c r="AG1044" i="1"/>
  <c r="AG1043" i="1"/>
  <c r="AG1042" i="1"/>
  <c r="AG1041" i="1"/>
  <c r="AG1040" i="1"/>
  <c r="AG1039" i="1"/>
  <c r="AG1038" i="1"/>
  <c r="AG1037" i="1"/>
  <c r="AG1036" i="1"/>
  <c r="AG1035" i="1"/>
  <c r="AG1034" i="1"/>
  <c r="AG1033" i="1"/>
  <c r="AG1032" i="1"/>
  <c r="AG1031" i="1"/>
  <c r="AG1030" i="1"/>
  <c r="AG1029" i="1"/>
  <c r="AG1028" i="1"/>
  <c r="AG1027" i="1"/>
  <c r="AG1026" i="1"/>
  <c r="AG1025" i="1"/>
  <c r="AG1024" i="1"/>
  <c r="AG1023" i="1"/>
  <c r="AG1022" i="1"/>
  <c r="AG1021" i="1"/>
  <c r="AG1020" i="1"/>
  <c r="AG1019" i="1"/>
  <c r="AG1018" i="1"/>
  <c r="AG1017" i="1"/>
  <c r="AG1016" i="1"/>
  <c r="AG1015" i="1"/>
  <c r="AG1014" i="1"/>
  <c r="AG1013" i="1"/>
  <c r="AG1012" i="1"/>
  <c r="AG1011" i="1"/>
  <c r="AG1010" i="1"/>
  <c r="AG1009" i="1"/>
  <c r="AG1008" i="1"/>
  <c r="AG1007" i="1"/>
  <c r="AG1006" i="1"/>
  <c r="AG1005" i="1"/>
  <c r="AG1004" i="1"/>
  <c r="AG1003" i="1"/>
  <c r="AG1002" i="1"/>
  <c r="AG1001" i="1"/>
  <c r="AG1000" i="1"/>
  <c r="AG999" i="1"/>
  <c r="AG998" i="1"/>
  <c r="AG997" i="1"/>
  <c r="AG996" i="1"/>
  <c r="AG995" i="1"/>
  <c r="AG994" i="1"/>
  <c r="AG993" i="1"/>
  <c r="AG992" i="1"/>
  <c r="AG991" i="1"/>
  <c r="AG990" i="1"/>
  <c r="AG989" i="1"/>
  <c r="AG988" i="1"/>
  <c r="AG987" i="1"/>
  <c r="AG986" i="1"/>
  <c r="AG985" i="1"/>
  <c r="AG984" i="1"/>
  <c r="AG983" i="1"/>
  <c r="AG982" i="1"/>
  <c r="AG981" i="1"/>
  <c r="AG980" i="1"/>
  <c r="AG979" i="1"/>
  <c r="AG978" i="1"/>
  <c r="AG977" i="1"/>
  <c r="AG976" i="1"/>
  <c r="AG975" i="1"/>
  <c r="AG974" i="1"/>
  <c r="AG973" i="1"/>
  <c r="AG972" i="1"/>
  <c r="AG971" i="1"/>
  <c r="AG970" i="1"/>
  <c r="AG969" i="1"/>
  <c r="AG968" i="1"/>
  <c r="AG967" i="1"/>
  <c r="AG966" i="1"/>
  <c r="AG965" i="1"/>
  <c r="AG964" i="1"/>
  <c r="AG963" i="1"/>
  <c r="AG962" i="1"/>
  <c r="AG961" i="1"/>
  <c r="AG960" i="1"/>
  <c r="AG959" i="1"/>
  <c r="AG958" i="1"/>
  <c r="AG957" i="1"/>
  <c r="AG956" i="1"/>
  <c r="AG955" i="1"/>
  <c r="AG954" i="1"/>
  <c r="AG953" i="1"/>
  <c r="AG952" i="1"/>
  <c r="AG951" i="1"/>
  <c r="AG950" i="1"/>
  <c r="AG949" i="1"/>
  <c r="AG948" i="1"/>
  <c r="AG947" i="1"/>
  <c r="AG946" i="1"/>
  <c r="AG945" i="1"/>
  <c r="AG944" i="1"/>
  <c r="AG943" i="1"/>
  <c r="AG942" i="1"/>
  <c r="AG941" i="1"/>
  <c r="AG940" i="1"/>
  <c r="AG939" i="1"/>
  <c r="AG938" i="1"/>
  <c r="AG937" i="1"/>
  <c r="AG936" i="1"/>
  <c r="AG935" i="1"/>
  <c r="AG934" i="1"/>
  <c r="AG933" i="1"/>
  <c r="AG932" i="1"/>
  <c r="AG931" i="1"/>
  <c r="AG930" i="1"/>
  <c r="AG929" i="1"/>
  <c r="AG928" i="1"/>
  <c r="AG927" i="1"/>
  <c r="AG926" i="1"/>
  <c r="AG925" i="1"/>
  <c r="AG924" i="1"/>
  <c r="AG923" i="1"/>
  <c r="AG922" i="1"/>
  <c r="AG921" i="1"/>
  <c r="AG920" i="1"/>
  <c r="AG919" i="1"/>
  <c r="AG918" i="1"/>
  <c r="AG917" i="1"/>
  <c r="AG916" i="1"/>
  <c r="AG915" i="1"/>
  <c r="AG914" i="1"/>
  <c r="AG913" i="1"/>
  <c r="AG912" i="1"/>
  <c r="AG911" i="1"/>
  <c r="AG910" i="1"/>
  <c r="AG909" i="1"/>
  <c r="AG908" i="1"/>
  <c r="AG907" i="1"/>
  <c r="AG906" i="1"/>
  <c r="AG905" i="1"/>
  <c r="AG904" i="1"/>
  <c r="AG903" i="1"/>
  <c r="AG902" i="1"/>
  <c r="AG901" i="1"/>
  <c r="AG900" i="1"/>
  <c r="AG899" i="1"/>
  <c r="AG898" i="1"/>
  <c r="AG897" i="1"/>
  <c r="AG896" i="1"/>
  <c r="AG895" i="1"/>
  <c r="AG894" i="1"/>
  <c r="AG893" i="1"/>
  <c r="AG892" i="1"/>
  <c r="AG891" i="1"/>
  <c r="AG890" i="1"/>
  <c r="AG889" i="1"/>
  <c r="AG888" i="1"/>
  <c r="AG887" i="1"/>
  <c r="AG886" i="1"/>
  <c r="AG885" i="1"/>
  <c r="AG884" i="1"/>
  <c r="AG883" i="1"/>
  <c r="AG882" i="1"/>
  <c r="AG881" i="1"/>
  <c r="AG880" i="1"/>
  <c r="AG879" i="1"/>
  <c r="AG878" i="1"/>
  <c r="AG877" i="1"/>
  <c r="AG876" i="1"/>
  <c r="AG875" i="1"/>
  <c r="AG874" i="1"/>
  <c r="AG873" i="1"/>
  <c r="AG872" i="1"/>
  <c r="AG871" i="1"/>
  <c r="AG870" i="1"/>
  <c r="AG869" i="1"/>
  <c r="AG868" i="1"/>
  <c r="AG867" i="1"/>
  <c r="AG866" i="1"/>
  <c r="AG865" i="1"/>
  <c r="AG864" i="1"/>
  <c r="AG863" i="1"/>
  <c r="AG862" i="1"/>
  <c r="AG861" i="1"/>
  <c r="AG860" i="1"/>
  <c r="AG859" i="1"/>
  <c r="AG858" i="1"/>
  <c r="AG857" i="1"/>
  <c r="AG856" i="1"/>
  <c r="AG855" i="1"/>
  <c r="AG854" i="1"/>
  <c r="AG853" i="1"/>
  <c r="AG852" i="1"/>
  <c r="AG851" i="1"/>
  <c r="AG850" i="1"/>
  <c r="AG849" i="1"/>
  <c r="AG848" i="1"/>
  <c r="AG847" i="1"/>
  <c r="AG846" i="1"/>
  <c r="AG845" i="1"/>
  <c r="AG844" i="1"/>
  <c r="AG843" i="1"/>
  <c r="AG842" i="1"/>
  <c r="AG841" i="1"/>
  <c r="AG840" i="1"/>
  <c r="AG839" i="1"/>
  <c r="AG838" i="1"/>
  <c r="AG837" i="1"/>
  <c r="AG836" i="1"/>
  <c r="AG835" i="1"/>
  <c r="AG834" i="1"/>
  <c r="AG833" i="1"/>
  <c r="AG832" i="1"/>
  <c r="AG831" i="1"/>
  <c r="AG830" i="1"/>
  <c r="AG829" i="1"/>
  <c r="AG828" i="1"/>
  <c r="AG827" i="1"/>
  <c r="AG826" i="1"/>
  <c r="AG825" i="1"/>
  <c r="AG824" i="1"/>
  <c r="AG823" i="1"/>
  <c r="AG822" i="1"/>
  <c r="AG821" i="1"/>
  <c r="AG820" i="1"/>
  <c r="AG819" i="1"/>
  <c r="AG818" i="1"/>
  <c r="AG817" i="1"/>
  <c r="AG816" i="1"/>
  <c r="AG815" i="1"/>
  <c r="AG814" i="1"/>
  <c r="AG813" i="1"/>
  <c r="AG812" i="1"/>
  <c r="AG811" i="1"/>
  <c r="AG810" i="1"/>
  <c r="AG809" i="1"/>
  <c r="AG808" i="1"/>
  <c r="AG807" i="1"/>
  <c r="AG806" i="1"/>
  <c r="AG805" i="1"/>
  <c r="AG804" i="1"/>
  <c r="AG803" i="1"/>
  <c r="AG802" i="1"/>
  <c r="AG801" i="1"/>
  <c r="AG800" i="1"/>
  <c r="AG799" i="1"/>
  <c r="AG798" i="1"/>
  <c r="AG797" i="1"/>
  <c r="AG796" i="1"/>
  <c r="AG795" i="1"/>
  <c r="AG794" i="1"/>
  <c r="AG793" i="1"/>
  <c r="AG792" i="1"/>
  <c r="AG791" i="1"/>
  <c r="AG790" i="1"/>
  <c r="AG789" i="1"/>
  <c r="AG788" i="1"/>
  <c r="AG787" i="1"/>
  <c r="AG786" i="1"/>
  <c r="AG785" i="1"/>
  <c r="AG784" i="1"/>
  <c r="AG783" i="1"/>
  <c r="AG782" i="1"/>
  <c r="AG781" i="1"/>
  <c r="AG780" i="1"/>
  <c r="AG779" i="1"/>
  <c r="AG778" i="1"/>
  <c r="AG777" i="1"/>
  <c r="AG776" i="1"/>
  <c r="AG775" i="1"/>
  <c r="AG774" i="1"/>
  <c r="AG773" i="1"/>
  <c r="AG772" i="1"/>
  <c r="AG771" i="1"/>
  <c r="AG770" i="1"/>
  <c r="AG769" i="1"/>
  <c r="AG768" i="1"/>
  <c r="AG767" i="1"/>
  <c r="AG766" i="1"/>
  <c r="AG765" i="1"/>
  <c r="AG764" i="1"/>
  <c r="AG763" i="1"/>
  <c r="AG762" i="1"/>
  <c r="AG761" i="1"/>
  <c r="AG760" i="1"/>
  <c r="AG759" i="1"/>
  <c r="AG758" i="1"/>
  <c r="AG757" i="1"/>
  <c r="AG756" i="1"/>
  <c r="AG755" i="1"/>
  <c r="AG754" i="1"/>
  <c r="AG753" i="1"/>
  <c r="AG752" i="1"/>
  <c r="AG751" i="1"/>
  <c r="AG750" i="1"/>
  <c r="AG749" i="1"/>
  <c r="AG748" i="1"/>
  <c r="AG747" i="1"/>
  <c r="AG746" i="1"/>
  <c r="AG745" i="1"/>
  <c r="AG744" i="1"/>
  <c r="AG743" i="1"/>
  <c r="AG742" i="1"/>
  <c r="AG741" i="1"/>
  <c r="AG740" i="1"/>
  <c r="AG739" i="1"/>
  <c r="AG738" i="1"/>
  <c r="AG737" i="1"/>
  <c r="AG736" i="1"/>
  <c r="AG735" i="1"/>
  <c r="AG734" i="1"/>
  <c r="AG733" i="1"/>
  <c r="AG732" i="1"/>
  <c r="AG731" i="1"/>
  <c r="AG730" i="1"/>
  <c r="AG729" i="1"/>
  <c r="AG728" i="1"/>
  <c r="AG727" i="1"/>
  <c r="AG726" i="1"/>
  <c r="AG725" i="1"/>
  <c r="AG724" i="1"/>
  <c r="AG723" i="1"/>
  <c r="AG722" i="1"/>
  <c r="AG721" i="1"/>
  <c r="AG720" i="1"/>
  <c r="AG719" i="1"/>
  <c r="AG718" i="1"/>
  <c r="AG717" i="1"/>
  <c r="AG716" i="1"/>
  <c r="AG715" i="1"/>
  <c r="AG714" i="1"/>
  <c r="AG713" i="1"/>
  <c r="AG712" i="1"/>
  <c r="AG711" i="1"/>
  <c r="AG710" i="1"/>
  <c r="AG709" i="1"/>
  <c r="AG708" i="1"/>
  <c r="AG707" i="1"/>
  <c r="AG706" i="1"/>
  <c r="AG705" i="1"/>
  <c r="AG704" i="1"/>
  <c r="AG703" i="1"/>
  <c r="AG702" i="1"/>
  <c r="AG701" i="1"/>
  <c r="AG700" i="1"/>
  <c r="AG699" i="1"/>
  <c r="AG698" i="1"/>
  <c r="AG697" i="1"/>
  <c r="AG696" i="1"/>
  <c r="AG695" i="1"/>
  <c r="AG694" i="1"/>
  <c r="AG693" i="1"/>
  <c r="AG692" i="1"/>
  <c r="AG691" i="1"/>
  <c r="AG690" i="1"/>
  <c r="AG689" i="1"/>
  <c r="AG688" i="1"/>
  <c r="AG687" i="1"/>
  <c r="AG686" i="1"/>
  <c r="AG685" i="1"/>
  <c r="AG684" i="1"/>
  <c r="AG683" i="1"/>
  <c r="AG682" i="1"/>
  <c r="AG681" i="1"/>
  <c r="AG680" i="1"/>
  <c r="AG679" i="1"/>
  <c r="AG678" i="1"/>
  <c r="AG677" i="1"/>
  <c r="AG676" i="1"/>
  <c r="AG675" i="1"/>
  <c r="AG674" i="1"/>
  <c r="AG673" i="1"/>
  <c r="AG672" i="1"/>
  <c r="AG671" i="1"/>
  <c r="AG670" i="1"/>
  <c r="AG669" i="1"/>
  <c r="AG668" i="1"/>
  <c r="AG667" i="1"/>
  <c r="AG666" i="1"/>
  <c r="AG665" i="1"/>
  <c r="AG664" i="1"/>
  <c r="AG663" i="1"/>
  <c r="AG662" i="1"/>
  <c r="AG661" i="1"/>
  <c r="AG660" i="1"/>
  <c r="AG659" i="1"/>
  <c r="AG658" i="1"/>
  <c r="AG657" i="1"/>
  <c r="AG656" i="1"/>
  <c r="AG655" i="1"/>
  <c r="AG654" i="1"/>
  <c r="AG653" i="1"/>
  <c r="AG652" i="1"/>
  <c r="AG651" i="1"/>
  <c r="AG650" i="1"/>
  <c r="AG649" i="1"/>
  <c r="AG648" i="1"/>
  <c r="AG647" i="1"/>
  <c r="AG646" i="1"/>
  <c r="AG645" i="1"/>
  <c r="AG644" i="1"/>
  <c r="AG643" i="1"/>
  <c r="AG642" i="1"/>
  <c r="AG641" i="1"/>
  <c r="AG640" i="1"/>
  <c r="AG639" i="1"/>
  <c r="AG638" i="1"/>
  <c r="AG637" i="1"/>
  <c r="AG636" i="1"/>
  <c r="AG635" i="1"/>
  <c r="AG634" i="1"/>
  <c r="AG633" i="1"/>
  <c r="AG632" i="1"/>
  <c r="AG631" i="1"/>
  <c r="AG630" i="1"/>
  <c r="AG629" i="1"/>
  <c r="AG628" i="1"/>
  <c r="AG627" i="1"/>
  <c r="AG626" i="1"/>
  <c r="AG625" i="1"/>
  <c r="AG624" i="1"/>
  <c r="AG623" i="1"/>
  <c r="AG622" i="1"/>
  <c r="AG621" i="1"/>
  <c r="AG620" i="1"/>
  <c r="AG619" i="1"/>
  <c r="AG618" i="1"/>
  <c r="AG617" i="1"/>
  <c r="AG616" i="1"/>
  <c r="AG615" i="1"/>
  <c r="AG614" i="1"/>
  <c r="AG613" i="1"/>
  <c r="AG612" i="1"/>
  <c r="AG611" i="1"/>
  <c r="AG610" i="1"/>
  <c r="AG609" i="1"/>
  <c r="AG608" i="1"/>
  <c r="AG607" i="1"/>
  <c r="AG606" i="1"/>
  <c r="AG605" i="1"/>
  <c r="AG604" i="1"/>
  <c r="AG603" i="1"/>
  <c r="AG602" i="1"/>
  <c r="AG601" i="1"/>
  <c r="AG600" i="1"/>
  <c r="AG599" i="1"/>
  <c r="AG598" i="1"/>
  <c r="AG597" i="1"/>
  <c r="AG596" i="1"/>
  <c r="AG595" i="1"/>
  <c r="AG594" i="1"/>
  <c r="AG593" i="1"/>
  <c r="AG592" i="1"/>
  <c r="AG591" i="1"/>
  <c r="AG590" i="1"/>
  <c r="AG589" i="1"/>
  <c r="AG588" i="1"/>
  <c r="AG587" i="1"/>
  <c r="AG586" i="1"/>
  <c r="AG585" i="1"/>
  <c r="AG584" i="1"/>
  <c r="AG583" i="1"/>
  <c r="AG582" i="1"/>
  <c r="AG581" i="1"/>
  <c r="AG580" i="1"/>
  <c r="AG579" i="1"/>
  <c r="AG578" i="1"/>
  <c r="AG577" i="1"/>
  <c r="AG576" i="1"/>
  <c r="AG575" i="1"/>
  <c r="AG574" i="1"/>
  <c r="AG573" i="1"/>
  <c r="AG572" i="1"/>
  <c r="AG571" i="1"/>
  <c r="AG570" i="1"/>
  <c r="AG569" i="1"/>
  <c r="AG568" i="1"/>
  <c r="AG567" i="1"/>
  <c r="AG566" i="1"/>
  <c r="AG565" i="1"/>
  <c r="AG564" i="1"/>
  <c r="AG563" i="1"/>
  <c r="AG562" i="1"/>
  <c r="AG561" i="1"/>
  <c r="AG560" i="1"/>
  <c r="AG559" i="1"/>
  <c r="AG558" i="1"/>
  <c r="AG557" i="1"/>
  <c r="AG556" i="1"/>
  <c r="AG555" i="1"/>
  <c r="AG554" i="1"/>
  <c r="AG553" i="1"/>
  <c r="AG552" i="1"/>
  <c r="AG551" i="1"/>
  <c r="AG550" i="1"/>
  <c r="AG549" i="1"/>
  <c r="AG548" i="1"/>
  <c r="AG547" i="1"/>
  <c r="AG546" i="1"/>
  <c r="AG545" i="1"/>
  <c r="AG544" i="1"/>
  <c r="AG543" i="1"/>
  <c r="AG542" i="1"/>
  <c r="AG541" i="1"/>
  <c r="AG540" i="1"/>
  <c r="AG539" i="1"/>
  <c r="AG538" i="1"/>
  <c r="AG537" i="1"/>
  <c r="AG536" i="1"/>
  <c r="AG535" i="1"/>
  <c r="AG534" i="1"/>
  <c r="AG533" i="1"/>
  <c r="AG532" i="1"/>
  <c r="AG531" i="1"/>
  <c r="AG530" i="1"/>
  <c r="AG529" i="1"/>
  <c r="AG528" i="1"/>
  <c r="AG527" i="1"/>
  <c r="AG526" i="1"/>
  <c r="AG525" i="1"/>
  <c r="AG524" i="1"/>
  <c r="AG523" i="1"/>
  <c r="AG522" i="1"/>
  <c r="AG521" i="1"/>
  <c r="AG520" i="1"/>
  <c r="AG519" i="1"/>
  <c r="AG518" i="1"/>
  <c r="AG517" i="1"/>
  <c r="AG516" i="1"/>
  <c r="AG515" i="1"/>
  <c r="AG514" i="1"/>
  <c r="AG513" i="1"/>
  <c r="AG512" i="1"/>
  <c r="AG511" i="1"/>
  <c r="AG510" i="1"/>
  <c r="AG509" i="1"/>
  <c r="AG508" i="1"/>
  <c r="AG507" i="1"/>
  <c r="AG506" i="1"/>
  <c r="AG505" i="1"/>
  <c r="AG504" i="1"/>
  <c r="AG503" i="1"/>
  <c r="AG502" i="1"/>
  <c r="AG501" i="1"/>
  <c r="AG500" i="1"/>
  <c r="AG499" i="1"/>
  <c r="AG498" i="1"/>
  <c r="AG497" i="1"/>
  <c r="AG496" i="1"/>
  <c r="AG495" i="1"/>
  <c r="AG494" i="1"/>
  <c r="AG493" i="1"/>
  <c r="AG492" i="1"/>
  <c r="AG491" i="1"/>
  <c r="AG490" i="1"/>
  <c r="AG489" i="1"/>
  <c r="AG488" i="1"/>
  <c r="AG487" i="1"/>
  <c r="AG486" i="1"/>
  <c r="AG485" i="1"/>
  <c r="AG484" i="1"/>
  <c r="AG483" i="1"/>
  <c r="AG482" i="1"/>
  <c r="AG481" i="1"/>
  <c r="AG480" i="1"/>
  <c r="AG479" i="1"/>
  <c r="AG478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6" i="1"/>
  <c r="AG435" i="1"/>
  <c r="AG434" i="1"/>
  <c r="AG433" i="1"/>
  <c r="AG432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5" i="1"/>
  <c r="AG414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22" i="1"/>
  <c r="AG321" i="1"/>
  <c r="AG320" i="1"/>
  <c r="AG319" i="1"/>
  <c r="AG318" i="1"/>
  <c r="AG317" i="1"/>
  <c r="AG316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AG2" i="1"/>
  <c r="O1362" i="1"/>
  <c r="U1362" i="1"/>
  <c r="V1362" i="1"/>
  <c r="W1362" i="1" s="1"/>
  <c r="AA1362" i="1"/>
  <c r="AD1362" i="1"/>
  <c r="AD1367" i="1"/>
  <c r="AE1367" i="1" s="1"/>
  <c r="AD1366" i="1"/>
  <c r="AE1366" i="1" s="1"/>
  <c r="AD1365" i="1"/>
  <c r="AE1365" i="1"/>
  <c r="AD1364" i="1"/>
  <c r="AE1364" i="1" s="1"/>
  <c r="AD1363" i="1"/>
  <c r="AE1363" i="1"/>
  <c r="AE1362" i="1"/>
  <c r="AD1361" i="1"/>
  <c r="AE1361" i="1"/>
  <c r="AD1360" i="1"/>
  <c r="AE1360" i="1"/>
  <c r="AD1359" i="1"/>
  <c r="AE1359" i="1"/>
  <c r="AD1358" i="1"/>
  <c r="AE1358" i="1"/>
  <c r="AD1357" i="1"/>
  <c r="AE1357" i="1"/>
  <c r="AD1356" i="1"/>
  <c r="AE1356" i="1"/>
  <c r="AD1355" i="1"/>
  <c r="AE1355" i="1"/>
  <c r="AD1354" i="1"/>
  <c r="AE1354" i="1"/>
  <c r="AD1353" i="1"/>
  <c r="AE1353" i="1"/>
  <c r="AD1352" i="1"/>
  <c r="AE1352" i="1"/>
  <c r="AD1351" i="1"/>
  <c r="AE1351" i="1"/>
  <c r="AD1350" i="1"/>
  <c r="AE1350" i="1"/>
  <c r="AD1349" i="1"/>
  <c r="AE1349" i="1"/>
  <c r="AD1348" i="1"/>
  <c r="AE1348" i="1"/>
  <c r="AD1347" i="1"/>
  <c r="AE1347" i="1"/>
  <c r="AD1346" i="1"/>
  <c r="AE1346" i="1"/>
  <c r="AD1345" i="1"/>
  <c r="AE1345" i="1"/>
  <c r="AD1344" i="1"/>
  <c r="AE1344" i="1"/>
  <c r="AD1343" i="1"/>
  <c r="AE1343" i="1"/>
  <c r="AD1342" i="1"/>
  <c r="AE1342" i="1"/>
  <c r="AD1341" i="1"/>
  <c r="AE1341" i="1"/>
  <c r="AD1340" i="1"/>
  <c r="AE1340" i="1"/>
  <c r="AD1339" i="1"/>
  <c r="AE1339" i="1"/>
  <c r="AD1338" i="1"/>
  <c r="AE1338" i="1"/>
  <c r="AD1337" i="1"/>
  <c r="AE1337" i="1"/>
  <c r="AD1336" i="1"/>
  <c r="AE1336" i="1"/>
  <c r="AD1335" i="1"/>
  <c r="AE1335" i="1"/>
  <c r="AD1334" i="1"/>
  <c r="AE1334" i="1"/>
  <c r="AD1333" i="1"/>
  <c r="AE1333" i="1"/>
  <c r="AD1332" i="1"/>
  <c r="AE1332" i="1"/>
  <c r="AD1331" i="1"/>
  <c r="AE1331" i="1"/>
  <c r="AD1330" i="1"/>
  <c r="AE1330" i="1"/>
  <c r="AD1329" i="1"/>
  <c r="AE1329" i="1"/>
  <c r="AD1328" i="1"/>
  <c r="AE1328" i="1"/>
  <c r="AD1327" i="1"/>
  <c r="AE1327" i="1"/>
  <c r="AD1326" i="1"/>
  <c r="AE1326" i="1"/>
  <c r="AD1325" i="1"/>
  <c r="AE1325" i="1"/>
  <c r="AD1324" i="1"/>
  <c r="AE1324" i="1"/>
  <c r="AD1323" i="1"/>
  <c r="AE1323" i="1"/>
  <c r="AD1322" i="1"/>
  <c r="AE1322" i="1"/>
  <c r="AD1321" i="1"/>
  <c r="AE1321" i="1"/>
  <c r="AD1320" i="1"/>
  <c r="AE1320" i="1"/>
  <c r="AD1319" i="1"/>
  <c r="AE1319" i="1"/>
  <c r="AD1318" i="1"/>
  <c r="AE1318" i="1"/>
  <c r="AD1317" i="1"/>
  <c r="AE1317" i="1"/>
  <c r="AD1316" i="1"/>
  <c r="AE1316" i="1"/>
  <c r="AD1315" i="1"/>
  <c r="AE1315" i="1"/>
  <c r="AD1314" i="1"/>
  <c r="AE1314" i="1"/>
  <c r="AD1313" i="1"/>
  <c r="AE1313" i="1"/>
  <c r="AD1312" i="1"/>
  <c r="AE1312" i="1"/>
  <c r="AD1311" i="1"/>
  <c r="AE1311" i="1"/>
  <c r="AD1310" i="1"/>
  <c r="AE1310" i="1"/>
  <c r="AD1309" i="1"/>
  <c r="AE1309" i="1"/>
  <c r="AD1308" i="1"/>
  <c r="AE1308" i="1"/>
  <c r="AD1307" i="1"/>
  <c r="AE1307" i="1"/>
  <c r="AD1305" i="1"/>
  <c r="AE1305" i="1" s="1"/>
  <c r="AD1304" i="1"/>
  <c r="AE1304" i="1"/>
  <c r="AD1303" i="1"/>
  <c r="AE1303" i="1" s="1"/>
  <c r="AD1302" i="1"/>
  <c r="AE1302" i="1" s="1"/>
  <c r="AD1301" i="1"/>
  <c r="AE1301" i="1" s="1"/>
  <c r="AD1300" i="1"/>
  <c r="AE1300" i="1"/>
  <c r="AD1299" i="1"/>
  <c r="AE1299" i="1" s="1"/>
  <c r="AD1298" i="1"/>
  <c r="AE1298" i="1"/>
  <c r="AD1297" i="1"/>
  <c r="AE1297" i="1" s="1"/>
  <c r="AD1296" i="1"/>
  <c r="AE1296" i="1" s="1"/>
  <c r="AD1295" i="1"/>
  <c r="AE1295" i="1" s="1"/>
  <c r="AD1294" i="1"/>
  <c r="AE1294" i="1" s="1"/>
  <c r="AD1293" i="1"/>
  <c r="AE1293" i="1" s="1"/>
  <c r="AD1292" i="1"/>
  <c r="AE1292" i="1"/>
  <c r="AD1291" i="1"/>
  <c r="AE1291" i="1" s="1"/>
  <c r="AD1290" i="1"/>
  <c r="AE1290" i="1"/>
  <c r="AD1289" i="1"/>
  <c r="AE1289" i="1" s="1"/>
  <c r="AD1288" i="1"/>
  <c r="AE1288" i="1"/>
  <c r="AD1287" i="1"/>
  <c r="AE1287" i="1" s="1"/>
  <c r="AD1286" i="1"/>
  <c r="AE1286" i="1" s="1"/>
  <c r="AD1285" i="1"/>
  <c r="AE1285" i="1" s="1"/>
  <c r="AD1284" i="1"/>
  <c r="AE1284" i="1"/>
  <c r="AD1283" i="1"/>
  <c r="AE1283" i="1" s="1"/>
  <c r="AD1282" i="1"/>
  <c r="AE1282" i="1"/>
  <c r="AD1281" i="1"/>
  <c r="AE1281" i="1" s="1"/>
  <c r="AD1280" i="1"/>
  <c r="AE1280" i="1" s="1"/>
  <c r="AD1279" i="1"/>
  <c r="AE1279" i="1" s="1"/>
  <c r="AD1278" i="1"/>
  <c r="AE1278" i="1" s="1"/>
  <c r="AD1277" i="1"/>
  <c r="AE1277" i="1" s="1"/>
  <c r="AD1276" i="1"/>
  <c r="AE1276" i="1"/>
  <c r="AD1275" i="1"/>
  <c r="AE1275" i="1" s="1"/>
  <c r="AD1274" i="1"/>
  <c r="AE1274" i="1"/>
  <c r="AD1273" i="1"/>
  <c r="AE1273" i="1" s="1"/>
  <c r="AD1272" i="1"/>
  <c r="AE1272" i="1"/>
  <c r="AD1271" i="1"/>
  <c r="AE1271" i="1" s="1"/>
  <c r="AD1270" i="1"/>
  <c r="AE1270" i="1" s="1"/>
  <c r="AD1269" i="1"/>
  <c r="AE1269" i="1" s="1"/>
  <c r="AD1268" i="1"/>
  <c r="AE1268" i="1"/>
  <c r="AD1267" i="1"/>
  <c r="AE1267" i="1" s="1"/>
  <c r="AD1265" i="1"/>
  <c r="AE1265" i="1"/>
  <c r="AD1264" i="1"/>
  <c r="AE1264" i="1"/>
  <c r="AD1263" i="1"/>
  <c r="AE1263" i="1"/>
  <c r="AD1262" i="1"/>
  <c r="AE1262" i="1"/>
  <c r="AD1261" i="1"/>
  <c r="AE1261" i="1"/>
  <c r="AD1260" i="1"/>
  <c r="AE1260" i="1"/>
  <c r="AD1259" i="1"/>
  <c r="AE1259" i="1"/>
  <c r="AD1258" i="1"/>
  <c r="AE1258" i="1"/>
  <c r="AD1257" i="1"/>
  <c r="AE1257" i="1"/>
  <c r="AD1256" i="1"/>
  <c r="AE1256" i="1"/>
  <c r="AD1255" i="1"/>
  <c r="AE1255" i="1"/>
  <c r="AD1254" i="1"/>
  <c r="AE1254" i="1"/>
  <c r="AD1253" i="1"/>
  <c r="AE1253" i="1"/>
  <c r="AD1252" i="1"/>
  <c r="AE1252" i="1"/>
  <c r="AD1251" i="1"/>
  <c r="AE1251" i="1"/>
  <c r="AD1250" i="1"/>
  <c r="AE1250" i="1"/>
  <c r="AD1249" i="1"/>
  <c r="AE1249" i="1"/>
  <c r="AD1248" i="1"/>
  <c r="AE1248" i="1"/>
  <c r="AD1247" i="1"/>
  <c r="AE1247" i="1"/>
  <c r="AD1246" i="1"/>
  <c r="AE1246" i="1"/>
  <c r="AD1245" i="1"/>
  <c r="AE1245" i="1"/>
  <c r="AD1244" i="1"/>
  <c r="AE1244" i="1"/>
  <c r="AD1243" i="1"/>
  <c r="AE1243" i="1"/>
  <c r="AD1242" i="1"/>
  <c r="AE1242" i="1"/>
  <c r="AD1241" i="1"/>
  <c r="AE1241" i="1"/>
  <c r="AD1240" i="1"/>
  <c r="AE1240" i="1"/>
  <c r="AD1239" i="1"/>
  <c r="AE1239" i="1"/>
  <c r="AD1238" i="1"/>
  <c r="AE1238" i="1"/>
  <c r="AD1237" i="1"/>
  <c r="AE1237" i="1"/>
  <c r="AD1236" i="1"/>
  <c r="AE1236" i="1"/>
  <c r="AD1235" i="1"/>
  <c r="AE1235" i="1"/>
  <c r="AD1234" i="1"/>
  <c r="AE1234" i="1"/>
  <c r="AD1233" i="1"/>
  <c r="AE1233" i="1"/>
  <c r="AD1232" i="1"/>
  <c r="AE1232" i="1"/>
  <c r="AD1231" i="1"/>
  <c r="AE1231" i="1"/>
  <c r="AD1230" i="1"/>
  <c r="AE1230" i="1"/>
  <c r="AD1229" i="1"/>
  <c r="AE1229" i="1"/>
  <c r="AD1228" i="1"/>
  <c r="AE1228" i="1"/>
  <c r="AD1227" i="1"/>
  <c r="AE1227" i="1"/>
  <c r="AD1226" i="1"/>
  <c r="AE1226" i="1"/>
  <c r="AD1225" i="1"/>
  <c r="AE1225" i="1"/>
  <c r="AD1224" i="1"/>
  <c r="AE1224" i="1"/>
  <c r="AD1223" i="1"/>
  <c r="AE1223" i="1"/>
  <c r="AD1222" i="1"/>
  <c r="AE1222" i="1"/>
  <c r="AD1221" i="1"/>
  <c r="AE1221" i="1"/>
  <c r="AD1220" i="1"/>
  <c r="AE1220" i="1"/>
  <c r="AD1219" i="1"/>
  <c r="AE1219" i="1"/>
  <c r="AD1218" i="1"/>
  <c r="AE1218" i="1"/>
  <c r="AD1217" i="1"/>
  <c r="AE1217" i="1"/>
  <c r="AD1216" i="1"/>
  <c r="AE1216" i="1"/>
  <c r="AD1215" i="1"/>
  <c r="AE1215" i="1"/>
  <c r="AD1214" i="1"/>
  <c r="AE1214" i="1"/>
  <c r="AD1213" i="1"/>
  <c r="AE1213" i="1"/>
  <c r="AD1212" i="1"/>
  <c r="AE1212" i="1"/>
  <c r="AD1211" i="1"/>
  <c r="AE1211" i="1"/>
  <c r="AD1210" i="1"/>
  <c r="AE1210" i="1"/>
  <c r="AD1209" i="1"/>
  <c r="AE1209" i="1"/>
  <c r="AD1208" i="1"/>
  <c r="AE1208" i="1"/>
  <c r="AD1207" i="1"/>
  <c r="AE1207" i="1"/>
  <c r="AD1206" i="1"/>
  <c r="AE1206" i="1"/>
  <c r="AD1205" i="1"/>
  <c r="AE1205" i="1"/>
  <c r="AD1204" i="1"/>
  <c r="AE1204" i="1"/>
  <c r="AD1203" i="1"/>
  <c r="AE1203" i="1"/>
  <c r="AD1202" i="1"/>
  <c r="AE1202" i="1"/>
  <c r="AD1201" i="1"/>
  <c r="AE1201" i="1"/>
  <c r="AD1200" i="1"/>
  <c r="AE1200" i="1"/>
  <c r="AD1199" i="1"/>
  <c r="AE1199" i="1"/>
  <c r="AD1198" i="1"/>
  <c r="AE1198" i="1"/>
  <c r="AD1197" i="1"/>
  <c r="AE1197" i="1"/>
  <c r="AD1196" i="1"/>
  <c r="AE1196" i="1"/>
  <c r="AD1195" i="1"/>
  <c r="AE1195" i="1"/>
  <c r="AD1194" i="1"/>
  <c r="AE1194" i="1"/>
  <c r="AD1193" i="1"/>
  <c r="AE1193" i="1"/>
  <c r="AD1192" i="1"/>
  <c r="AE1192" i="1"/>
  <c r="AD1191" i="1"/>
  <c r="AE1191" i="1"/>
  <c r="AD1190" i="1"/>
  <c r="AE1190" i="1"/>
  <c r="AD1189" i="1"/>
  <c r="AE1189" i="1"/>
  <c r="AD1188" i="1"/>
  <c r="AE1188" i="1"/>
  <c r="AD1187" i="1"/>
  <c r="AE1187" i="1"/>
  <c r="AD1186" i="1"/>
  <c r="AE1186" i="1"/>
  <c r="AD1185" i="1"/>
  <c r="AE1185" i="1"/>
  <c r="AD1184" i="1"/>
  <c r="AE1184" i="1"/>
  <c r="AD1183" i="1"/>
  <c r="AE1183" i="1"/>
  <c r="AD1182" i="1"/>
  <c r="AE1182" i="1"/>
  <c r="AD1181" i="1"/>
  <c r="AE1181" i="1"/>
  <c r="AD1180" i="1"/>
  <c r="AE1180" i="1"/>
  <c r="AD1179" i="1"/>
  <c r="AE1179" i="1"/>
  <c r="AD1178" i="1"/>
  <c r="AE1178" i="1"/>
  <c r="AD1177" i="1"/>
  <c r="AE1177" i="1"/>
  <c r="AD1176" i="1"/>
  <c r="AE1176" i="1"/>
  <c r="AD1175" i="1"/>
  <c r="AE1175" i="1"/>
  <c r="AD1174" i="1"/>
  <c r="AE1174" i="1"/>
  <c r="AD1173" i="1"/>
  <c r="AE1173" i="1"/>
  <c r="AD1172" i="1"/>
  <c r="AE1172" i="1"/>
  <c r="AD1171" i="1"/>
  <c r="AE1171" i="1"/>
  <c r="AD1170" i="1"/>
  <c r="AE1170" i="1"/>
  <c r="AD1169" i="1"/>
  <c r="AE1169" i="1"/>
  <c r="AD1168" i="1"/>
  <c r="AE1168" i="1"/>
  <c r="AD1167" i="1"/>
  <c r="AE1167" i="1"/>
  <c r="AD1166" i="1"/>
  <c r="AE1166" i="1"/>
  <c r="AD1165" i="1"/>
  <c r="AE1165" i="1"/>
  <c r="AD1164" i="1"/>
  <c r="AE1164" i="1"/>
  <c r="AD1163" i="1"/>
  <c r="AE1163" i="1"/>
  <c r="AD1162" i="1"/>
  <c r="AE1162" i="1"/>
  <c r="AD1161" i="1"/>
  <c r="AE1161" i="1"/>
  <c r="AD1160" i="1"/>
  <c r="AE1160" i="1"/>
  <c r="AD1159" i="1"/>
  <c r="AE1159" i="1"/>
  <c r="AD1158" i="1"/>
  <c r="AE1158" i="1"/>
  <c r="AD1157" i="1"/>
  <c r="AE1157" i="1"/>
  <c r="AD1156" i="1"/>
  <c r="AE1156" i="1"/>
  <c r="AD1155" i="1"/>
  <c r="AE1155" i="1"/>
  <c r="AD1154" i="1"/>
  <c r="AE1154" i="1"/>
  <c r="AD1153" i="1"/>
  <c r="AE1153" i="1"/>
  <c r="AD1152" i="1"/>
  <c r="AE1152" i="1"/>
  <c r="AD1151" i="1"/>
  <c r="AE1151" i="1"/>
  <c r="AD1150" i="1"/>
  <c r="AE1150" i="1"/>
  <c r="AD1149" i="1"/>
  <c r="AE1149" i="1"/>
  <c r="AD1148" i="1"/>
  <c r="AE1148" i="1"/>
  <c r="AD1147" i="1"/>
  <c r="AE1147" i="1"/>
  <c r="AD1146" i="1"/>
  <c r="AE1146" i="1"/>
  <c r="AD1145" i="1"/>
  <c r="AE1145" i="1"/>
  <c r="AD1144" i="1"/>
  <c r="AE1144" i="1"/>
  <c r="AD1143" i="1"/>
  <c r="AE1143" i="1"/>
  <c r="AD1142" i="1"/>
  <c r="AE1142" i="1"/>
  <c r="AD1141" i="1"/>
  <c r="AE1141" i="1"/>
  <c r="AD1140" i="1"/>
  <c r="AE1140" i="1"/>
  <c r="AD1139" i="1"/>
  <c r="AE1139" i="1"/>
  <c r="AD1138" i="1"/>
  <c r="AE1138" i="1"/>
  <c r="AD1137" i="1"/>
  <c r="AE1137" i="1"/>
  <c r="AD1136" i="1"/>
  <c r="AE1136" i="1"/>
  <c r="AD1135" i="1"/>
  <c r="AE1135" i="1"/>
  <c r="AD1134" i="1"/>
  <c r="AE1134" i="1"/>
  <c r="AD1133" i="1"/>
  <c r="AE1133" i="1"/>
  <c r="AD1132" i="1"/>
  <c r="AE1132" i="1"/>
  <c r="AD1131" i="1"/>
  <c r="AE1131" i="1"/>
  <c r="AD1130" i="1"/>
  <c r="AE1130" i="1"/>
  <c r="AD1129" i="1"/>
  <c r="AE1129" i="1"/>
  <c r="AD1128" i="1"/>
  <c r="AE1128" i="1"/>
  <c r="AD1127" i="1"/>
  <c r="AE1127" i="1"/>
  <c r="AD1126" i="1"/>
  <c r="AE1126" i="1"/>
  <c r="AD1125" i="1"/>
  <c r="AE1125" i="1"/>
  <c r="AD1124" i="1"/>
  <c r="AE1124" i="1"/>
  <c r="AD1123" i="1"/>
  <c r="AE1123" i="1"/>
  <c r="AD1122" i="1"/>
  <c r="AE1122" i="1"/>
  <c r="AD1121" i="1"/>
  <c r="AE1121" i="1"/>
  <c r="AD1119" i="1"/>
  <c r="AE1119" i="1"/>
  <c r="AD1118" i="1"/>
  <c r="AE1118" i="1" s="1"/>
  <c r="AD1117" i="1"/>
  <c r="AE1117" i="1" s="1"/>
  <c r="AD1116" i="1"/>
  <c r="AE1116" i="1" s="1"/>
  <c r="AD1115" i="1"/>
  <c r="AE1115" i="1"/>
  <c r="AD1114" i="1"/>
  <c r="AE1114" i="1" s="1"/>
  <c r="AD1113" i="1"/>
  <c r="AE1113" i="1"/>
  <c r="AD1112" i="1"/>
  <c r="AE1112" i="1" s="1"/>
  <c r="AD1111" i="1"/>
  <c r="AE1111" i="1"/>
  <c r="AD1110" i="1"/>
  <c r="AE1110" i="1" s="1"/>
  <c r="AD1109" i="1"/>
  <c r="AE1109" i="1" s="1"/>
  <c r="AD1108" i="1"/>
  <c r="AE1108" i="1" s="1"/>
  <c r="AD1107" i="1"/>
  <c r="AE1107" i="1"/>
  <c r="AD1106" i="1"/>
  <c r="AE1106" i="1" s="1"/>
  <c r="AD1105" i="1"/>
  <c r="AE1105" i="1"/>
  <c r="AD1104" i="1"/>
  <c r="AE1104" i="1" s="1"/>
  <c r="AD1103" i="1"/>
  <c r="AE1103" i="1"/>
  <c r="AD1102" i="1"/>
  <c r="AE1102" i="1" s="1"/>
  <c r="AD1101" i="1"/>
  <c r="AE1101" i="1" s="1"/>
  <c r="AD1100" i="1"/>
  <c r="AE1100" i="1" s="1"/>
  <c r="AD1099" i="1"/>
  <c r="AE1099" i="1"/>
  <c r="AD1098" i="1"/>
  <c r="AE1098" i="1" s="1"/>
  <c r="AD1097" i="1"/>
  <c r="AE1097" i="1"/>
  <c r="AD1096" i="1"/>
  <c r="AE1096" i="1" s="1"/>
  <c r="AD1095" i="1"/>
  <c r="AE1095" i="1"/>
  <c r="AD1094" i="1"/>
  <c r="AE1094" i="1" s="1"/>
  <c r="AD1093" i="1"/>
  <c r="AE1093" i="1" s="1"/>
  <c r="AD1092" i="1"/>
  <c r="AE1092" i="1" s="1"/>
  <c r="AD1091" i="1"/>
  <c r="AE1091" i="1"/>
  <c r="AD1090" i="1"/>
  <c r="AE1090" i="1" s="1"/>
  <c r="AD1089" i="1"/>
  <c r="AE1089" i="1"/>
  <c r="AD1088" i="1"/>
  <c r="AE1088" i="1" s="1"/>
  <c r="AD1087" i="1"/>
  <c r="AE1087" i="1"/>
  <c r="AD1086" i="1"/>
  <c r="AE1086" i="1" s="1"/>
  <c r="AD1085" i="1"/>
  <c r="AE1085" i="1" s="1"/>
  <c r="AD1084" i="1"/>
  <c r="AE1084" i="1" s="1"/>
  <c r="AD1083" i="1"/>
  <c r="AE1083" i="1"/>
  <c r="AD1082" i="1"/>
  <c r="AE1082" i="1" s="1"/>
  <c r="AD1081" i="1"/>
  <c r="AE1081" i="1"/>
  <c r="AD1080" i="1"/>
  <c r="AE1080" i="1" s="1"/>
  <c r="AD1079" i="1"/>
  <c r="AE1079" i="1"/>
  <c r="AD1078" i="1"/>
  <c r="AE1078" i="1" s="1"/>
  <c r="AD1077" i="1"/>
  <c r="AE1077" i="1" s="1"/>
  <c r="AD1076" i="1"/>
  <c r="AE1076" i="1" s="1"/>
  <c r="AD1075" i="1"/>
  <c r="AE1075" i="1"/>
  <c r="AD1074" i="1"/>
  <c r="AE1074" i="1" s="1"/>
  <c r="AD1073" i="1"/>
  <c r="AE1073" i="1"/>
  <c r="AD1072" i="1"/>
  <c r="AE1072" i="1" s="1"/>
  <c r="AD1071" i="1"/>
  <c r="AE1071" i="1"/>
  <c r="AD1070" i="1"/>
  <c r="AE1070" i="1" s="1"/>
  <c r="AD1069" i="1"/>
  <c r="AE1069" i="1" s="1"/>
  <c r="AD1068" i="1"/>
  <c r="AE1068" i="1" s="1"/>
  <c r="AD1067" i="1"/>
  <c r="AE1067" i="1"/>
  <c r="AD1066" i="1"/>
  <c r="AE1066" i="1" s="1"/>
  <c r="AD1065" i="1"/>
  <c r="AE1065" i="1"/>
  <c r="AD1064" i="1"/>
  <c r="AE1064" i="1" s="1"/>
  <c r="AD1063" i="1"/>
  <c r="AE1063" i="1"/>
  <c r="AD1062" i="1"/>
  <c r="AE1062" i="1" s="1"/>
  <c r="AD1061" i="1"/>
  <c r="AE1061" i="1" s="1"/>
  <c r="AD1060" i="1"/>
  <c r="AE1060" i="1" s="1"/>
  <c r="AD1059" i="1"/>
  <c r="AE1059" i="1"/>
  <c r="AD1058" i="1"/>
  <c r="AE1058" i="1" s="1"/>
  <c r="AD1057" i="1"/>
  <c r="AE1057" i="1"/>
  <c r="AD1056" i="1"/>
  <c r="AE1056" i="1" s="1"/>
  <c r="AD1055" i="1"/>
  <c r="AE1055" i="1"/>
  <c r="AD1054" i="1"/>
  <c r="AE1054" i="1" s="1"/>
  <c r="AD1053" i="1"/>
  <c r="AE1053" i="1" s="1"/>
  <c r="AD1052" i="1"/>
  <c r="AE1052" i="1" s="1"/>
  <c r="AD1051" i="1"/>
  <c r="AE1051" i="1"/>
  <c r="AD1050" i="1"/>
  <c r="AE1050" i="1" s="1"/>
  <c r="AD1049" i="1"/>
  <c r="AE1049" i="1"/>
  <c r="AD1048" i="1"/>
  <c r="AE1048" i="1" s="1"/>
  <c r="AD1047" i="1"/>
  <c r="AE1047" i="1"/>
  <c r="AD1046" i="1"/>
  <c r="AE1046" i="1" s="1"/>
  <c r="AD1045" i="1"/>
  <c r="AE1045" i="1" s="1"/>
  <c r="AD1044" i="1"/>
  <c r="AE1044" i="1" s="1"/>
  <c r="AD1043" i="1"/>
  <c r="AE1043" i="1"/>
  <c r="AD1042" i="1"/>
  <c r="AE1042" i="1" s="1"/>
  <c r="AD1041" i="1"/>
  <c r="AE1041" i="1"/>
  <c r="AD1040" i="1"/>
  <c r="AE1040" i="1" s="1"/>
  <c r="AD1039" i="1"/>
  <c r="AE1039" i="1"/>
  <c r="AD1038" i="1"/>
  <c r="AE1038" i="1" s="1"/>
  <c r="AD1037" i="1"/>
  <c r="AE1037" i="1" s="1"/>
  <c r="AD1036" i="1"/>
  <c r="AE1036" i="1" s="1"/>
  <c r="AD1035" i="1"/>
  <c r="AE1035" i="1"/>
  <c r="AD1034" i="1"/>
  <c r="AE1034" i="1" s="1"/>
  <c r="AD1033" i="1"/>
  <c r="AE1033" i="1"/>
  <c r="AD1032" i="1"/>
  <c r="AE1032" i="1" s="1"/>
  <c r="AD1031" i="1"/>
  <c r="AE1031" i="1"/>
  <c r="AD1030" i="1"/>
  <c r="AE1030" i="1" s="1"/>
  <c r="AD1029" i="1"/>
  <c r="AE1029" i="1" s="1"/>
  <c r="AD1028" i="1"/>
  <c r="AE1028" i="1" s="1"/>
  <c r="AD1027" i="1"/>
  <c r="AE1027" i="1"/>
  <c r="AD1026" i="1"/>
  <c r="AE1026" i="1" s="1"/>
  <c r="AD1025" i="1"/>
  <c r="AE1025" i="1"/>
  <c r="AD1024" i="1"/>
  <c r="AE1024" i="1" s="1"/>
  <c r="AD1023" i="1"/>
  <c r="AE1023" i="1"/>
  <c r="AD1022" i="1"/>
  <c r="AE1022" i="1" s="1"/>
  <c r="AD1021" i="1"/>
  <c r="AE1021" i="1" s="1"/>
  <c r="AD1020" i="1"/>
  <c r="AE1020" i="1" s="1"/>
  <c r="AD1019" i="1"/>
  <c r="AE1019" i="1"/>
  <c r="AD1018" i="1"/>
  <c r="AE1018" i="1" s="1"/>
  <c r="AD1017" i="1"/>
  <c r="AE1017" i="1"/>
  <c r="AD1016" i="1"/>
  <c r="AE1016" i="1" s="1"/>
  <c r="AD1015" i="1"/>
  <c r="AE1015" i="1"/>
  <c r="AD1014" i="1"/>
  <c r="AE1014" i="1" s="1"/>
  <c r="AD1013" i="1"/>
  <c r="AE1013" i="1" s="1"/>
  <c r="AD1012" i="1"/>
  <c r="AE1012" i="1" s="1"/>
  <c r="AD1011" i="1"/>
  <c r="AE1011" i="1"/>
  <c r="AD1010" i="1"/>
  <c r="AE1010" i="1" s="1"/>
  <c r="AD1009" i="1"/>
  <c r="AE1009" i="1"/>
  <c r="AD1008" i="1"/>
  <c r="AE1008" i="1" s="1"/>
  <c r="AD1007" i="1"/>
  <c r="AE1007" i="1"/>
  <c r="AD1006" i="1"/>
  <c r="AE1006" i="1" s="1"/>
  <c r="AD1005" i="1"/>
  <c r="AE1005" i="1" s="1"/>
  <c r="AD1004" i="1"/>
  <c r="AE1004" i="1" s="1"/>
  <c r="AD1003" i="1"/>
  <c r="AE1003" i="1"/>
  <c r="AD1002" i="1"/>
  <c r="AE1002" i="1" s="1"/>
  <c r="AD1001" i="1"/>
  <c r="AE1001" i="1"/>
  <c r="AD1000" i="1"/>
  <c r="AE1000" i="1" s="1"/>
  <c r="AD999" i="1"/>
  <c r="AE999" i="1"/>
  <c r="AD998" i="1"/>
  <c r="AE998" i="1" s="1"/>
  <c r="AD997" i="1"/>
  <c r="AE997" i="1" s="1"/>
  <c r="AD996" i="1"/>
  <c r="AE996" i="1" s="1"/>
  <c r="AD995" i="1"/>
  <c r="AE995" i="1"/>
  <c r="AD994" i="1"/>
  <c r="AE994" i="1" s="1"/>
  <c r="AD993" i="1"/>
  <c r="AE993" i="1"/>
  <c r="AD992" i="1"/>
  <c r="AE992" i="1" s="1"/>
  <c r="AD991" i="1"/>
  <c r="AE991" i="1"/>
  <c r="AD990" i="1"/>
  <c r="AE990" i="1" s="1"/>
  <c r="AD989" i="1"/>
  <c r="AE989" i="1" s="1"/>
  <c r="AD988" i="1"/>
  <c r="AE988" i="1" s="1"/>
  <c r="AD987" i="1"/>
  <c r="AE987" i="1"/>
  <c r="AD986" i="1"/>
  <c r="AE986" i="1" s="1"/>
  <c r="AD985" i="1"/>
  <c r="AE985" i="1"/>
  <c r="AD984" i="1"/>
  <c r="AE984" i="1" s="1"/>
  <c r="AD983" i="1"/>
  <c r="AE983" i="1"/>
  <c r="AD982" i="1"/>
  <c r="AE982" i="1" s="1"/>
  <c r="AD981" i="1"/>
  <c r="AE981" i="1" s="1"/>
  <c r="AD980" i="1"/>
  <c r="AE980" i="1" s="1"/>
  <c r="AD979" i="1"/>
  <c r="AE979" i="1"/>
  <c r="AD978" i="1"/>
  <c r="AE978" i="1" s="1"/>
  <c r="AD977" i="1"/>
  <c r="AE977" i="1"/>
  <c r="AD976" i="1"/>
  <c r="AE976" i="1" s="1"/>
  <c r="AD975" i="1"/>
  <c r="AE975" i="1"/>
  <c r="AD974" i="1"/>
  <c r="AE974" i="1" s="1"/>
  <c r="AD973" i="1"/>
  <c r="AE973" i="1" s="1"/>
  <c r="AD972" i="1"/>
  <c r="AE972" i="1" s="1"/>
  <c r="AD971" i="1"/>
  <c r="AE971" i="1"/>
  <c r="AD970" i="1"/>
  <c r="AE970" i="1" s="1"/>
  <c r="AD969" i="1"/>
  <c r="AE969" i="1"/>
  <c r="AD968" i="1"/>
  <c r="AE968" i="1" s="1"/>
  <c r="AD967" i="1"/>
  <c r="AE967" i="1"/>
  <c r="AD966" i="1"/>
  <c r="AE966" i="1" s="1"/>
  <c r="AD965" i="1"/>
  <c r="AE965" i="1" s="1"/>
  <c r="AD964" i="1"/>
  <c r="AE964" i="1" s="1"/>
  <c r="AD963" i="1"/>
  <c r="AE963" i="1"/>
  <c r="AD962" i="1"/>
  <c r="AE962" i="1" s="1"/>
  <c r="AD961" i="1"/>
  <c r="AE961" i="1"/>
  <c r="AD960" i="1"/>
  <c r="AE960" i="1" s="1"/>
  <c r="AD959" i="1"/>
  <c r="AE959" i="1"/>
  <c r="AD958" i="1"/>
  <c r="AE958" i="1" s="1"/>
  <c r="AD957" i="1"/>
  <c r="AE957" i="1" s="1"/>
  <c r="AD956" i="1"/>
  <c r="AE956" i="1" s="1"/>
  <c r="AD955" i="1"/>
  <c r="AE955" i="1"/>
  <c r="AD954" i="1"/>
  <c r="AE954" i="1" s="1"/>
  <c r="AD953" i="1"/>
  <c r="AE953" i="1"/>
  <c r="AD952" i="1"/>
  <c r="AE952" i="1" s="1"/>
  <c r="AD951" i="1"/>
  <c r="AE951" i="1"/>
  <c r="AD950" i="1"/>
  <c r="AE950" i="1" s="1"/>
  <c r="AD949" i="1"/>
  <c r="AE949" i="1" s="1"/>
  <c r="AD948" i="1"/>
  <c r="AE948" i="1" s="1"/>
  <c r="AD947" i="1"/>
  <c r="AE947" i="1"/>
  <c r="AD946" i="1"/>
  <c r="AE946" i="1" s="1"/>
  <c r="AD945" i="1"/>
  <c r="AE945" i="1"/>
  <c r="AD944" i="1"/>
  <c r="AE944" i="1" s="1"/>
  <c r="AD943" i="1"/>
  <c r="AE943" i="1"/>
  <c r="AD942" i="1"/>
  <c r="AE942" i="1" s="1"/>
  <c r="AD941" i="1"/>
  <c r="AE941" i="1" s="1"/>
  <c r="AD940" i="1"/>
  <c r="AE940" i="1" s="1"/>
  <c r="AD939" i="1"/>
  <c r="AE939" i="1"/>
  <c r="AD938" i="1"/>
  <c r="AE938" i="1" s="1"/>
  <c r="AD937" i="1"/>
  <c r="AE937" i="1"/>
  <c r="AD936" i="1"/>
  <c r="AE936" i="1" s="1"/>
  <c r="AD935" i="1"/>
  <c r="AE935" i="1"/>
  <c r="AD934" i="1"/>
  <c r="AE934" i="1" s="1"/>
  <c r="AD933" i="1"/>
  <c r="AE933" i="1" s="1"/>
  <c r="AD932" i="1"/>
  <c r="AE932" i="1" s="1"/>
  <c r="AD931" i="1"/>
  <c r="AE931" i="1"/>
  <c r="AD930" i="1"/>
  <c r="AE930" i="1" s="1"/>
  <c r="AD929" i="1"/>
  <c r="AE929" i="1"/>
  <c r="AD928" i="1"/>
  <c r="AE928" i="1" s="1"/>
  <c r="AD927" i="1"/>
  <c r="AE927" i="1"/>
  <c r="AD926" i="1"/>
  <c r="AE926" i="1" s="1"/>
  <c r="AD925" i="1"/>
  <c r="AE925" i="1" s="1"/>
  <c r="AD924" i="1"/>
  <c r="AE924" i="1" s="1"/>
  <c r="AD923" i="1"/>
  <c r="AE923" i="1"/>
  <c r="AD922" i="1"/>
  <c r="AE922" i="1" s="1"/>
  <c r="AD921" i="1"/>
  <c r="AE921" i="1"/>
  <c r="AD920" i="1"/>
  <c r="AE920" i="1" s="1"/>
  <c r="AD919" i="1"/>
  <c r="AE919" i="1"/>
  <c r="AD918" i="1"/>
  <c r="AE918" i="1" s="1"/>
  <c r="AD917" i="1"/>
  <c r="AE917" i="1" s="1"/>
  <c r="AD916" i="1"/>
  <c r="AE916" i="1" s="1"/>
  <c r="AD915" i="1"/>
  <c r="AE915" i="1"/>
  <c r="AD914" i="1"/>
  <c r="AE914" i="1" s="1"/>
  <c r="AD913" i="1"/>
  <c r="AE913" i="1"/>
  <c r="AD912" i="1"/>
  <c r="AE912" i="1" s="1"/>
  <c r="AD911" i="1"/>
  <c r="AE911" i="1"/>
  <c r="AD910" i="1"/>
  <c r="AE910" i="1" s="1"/>
  <c r="AD909" i="1"/>
  <c r="AE909" i="1" s="1"/>
  <c r="AD908" i="1"/>
  <c r="AE908" i="1" s="1"/>
  <c r="AD907" i="1"/>
  <c r="AE907" i="1"/>
  <c r="AD906" i="1"/>
  <c r="AE906" i="1" s="1"/>
  <c r="AD905" i="1"/>
  <c r="AE905" i="1"/>
  <c r="AD904" i="1"/>
  <c r="AE904" i="1" s="1"/>
  <c r="AD903" i="1"/>
  <c r="AE903" i="1"/>
  <c r="AD902" i="1"/>
  <c r="AE902" i="1" s="1"/>
  <c r="AD901" i="1"/>
  <c r="AE901" i="1" s="1"/>
  <c r="AD900" i="1"/>
  <c r="AE900" i="1" s="1"/>
  <c r="AD899" i="1"/>
  <c r="AE899" i="1"/>
  <c r="AD898" i="1"/>
  <c r="AE898" i="1" s="1"/>
  <c r="AD897" i="1"/>
  <c r="AE897" i="1"/>
  <c r="AD896" i="1"/>
  <c r="AE896" i="1" s="1"/>
  <c r="AD895" i="1"/>
  <c r="AE895" i="1"/>
  <c r="AD894" i="1"/>
  <c r="AE894" i="1" s="1"/>
  <c r="AD893" i="1"/>
  <c r="AE893" i="1" s="1"/>
  <c r="AD892" i="1"/>
  <c r="AE892" i="1" s="1"/>
  <c r="AD891" i="1"/>
  <c r="AE891" i="1"/>
  <c r="AD890" i="1"/>
  <c r="AE890" i="1" s="1"/>
  <c r="AD889" i="1"/>
  <c r="AE889" i="1"/>
  <c r="AD888" i="1"/>
  <c r="AE888" i="1" s="1"/>
  <c r="AD887" i="1"/>
  <c r="AE887" i="1"/>
  <c r="AD886" i="1"/>
  <c r="AE886" i="1" s="1"/>
  <c r="AD885" i="1"/>
  <c r="AE885" i="1" s="1"/>
  <c r="AD884" i="1"/>
  <c r="AE884" i="1" s="1"/>
  <c r="AD883" i="1"/>
  <c r="AE883" i="1"/>
  <c r="AD882" i="1"/>
  <c r="AE882" i="1" s="1"/>
  <c r="AD881" i="1"/>
  <c r="AE881" i="1"/>
  <c r="AD880" i="1"/>
  <c r="AE880" i="1" s="1"/>
  <c r="AD879" i="1"/>
  <c r="AE879" i="1"/>
  <c r="AD878" i="1"/>
  <c r="AE878" i="1" s="1"/>
  <c r="AD877" i="1"/>
  <c r="AE877" i="1" s="1"/>
  <c r="AD876" i="1"/>
  <c r="AE876" i="1" s="1"/>
  <c r="AD875" i="1"/>
  <c r="AE875" i="1"/>
  <c r="AD874" i="1"/>
  <c r="AE874" i="1" s="1"/>
  <c r="AD873" i="1"/>
  <c r="AE873" i="1"/>
  <c r="AD872" i="1"/>
  <c r="AE872" i="1" s="1"/>
  <c r="AD871" i="1"/>
  <c r="AE871" i="1"/>
  <c r="AD870" i="1"/>
  <c r="AE870" i="1" s="1"/>
  <c r="AD869" i="1"/>
  <c r="AE869" i="1" s="1"/>
  <c r="AD868" i="1"/>
  <c r="AE868" i="1" s="1"/>
  <c r="AD867" i="1"/>
  <c r="AE867" i="1"/>
  <c r="AD866" i="1"/>
  <c r="AE866" i="1" s="1"/>
  <c r="AD865" i="1"/>
  <c r="AE865" i="1"/>
  <c r="AD864" i="1"/>
  <c r="AE864" i="1" s="1"/>
  <c r="AD863" i="1"/>
  <c r="AE863" i="1"/>
  <c r="AD862" i="1"/>
  <c r="AE862" i="1" s="1"/>
  <c r="AD861" i="1"/>
  <c r="AE861" i="1" s="1"/>
  <c r="AD860" i="1"/>
  <c r="AE860" i="1" s="1"/>
  <c r="AD859" i="1"/>
  <c r="AE859" i="1"/>
  <c r="AD858" i="1"/>
  <c r="AE858" i="1" s="1"/>
  <c r="AD857" i="1"/>
  <c r="AE857" i="1"/>
  <c r="AD856" i="1"/>
  <c r="AE856" i="1" s="1"/>
  <c r="AD855" i="1"/>
  <c r="AE855" i="1"/>
  <c r="AD854" i="1"/>
  <c r="AE854" i="1" s="1"/>
  <c r="AD853" i="1"/>
  <c r="AE853" i="1" s="1"/>
  <c r="AD852" i="1"/>
  <c r="AE852" i="1" s="1"/>
  <c r="AD851" i="1"/>
  <c r="AE851" i="1"/>
  <c r="AD850" i="1"/>
  <c r="AE850" i="1" s="1"/>
  <c r="AD849" i="1"/>
  <c r="AE849" i="1"/>
  <c r="AD848" i="1"/>
  <c r="AE848" i="1" s="1"/>
  <c r="AD847" i="1"/>
  <c r="AE847" i="1"/>
  <c r="AD846" i="1"/>
  <c r="AE846" i="1" s="1"/>
  <c r="AD845" i="1"/>
  <c r="AE845" i="1" s="1"/>
  <c r="AD844" i="1"/>
  <c r="AE844" i="1" s="1"/>
  <c r="AD843" i="1"/>
  <c r="AE843" i="1"/>
  <c r="AD842" i="1"/>
  <c r="AE842" i="1" s="1"/>
  <c r="AD841" i="1"/>
  <c r="AE841" i="1"/>
  <c r="AD840" i="1"/>
  <c r="AE840" i="1" s="1"/>
  <c r="AD839" i="1"/>
  <c r="AE839" i="1"/>
  <c r="AD838" i="1"/>
  <c r="AE838" i="1" s="1"/>
  <c r="AD837" i="1"/>
  <c r="AE837" i="1" s="1"/>
  <c r="AD836" i="1"/>
  <c r="AE836" i="1" s="1"/>
  <c r="AD835" i="1"/>
  <c r="AE835" i="1"/>
  <c r="AD834" i="1"/>
  <c r="AE834" i="1" s="1"/>
  <c r="AD833" i="1"/>
  <c r="AE833" i="1"/>
  <c r="AD832" i="1"/>
  <c r="AE832" i="1" s="1"/>
  <c r="AD831" i="1"/>
  <c r="AE831" i="1"/>
  <c r="AD830" i="1"/>
  <c r="AE830" i="1" s="1"/>
  <c r="AD829" i="1"/>
  <c r="AE829" i="1" s="1"/>
  <c r="AD828" i="1"/>
  <c r="AE828" i="1" s="1"/>
  <c r="AD827" i="1"/>
  <c r="AE827" i="1"/>
  <c r="AD826" i="1"/>
  <c r="AE826" i="1" s="1"/>
  <c r="AD825" i="1"/>
  <c r="AE825" i="1"/>
  <c r="AD824" i="1"/>
  <c r="AE824" i="1" s="1"/>
  <c r="AD823" i="1"/>
  <c r="AE823" i="1"/>
  <c r="AD822" i="1"/>
  <c r="AE822" i="1" s="1"/>
  <c r="AD821" i="1"/>
  <c r="AE821" i="1" s="1"/>
  <c r="AD820" i="1"/>
  <c r="AE820" i="1" s="1"/>
  <c r="AD819" i="1"/>
  <c r="AE819" i="1"/>
  <c r="AD818" i="1"/>
  <c r="AE818" i="1" s="1"/>
  <c r="AD817" i="1"/>
  <c r="AE817" i="1"/>
  <c r="AD816" i="1"/>
  <c r="AE816" i="1" s="1"/>
  <c r="AD815" i="1"/>
  <c r="AE815" i="1"/>
  <c r="AD814" i="1"/>
  <c r="AE814" i="1" s="1"/>
  <c r="AD813" i="1"/>
  <c r="AE813" i="1" s="1"/>
  <c r="AD812" i="1"/>
  <c r="AE812" i="1" s="1"/>
  <c r="AD811" i="1"/>
  <c r="AE811" i="1"/>
  <c r="AD810" i="1"/>
  <c r="AE810" i="1" s="1"/>
  <c r="AD809" i="1"/>
  <c r="AE809" i="1"/>
  <c r="AD808" i="1"/>
  <c r="AE808" i="1" s="1"/>
  <c r="AD807" i="1"/>
  <c r="AE807" i="1"/>
  <c r="AD806" i="1"/>
  <c r="AE806" i="1" s="1"/>
  <c r="AD805" i="1"/>
  <c r="AE805" i="1" s="1"/>
  <c r="AD804" i="1"/>
  <c r="AE804" i="1" s="1"/>
  <c r="AD803" i="1"/>
  <c r="AE803" i="1"/>
  <c r="AD802" i="1"/>
  <c r="AE802" i="1" s="1"/>
  <c r="AD801" i="1"/>
  <c r="AE801" i="1"/>
  <c r="AD800" i="1"/>
  <c r="AE800" i="1" s="1"/>
  <c r="AD799" i="1"/>
  <c r="AE799" i="1"/>
  <c r="AD798" i="1"/>
  <c r="AE798" i="1" s="1"/>
  <c r="AD797" i="1"/>
  <c r="AE797" i="1" s="1"/>
  <c r="AD796" i="1"/>
  <c r="AE796" i="1" s="1"/>
  <c r="AD795" i="1"/>
  <c r="AE795" i="1"/>
  <c r="AD794" i="1"/>
  <c r="AE794" i="1" s="1"/>
  <c r="AD793" i="1"/>
  <c r="AE793" i="1"/>
  <c r="AD792" i="1"/>
  <c r="AE792" i="1" s="1"/>
  <c r="AD791" i="1"/>
  <c r="AE791" i="1"/>
  <c r="AD790" i="1"/>
  <c r="AE790" i="1" s="1"/>
  <c r="AD789" i="1"/>
  <c r="AE789" i="1" s="1"/>
  <c r="AD788" i="1"/>
  <c r="AE788" i="1" s="1"/>
  <c r="AD787" i="1"/>
  <c r="AE787" i="1"/>
  <c r="AD786" i="1"/>
  <c r="AE786" i="1" s="1"/>
  <c r="AD785" i="1"/>
  <c r="AE785" i="1"/>
  <c r="AD784" i="1"/>
  <c r="AE784" i="1" s="1"/>
  <c r="AD783" i="1"/>
  <c r="AE783" i="1"/>
  <c r="AD782" i="1"/>
  <c r="AE782" i="1" s="1"/>
  <c r="AD781" i="1"/>
  <c r="AE781" i="1" s="1"/>
  <c r="AD780" i="1"/>
  <c r="AE780" i="1" s="1"/>
  <c r="AD779" i="1"/>
  <c r="AE779" i="1"/>
  <c r="AD778" i="1"/>
  <c r="AE778" i="1" s="1"/>
  <c r="AD777" i="1"/>
  <c r="AE777" i="1"/>
  <c r="AD776" i="1"/>
  <c r="AE776" i="1" s="1"/>
  <c r="AD775" i="1"/>
  <c r="AE775" i="1"/>
  <c r="AD774" i="1"/>
  <c r="AE774" i="1" s="1"/>
  <c r="AD773" i="1"/>
  <c r="AE773" i="1" s="1"/>
  <c r="AD772" i="1"/>
  <c r="AE772" i="1" s="1"/>
  <c r="AD771" i="1"/>
  <c r="AE771" i="1"/>
  <c r="AD770" i="1"/>
  <c r="AE770" i="1" s="1"/>
  <c r="AD769" i="1"/>
  <c r="AE769" i="1"/>
  <c r="AD768" i="1"/>
  <c r="AE768" i="1" s="1"/>
  <c r="AD767" i="1"/>
  <c r="AE767" i="1"/>
  <c r="AD766" i="1"/>
  <c r="AE766" i="1" s="1"/>
  <c r="AD765" i="1"/>
  <c r="AE765" i="1" s="1"/>
  <c r="AD764" i="1"/>
  <c r="AE764" i="1" s="1"/>
  <c r="AD763" i="1"/>
  <c r="AE763" i="1"/>
  <c r="AD762" i="1"/>
  <c r="AE762" i="1" s="1"/>
  <c r="AD761" i="1"/>
  <c r="AE761" i="1"/>
  <c r="AD760" i="1"/>
  <c r="AE760" i="1" s="1"/>
  <c r="AD759" i="1"/>
  <c r="AE759" i="1"/>
  <c r="AD758" i="1"/>
  <c r="AE758" i="1" s="1"/>
  <c r="AD757" i="1"/>
  <c r="AE757" i="1" s="1"/>
  <c r="AD756" i="1"/>
  <c r="AE756" i="1" s="1"/>
  <c r="AD755" i="1"/>
  <c r="AE755" i="1"/>
  <c r="AD754" i="1"/>
  <c r="AE754" i="1" s="1"/>
  <c r="AD753" i="1"/>
  <c r="AE753" i="1"/>
  <c r="AD752" i="1"/>
  <c r="AE752" i="1" s="1"/>
  <c r="AD751" i="1"/>
  <c r="AE751" i="1"/>
  <c r="AD750" i="1"/>
  <c r="AE750" i="1" s="1"/>
  <c r="AD749" i="1"/>
  <c r="AE749" i="1" s="1"/>
  <c r="AD748" i="1"/>
  <c r="AE748" i="1" s="1"/>
  <c r="AD747" i="1"/>
  <c r="AE747" i="1"/>
  <c r="AD746" i="1"/>
  <c r="AE746" i="1" s="1"/>
  <c r="AD745" i="1"/>
  <c r="AE745" i="1"/>
  <c r="AD744" i="1"/>
  <c r="AE744" i="1" s="1"/>
  <c r="AD743" i="1"/>
  <c r="AE743" i="1"/>
  <c r="AD742" i="1"/>
  <c r="AE742" i="1" s="1"/>
  <c r="AD741" i="1"/>
  <c r="AE741" i="1" s="1"/>
  <c r="AD740" i="1"/>
  <c r="AE740" i="1" s="1"/>
  <c r="AD739" i="1"/>
  <c r="AE739" i="1"/>
  <c r="AD738" i="1"/>
  <c r="AE738" i="1" s="1"/>
  <c r="AD737" i="1"/>
  <c r="AE737" i="1"/>
  <c r="AD736" i="1"/>
  <c r="AE736" i="1" s="1"/>
  <c r="AD735" i="1"/>
  <c r="AE735" i="1"/>
  <c r="AD734" i="1"/>
  <c r="AE734" i="1" s="1"/>
  <c r="AD733" i="1"/>
  <c r="AE733" i="1" s="1"/>
  <c r="AD732" i="1"/>
  <c r="AE732" i="1" s="1"/>
  <c r="AD731" i="1"/>
  <c r="AE731" i="1"/>
  <c r="AD730" i="1"/>
  <c r="AE730" i="1" s="1"/>
  <c r="AD729" i="1"/>
  <c r="AE729" i="1"/>
  <c r="AD728" i="1"/>
  <c r="AE728" i="1" s="1"/>
  <c r="AD727" i="1"/>
  <c r="AE727" i="1"/>
  <c r="AD726" i="1"/>
  <c r="AE726" i="1" s="1"/>
  <c r="AD725" i="1"/>
  <c r="AE725" i="1" s="1"/>
  <c r="AD724" i="1"/>
  <c r="AE724" i="1" s="1"/>
  <c r="AD723" i="1"/>
  <c r="AE723" i="1"/>
  <c r="AD722" i="1"/>
  <c r="AE722" i="1" s="1"/>
  <c r="AD721" i="1"/>
  <c r="AE721" i="1"/>
  <c r="AD720" i="1"/>
  <c r="AE720" i="1" s="1"/>
  <c r="AD719" i="1"/>
  <c r="AE719" i="1"/>
  <c r="AD718" i="1"/>
  <c r="AE718" i="1" s="1"/>
  <c r="AD717" i="1"/>
  <c r="AE717" i="1" s="1"/>
  <c r="AD716" i="1"/>
  <c r="AE716" i="1" s="1"/>
  <c r="AD715" i="1"/>
  <c r="AE715" i="1"/>
  <c r="AD714" i="1"/>
  <c r="AE714" i="1" s="1"/>
  <c r="AD713" i="1"/>
  <c r="AE713" i="1"/>
  <c r="AD712" i="1"/>
  <c r="AE712" i="1" s="1"/>
  <c r="AD711" i="1"/>
  <c r="AE711" i="1"/>
  <c r="AD710" i="1"/>
  <c r="AE710" i="1" s="1"/>
  <c r="AD709" i="1"/>
  <c r="AE709" i="1" s="1"/>
  <c r="AD708" i="1"/>
  <c r="AE708" i="1" s="1"/>
  <c r="AD707" i="1"/>
  <c r="AE707" i="1"/>
  <c r="AD706" i="1"/>
  <c r="AE706" i="1" s="1"/>
  <c r="AD705" i="1"/>
  <c r="AE705" i="1"/>
  <c r="AD704" i="1"/>
  <c r="AE704" i="1" s="1"/>
  <c r="AD703" i="1"/>
  <c r="AE703" i="1"/>
  <c r="AD702" i="1"/>
  <c r="AE702" i="1" s="1"/>
  <c r="AD701" i="1"/>
  <c r="AE701" i="1" s="1"/>
  <c r="AD700" i="1"/>
  <c r="AE700" i="1" s="1"/>
  <c r="AD699" i="1"/>
  <c r="AE699" i="1"/>
  <c r="AD698" i="1"/>
  <c r="AE698" i="1" s="1"/>
  <c r="AD697" i="1"/>
  <c r="AE697" i="1"/>
  <c r="AD696" i="1"/>
  <c r="AE696" i="1" s="1"/>
  <c r="AD695" i="1"/>
  <c r="AE695" i="1"/>
  <c r="AD694" i="1"/>
  <c r="AE694" i="1" s="1"/>
  <c r="AD693" i="1"/>
  <c r="AE693" i="1" s="1"/>
  <c r="AD692" i="1"/>
  <c r="AE692" i="1" s="1"/>
  <c r="AD691" i="1"/>
  <c r="AE691" i="1"/>
  <c r="AD690" i="1"/>
  <c r="AE690" i="1" s="1"/>
  <c r="AD689" i="1"/>
  <c r="AE689" i="1"/>
  <c r="AD688" i="1"/>
  <c r="AE688" i="1" s="1"/>
  <c r="AD687" i="1"/>
  <c r="AE687" i="1"/>
  <c r="AD686" i="1"/>
  <c r="AE686" i="1" s="1"/>
  <c r="AD685" i="1"/>
  <c r="AE685" i="1" s="1"/>
  <c r="AD684" i="1"/>
  <c r="AE684" i="1" s="1"/>
  <c r="AD683" i="1"/>
  <c r="AE683" i="1"/>
  <c r="AD682" i="1"/>
  <c r="AE682" i="1" s="1"/>
  <c r="AD681" i="1"/>
  <c r="AE681" i="1"/>
  <c r="AD680" i="1"/>
  <c r="AE680" i="1" s="1"/>
  <c r="AD679" i="1"/>
  <c r="AE679" i="1"/>
  <c r="AD678" i="1"/>
  <c r="AE678" i="1" s="1"/>
  <c r="AD677" i="1"/>
  <c r="AE677" i="1" s="1"/>
  <c r="AD676" i="1"/>
  <c r="AE676" i="1" s="1"/>
  <c r="AD675" i="1"/>
  <c r="AE675" i="1"/>
  <c r="AD674" i="1"/>
  <c r="AE674" i="1" s="1"/>
  <c r="AD673" i="1"/>
  <c r="AE673" i="1"/>
  <c r="AD672" i="1"/>
  <c r="AE672" i="1" s="1"/>
  <c r="AD671" i="1"/>
  <c r="AE671" i="1"/>
  <c r="AD670" i="1"/>
  <c r="AE670" i="1" s="1"/>
  <c r="AD669" i="1"/>
  <c r="AE669" i="1" s="1"/>
  <c r="AD668" i="1"/>
  <c r="AE668" i="1" s="1"/>
  <c r="AD667" i="1"/>
  <c r="AE667" i="1"/>
  <c r="AD666" i="1"/>
  <c r="AE666" i="1" s="1"/>
  <c r="AD665" i="1"/>
  <c r="AE665" i="1"/>
  <c r="AD664" i="1"/>
  <c r="AE664" i="1" s="1"/>
  <c r="AD663" i="1"/>
  <c r="AE663" i="1"/>
  <c r="AD662" i="1"/>
  <c r="AE662" i="1" s="1"/>
  <c r="AD661" i="1"/>
  <c r="AE661" i="1" s="1"/>
  <c r="AD660" i="1"/>
  <c r="AE660" i="1" s="1"/>
  <c r="AD659" i="1"/>
  <c r="AE659" i="1"/>
  <c r="AD658" i="1"/>
  <c r="AE658" i="1" s="1"/>
  <c r="AD657" i="1"/>
  <c r="AE657" i="1"/>
  <c r="AD656" i="1"/>
  <c r="AE656" i="1" s="1"/>
  <c r="AD655" i="1"/>
  <c r="AE655" i="1"/>
  <c r="AD654" i="1"/>
  <c r="AE654" i="1" s="1"/>
  <c r="AD653" i="1"/>
  <c r="AE653" i="1" s="1"/>
  <c r="AD652" i="1"/>
  <c r="AE652" i="1" s="1"/>
  <c r="AD651" i="1"/>
  <c r="AE651" i="1"/>
  <c r="AD650" i="1"/>
  <c r="AE650" i="1" s="1"/>
  <c r="AD649" i="1"/>
  <c r="AE649" i="1"/>
  <c r="AD648" i="1"/>
  <c r="AE648" i="1" s="1"/>
  <c r="AD647" i="1"/>
  <c r="AE647" i="1"/>
  <c r="AD646" i="1"/>
  <c r="AE646" i="1" s="1"/>
  <c r="AD645" i="1"/>
  <c r="AE645" i="1" s="1"/>
  <c r="AD644" i="1"/>
  <c r="AE644" i="1" s="1"/>
  <c r="AD643" i="1"/>
  <c r="AE643" i="1"/>
  <c r="AD642" i="1"/>
  <c r="AE642" i="1" s="1"/>
  <c r="AD641" i="1"/>
  <c r="AE641" i="1"/>
  <c r="AD640" i="1"/>
  <c r="AE640" i="1" s="1"/>
  <c r="AD639" i="1"/>
  <c r="AE639" i="1"/>
  <c r="AD638" i="1"/>
  <c r="AE638" i="1" s="1"/>
  <c r="AD637" i="1"/>
  <c r="AE637" i="1" s="1"/>
  <c r="AD636" i="1"/>
  <c r="AE636" i="1" s="1"/>
  <c r="AD635" i="1"/>
  <c r="AE635" i="1"/>
  <c r="AD634" i="1"/>
  <c r="AE634" i="1" s="1"/>
  <c r="AD633" i="1"/>
  <c r="AE633" i="1"/>
  <c r="AD632" i="1"/>
  <c r="AE632" i="1" s="1"/>
  <c r="AD631" i="1"/>
  <c r="AE631" i="1"/>
  <c r="AD630" i="1"/>
  <c r="AE630" i="1" s="1"/>
  <c r="AD629" i="1"/>
  <c r="AE629" i="1" s="1"/>
  <c r="AD628" i="1"/>
  <c r="AE628" i="1" s="1"/>
  <c r="AD627" i="1"/>
  <c r="AE627" i="1"/>
  <c r="AD626" i="1"/>
  <c r="AE626" i="1" s="1"/>
  <c r="AD625" i="1"/>
  <c r="AE625" i="1"/>
  <c r="AD624" i="1"/>
  <c r="AE624" i="1" s="1"/>
  <c r="AD623" i="1"/>
  <c r="AE623" i="1"/>
  <c r="AD622" i="1"/>
  <c r="AE622" i="1" s="1"/>
  <c r="AD621" i="1"/>
  <c r="AE621" i="1" s="1"/>
  <c r="AD620" i="1"/>
  <c r="AE620" i="1" s="1"/>
  <c r="AD619" i="1"/>
  <c r="AE619" i="1"/>
  <c r="AD618" i="1"/>
  <c r="AE618" i="1" s="1"/>
  <c r="AD617" i="1"/>
  <c r="AE617" i="1"/>
  <c r="AD616" i="1"/>
  <c r="AE616" i="1" s="1"/>
  <c r="AD615" i="1"/>
  <c r="AE615" i="1"/>
  <c r="AD614" i="1"/>
  <c r="AE614" i="1" s="1"/>
  <c r="AD613" i="1"/>
  <c r="AE613" i="1" s="1"/>
  <c r="AD612" i="1"/>
  <c r="AE612" i="1" s="1"/>
  <c r="AD611" i="1"/>
  <c r="AE611" i="1"/>
  <c r="AD610" i="1"/>
  <c r="AE610" i="1" s="1"/>
  <c r="AD609" i="1"/>
  <c r="AE609" i="1"/>
  <c r="AD608" i="1"/>
  <c r="AE608" i="1" s="1"/>
  <c r="AD607" i="1"/>
  <c r="AE607" i="1"/>
  <c r="AD606" i="1"/>
  <c r="AE606" i="1" s="1"/>
  <c r="AD605" i="1"/>
  <c r="AE605" i="1" s="1"/>
  <c r="AD604" i="1"/>
  <c r="AE604" i="1" s="1"/>
  <c r="AD603" i="1"/>
  <c r="AE603" i="1"/>
  <c r="AD602" i="1"/>
  <c r="AE602" i="1" s="1"/>
  <c r="AD601" i="1"/>
  <c r="AE601" i="1"/>
  <c r="AD600" i="1"/>
  <c r="AE600" i="1" s="1"/>
  <c r="AD599" i="1"/>
  <c r="AE599" i="1"/>
  <c r="AD598" i="1"/>
  <c r="AE598" i="1" s="1"/>
  <c r="AD597" i="1"/>
  <c r="AE597" i="1" s="1"/>
  <c r="AD596" i="1"/>
  <c r="AE596" i="1" s="1"/>
  <c r="AD595" i="1"/>
  <c r="AE595" i="1"/>
  <c r="AD594" i="1"/>
  <c r="AE594" i="1" s="1"/>
  <c r="AD593" i="1"/>
  <c r="AE593" i="1"/>
  <c r="AD592" i="1"/>
  <c r="AE592" i="1" s="1"/>
  <c r="AD591" i="1"/>
  <c r="AE591" i="1"/>
  <c r="AD590" i="1"/>
  <c r="AE590" i="1" s="1"/>
  <c r="AD589" i="1"/>
  <c r="AE589" i="1" s="1"/>
  <c r="AD588" i="1"/>
  <c r="AE588" i="1" s="1"/>
  <c r="AD587" i="1"/>
  <c r="AE587" i="1"/>
  <c r="AD586" i="1"/>
  <c r="AE586" i="1" s="1"/>
  <c r="AD585" i="1"/>
  <c r="AE585" i="1"/>
  <c r="AD584" i="1"/>
  <c r="AE584" i="1" s="1"/>
  <c r="AD583" i="1"/>
  <c r="AE583" i="1"/>
  <c r="AD582" i="1"/>
  <c r="AE582" i="1" s="1"/>
  <c r="AD581" i="1"/>
  <c r="AE581" i="1" s="1"/>
  <c r="AD580" i="1"/>
  <c r="AE580" i="1" s="1"/>
  <c r="AD579" i="1"/>
  <c r="AE579" i="1"/>
  <c r="AD578" i="1"/>
  <c r="AE578" i="1" s="1"/>
  <c r="AD577" i="1"/>
  <c r="AE577" i="1"/>
  <c r="AD576" i="1"/>
  <c r="AE576" i="1" s="1"/>
  <c r="AD575" i="1"/>
  <c r="AE575" i="1"/>
  <c r="AD574" i="1"/>
  <c r="AE574" i="1" s="1"/>
  <c r="AD573" i="1"/>
  <c r="AE573" i="1" s="1"/>
  <c r="AD572" i="1"/>
  <c r="AE572" i="1" s="1"/>
  <c r="AD571" i="1"/>
  <c r="AE571" i="1"/>
  <c r="AD570" i="1"/>
  <c r="AE570" i="1" s="1"/>
  <c r="AD569" i="1"/>
  <c r="AE569" i="1"/>
  <c r="AD568" i="1"/>
  <c r="AE568" i="1" s="1"/>
  <c r="AD567" i="1"/>
  <c r="AE567" i="1"/>
  <c r="AD566" i="1"/>
  <c r="AE566" i="1" s="1"/>
  <c r="AD565" i="1"/>
  <c r="AE565" i="1" s="1"/>
  <c r="AD564" i="1"/>
  <c r="AE564" i="1" s="1"/>
  <c r="AD563" i="1"/>
  <c r="AE563" i="1"/>
  <c r="AD562" i="1"/>
  <c r="AE562" i="1" s="1"/>
  <c r="AD561" i="1"/>
  <c r="AE561" i="1"/>
  <c r="AD560" i="1"/>
  <c r="AE560" i="1" s="1"/>
  <c r="AD559" i="1"/>
  <c r="AE559" i="1"/>
  <c r="AD558" i="1"/>
  <c r="AE558" i="1" s="1"/>
  <c r="AD557" i="1"/>
  <c r="AE557" i="1" s="1"/>
  <c r="AD556" i="1"/>
  <c r="AE556" i="1" s="1"/>
  <c r="AD555" i="1"/>
  <c r="AE555" i="1"/>
  <c r="AD554" i="1"/>
  <c r="AE554" i="1" s="1"/>
  <c r="AD553" i="1"/>
  <c r="AE553" i="1"/>
  <c r="AD552" i="1"/>
  <c r="AE552" i="1" s="1"/>
  <c r="AD551" i="1"/>
  <c r="AE551" i="1"/>
  <c r="AD550" i="1"/>
  <c r="AE550" i="1" s="1"/>
  <c r="AD549" i="1"/>
  <c r="AE549" i="1" s="1"/>
  <c r="AD548" i="1"/>
  <c r="AE548" i="1" s="1"/>
  <c r="AD547" i="1"/>
  <c r="AE547" i="1"/>
  <c r="AD546" i="1"/>
  <c r="AE546" i="1" s="1"/>
  <c r="AD545" i="1"/>
  <c r="AE545" i="1"/>
  <c r="AD544" i="1"/>
  <c r="AE544" i="1" s="1"/>
  <c r="AD543" i="1"/>
  <c r="AE543" i="1"/>
  <c r="AD542" i="1"/>
  <c r="AE542" i="1" s="1"/>
  <c r="AD541" i="1"/>
  <c r="AE541" i="1" s="1"/>
  <c r="AD540" i="1"/>
  <c r="AE540" i="1" s="1"/>
  <c r="AD539" i="1"/>
  <c r="AE539" i="1"/>
  <c r="AD538" i="1"/>
  <c r="AE538" i="1" s="1"/>
  <c r="AD537" i="1"/>
  <c r="AE537" i="1"/>
  <c r="AD536" i="1"/>
  <c r="AE536" i="1" s="1"/>
  <c r="AD535" i="1"/>
  <c r="AE535" i="1"/>
  <c r="AD534" i="1"/>
  <c r="AE534" i="1" s="1"/>
  <c r="AD533" i="1"/>
  <c r="AE533" i="1" s="1"/>
  <c r="AD532" i="1"/>
  <c r="AE532" i="1" s="1"/>
  <c r="AD531" i="1"/>
  <c r="AE531" i="1"/>
  <c r="AD530" i="1"/>
  <c r="AE530" i="1" s="1"/>
  <c r="AD529" i="1"/>
  <c r="AE529" i="1"/>
  <c r="AD528" i="1"/>
  <c r="AE528" i="1" s="1"/>
  <c r="AD527" i="1"/>
  <c r="AE527" i="1"/>
  <c r="AD526" i="1"/>
  <c r="AE526" i="1" s="1"/>
  <c r="AD525" i="1"/>
  <c r="AE525" i="1" s="1"/>
  <c r="AD524" i="1"/>
  <c r="AE524" i="1" s="1"/>
  <c r="AD523" i="1"/>
  <c r="AE523" i="1"/>
  <c r="AD522" i="1"/>
  <c r="AE522" i="1" s="1"/>
  <c r="AD521" i="1"/>
  <c r="AE521" i="1"/>
  <c r="AD520" i="1"/>
  <c r="AE520" i="1" s="1"/>
  <c r="AD519" i="1"/>
  <c r="AE519" i="1"/>
  <c r="AD518" i="1"/>
  <c r="AE518" i="1" s="1"/>
  <c r="AD517" i="1"/>
  <c r="AE517" i="1" s="1"/>
  <c r="AD516" i="1"/>
  <c r="AE516" i="1" s="1"/>
  <c r="AD515" i="1"/>
  <c r="AE515" i="1"/>
  <c r="AD514" i="1"/>
  <c r="AE514" i="1" s="1"/>
  <c r="AD513" i="1"/>
  <c r="AE513" i="1"/>
  <c r="AD512" i="1"/>
  <c r="AE512" i="1" s="1"/>
  <c r="AD511" i="1"/>
  <c r="AE511" i="1"/>
  <c r="AD510" i="1"/>
  <c r="AE510" i="1" s="1"/>
  <c r="AD509" i="1"/>
  <c r="AE509" i="1" s="1"/>
  <c r="AD508" i="1"/>
  <c r="AE508" i="1" s="1"/>
  <c r="AD507" i="1"/>
  <c r="AE507" i="1"/>
  <c r="AD506" i="1"/>
  <c r="AE506" i="1" s="1"/>
  <c r="AD505" i="1"/>
  <c r="AE505" i="1"/>
  <c r="AD504" i="1"/>
  <c r="AE504" i="1" s="1"/>
  <c r="AD503" i="1"/>
  <c r="AE503" i="1"/>
  <c r="AD502" i="1"/>
  <c r="AE502" i="1" s="1"/>
  <c r="AD501" i="1"/>
  <c r="AE501" i="1" s="1"/>
  <c r="AD500" i="1"/>
  <c r="AE500" i="1" s="1"/>
  <c r="AD499" i="1"/>
  <c r="AE499" i="1"/>
  <c r="AD498" i="1"/>
  <c r="AE498" i="1" s="1"/>
  <c r="AD497" i="1"/>
  <c r="AE497" i="1"/>
  <c r="AD496" i="1"/>
  <c r="AE496" i="1" s="1"/>
  <c r="AD495" i="1"/>
  <c r="AE495" i="1"/>
  <c r="AD494" i="1"/>
  <c r="AE494" i="1" s="1"/>
  <c r="AD493" i="1"/>
  <c r="AE493" i="1" s="1"/>
  <c r="AD492" i="1"/>
  <c r="AE492" i="1" s="1"/>
  <c r="AD491" i="1"/>
  <c r="AE491" i="1"/>
  <c r="AD490" i="1"/>
  <c r="AE490" i="1" s="1"/>
  <c r="AD489" i="1"/>
  <c r="AE489" i="1"/>
  <c r="AD488" i="1"/>
  <c r="AE488" i="1" s="1"/>
  <c r="AD487" i="1"/>
  <c r="AE487" i="1"/>
  <c r="AD486" i="1"/>
  <c r="AE486" i="1" s="1"/>
  <c r="AD485" i="1"/>
  <c r="AE485" i="1" s="1"/>
  <c r="AD484" i="1"/>
  <c r="AE484" i="1" s="1"/>
  <c r="AD483" i="1"/>
  <c r="AE483" i="1"/>
  <c r="AD482" i="1"/>
  <c r="AE482" i="1" s="1"/>
  <c r="AD481" i="1"/>
  <c r="AE481" i="1"/>
  <c r="AD480" i="1"/>
  <c r="AE480" i="1" s="1"/>
  <c r="AD479" i="1"/>
  <c r="AE479" i="1"/>
  <c r="AD478" i="1"/>
  <c r="AE478" i="1" s="1"/>
  <c r="AD477" i="1"/>
  <c r="AE477" i="1" s="1"/>
  <c r="AD476" i="1"/>
  <c r="AE476" i="1" s="1"/>
  <c r="AD475" i="1"/>
  <c r="AE475" i="1"/>
  <c r="AD474" i="1"/>
  <c r="AE474" i="1" s="1"/>
  <c r="AD473" i="1"/>
  <c r="AE473" i="1"/>
  <c r="AD472" i="1"/>
  <c r="AE472" i="1" s="1"/>
  <c r="AD471" i="1"/>
  <c r="AE471" i="1"/>
  <c r="AD470" i="1"/>
  <c r="AE470" i="1" s="1"/>
  <c r="AD469" i="1"/>
  <c r="AE469" i="1" s="1"/>
  <c r="AD468" i="1"/>
  <c r="AE468" i="1" s="1"/>
  <c r="AD467" i="1"/>
  <c r="AE467" i="1"/>
  <c r="AD466" i="1"/>
  <c r="AE466" i="1" s="1"/>
  <c r="AD465" i="1"/>
  <c r="AE465" i="1"/>
  <c r="AD464" i="1"/>
  <c r="AE464" i="1" s="1"/>
  <c r="AD463" i="1"/>
  <c r="AE463" i="1"/>
  <c r="AD462" i="1"/>
  <c r="AE462" i="1" s="1"/>
  <c r="AD461" i="1"/>
  <c r="AE461" i="1" s="1"/>
  <c r="AD460" i="1"/>
  <c r="AE460" i="1" s="1"/>
  <c r="AD459" i="1"/>
  <c r="AE459" i="1"/>
  <c r="AD458" i="1"/>
  <c r="AE458" i="1" s="1"/>
  <c r="AD457" i="1"/>
  <c r="AE457" i="1"/>
  <c r="AD456" i="1"/>
  <c r="AE456" i="1" s="1"/>
  <c r="AD455" i="1"/>
  <c r="AE455" i="1"/>
  <c r="AD454" i="1"/>
  <c r="AE454" i="1" s="1"/>
  <c r="AD453" i="1"/>
  <c r="AE453" i="1" s="1"/>
  <c r="AD452" i="1"/>
  <c r="AE452" i="1" s="1"/>
  <c r="AD451" i="1"/>
  <c r="AE451" i="1"/>
  <c r="AD450" i="1"/>
  <c r="AE450" i="1" s="1"/>
  <c r="AD449" i="1"/>
  <c r="AE449" i="1"/>
  <c r="AD448" i="1"/>
  <c r="AE448" i="1" s="1"/>
  <c r="AD447" i="1"/>
  <c r="AE447" i="1"/>
  <c r="AD446" i="1"/>
  <c r="AE446" i="1" s="1"/>
  <c r="AD445" i="1"/>
  <c r="AE445" i="1" s="1"/>
  <c r="AD444" i="1"/>
  <c r="AE444" i="1" s="1"/>
  <c r="AD443" i="1"/>
  <c r="AE443" i="1"/>
  <c r="AD442" i="1"/>
  <c r="AE442" i="1" s="1"/>
  <c r="AD441" i="1"/>
  <c r="AE441" i="1"/>
  <c r="AD440" i="1"/>
  <c r="AE440" i="1" s="1"/>
  <c r="AD439" i="1"/>
  <c r="AE439" i="1"/>
  <c r="AD438" i="1"/>
  <c r="AE438" i="1" s="1"/>
  <c r="AD437" i="1"/>
  <c r="AE437" i="1" s="1"/>
  <c r="AD436" i="1"/>
  <c r="AE436" i="1" s="1"/>
  <c r="AD435" i="1"/>
  <c r="AE435" i="1"/>
  <c r="AD434" i="1"/>
  <c r="AE434" i="1" s="1"/>
  <c r="AD433" i="1"/>
  <c r="AE433" i="1"/>
  <c r="AD432" i="1"/>
  <c r="AE432" i="1" s="1"/>
  <c r="AD431" i="1"/>
  <c r="AE431" i="1"/>
  <c r="AD430" i="1"/>
  <c r="AE430" i="1" s="1"/>
  <c r="AD429" i="1"/>
  <c r="AE429" i="1" s="1"/>
  <c r="AD428" i="1"/>
  <c r="AE428" i="1" s="1"/>
  <c r="AD427" i="1"/>
  <c r="AE427" i="1"/>
  <c r="AD426" i="1"/>
  <c r="AE426" i="1" s="1"/>
  <c r="AD425" i="1"/>
  <c r="AE425" i="1"/>
  <c r="AD424" i="1"/>
  <c r="AE424" i="1" s="1"/>
  <c r="AD423" i="1"/>
  <c r="AE423" i="1"/>
  <c r="AD422" i="1"/>
  <c r="AE422" i="1" s="1"/>
  <c r="AD421" i="1"/>
  <c r="AE421" i="1" s="1"/>
  <c r="AD420" i="1"/>
  <c r="AE420" i="1" s="1"/>
  <c r="AD419" i="1"/>
  <c r="AE419" i="1"/>
  <c r="AD418" i="1"/>
  <c r="AE418" i="1" s="1"/>
  <c r="AD417" i="1"/>
  <c r="AE417" i="1"/>
  <c r="AD416" i="1"/>
  <c r="AE416" i="1" s="1"/>
  <c r="AD415" i="1"/>
  <c r="AE415" i="1"/>
  <c r="AD414" i="1"/>
  <c r="AE414" i="1" s="1"/>
  <c r="AD413" i="1"/>
  <c r="AE413" i="1" s="1"/>
  <c r="AD412" i="1"/>
  <c r="AE412" i="1" s="1"/>
  <c r="AD411" i="1"/>
  <c r="AE411" i="1"/>
  <c r="AD410" i="1"/>
  <c r="AE410" i="1" s="1"/>
  <c r="AD409" i="1"/>
  <c r="AE409" i="1"/>
  <c r="AD408" i="1"/>
  <c r="AE408" i="1" s="1"/>
  <c r="AD407" i="1"/>
  <c r="AE407" i="1"/>
  <c r="AD406" i="1"/>
  <c r="AE406" i="1" s="1"/>
  <c r="AD405" i="1"/>
  <c r="AE405" i="1" s="1"/>
  <c r="AD404" i="1"/>
  <c r="AE404" i="1" s="1"/>
  <c r="AD403" i="1"/>
  <c r="AE403" i="1"/>
  <c r="AD402" i="1"/>
  <c r="AE402" i="1" s="1"/>
  <c r="AD401" i="1"/>
  <c r="AE401" i="1"/>
  <c r="AD400" i="1"/>
  <c r="AE400" i="1" s="1"/>
  <c r="AD399" i="1"/>
  <c r="AE399" i="1"/>
  <c r="AD398" i="1"/>
  <c r="AE398" i="1" s="1"/>
  <c r="AD397" i="1"/>
  <c r="AE397" i="1" s="1"/>
  <c r="AD396" i="1"/>
  <c r="AE396" i="1" s="1"/>
  <c r="AD395" i="1"/>
  <c r="AE395" i="1"/>
  <c r="AD394" i="1"/>
  <c r="AE394" i="1" s="1"/>
  <c r="AD393" i="1"/>
  <c r="AE393" i="1"/>
  <c r="AD392" i="1"/>
  <c r="AE392" i="1" s="1"/>
  <c r="AD391" i="1"/>
  <c r="AE391" i="1"/>
  <c r="AD390" i="1"/>
  <c r="AE390" i="1" s="1"/>
  <c r="AD389" i="1"/>
  <c r="AE389" i="1" s="1"/>
  <c r="AD388" i="1"/>
  <c r="AE388" i="1" s="1"/>
  <c r="AD387" i="1"/>
  <c r="AE387" i="1"/>
  <c r="AD386" i="1"/>
  <c r="AE386" i="1" s="1"/>
  <c r="AD385" i="1"/>
  <c r="AE385" i="1"/>
  <c r="AD384" i="1"/>
  <c r="AE384" i="1" s="1"/>
  <c r="AD383" i="1"/>
  <c r="AE383" i="1"/>
  <c r="AD382" i="1"/>
  <c r="AE382" i="1" s="1"/>
  <c r="AD381" i="1"/>
  <c r="AE381" i="1" s="1"/>
  <c r="AD380" i="1"/>
  <c r="AE380" i="1" s="1"/>
  <c r="AD379" i="1"/>
  <c r="AE379" i="1"/>
  <c r="AD378" i="1"/>
  <c r="AE378" i="1" s="1"/>
  <c r="AD377" i="1"/>
  <c r="AE377" i="1"/>
  <c r="AD376" i="1"/>
  <c r="AE376" i="1" s="1"/>
  <c r="AD375" i="1"/>
  <c r="AE375" i="1"/>
  <c r="AD374" i="1"/>
  <c r="AE374" i="1" s="1"/>
  <c r="AD373" i="1"/>
  <c r="AE373" i="1" s="1"/>
  <c r="AD372" i="1"/>
  <c r="AE372" i="1" s="1"/>
  <c r="AD371" i="1"/>
  <c r="AE371" i="1"/>
  <c r="AD370" i="1"/>
  <c r="AE370" i="1" s="1"/>
  <c r="AD369" i="1"/>
  <c r="AE369" i="1"/>
  <c r="AD368" i="1"/>
  <c r="AE368" i="1" s="1"/>
  <c r="AD367" i="1"/>
  <c r="AE367" i="1"/>
  <c r="AD366" i="1"/>
  <c r="AE366" i="1" s="1"/>
  <c r="AD365" i="1"/>
  <c r="AE365" i="1" s="1"/>
  <c r="AD364" i="1"/>
  <c r="AE364" i="1" s="1"/>
  <c r="AD363" i="1"/>
  <c r="AE363" i="1"/>
  <c r="AD362" i="1"/>
  <c r="AE362" i="1" s="1"/>
  <c r="AD361" i="1"/>
  <c r="AE361" i="1"/>
  <c r="AD360" i="1"/>
  <c r="AE360" i="1" s="1"/>
  <c r="AD359" i="1"/>
  <c r="AE359" i="1"/>
  <c r="AD358" i="1"/>
  <c r="AE358" i="1" s="1"/>
  <c r="AD357" i="1"/>
  <c r="AE357" i="1" s="1"/>
  <c r="AD356" i="1"/>
  <c r="AE356" i="1" s="1"/>
  <c r="AD355" i="1"/>
  <c r="AE355" i="1"/>
  <c r="AD354" i="1"/>
  <c r="AE354" i="1" s="1"/>
  <c r="AD353" i="1"/>
  <c r="AE353" i="1"/>
  <c r="AD352" i="1"/>
  <c r="AE352" i="1" s="1"/>
  <c r="AD351" i="1"/>
  <c r="AE351" i="1"/>
  <c r="AD350" i="1"/>
  <c r="AE350" i="1" s="1"/>
  <c r="AD349" i="1"/>
  <c r="AE349" i="1" s="1"/>
  <c r="AD348" i="1"/>
  <c r="AE348" i="1" s="1"/>
  <c r="AD347" i="1"/>
  <c r="AE347" i="1"/>
  <c r="AD346" i="1"/>
  <c r="AE346" i="1" s="1"/>
  <c r="AD345" i="1"/>
  <c r="AE345" i="1"/>
  <c r="AD344" i="1"/>
  <c r="AE344" i="1" s="1"/>
  <c r="AD343" i="1"/>
  <c r="AE343" i="1"/>
  <c r="AD342" i="1"/>
  <c r="AE342" i="1" s="1"/>
  <c r="AD341" i="1"/>
  <c r="AE341" i="1" s="1"/>
  <c r="AD340" i="1"/>
  <c r="AE340" i="1" s="1"/>
  <c r="AD339" i="1"/>
  <c r="AE339" i="1"/>
  <c r="AD338" i="1"/>
  <c r="AE338" i="1" s="1"/>
  <c r="AD337" i="1"/>
  <c r="AE337" i="1"/>
  <c r="AD336" i="1"/>
  <c r="AE336" i="1" s="1"/>
  <c r="AD335" i="1"/>
  <c r="AE335" i="1"/>
  <c r="AD334" i="1"/>
  <c r="AE334" i="1" s="1"/>
  <c r="AD333" i="1"/>
  <c r="AE333" i="1" s="1"/>
  <c r="AD332" i="1"/>
  <c r="AE332" i="1" s="1"/>
  <c r="AD331" i="1"/>
  <c r="AE331" i="1"/>
  <c r="AD330" i="1"/>
  <c r="AE330" i="1" s="1"/>
  <c r="AD329" i="1"/>
  <c r="AE329" i="1"/>
  <c r="AD328" i="1"/>
  <c r="AE328" i="1" s="1"/>
  <c r="AD327" i="1"/>
  <c r="AE327" i="1"/>
  <c r="AD326" i="1"/>
  <c r="AE326" i="1" s="1"/>
  <c r="AD325" i="1"/>
  <c r="AE325" i="1" s="1"/>
  <c r="AD324" i="1"/>
  <c r="AE324" i="1" s="1"/>
  <c r="AD323" i="1"/>
  <c r="AE323" i="1"/>
  <c r="AD322" i="1"/>
  <c r="AE322" i="1" s="1"/>
  <c r="AD321" i="1"/>
  <c r="AE321" i="1"/>
  <c r="AD320" i="1"/>
  <c r="AE320" i="1" s="1"/>
  <c r="AD319" i="1"/>
  <c r="AE319" i="1"/>
  <c r="AD318" i="1"/>
  <c r="AE318" i="1" s="1"/>
  <c r="AD317" i="1"/>
  <c r="AE317" i="1" s="1"/>
  <c r="AD316" i="1"/>
  <c r="AE316" i="1" s="1"/>
  <c r="AD315" i="1"/>
  <c r="AE315" i="1"/>
  <c r="AD314" i="1"/>
  <c r="AE314" i="1" s="1"/>
  <c r="AD313" i="1"/>
  <c r="AE313" i="1"/>
  <c r="AD312" i="1"/>
  <c r="AE312" i="1" s="1"/>
  <c r="AD311" i="1"/>
  <c r="AE311" i="1"/>
  <c r="AD310" i="1"/>
  <c r="AE310" i="1" s="1"/>
  <c r="AD309" i="1"/>
  <c r="AE309" i="1" s="1"/>
  <c r="AD308" i="1"/>
  <c r="AE308" i="1" s="1"/>
  <c r="AD307" i="1"/>
  <c r="AE307" i="1"/>
  <c r="AD306" i="1"/>
  <c r="AE306" i="1" s="1"/>
  <c r="AD305" i="1"/>
  <c r="AE305" i="1"/>
  <c r="AD304" i="1"/>
  <c r="AE304" i="1" s="1"/>
  <c r="AD303" i="1"/>
  <c r="AE303" i="1"/>
  <c r="AD302" i="1"/>
  <c r="AE302" i="1" s="1"/>
  <c r="AD301" i="1"/>
  <c r="AE301" i="1" s="1"/>
  <c r="AD300" i="1"/>
  <c r="AE300" i="1" s="1"/>
  <c r="AD299" i="1"/>
  <c r="AE299" i="1"/>
  <c r="AD298" i="1"/>
  <c r="AE298" i="1" s="1"/>
  <c r="AD297" i="1"/>
  <c r="AE297" i="1"/>
  <c r="AD296" i="1"/>
  <c r="AE296" i="1" s="1"/>
  <c r="AD295" i="1"/>
  <c r="AE295" i="1"/>
  <c r="AD294" i="1"/>
  <c r="AE294" i="1" s="1"/>
  <c r="AD293" i="1"/>
  <c r="AE293" i="1" s="1"/>
  <c r="AD292" i="1"/>
  <c r="AE292" i="1" s="1"/>
  <c r="AD291" i="1"/>
  <c r="AE291" i="1"/>
  <c r="AD290" i="1"/>
  <c r="AE290" i="1" s="1"/>
  <c r="AD289" i="1"/>
  <c r="AE289" i="1"/>
  <c r="AD288" i="1"/>
  <c r="AE288" i="1" s="1"/>
  <c r="AD287" i="1"/>
  <c r="AE287" i="1"/>
  <c r="AD286" i="1"/>
  <c r="AE286" i="1" s="1"/>
  <c r="AD285" i="1"/>
  <c r="AE285" i="1" s="1"/>
  <c r="AD284" i="1"/>
  <c r="AE284" i="1" s="1"/>
  <c r="AD283" i="1"/>
  <c r="AE283" i="1"/>
  <c r="AD282" i="1"/>
  <c r="AE282" i="1" s="1"/>
  <c r="AD281" i="1"/>
  <c r="AE281" i="1"/>
  <c r="AD280" i="1"/>
  <c r="AE280" i="1" s="1"/>
  <c r="AD279" i="1"/>
  <c r="AE279" i="1"/>
  <c r="AD278" i="1"/>
  <c r="AE278" i="1" s="1"/>
  <c r="AD277" i="1"/>
  <c r="AE277" i="1" s="1"/>
  <c r="AD276" i="1"/>
  <c r="AE276" i="1" s="1"/>
  <c r="AD275" i="1"/>
  <c r="AE275" i="1"/>
  <c r="AD274" i="1"/>
  <c r="AE274" i="1" s="1"/>
  <c r="AD273" i="1"/>
  <c r="AE273" i="1"/>
  <c r="AD272" i="1"/>
  <c r="AE272" i="1" s="1"/>
  <c r="AD271" i="1"/>
  <c r="AE271" i="1"/>
  <c r="AD270" i="1"/>
  <c r="AE270" i="1" s="1"/>
  <c r="AD269" i="1"/>
  <c r="AE269" i="1" s="1"/>
  <c r="AD268" i="1"/>
  <c r="AE268" i="1" s="1"/>
  <c r="AD267" i="1"/>
  <c r="AE267" i="1"/>
  <c r="AD266" i="1"/>
  <c r="AE266" i="1" s="1"/>
  <c r="AD265" i="1"/>
  <c r="AE265" i="1"/>
  <c r="AD264" i="1"/>
  <c r="AE264" i="1" s="1"/>
  <c r="AD263" i="1"/>
  <c r="AE263" i="1"/>
  <c r="AD262" i="1"/>
  <c r="AE262" i="1" s="1"/>
  <c r="AD261" i="1"/>
  <c r="AE261" i="1" s="1"/>
  <c r="AD260" i="1"/>
  <c r="AE260" i="1" s="1"/>
  <c r="AD259" i="1"/>
  <c r="AE259" i="1"/>
  <c r="AD258" i="1"/>
  <c r="AE258" i="1" s="1"/>
  <c r="AD257" i="1"/>
  <c r="AE257" i="1"/>
  <c r="AD256" i="1"/>
  <c r="AE256" i="1" s="1"/>
  <c r="AD255" i="1"/>
  <c r="AE255" i="1"/>
  <c r="AD254" i="1"/>
  <c r="AE254" i="1" s="1"/>
  <c r="AD253" i="1"/>
  <c r="AE253" i="1" s="1"/>
  <c r="AD252" i="1"/>
  <c r="AE252" i="1" s="1"/>
  <c r="AD251" i="1"/>
  <c r="AE251" i="1"/>
  <c r="AD250" i="1"/>
  <c r="AE250" i="1" s="1"/>
  <c r="AD249" i="1"/>
  <c r="AE249" i="1"/>
  <c r="AD248" i="1"/>
  <c r="AE248" i="1" s="1"/>
  <c r="AD247" i="1"/>
  <c r="AE247" i="1"/>
  <c r="AD246" i="1"/>
  <c r="AE246" i="1" s="1"/>
  <c r="AD245" i="1"/>
  <c r="AE245" i="1" s="1"/>
  <c r="AD244" i="1"/>
  <c r="AE244" i="1" s="1"/>
  <c r="AD243" i="1"/>
  <c r="AE243" i="1"/>
  <c r="AD242" i="1"/>
  <c r="AE242" i="1" s="1"/>
  <c r="AD241" i="1"/>
  <c r="AE241" i="1"/>
  <c r="AD240" i="1"/>
  <c r="AE240" i="1" s="1"/>
  <c r="AD239" i="1"/>
  <c r="AE239" i="1"/>
  <c r="AD238" i="1"/>
  <c r="AE238" i="1" s="1"/>
  <c r="AD237" i="1"/>
  <c r="AE237" i="1" s="1"/>
  <c r="AD236" i="1"/>
  <c r="AE236" i="1" s="1"/>
  <c r="AD235" i="1"/>
  <c r="AE235" i="1"/>
  <c r="AD234" i="1"/>
  <c r="AE234" i="1" s="1"/>
  <c r="AD233" i="1"/>
  <c r="AE233" i="1"/>
  <c r="AD232" i="1"/>
  <c r="AE232" i="1" s="1"/>
  <c r="AD231" i="1"/>
  <c r="AE231" i="1"/>
  <c r="AD230" i="1"/>
  <c r="AE230" i="1" s="1"/>
  <c r="AD229" i="1"/>
  <c r="AE229" i="1" s="1"/>
  <c r="AD228" i="1"/>
  <c r="AE228" i="1" s="1"/>
  <c r="AD227" i="1"/>
  <c r="AE227" i="1"/>
  <c r="AD226" i="1"/>
  <c r="AE226" i="1" s="1"/>
  <c r="AD225" i="1"/>
  <c r="AE225" i="1"/>
  <c r="AD224" i="1"/>
  <c r="AE224" i="1" s="1"/>
  <c r="AD223" i="1"/>
  <c r="AE223" i="1"/>
  <c r="AD222" i="1"/>
  <c r="AE222" i="1" s="1"/>
  <c r="AD221" i="1"/>
  <c r="AE221" i="1" s="1"/>
  <c r="AD220" i="1"/>
  <c r="AE220" i="1" s="1"/>
  <c r="AD219" i="1"/>
  <c r="AE219" i="1"/>
  <c r="AD218" i="1"/>
  <c r="AE218" i="1" s="1"/>
  <c r="AD217" i="1"/>
  <c r="AE217" i="1"/>
  <c r="AD216" i="1"/>
  <c r="AE216" i="1" s="1"/>
  <c r="AD215" i="1"/>
  <c r="AE215" i="1"/>
  <c r="AD214" i="1"/>
  <c r="AE214" i="1" s="1"/>
  <c r="AD213" i="1"/>
  <c r="AE213" i="1" s="1"/>
  <c r="AD212" i="1"/>
  <c r="AE212" i="1" s="1"/>
  <c r="AD211" i="1"/>
  <c r="AE211" i="1"/>
  <c r="AD210" i="1"/>
  <c r="AE210" i="1" s="1"/>
  <c r="AD209" i="1"/>
  <c r="AE209" i="1"/>
  <c r="AD208" i="1"/>
  <c r="AE208" i="1" s="1"/>
  <c r="AD207" i="1"/>
  <c r="AE207" i="1"/>
  <c r="AD206" i="1"/>
  <c r="AE206" i="1" s="1"/>
  <c r="AD205" i="1"/>
  <c r="AE205" i="1" s="1"/>
  <c r="AD204" i="1"/>
  <c r="AE204" i="1" s="1"/>
  <c r="AD203" i="1"/>
  <c r="AE203" i="1"/>
  <c r="AD202" i="1"/>
  <c r="AE202" i="1" s="1"/>
  <c r="AD201" i="1"/>
  <c r="AE201" i="1"/>
  <c r="AD200" i="1"/>
  <c r="AE200" i="1" s="1"/>
  <c r="AD199" i="1"/>
  <c r="AE199" i="1"/>
  <c r="AD198" i="1"/>
  <c r="AE198" i="1" s="1"/>
  <c r="AD197" i="1"/>
  <c r="AE197" i="1"/>
  <c r="AD196" i="1"/>
  <c r="AE196" i="1" s="1"/>
  <c r="AD195" i="1"/>
  <c r="AE195" i="1"/>
  <c r="AD194" i="1"/>
  <c r="AE194" i="1" s="1"/>
  <c r="AD193" i="1"/>
  <c r="AE193" i="1"/>
  <c r="AD192" i="1"/>
  <c r="AE192" i="1" s="1"/>
  <c r="AD191" i="1"/>
  <c r="AE191" i="1"/>
  <c r="AD190" i="1"/>
  <c r="AE190" i="1" s="1"/>
  <c r="AD189" i="1"/>
  <c r="AE189" i="1"/>
  <c r="AD188" i="1"/>
  <c r="AE188" i="1" s="1"/>
  <c r="AD187" i="1"/>
  <c r="AE187" i="1"/>
  <c r="AD185" i="1"/>
  <c r="AE185" i="1"/>
  <c r="AD184" i="1"/>
  <c r="AE184" i="1"/>
  <c r="AD183" i="1"/>
  <c r="AE183" i="1"/>
  <c r="AD182" i="1"/>
  <c r="AE182" i="1"/>
  <c r="AD181" i="1"/>
  <c r="AE181" i="1"/>
  <c r="AD180" i="1"/>
  <c r="AE180" i="1"/>
  <c r="AD179" i="1"/>
  <c r="AE179" i="1"/>
  <c r="AD178" i="1"/>
  <c r="AE178" i="1"/>
  <c r="AD177" i="1"/>
  <c r="AE177" i="1"/>
  <c r="AD176" i="1"/>
  <c r="AE176" i="1"/>
  <c r="AD175" i="1"/>
  <c r="AE175" i="1"/>
  <c r="AD174" i="1"/>
  <c r="AE174" i="1"/>
  <c r="AD173" i="1"/>
  <c r="AE173" i="1"/>
  <c r="AD172" i="1"/>
  <c r="AE172" i="1"/>
  <c r="AD171" i="1"/>
  <c r="AE171" i="1"/>
  <c r="AD170" i="1"/>
  <c r="AE170" i="1"/>
  <c r="AD169" i="1"/>
  <c r="AE169" i="1"/>
  <c r="AD168" i="1"/>
  <c r="AE168" i="1"/>
  <c r="AD167" i="1"/>
  <c r="AE167" i="1"/>
  <c r="AD166" i="1"/>
  <c r="AE166" i="1"/>
  <c r="AD165" i="1"/>
  <c r="AE165" i="1"/>
  <c r="AD164" i="1"/>
  <c r="AE164" i="1"/>
  <c r="AD163" i="1"/>
  <c r="AE163" i="1"/>
  <c r="AD162" i="1"/>
  <c r="AE162" i="1"/>
  <c r="AD161" i="1"/>
  <c r="AE161" i="1"/>
  <c r="AD160" i="1"/>
  <c r="AE160" i="1"/>
  <c r="AD159" i="1"/>
  <c r="AE159" i="1"/>
  <c r="AD158" i="1"/>
  <c r="AE158" i="1"/>
  <c r="AD157" i="1"/>
  <c r="AE157" i="1"/>
  <c r="AD156" i="1"/>
  <c r="AE156" i="1"/>
  <c r="AD155" i="1"/>
  <c r="AE155" i="1"/>
  <c r="AD154" i="1"/>
  <c r="AE154" i="1"/>
  <c r="AD153" i="1"/>
  <c r="AE153" i="1"/>
  <c r="AD152" i="1"/>
  <c r="AE152" i="1"/>
  <c r="AD151" i="1"/>
  <c r="AE151" i="1"/>
  <c r="AD150" i="1"/>
  <c r="AE150" i="1"/>
  <c r="AD149" i="1"/>
  <c r="AE149" i="1"/>
  <c r="AD148" i="1"/>
  <c r="AE148" i="1"/>
  <c r="AD147" i="1"/>
  <c r="AE147" i="1"/>
  <c r="AD146" i="1"/>
  <c r="AE146" i="1"/>
  <c r="AD145" i="1"/>
  <c r="AE145" i="1"/>
  <c r="AD144" i="1"/>
  <c r="AE144" i="1"/>
  <c r="AD143" i="1"/>
  <c r="AE143" i="1"/>
  <c r="AD142" i="1"/>
  <c r="AE142" i="1"/>
  <c r="AD141" i="1"/>
  <c r="AE141" i="1"/>
  <c r="AD140" i="1"/>
  <c r="AE140" i="1"/>
  <c r="AD139" i="1"/>
  <c r="AE139" i="1"/>
  <c r="AD138" i="1"/>
  <c r="AE138" i="1"/>
  <c r="AD137" i="1"/>
  <c r="AE137" i="1"/>
  <c r="AD136" i="1"/>
  <c r="AE136" i="1"/>
  <c r="AD135" i="1"/>
  <c r="AE135" i="1"/>
  <c r="AD134" i="1"/>
  <c r="AE134" i="1"/>
  <c r="AD133" i="1"/>
  <c r="AE133" i="1"/>
  <c r="AD132" i="1"/>
  <c r="AE132" i="1"/>
  <c r="AD131" i="1"/>
  <c r="AE131" i="1"/>
  <c r="AE130" i="1"/>
  <c r="AD129" i="1"/>
  <c r="AE129" i="1" s="1"/>
  <c r="AD128" i="1"/>
  <c r="AE128" i="1"/>
  <c r="AD127" i="1"/>
  <c r="AE127" i="1" s="1"/>
  <c r="AD126" i="1"/>
  <c r="AE126" i="1"/>
  <c r="AD125" i="1"/>
  <c r="AE125" i="1" s="1"/>
  <c r="AD124" i="1"/>
  <c r="AE124" i="1"/>
  <c r="AD123" i="1"/>
  <c r="AE123" i="1" s="1"/>
  <c r="AD122" i="1"/>
  <c r="AE122" i="1"/>
  <c r="AD121" i="1"/>
  <c r="AE121" i="1" s="1"/>
  <c r="AD120" i="1"/>
  <c r="AE120" i="1"/>
  <c r="AD119" i="1"/>
  <c r="AE119" i="1" s="1"/>
  <c r="AD118" i="1"/>
  <c r="AE118" i="1"/>
  <c r="AD117" i="1"/>
  <c r="AE117" i="1" s="1"/>
  <c r="AD116" i="1"/>
  <c r="AE116" i="1"/>
  <c r="AD115" i="1"/>
  <c r="AE115" i="1" s="1"/>
  <c r="AD114" i="1"/>
  <c r="AE114" i="1"/>
  <c r="AD113" i="1"/>
  <c r="AE113" i="1" s="1"/>
  <c r="AD112" i="1"/>
  <c r="AE112" i="1"/>
  <c r="AD111" i="1"/>
  <c r="AE111" i="1" s="1"/>
  <c r="AE110" i="1"/>
  <c r="AD109" i="1"/>
  <c r="AE109" i="1"/>
  <c r="AD108" i="1"/>
  <c r="AE108" i="1"/>
  <c r="AD107" i="1"/>
  <c r="AE107" i="1"/>
  <c r="AD106" i="1"/>
  <c r="AE106" i="1"/>
  <c r="AD105" i="1"/>
  <c r="AE105" i="1"/>
  <c r="AD104" i="1"/>
  <c r="AE104" i="1"/>
  <c r="AD103" i="1"/>
  <c r="AE103" i="1"/>
  <c r="AD102" i="1"/>
  <c r="AE102" i="1"/>
  <c r="AD101" i="1"/>
  <c r="AE101" i="1"/>
  <c r="AD100" i="1"/>
  <c r="AE100" i="1"/>
  <c r="AD99" i="1"/>
  <c r="AE99" i="1"/>
  <c r="AD98" i="1"/>
  <c r="AE98" i="1"/>
  <c r="AD97" i="1"/>
  <c r="AE97" i="1"/>
  <c r="AD96" i="1"/>
  <c r="AE96" i="1"/>
  <c r="AD95" i="1"/>
  <c r="AE95" i="1"/>
  <c r="AD94" i="1"/>
  <c r="AE94" i="1"/>
  <c r="AD93" i="1"/>
  <c r="AE93" i="1"/>
  <c r="AD92" i="1"/>
  <c r="AE92" i="1"/>
  <c r="AD91" i="1"/>
  <c r="AE91" i="1"/>
  <c r="AD90" i="1"/>
  <c r="AE90" i="1"/>
  <c r="AD89" i="1"/>
  <c r="AE89" i="1"/>
  <c r="AD88" i="1"/>
  <c r="AE88" i="1"/>
  <c r="AD87" i="1"/>
  <c r="AE87" i="1"/>
  <c r="AD86" i="1"/>
  <c r="AE86" i="1"/>
  <c r="AD85" i="1"/>
  <c r="AE85" i="1"/>
  <c r="AD84" i="1"/>
  <c r="AE84" i="1"/>
  <c r="AD83" i="1"/>
  <c r="AE83" i="1"/>
  <c r="AD82" i="1"/>
  <c r="AE82" i="1"/>
  <c r="AD81" i="1"/>
  <c r="AE81" i="1"/>
  <c r="AD80" i="1"/>
  <c r="AE80" i="1"/>
  <c r="AD79" i="1"/>
  <c r="AE79" i="1"/>
  <c r="AD78" i="1"/>
  <c r="AE78" i="1"/>
  <c r="AD77" i="1"/>
  <c r="AE77" i="1"/>
  <c r="AD76" i="1"/>
  <c r="AE76" i="1"/>
  <c r="AD75" i="1"/>
  <c r="AE75" i="1"/>
  <c r="AD74" i="1"/>
  <c r="AE74" i="1"/>
  <c r="AD73" i="1"/>
  <c r="AE73" i="1"/>
  <c r="AD72" i="1"/>
  <c r="AE72" i="1"/>
  <c r="AD71" i="1"/>
  <c r="AE71" i="1"/>
  <c r="AD70" i="1"/>
  <c r="AE70" i="1"/>
  <c r="AD69" i="1"/>
  <c r="AE69" i="1"/>
  <c r="AD68" i="1"/>
  <c r="AE68" i="1"/>
  <c r="AD67" i="1"/>
  <c r="AE67" i="1"/>
  <c r="AD66" i="1"/>
  <c r="AE66" i="1"/>
  <c r="AD65" i="1"/>
  <c r="AE65" i="1"/>
  <c r="AD64" i="1"/>
  <c r="AE64" i="1"/>
  <c r="AD63" i="1"/>
  <c r="AE63" i="1"/>
  <c r="AD62" i="1"/>
  <c r="AE62" i="1"/>
  <c r="AD61" i="1"/>
  <c r="AE61" i="1"/>
  <c r="AD60" i="1"/>
  <c r="AE60" i="1"/>
  <c r="AD59" i="1"/>
  <c r="AE59" i="1"/>
  <c r="AD58" i="1"/>
  <c r="AE58" i="1"/>
  <c r="AD57" i="1"/>
  <c r="AE57" i="1"/>
  <c r="AD56" i="1"/>
  <c r="AE56" i="1"/>
  <c r="AD55" i="1"/>
  <c r="AE55" i="1"/>
  <c r="AD54" i="1"/>
  <c r="AE54" i="1"/>
  <c r="AD53" i="1"/>
  <c r="AE53" i="1"/>
  <c r="AD52" i="1"/>
  <c r="AE52" i="1"/>
  <c r="AD51" i="1"/>
  <c r="AE51" i="1"/>
  <c r="AD50" i="1"/>
  <c r="AE50" i="1"/>
  <c r="AD49" i="1"/>
  <c r="AE49" i="1"/>
  <c r="AD48" i="1"/>
  <c r="AE48" i="1"/>
  <c r="AD47" i="1"/>
  <c r="AE47" i="1"/>
  <c r="AD46" i="1"/>
  <c r="AE46" i="1"/>
  <c r="AD45" i="1"/>
  <c r="AE45" i="1"/>
  <c r="AD44" i="1"/>
  <c r="AE44" i="1"/>
  <c r="AD43" i="1"/>
  <c r="AE43" i="1"/>
  <c r="AD42" i="1"/>
  <c r="AE42" i="1"/>
  <c r="AD41" i="1"/>
  <c r="AE41" i="1"/>
  <c r="AD40" i="1"/>
  <c r="AE40" i="1"/>
  <c r="AD39" i="1"/>
  <c r="AE39" i="1"/>
  <c r="AD38" i="1"/>
  <c r="AE38" i="1"/>
  <c r="AD37" i="1"/>
  <c r="AE37" i="1"/>
  <c r="AD36" i="1"/>
  <c r="AE36" i="1"/>
  <c r="AD35" i="1"/>
  <c r="AE35" i="1"/>
  <c r="AD34" i="1"/>
  <c r="AE34" i="1"/>
  <c r="AD33" i="1"/>
  <c r="AE33" i="1"/>
  <c r="AD32" i="1"/>
  <c r="AE32" i="1"/>
  <c r="AD31" i="1"/>
  <c r="AE31" i="1"/>
  <c r="AD30" i="1"/>
  <c r="AE30" i="1"/>
  <c r="AD29" i="1"/>
  <c r="AE29" i="1"/>
  <c r="AD28" i="1"/>
  <c r="AE28" i="1"/>
  <c r="AD27" i="1"/>
  <c r="AE27" i="1"/>
  <c r="AD26" i="1"/>
  <c r="AE26" i="1"/>
  <c r="AD25" i="1"/>
  <c r="AE25" i="1"/>
  <c r="AD24" i="1"/>
  <c r="AE24" i="1"/>
  <c r="AD23" i="1"/>
  <c r="AE23" i="1"/>
  <c r="AD22" i="1"/>
  <c r="AE22" i="1"/>
  <c r="AD21" i="1"/>
  <c r="AE21" i="1"/>
  <c r="AD20" i="1"/>
  <c r="AE20" i="1"/>
  <c r="AD19" i="1"/>
  <c r="AE19" i="1"/>
  <c r="AD18" i="1"/>
  <c r="AE18" i="1"/>
  <c r="AD17" i="1"/>
  <c r="AE17" i="1"/>
  <c r="AD16" i="1"/>
  <c r="AE16" i="1"/>
  <c r="AD15" i="1"/>
  <c r="AE15" i="1"/>
  <c r="AD14" i="1"/>
  <c r="AE14" i="1"/>
  <c r="AD13" i="1"/>
  <c r="AE13" i="1"/>
  <c r="AD12" i="1"/>
  <c r="AE12" i="1"/>
  <c r="AD11" i="1"/>
  <c r="AE11" i="1"/>
  <c r="AD10" i="1"/>
  <c r="AE10" i="1"/>
  <c r="AD9" i="1"/>
  <c r="AE9" i="1"/>
  <c r="AD7" i="1"/>
  <c r="AE7" i="1"/>
  <c r="AD6" i="1"/>
  <c r="AE6" i="1" s="1"/>
  <c r="AD5" i="1"/>
  <c r="AE5" i="1"/>
  <c r="AD4" i="1"/>
  <c r="AE4" i="1" s="1"/>
  <c r="AD3" i="1"/>
  <c r="AE3" i="1"/>
  <c r="AD2" i="1"/>
  <c r="AE2" i="1" s="1"/>
  <c r="O1367" i="1"/>
  <c r="U1367" i="1"/>
  <c r="V1367" i="1"/>
  <c r="W1367" i="1" s="1"/>
  <c r="AA1367" i="1"/>
  <c r="O1366" i="1"/>
  <c r="W1366" i="1" s="1"/>
  <c r="U1366" i="1"/>
  <c r="V1366" i="1" s="1"/>
  <c r="O1365" i="1"/>
  <c r="U1365" i="1"/>
  <c r="V1365" i="1" s="1"/>
  <c r="AA1365" i="1"/>
  <c r="O1364" i="1"/>
  <c r="W1364" i="1" s="1"/>
  <c r="U1364" i="1"/>
  <c r="V1364" i="1"/>
  <c r="AA1364" i="1"/>
  <c r="O1363" i="1"/>
  <c r="U1363" i="1"/>
  <c r="V1363" i="1"/>
  <c r="W1363" i="1"/>
  <c r="AA1363" i="1"/>
  <c r="O1361" i="1"/>
  <c r="U1361" i="1"/>
  <c r="V1361" i="1"/>
  <c r="W1361" i="1" s="1"/>
  <c r="AA1361" i="1"/>
  <c r="O1360" i="1"/>
  <c r="U1360" i="1"/>
  <c r="V1360" i="1" s="1"/>
  <c r="AA1360" i="1"/>
  <c r="O1359" i="1"/>
  <c r="U1359" i="1"/>
  <c r="V1359" i="1"/>
  <c r="W1359" i="1"/>
  <c r="AA1359" i="1"/>
  <c r="O1358" i="1"/>
  <c r="U1358" i="1"/>
  <c r="V1358" i="1"/>
  <c r="W1358" i="1"/>
  <c r="AA1358" i="1"/>
  <c r="O1357" i="1"/>
  <c r="W1357" i="1" s="1"/>
  <c r="U1357" i="1"/>
  <c r="V1357" i="1"/>
  <c r="AA1357" i="1"/>
  <c r="O1356" i="1"/>
  <c r="U1356" i="1"/>
  <c r="V1356" i="1" s="1"/>
  <c r="W1356" i="1" s="1"/>
  <c r="AA1356" i="1"/>
  <c r="O1355" i="1"/>
  <c r="W1355" i="1" s="1"/>
  <c r="U1355" i="1"/>
  <c r="V1355" i="1"/>
  <c r="AA1355" i="1"/>
  <c r="O1354" i="1"/>
  <c r="U1354" i="1"/>
  <c r="V1354" i="1"/>
  <c r="W1354" i="1"/>
  <c r="AA1354" i="1"/>
  <c r="O1353" i="1"/>
  <c r="U1353" i="1"/>
  <c r="V1353" i="1"/>
  <c r="W1353" i="1" s="1"/>
  <c r="O1352" i="1"/>
  <c r="W1352" i="1" s="1"/>
  <c r="U1352" i="1"/>
  <c r="V1352" i="1"/>
  <c r="AA1352" i="1"/>
  <c r="O1351" i="1"/>
  <c r="U1351" i="1"/>
  <c r="V1351" i="1" s="1"/>
  <c r="W1351" i="1" s="1"/>
  <c r="AA1351" i="1"/>
  <c r="O1350" i="1"/>
  <c r="W1350" i="1" s="1"/>
  <c r="U1350" i="1"/>
  <c r="V1350" i="1"/>
  <c r="AA1350" i="1"/>
  <c r="O1349" i="1"/>
  <c r="U1349" i="1"/>
  <c r="V1349" i="1"/>
  <c r="W1349" i="1"/>
  <c r="O1348" i="1"/>
  <c r="U1348" i="1"/>
  <c r="V1348" i="1"/>
  <c r="W1348" i="1"/>
  <c r="AA1348" i="1"/>
  <c r="O1347" i="1"/>
  <c r="W1347" i="1" s="1"/>
  <c r="U1347" i="1"/>
  <c r="V1347" i="1"/>
  <c r="AA1347" i="1"/>
  <c r="O1346" i="1"/>
  <c r="U1346" i="1"/>
  <c r="V1346" i="1" s="1"/>
  <c r="W1346" i="1" s="1"/>
  <c r="AA1346" i="1"/>
  <c r="O1345" i="1"/>
  <c r="W1345" i="1" s="1"/>
  <c r="U1345" i="1"/>
  <c r="V1345" i="1"/>
  <c r="AA1345" i="1"/>
  <c r="O1344" i="1"/>
  <c r="U1344" i="1"/>
  <c r="V1344" i="1"/>
  <c r="W1344" i="1"/>
  <c r="AA1344" i="1"/>
  <c r="O1343" i="1"/>
  <c r="U1343" i="1"/>
  <c r="V1343" i="1"/>
  <c r="W1343" i="1" s="1"/>
  <c r="AA1343" i="1"/>
  <c r="O1342" i="1"/>
  <c r="U1342" i="1"/>
  <c r="V1342" i="1" s="1"/>
  <c r="AA1342" i="1"/>
  <c r="O1341" i="1"/>
  <c r="U1341" i="1"/>
  <c r="V1341" i="1"/>
  <c r="W1341" i="1"/>
  <c r="O1340" i="1"/>
  <c r="W1340" i="1" s="1"/>
  <c r="U1340" i="1"/>
  <c r="V1340" i="1"/>
  <c r="AA1340" i="1"/>
  <c r="O1339" i="1"/>
  <c r="U1339" i="1"/>
  <c r="V1339" i="1"/>
  <c r="W1339" i="1"/>
  <c r="AA1339" i="1"/>
  <c r="O1338" i="1"/>
  <c r="U1338" i="1"/>
  <c r="V1338" i="1"/>
  <c r="W1338" i="1" s="1"/>
  <c r="AA1338" i="1"/>
  <c r="O1337" i="1"/>
  <c r="U1337" i="1"/>
  <c r="V1337" i="1" s="1"/>
  <c r="AA1337" i="1"/>
  <c r="O1336" i="1"/>
  <c r="U1336" i="1"/>
  <c r="V1336" i="1"/>
  <c r="W1336" i="1"/>
  <c r="AA1336" i="1"/>
  <c r="O1335" i="1"/>
  <c r="U1335" i="1"/>
  <c r="V1335" i="1"/>
  <c r="W1335" i="1"/>
  <c r="O1334" i="1"/>
  <c r="U1334" i="1"/>
  <c r="V1334" i="1"/>
  <c r="W1334" i="1"/>
  <c r="AA1334" i="1"/>
  <c r="O1333" i="1"/>
  <c r="U1333" i="1"/>
  <c r="V1333" i="1"/>
  <c r="W1333" i="1" s="1"/>
  <c r="O1332" i="1"/>
  <c r="W1332" i="1" s="1"/>
  <c r="U1332" i="1"/>
  <c r="V1332" i="1"/>
  <c r="AA1332" i="1"/>
  <c r="O1331" i="1"/>
  <c r="U1331" i="1"/>
  <c r="V1331" i="1" s="1"/>
  <c r="W1331" i="1" s="1"/>
  <c r="O1330" i="1"/>
  <c r="W1330" i="1" s="1"/>
  <c r="U1330" i="1"/>
  <c r="V1330" i="1" s="1"/>
  <c r="AA1330" i="1"/>
  <c r="O1329" i="1"/>
  <c r="U1329" i="1"/>
  <c r="V1329" i="1"/>
  <c r="W1329" i="1"/>
  <c r="AA1329" i="1"/>
  <c r="O1328" i="1"/>
  <c r="U1328" i="1"/>
  <c r="V1328" i="1"/>
  <c r="W1328" i="1"/>
  <c r="AA1328" i="1"/>
  <c r="O1327" i="1"/>
  <c r="W1327" i="1" s="1"/>
  <c r="U1327" i="1"/>
  <c r="V1327" i="1"/>
  <c r="AA1327" i="1"/>
  <c r="O1326" i="1"/>
  <c r="U1326" i="1"/>
  <c r="V1326" i="1" s="1"/>
  <c r="W1326" i="1" s="1"/>
  <c r="AA1326" i="1"/>
  <c r="O1325" i="1"/>
  <c r="W1325" i="1" s="1"/>
  <c r="U1325" i="1"/>
  <c r="V1325" i="1"/>
  <c r="AA1325" i="1"/>
  <c r="O1324" i="1"/>
  <c r="U1324" i="1"/>
  <c r="V1324" i="1"/>
  <c r="W1324" i="1"/>
  <c r="AA1324" i="1"/>
  <c r="O1323" i="1"/>
  <c r="U1323" i="1"/>
  <c r="V1323" i="1"/>
  <c r="W1323" i="1" s="1"/>
  <c r="AA1323" i="1"/>
  <c r="O1322" i="1"/>
  <c r="U1322" i="1"/>
  <c r="V1322" i="1" s="1"/>
  <c r="AA1322" i="1"/>
  <c r="O1321" i="1"/>
  <c r="U1321" i="1"/>
  <c r="V1321" i="1"/>
  <c r="W1321" i="1"/>
  <c r="AA1321" i="1"/>
  <c r="O1320" i="1"/>
  <c r="U1320" i="1"/>
  <c r="V1320" i="1"/>
  <c r="W1320" i="1"/>
  <c r="AA1320" i="1"/>
  <c r="O1319" i="1"/>
  <c r="W1319" i="1" s="1"/>
  <c r="U1319" i="1"/>
  <c r="V1319" i="1"/>
  <c r="AA1319" i="1"/>
  <c r="O1318" i="1"/>
  <c r="U1318" i="1"/>
  <c r="V1318" i="1" s="1"/>
  <c r="W1318" i="1" s="1"/>
  <c r="AA1318" i="1"/>
  <c r="O1317" i="1"/>
  <c r="W1317" i="1" s="1"/>
  <c r="U1317" i="1"/>
  <c r="V1317" i="1"/>
  <c r="O1316" i="1"/>
  <c r="U1316" i="1"/>
  <c r="V1316" i="1"/>
  <c r="W1316" i="1"/>
  <c r="AA1316" i="1"/>
  <c r="O1315" i="1"/>
  <c r="U1315" i="1"/>
  <c r="V1315" i="1"/>
  <c r="W1315" i="1"/>
  <c r="AA1315" i="1"/>
  <c r="O1314" i="1"/>
  <c r="W1314" i="1" s="1"/>
  <c r="U1314" i="1"/>
  <c r="V1314" i="1"/>
  <c r="AA1314" i="1"/>
  <c r="O1313" i="1"/>
  <c r="U1313" i="1"/>
  <c r="V1313" i="1" s="1"/>
  <c r="W1313" i="1" s="1"/>
  <c r="O1312" i="1"/>
  <c r="W1312" i="1" s="1"/>
  <c r="U1312" i="1"/>
  <c r="V1312" i="1" s="1"/>
  <c r="AA1312" i="1"/>
  <c r="O1311" i="1"/>
  <c r="U1311" i="1"/>
  <c r="V1311" i="1"/>
  <c r="W1311" i="1"/>
  <c r="AA1311" i="1"/>
  <c r="O1310" i="1"/>
  <c r="U1310" i="1"/>
  <c r="V1310" i="1"/>
  <c r="W1310" i="1"/>
  <c r="AA1310" i="1"/>
  <c r="O1309" i="1"/>
  <c r="W1309" i="1" s="1"/>
  <c r="U1309" i="1"/>
  <c r="V1309" i="1"/>
  <c r="AA1309" i="1"/>
  <c r="O1308" i="1"/>
  <c r="U1308" i="1"/>
  <c r="V1308" i="1" s="1"/>
  <c r="W1308" i="1" s="1"/>
  <c r="AA1308" i="1"/>
  <c r="O1307" i="1"/>
  <c r="W1307" i="1" s="1"/>
  <c r="U1307" i="1"/>
  <c r="V1307" i="1"/>
  <c r="AA1307" i="1"/>
  <c r="O1306" i="1"/>
  <c r="V1306" i="1"/>
  <c r="W1306" i="1"/>
  <c r="O1305" i="1"/>
  <c r="U1305" i="1"/>
  <c r="V1305" i="1"/>
  <c r="W1305" i="1"/>
  <c r="AA1305" i="1"/>
  <c r="O1304" i="1"/>
  <c r="W1304" i="1" s="1"/>
  <c r="U1304" i="1"/>
  <c r="V1304" i="1"/>
  <c r="AA1304" i="1"/>
  <c r="O1303" i="1"/>
  <c r="U1303" i="1"/>
  <c r="V1303" i="1" s="1"/>
  <c r="W1303" i="1" s="1"/>
  <c r="AA1303" i="1"/>
  <c r="O1302" i="1"/>
  <c r="W1302" i="1" s="1"/>
  <c r="U1302" i="1"/>
  <c r="V1302" i="1"/>
  <c r="AA1302" i="1"/>
  <c r="O1301" i="1"/>
  <c r="U1301" i="1"/>
  <c r="V1301" i="1"/>
  <c r="W1301" i="1"/>
  <c r="AA1301" i="1"/>
  <c r="O1300" i="1"/>
  <c r="U1300" i="1"/>
  <c r="V1300" i="1"/>
  <c r="W1300" i="1" s="1"/>
  <c r="AA1300" i="1"/>
  <c r="O1299" i="1"/>
  <c r="U1299" i="1"/>
  <c r="V1299" i="1" s="1"/>
  <c r="AA1299" i="1"/>
  <c r="O1298" i="1"/>
  <c r="U1298" i="1"/>
  <c r="V1298" i="1"/>
  <c r="W1298" i="1"/>
  <c r="AA1298" i="1"/>
  <c r="O1297" i="1"/>
  <c r="U1297" i="1"/>
  <c r="V1297" i="1"/>
  <c r="W1297" i="1"/>
  <c r="AA1297" i="1"/>
  <c r="O1296" i="1"/>
  <c r="W1296" i="1" s="1"/>
  <c r="U1296" i="1"/>
  <c r="V1296" i="1"/>
  <c r="AA1296" i="1"/>
  <c r="O1295" i="1"/>
  <c r="U1295" i="1"/>
  <c r="V1295" i="1" s="1"/>
  <c r="W1295" i="1" s="1"/>
  <c r="O1294" i="1"/>
  <c r="U1294" i="1"/>
  <c r="V1294" i="1" s="1"/>
  <c r="AA1294" i="1"/>
  <c r="O1293" i="1"/>
  <c r="U1293" i="1"/>
  <c r="V1293" i="1"/>
  <c r="W1293" i="1"/>
  <c r="AA1293" i="1"/>
  <c r="O1292" i="1"/>
  <c r="U1292" i="1"/>
  <c r="V1292" i="1"/>
  <c r="W1292" i="1"/>
  <c r="AA1292" i="1"/>
  <c r="O1291" i="1"/>
  <c r="W1291" i="1" s="1"/>
  <c r="U1291" i="1"/>
  <c r="V1291" i="1"/>
  <c r="AA1291" i="1"/>
  <c r="O1290" i="1"/>
  <c r="U1290" i="1"/>
  <c r="V1290" i="1" s="1"/>
  <c r="W1290" i="1" s="1"/>
  <c r="O1289" i="1"/>
  <c r="U1289" i="1"/>
  <c r="V1289" i="1" s="1"/>
  <c r="AA1289" i="1"/>
  <c r="O1288" i="1"/>
  <c r="U1288" i="1"/>
  <c r="V1288" i="1"/>
  <c r="W1288" i="1"/>
  <c r="AA1288" i="1"/>
  <c r="O1287" i="1"/>
  <c r="U1287" i="1"/>
  <c r="V1287" i="1"/>
  <c r="W1287" i="1"/>
  <c r="AA1287" i="1"/>
  <c r="O1286" i="1"/>
  <c r="W1286" i="1" s="1"/>
  <c r="U1286" i="1"/>
  <c r="V1286" i="1"/>
  <c r="AA1286" i="1"/>
  <c r="O1285" i="1"/>
  <c r="U1285" i="1"/>
  <c r="V1285" i="1" s="1"/>
  <c r="W1285" i="1" s="1"/>
  <c r="AA1285" i="1"/>
  <c r="O1284" i="1"/>
  <c r="W1284" i="1" s="1"/>
  <c r="U1284" i="1"/>
  <c r="V1284" i="1"/>
  <c r="AA1284" i="1"/>
  <c r="O1283" i="1"/>
  <c r="U1283" i="1"/>
  <c r="V1283" i="1"/>
  <c r="W1283" i="1"/>
  <c r="AA1283" i="1"/>
  <c r="O1282" i="1"/>
  <c r="U1282" i="1"/>
  <c r="V1282" i="1"/>
  <c r="W1282" i="1" s="1"/>
  <c r="AA1282" i="1"/>
  <c r="O1281" i="1"/>
  <c r="W1281" i="1" s="1"/>
  <c r="U1281" i="1"/>
  <c r="V1281" i="1" s="1"/>
  <c r="AA1281" i="1"/>
  <c r="O1280" i="1"/>
  <c r="U1280" i="1"/>
  <c r="V1280" i="1"/>
  <c r="W1280" i="1"/>
  <c r="AA1280" i="1"/>
  <c r="O1279" i="1"/>
  <c r="U1279" i="1"/>
  <c r="V1279" i="1"/>
  <c r="W1279" i="1"/>
  <c r="O1278" i="1"/>
  <c r="U1278" i="1"/>
  <c r="V1278" i="1"/>
  <c r="W1278" i="1"/>
  <c r="AA1278" i="1"/>
  <c r="O1277" i="1"/>
  <c r="U1277" i="1"/>
  <c r="V1277" i="1"/>
  <c r="W1277" i="1" s="1"/>
  <c r="AA1277" i="1"/>
  <c r="O1276" i="1"/>
  <c r="W1276" i="1" s="1"/>
  <c r="U1276" i="1"/>
  <c r="V1276" i="1" s="1"/>
  <c r="AA1276" i="1"/>
  <c r="O1275" i="1"/>
  <c r="U1275" i="1"/>
  <c r="V1275" i="1"/>
  <c r="W1275" i="1"/>
  <c r="AA1275" i="1"/>
  <c r="O1274" i="1"/>
  <c r="U1274" i="1"/>
  <c r="V1274" i="1"/>
  <c r="W1274" i="1"/>
  <c r="AA1274" i="1"/>
  <c r="O1273" i="1"/>
  <c r="W1273" i="1" s="1"/>
  <c r="U1273" i="1"/>
  <c r="V1273" i="1"/>
  <c r="AA1273" i="1"/>
  <c r="O1272" i="1"/>
  <c r="U1272" i="1"/>
  <c r="V1272" i="1" s="1"/>
  <c r="W1272" i="1" s="1"/>
  <c r="AA1272" i="1"/>
  <c r="O1271" i="1"/>
  <c r="W1271" i="1" s="1"/>
  <c r="U1271" i="1"/>
  <c r="V1271" i="1"/>
  <c r="AA1271" i="1"/>
  <c r="O1270" i="1"/>
  <c r="U1270" i="1"/>
  <c r="V1270" i="1"/>
  <c r="W1270" i="1"/>
  <c r="AA1270" i="1"/>
  <c r="O1269" i="1"/>
  <c r="U1269" i="1"/>
  <c r="V1269" i="1"/>
  <c r="W1269" i="1" s="1"/>
  <c r="AA1269" i="1"/>
  <c r="O1268" i="1"/>
  <c r="U1268" i="1"/>
  <c r="V1268" i="1" s="1"/>
  <c r="O1267" i="1"/>
  <c r="U1267" i="1"/>
  <c r="V1267" i="1" s="1"/>
  <c r="W1267" i="1" s="1"/>
  <c r="AA1267" i="1"/>
  <c r="O1266" i="1"/>
  <c r="W1266" i="1" s="1"/>
  <c r="U1266" i="1"/>
  <c r="V1266" i="1"/>
  <c r="O1265" i="1"/>
  <c r="U1265" i="1"/>
  <c r="V1265" i="1"/>
  <c r="W1265" i="1"/>
  <c r="AA1265" i="1"/>
  <c r="O1264" i="1"/>
  <c r="U1264" i="1"/>
  <c r="V1264" i="1"/>
  <c r="W1264" i="1" s="1"/>
  <c r="AA1264" i="1"/>
  <c r="O1263" i="1"/>
  <c r="U1263" i="1"/>
  <c r="V1263" i="1" s="1"/>
  <c r="AA1263" i="1"/>
  <c r="O1262" i="1"/>
  <c r="U1262" i="1"/>
  <c r="V1262" i="1"/>
  <c r="W1262" i="1"/>
  <c r="AA1262" i="1"/>
  <c r="O1261" i="1"/>
  <c r="U1261" i="1"/>
  <c r="V1261" i="1"/>
  <c r="W1261" i="1"/>
  <c r="AA1261" i="1"/>
  <c r="O1260" i="1"/>
  <c r="W1260" i="1" s="1"/>
  <c r="U1260" i="1"/>
  <c r="V1260" i="1"/>
  <c r="AA1260" i="1"/>
  <c r="O1259" i="1"/>
  <c r="U1259" i="1"/>
  <c r="V1259" i="1" s="1"/>
  <c r="W1259" i="1" s="1"/>
  <c r="AA1259" i="1"/>
  <c r="O1258" i="1"/>
  <c r="W1258" i="1" s="1"/>
  <c r="U1258" i="1"/>
  <c r="V1258" i="1"/>
  <c r="AA1258" i="1"/>
  <c r="O1257" i="1"/>
  <c r="U1257" i="1"/>
  <c r="V1257" i="1"/>
  <c r="W1257" i="1"/>
  <c r="AA1257" i="1"/>
  <c r="O1256" i="1"/>
  <c r="U1256" i="1"/>
  <c r="V1256" i="1"/>
  <c r="W1256" i="1" s="1"/>
  <c r="AA1256" i="1"/>
  <c r="O1255" i="1"/>
  <c r="W1255" i="1" s="1"/>
  <c r="U1255" i="1"/>
  <c r="V1255" i="1" s="1"/>
  <c r="AA1255" i="1"/>
  <c r="O1254" i="1"/>
  <c r="U1254" i="1"/>
  <c r="V1254" i="1"/>
  <c r="W1254" i="1"/>
  <c r="AA1254" i="1"/>
  <c r="O1253" i="1"/>
  <c r="U1253" i="1"/>
  <c r="V1253" i="1"/>
  <c r="W1253" i="1"/>
  <c r="AA1253" i="1"/>
  <c r="O1252" i="1"/>
  <c r="W1252" i="1" s="1"/>
  <c r="U1252" i="1"/>
  <c r="V1252" i="1"/>
  <c r="AA1252" i="1"/>
  <c r="O1251" i="1"/>
  <c r="U1251" i="1"/>
  <c r="V1251" i="1" s="1"/>
  <c r="W1251" i="1" s="1"/>
  <c r="AA1251" i="1"/>
  <c r="O1250" i="1"/>
  <c r="W1250" i="1" s="1"/>
  <c r="U1250" i="1"/>
  <c r="V1250" i="1"/>
  <c r="AA1250" i="1"/>
  <c r="O1249" i="1"/>
  <c r="U1249" i="1"/>
  <c r="V1249" i="1"/>
  <c r="W1249" i="1"/>
  <c r="AA1249" i="1"/>
  <c r="O1248" i="1"/>
  <c r="U1248" i="1"/>
  <c r="V1248" i="1"/>
  <c r="W1248" i="1" s="1"/>
  <c r="AA1248" i="1"/>
  <c r="O1247" i="1"/>
  <c r="U1247" i="1"/>
  <c r="V1247" i="1" s="1"/>
  <c r="AA1247" i="1"/>
  <c r="O1246" i="1"/>
  <c r="U1246" i="1"/>
  <c r="V1246" i="1"/>
  <c r="W1246" i="1"/>
  <c r="AA1246" i="1"/>
  <c r="O1245" i="1"/>
  <c r="U1245" i="1"/>
  <c r="V1245" i="1"/>
  <c r="W1245" i="1"/>
  <c r="AA1245" i="1"/>
  <c r="O1244" i="1"/>
  <c r="W1244" i="1" s="1"/>
  <c r="U1244" i="1"/>
  <c r="V1244" i="1"/>
  <c r="AA1244" i="1"/>
  <c r="O1243" i="1"/>
  <c r="U1243" i="1"/>
  <c r="V1243" i="1" s="1"/>
  <c r="W1243" i="1" s="1"/>
  <c r="AA1243" i="1"/>
  <c r="O1242" i="1"/>
  <c r="W1242" i="1" s="1"/>
  <c r="U1242" i="1"/>
  <c r="V1242" i="1"/>
  <c r="AA1242" i="1"/>
  <c r="O1241" i="1"/>
  <c r="U1241" i="1"/>
  <c r="V1241" i="1"/>
  <c r="W1241" i="1"/>
  <c r="AA1241" i="1"/>
  <c r="O1240" i="1"/>
  <c r="U1240" i="1"/>
  <c r="V1240" i="1"/>
  <c r="W1240" i="1" s="1"/>
  <c r="AA1240" i="1"/>
  <c r="O1239" i="1"/>
  <c r="U1239" i="1"/>
  <c r="V1239" i="1" s="1"/>
  <c r="AA1239" i="1"/>
  <c r="O1238" i="1"/>
  <c r="U1238" i="1"/>
  <c r="V1238" i="1"/>
  <c r="W1238" i="1"/>
  <c r="AA1238" i="1"/>
  <c r="O1237" i="1"/>
  <c r="U1237" i="1"/>
  <c r="V1237" i="1"/>
  <c r="W1237" i="1"/>
  <c r="AA1237" i="1"/>
  <c r="O1236" i="1"/>
  <c r="W1236" i="1" s="1"/>
  <c r="U1236" i="1"/>
  <c r="V1236" i="1"/>
  <c r="AA1236" i="1"/>
  <c r="O1235" i="1"/>
  <c r="U1235" i="1"/>
  <c r="V1235" i="1" s="1"/>
  <c r="W1235" i="1" s="1"/>
  <c r="AA1235" i="1"/>
  <c r="O1234" i="1"/>
  <c r="W1234" i="1" s="1"/>
  <c r="U1234" i="1"/>
  <c r="V1234" i="1"/>
  <c r="AA1234" i="1"/>
  <c r="O1233" i="1"/>
  <c r="U1233" i="1"/>
  <c r="V1233" i="1"/>
  <c r="W1233" i="1"/>
  <c r="AA1233" i="1"/>
  <c r="O1232" i="1"/>
  <c r="U1232" i="1"/>
  <c r="V1232" i="1"/>
  <c r="W1232" i="1" s="1"/>
  <c r="O1231" i="1"/>
  <c r="W1231" i="1" s="1"/>
  <c r="U1231" i="1"/>
  <c r="V1231" i="1"/>
  <c r="AA1231" i="1"/>
  <c r="O1230" i="1"/>
  <c r="U1230" i="1"/>
  <c r="V1230" i="1" s="1"/>
  <c r="W1230" i="1" s="1"/>
  <c r="AA1230" i="1"/>
  <c r="O1229" i="1"/>
  <c r="W1229" i="1" s="1"/>
  <c r="U1229" i="1"/>
  <c r="V1229" i="1"/>
  <c r="AA1229" i="1"/>
  <c r="O1228" i="1"/>
  <c r="U1228" i="1"/>
  <c r="V1228" i="1"/>
  <c r="W1228" i="1"/>
  <c r="AA1228" i="1"/>
  <c r="O1227" i="1"/>
  <c r="U1227" i="1"/>
  <c r="V1227" i="1"/>
  <c r="W1227" i="1" s="1"/>
  <c r="AA1227" i="1"/>
  <c r="O1226" i="1"/>
  <c r="U1226" i="1"/>
  <c r="V1226" i="1" s="1"/>
  <c r="AA1226" i="1"/>
  <c r="O1225" i="1"/>
  <c r="U1225" i="1"/>
  <c r="V1225" i="1"/>
  <c r="W1225" i="1"/>
  <c r="AA1225" i="1"/>
  <c r="O1224" i="1"/>
  <c r="U1224" i="1"/>
  <c r="V1224" i="1"/>
  <c r="W1224" i="1"/>
  <c r="O1223" i="1"/>
  <c r="U1223" i="1"/>
  <c r="V1223" i="1"/>
  <c r="W1223" i="1"/>
  <c r="AA1223" i="1"/>
  <c r="O1222" i="1"/>
  <c r="U1222" i="1"/>
  <c r="V1222" i="1"/>
  <c r="W1222" i="1" s="1"/>
  <c r="AA1222" i="1"/>
  <c r="O1221" i="1"/>
  <c r="U1221" i="1"/>
  <c r="V1221" i="1" s="1"/>
  <c r="AA1221" i="1"/>
  <c r="O1220" i="1"/>
  <c r="U1220" i="1"/>
  <c r="V1220" i="1"/>
  <c r="W1220" i="1"/>
  <c r="AA1220" i="1"/>
  <c r="O1219" i="1"/>
  <c r="U1219" i="1"/>
  <c r="V1219" i="1"/>
  <c r="W1219" i="1"/>
  <c r="AA1219" i="1"/>
  <c r="O1218" i="1"/>
  <c r="W1218" i="1" s="1"/>
  <c r="U1218" i="1"/>
  <c r="V1218" i="1"/>
  <c r="O1217" i="1"/>
  <c r="U1217" i="1"/>
  <c r="V1217" i="1"/>
  <c r="W1217" i="1" s="1"/>
  <c r="AA1217" i="1"/>
  <c r="O1216" i="1"/>
  <c r="U1216" i="1"/>
  <c r="V1216" i="1" s="1"/>
  <c r="AA1216" i="1"/>
  <c r="O1215" i="1"/>
  <c r="U1215" i="1"/>
  <c r="V1215" i="1"/>
  <c r="W1215" i="1"/>
  <c r="AA1215" i="1"/>
  <c r="O1214" i="1"/>
  <c r="U1214" i="1"/>
  <c r="V1214" i="1"/>
  <c r="W1214" i="1"/>
  <c r="AA1214" i="1"/>
  <c r="O1213" i="1"/>
  <c r="W1213" i="1" s="1"/>
  <c r="U1213" i="1"/>
  <c r="V1213" i="1"/>
  <c r="AA1213" i="1"/>
  <c r="O1212" i="1"/>
  <c r="U1212" i="1"/>
  <c r="V1212" i="1" s="1"/>
  <c r="W1212" i="1" s="1"/>
  <c r="AA1212" i="1"/>
  <c r="O1211" i="1"/>
  <c r="W1211" i="1" s="1"/>
  <c r="U1211" i="1"/>
  <c r="V1211" i="1"/>
  <c r="AA1211" i="1"/>
  <c r="O1210" i="1"/>
  <c r="U1210" i="1"/>
  <c r="V1210" i="1"/>
  <c r="W1210" i="1"/>
  <c r="O1209" i="1"/>
  <c r="U1209" i="1"/>
  <c r="V1209" i="1"/>
  <c r="W1209" i="1"/>
  <c r="AA1209" i="1"/>
  <c r="O1208" i="1"/>
  <c r="W1208" i="1" s="1"/>
  <c r="U1208" i="1"/>
  <c r="V1208" i="1"/>
  <c r="AA1208" i="1"/>
  <c r="O1207" i="1"/>
  <c r="U1207" i="1"/>
  <c r="V1207" i="1" s="1"/>
  <c r="W1207" i="1" s="1"/>
  <c r="O1206" i="1"/>
  <c r="W1206" i="1" s="1"/>
  <c r="U1206" i="1"/>
  <c r="V1206" i="1"/>
  <c r="AA1206" i="1"/>
  <c r="O1205" i="1"/>
  <c r="U1205" i="1"/>
  <c r="V1205" i="1"/>
  <c r="W1205" i="1"/>
  <c r="AA1205" i="1"/>
  <c r="O1204" i="1"/>
  <c r="U1204" i="1"/>
  <c r="V1204" i="1"/>
  <c r="W1204" i="1" s="1"/>
  <c r="O1203" i="1"/>
  <c r="W1203" i="1" s="1"/>
  <c r="U1203" i="1"/>
  <c r="V1203" i="1"/>
  <c r="AA1203" i="1"/>
  <c r="O1202" i="1"/>
  <c r="U1202" i="1"/>
  <c r="V1202" i="1" s="1"/>
  <c r="W1202" i="1" s="1"/>
  <c r="O1201" i="1"/>
  <c r="W1201" i="1" s="1"/>
  <c r="U1201" i="1"/>
  <c r="V1201" i="1" s="1"/>
  <c r="AA1201" i="1"/>
  <c r="O1200" i="1"/>
  <c r="U1200" i="1"/>
  <c r="V1200" i="1"/>
  <c r="W1200" i="1"/>
  <c r="AA1200" i="1"/>
  <c r="O1199" i="1"/>
  <c r="U1199" i="1"/>
  <c r="V1199" i="1"/>
  <c r="W1199" i="1"/>
  <c r="AA1199" i="1"/>
  <c r="O1198" i="1"/>
  <c r="W1198" i="1" s="1"/>
  <c r="U1198" i="1"/>
  <c r="V1198" i="1"/>
  <c r="AA1198" i="1"/>
  <c r="O1197" i="1"/>
  <c r="U1197" i="1"/>
  <c r="V1197" i="1" s="1"/>
  <c r="W1197" i="1" s="1"/>
  <c r="AA1197" i="1"/>
  <c r="O1196" i="1"/>
  <c r="W1196" i="1" s="1"/>
  <c r="U1196" i="1"/>
  <c r="V1196" i="1"/>
  <c r="AA1196" i="1"/>
  <c r="O1195" i="1"/>
  <c r="U1195" i="1"/>
  <c r="V1195" i="1"/>
  <c r="W1195" i="1"/>
  <c r="AA1195" i="1"/>
  <c r="O1194" i="1"/>
  <c r="U1194" i="1"/>
  <c r="V1194" i="1"/>
  <c r="W1194" i="1" s="1"/>
  <c r="AA1194" i="1"/>
  <c r="O1193" i="1"/>
  <c r="U1193" i="1"/>
  <c r="V1193" i="1" s="1"/>
  <c r="AA1193" i="1"/>
  <c r="O1192" i="1"/>
  <c r="U1192" i="1"/>
  <c r="V1192" i="1"/>
  <c r="W1192" i="1"/>
  <c r="AA1192" i="1"/>
  <c r="O1191" i="1"/>
  <c r="U1191" i="1"/>
  <c r="V1191" i="1"/>
  <c r="W1191" i="1"/>
  <c r="AA1191" i="1"/>
  <c r="O1190" i="1"/>
  <c r="W1190" i="1" s="1"/>
  <c r="U1190" i="1"/>
  <c r="V1190" i="1"/>
  <c r="AA1190" i="1"/>
  <c r="O1189" i="1"/>
  <c r="U1189" i="1"/>
  <c r="V1189" i="1" s="1"/>
  <c r="W1189" i="1" s="1"/>
  <c r="AA1189" i="1"/>
  <c r="O1188" i="1"/>
  <c r="W1188" i="1" s="1"/>
  <c r="U1188" i="1"/>
  <c r="V1188" i="1"/>
  <c r="AA1188" i="1"/>
  <c r="O1187" i="1"/>
  <c r="U1187" i="1"/>
  <c r="V1187" i="1"/>
  <c r="W1187" i="1"/>
  <c r="AA1187" i="1"/>
  <c r="O1186" i="1"/>
  <c r="U1186" i="1"/>
  <c r="V1186" i="1"/>
  <c r="W1186" i="1" s="1"/>
  <c r="AA1186" i="1"/>
  <c r="O1185" i="1"/>
  <c r="U1185" i="1"/>
  <c r="V1185" i="1" s="1"/>
  <c r="O1184" i="1"/>
  <c r="U1184" i="1"/>
  <c r="V1184" i="1" s="1"/>
  <c r="W1184" i="1" s="1"/>
  <c r="AA1184" i="1"/>
  <c r="O1183" i="1"/>
  <c r="W1183" i="1" s="1"/>
  <c r="U1183" i="1"/>
  <c r="V1183" i="1"/>
  <c r="AA1183" i="1"/>
  <c r="O1182" i="1"/>
  <c r="U1182" i="1"/>
  <c r="V1182" i="1"/>
  <c r="W1182" i="1"/>
  <c r="AA1182" i="1"/>
  <c r="O1181" i="1"/>
  <c r="U1181" i="1"/>
  <c r="V1181" i="1"/>
  <c r="W1181" i="1" s="1"/>
  <c r="AA1181" i="1"/>
  <c r="O1180" i="1"/>
  <c r="U1180" i="1"/>
  <c r="V1180" i="1" s="1"/>
  <c r="AA1180" i="1"/>
  <c r="O1179" i="1"/>
  <c r="U1179" i="1"/>
  <c r="V1179" i="1"/>
  <c r="W1179" i="1"/>
  <c r="AA1179" i="1"/>
  <c r="O1178" i="1"/>
  <c r="U1178" i="1"/>
  <c r="V1178" i="1"/>
  <c r="W1178" i="1"/>
  <c r="AA1178" i="1"/>
  <c r="O1177" i="1"/>
  <c r="W1177" i="1" s="1"/>
  <c r="U1177" i="1"/>
  <c r="V1177" i="1"/>
  <c r="O1176" i="1"/>
  <c r="U1176" i="1"/>
  <c r="V1176" i="1"/>
  <c r="W1176" i="1" s="1"/>
  <c r="AA1176" i="1"/>
  <c r="O1175" i="1"/>
  <c r="W1175" i="1" s="1"/>
  <c r="U1175" i="1"/>
  <c r="V1175" i="1" s="1"/>
  <c r="AA1175" i="1"/>
  <c r="O1174" i="1"/>
  <c r="U1174" i="1"/>
  <c r="V1174" i="1"/>
  <c r="W1174" i="1"/>
  <c r="AA1174" i="1"/>
  <c r="O1173" i="1"/>
  <c r="U1173" i="1"/>
  <c r="V1173" i="1"/>
  <c r="W1173" i="1"/>
  <c r="AA1173" i="1"/>
  <c r="O1172" i="1"/>
  <c r="W1172" i="1" s="1"/>
  <c r="U1172" i="1"/>
  <c r="V1172" i="1"/>
  <c r="AA1172" i="1"/>
  <c r="O1171" i="1"/>
  <c r="U1171" i="1"/>
  <c r="V1171" i="1" s="1"/>
  <c r="W1171" i="1" s="1"/>
  <c r="O1170" i="1"/>
  <c r="U1170" i="1"/>
  <c r="V1170" i="1" s="1"/>
  <c r="AA1170" i="1"/>
  <c r="O1169" i="1"/>
  <c r="U1169" i="1"/>
  <c r="V1169" i="1"/>
  <c r="W1169" i="1"/>
  <c r="AA1169" i="1"/>
  <c r="O1168" i="1"/>
  <c r="U1168" i="1"/>
  <c r="V1168" i="1"/>
  <c r="W1168" i="1"/>
  <c r="AA1168" i="1"/>
  <c r="O1167" i="1"/>
  <c r="W1167" i="1" s="1"/>
  <c r="U1167" i="1"/>
  <c r="V1167" i="1"/>
  <c r="AA1167" i="1"/>
  <c r="O1166" i="1"/>
  <c r="U1166" i="1"/>
  <c r="V1166" i="1" s="1"/>
  <c r="W1166" i="1" s="1"/>
  <c r="AA1166" i="1"/>
  <c r="O1165" i="1"/>
  <c r="W1165" i="1" s="1"/>
  <c r="U1165" i="1"/>
  <c r="V1165" i="1"/>
  <c r="AA1165" i="1"/>
  <c r="O1164" i="1"/>
  <c r="U1164" i="1"/>
  <c r="V1164" i="1"/>
  <c r="W1164" i="1"/>
  <c r="AA1164" i="1"/>
  <c r="O1163" i="1"/>
  <c r="U1163" i="1"/>
  <c r="V1163" i="1"/>
  <c r="W1163" i="1" s="1"/>
  <c r="AA1163" i="1"/>
  <c r="O1162" i="1"/>
  <c r="U1162" i="1"/>
  <c r="V1162" i="1" s="1"/>
  <c r="AA1162" i="1"/>
  <c r="O1161" i="1"/>
  <c r="U1161" i="1"/>
  <c r="V1161" i="1"/>
  <c r="W1161" i="1"/>
  <c r="O1160" i="1"/>
  <c r="W1160" i="1" s="1"/>
  <c r="U1160" i="1"/>
  <c r="V1160" i="1"/>
  <c r="AA1160" i="1"/>
  <c r="O1159" i="1"/>
  <c r="U1159" i="1"/>
  <c r="V1159" i="1"/>
  <c r="W1159" i="1"/>
  <c r="AA1159" i="1"/>
  <c r="O1158" i="1"/>
  <c r="U1158" i="1"/>
  <c r="V1158" i="1"/>
  <c r="W1158" i="1" s="1"/>
  <c r="AA1158" i="1"/>
  <c r="O1157" i="1"/>
  <c r="W1157" i="1" s="1"/>
  <c r="U1157" i="1"/>
  <c r="V1157" i="1" s="1"/>
  <c r="AA1157" i="1"/>
  <c r="O1156" i="1"/>
  <c r="U1156" i="1"/>
  <c r="V1156" i="1"/>
  <c r="W1156" i="1"/>
  <c r="AA1156" i="1"/>
  <c r="O1155" i="1"/>
  <c r="U1155" i="1"/>
  <c r="V1155" i="1"/>
  <c r="W1155" i="1"/>
  <c r="AA1155" i="1"/>
  <c r="O1154" i="1"/>
  <c r="W1154" i="1" s="1"/>
  <c r="U1154" i="1"/>
  <c r="V1154" i="1"/>
  <c r="AA1154" i="1"/>
  <c r="O1153" i="1"/>
  <c r="U1153" i="1"/>
  <c r="V1153" i="1" s="1"/>
  <c r="W1153" i="1" s="1"/>
  <c r="AA1153" i="1"/>
  <c r="O1152" i="1"/>
  <c r="W1152" i="1" s="1"/>
  <c r="U1152" i="1"/>
  <c r="V1152" i="1"/>
  <c r="AA1152" i="1"/>
  <c r="O1151" i="1"/>
  <c r="U1151" i="1"/>
  <c r="V1151" i="1"/>
  <c r="W1151" i="1"/>
  <c r="AA1151" i="1"/>
  <c r="O1150" i="1"/>
  <c r="U1150" i="1"/>
  <c r="V1150" i="1"/>
  <c r="W1150" i="1" s="1"/>
  <c r="AA1150" i="1"/>
  <c r="O1149" i="1"/>
  <c r="U1149" i="1"/>
  <c r="V1149" i="1" s="1"/>
  <c r="AA1149" i="1"/>
  <c r="O1148" i="1"/>
  <c r="U1148" i="1"/>
  <c r="V1148" i="1"/>
  <c r="W1148" i="1"/>
  <c r="AA1148" i="1"/>
  <c r="O1147" i="1"/>
  <c r="U1147" i="1"/>
  <c r="V1147" i="1"/>
  <c r="W1147" i="1"/>
  <c r="AA1147" i="1"/>
  <c r="O1146" i="1"/>
  <c r="W1146" i="1" s="1"/>
  <c r="U1146" i="1"/>
  <c r="V1146" i="1"/>
  <c r="AA1146" i="1"/>
  <c r="O1145" i="1"/>
  <c r="U1145" i="1"/>
  <c r="V1145" i="1" s="1"/>
  <c r="W1145" i="1" s="1"/>
  <c r="O1144" i="1"/>
  <c r="U1144" i="1"/>
  <c r="V1144" i="1" s="1"/>
  <c r="AA1144" i="1"/>
  <c r="O1143" i="1"/>
  <c r="U1143" i="1"/>
  <c r="V1143" i="1"/>
  <c r="W1143" i="1"/>
  <c r="AA1143" i="1"/>
  <c r="O1142" i="1"/>
  <c r="U1142" i="1"/>
  <c r="V1142" i="1"/>
  <c r="W1142" i="1"/>
  <c r="AA1142" i="1"/>
  <c r="O1141" i="1"/>
  <c r="W1141" i="1" s="1"/>
  <c r="U1141" i="1"/>
  <c r="V1141" i="1"/>
  <c r="AA1141" i="1"/>
  <c r="O1140" i="1"/>
  <c r="U1140" i="1"/>
  <c r="V1140" i="1" s="1"/>
  <c r="W1140" i="1" s="1"/>
  <c r="O1139" i="1"/>
  <c r="U1139" i="1"/>
  <c r="V1139" i="1" s="1"/>
  <c r="AA1139" i="1"/>
  <c r="O1138" i="1"/>
  <c r="U1138" i="1"/>
  <c r="V1138" i="1"/>
  <c r="W1138" i="1"/>
  <c r="AA1138" i="1"/>
  <c r="O1137" i="1"/>
  <c r="U1137" i="1"/>
  <c r="V1137" i="1"/>
  <c r="W1137" i="1"/>
  <c r="O1136" i="1"/>
  <c r="U1136" i="1"/>
  <c r="V1136" i="1"/>
  <c r="W1136" i="1"/>
  <c r="AA1136" i="1"/>
  <c r="O1135" i="1"/>
  <c r="U1135" i="1"/>
  <c r="V1135" i="1"/>
  <c r="W1135" i="1" s="1"/>
  <c r="AA1135" i="1"/>
  <c r="O1134" i="1"/>
  <c r="U1134" i="1"/>
  <c r="V1134" i="1" s="1"/>
  <c r="AA1134" i="1"/>
  <c r="O1133" i="1"/>
  <c r="U1133" i="1"/>
  <c r="V1133" i="1"/>
  <c r="W1133" i="1"/>
  <c r="AA1133" i="1"/>
  <c r="O1132" i="1"/>
  <c r="U1132" i="1"/>
  <c r="V1132" i="1"/>
  <c r="W1132" i="1"/>
  <c r="AA1132" i="1"/>
  <c r="O1131" i="1"/>
  <c r="W1131" i="1" s="1"/>
  <c r="U1131" i="1"/>
  <c r="V1131" i="1"/>
  <c r="AA1131" i="1"/>
  <c r="O1130" i="1"/>
  <c r="U1130" i="1"/>
  <c r="V1130" i="1" s="1"/>
  <c r="W1130" i="1" s="1"/>
  <c r="AA1130" i="1"/>
  <c r="O1129" i="1"/>
  <c r="W1129" i="1" s="1"/>
  <c r="U1129" i="1"/>
  <c r="V1129" i="1"/>
  <c r="AA1129" i="1"/>
  <c r="O1128" i="1"/>
  <c r="U1128" i="1"/>
  <c r="V1128" i="1"/>
  <c r="W1128" i="1"/>
  <c r="O1127" i="1"/>
  <c r="U1127" i="1"/>
  <c r="V1127" i="1"/>
  <c r="W1127" i="1"/>
  <c r="AA1127" i="1"/>
  <c r="O1126" i="1"/>
  <c r="W1126" i="1" s="1"/>
  <c r="U1126" i="1"/>
  <c r="V1126" i="1"/>
  <c r="AA1126" i="1"/>
  <c r="O1125" i="1"/>
  <c r="U1125" i="1"/>
  <c r="V1125" i="1" s="1"/>
  <c r="W1125" i="1" s="1"/>
  <c r="AA1125" i="1"/>
  <c r="O1124" i="1"/>
  <c r="W1124" i="1" s="1"/>
  <c r="U1124" i="1"/>
  <c r="V1124" i="1"/>
  <c r="AA1124" i="1"/>
  <c r="O1123" i="1"/>
  <c r="U1123" i="1"/>
  <c r="V1123" i="1"/>
  <c r="W1123" i="1"/>
  <c r="AA1123" i="1"/>
  <c r="O1122" i="1"/>
  <c r="U1122" i="1"/>
  <c r="V1122" i="1"/>
  <c r="W1122" i="1" s="1"/>
  <c r="AA1122" i="1"/>
  <c r="O1121" i="1"/>
  <c r="U1121" i="1"/>
  <c r="V1121" i="1" s="1"/>
  <c r="AA1121" i="1"/>
  <c r="O1120" i="1"/>
  <c r="O1119" i="1"/>
  <c r="W1119" i="1" s="1"/>
  <c r="U1119" i="1"/>
  <c r="V1119" i="1" s="1"/>
  <c r="O1118" i="1"/>
  <c r="U1118" i="1"/>
  <c r="V1118" i="1" s="1"/>
  <c r="W1118" i="1" s="1"/>
  <c r="AA1118" i="1"/>
  <c r="O1117" i="1"/>
  <c r="W1117" i="1" s="1"/>
  <c r="U1117" i="1"/>
  <c r="V1117" i="1"/>
  <c r="O1116" i="1"/>
  <c r="U1116" i="1"/>
  <c r="V1116" i="1"/>
  <c r="W1116" i="1"/>
  <c r="O1115" i="1"/>
  <c r="W1115" i="1" s="1"/>
  <c r="U1115" i="1"/>
  <c r="V1115" i="1"/>
  <c r="AA1115" i="1"/>
  <c r="O1114" i="1"/>
  <c r="U1114" i="1"/>
  <c r="V1114" i="1"/>
  <c r="W1114" i="1"/>
  <c r="AA1114" i="1"/>
  <c r="O1113" i="1"/>
  <c r="U1113" i="1"/>
  <c r="V1113" i="1"/>
  <c r="W1113" i="1" s="1"/>
  <c r="AA1113" i="1"/>
  <c r="O1112" i="1"/>
  <c r="U1112" i="1"/>
  <c r="V1112" i="1" s="1"/>
  <c r="AA1112" i="1"/>
  <c r="O1111" i="1"/>
  <c r="U1111" i="1"/>
  <c r="V1111" i="1"/>
  <c r="W1111" i="1"/>
  <c r="AA1111" i="1"/>
  <c r="O1110" i="1"/>
  <c r="U1110" i="1"/>
  <c r="V1110" i="1"/>
  <c r="W1110" i="1"/>
  <c r="O1109" i="1"/>
  <c r="U1109" i="1"/>
  <c r="V1109" i="1"/>
  <c r="W1109" i="1"/>
  <c r="O1108" i="1"/>
  <c r="U1108" i="1"/>
  <c r="V1108" i="1"/>
  <c r="W1108" i="1"/>
  <c r="AA1108" i="1"/>
  <c r="O1107" i="1"/>
  <c r="W1107" i="1" s="1"/>
  <c r="U1107" i="1"/>
  <c r="V1107" i="1"/>
  <c r="O1106" i="1"/>
  <c r="U1106" i="1"/>
  <c r="V1106" i="1"/>
  <c r="W1106" i="1" s="1"/>
  <c r="O1105" i="1"/>
  <c r="W1105" i="1" s="1"/>
  <c r="U1105" i="1"/>
  <c r="V1105" i="1"/>
  <c r="AA1105" i="1"/>
  <c r="O1104" i="1"/>
  <c r="U1104" i="1"/>
  <c r="V1104" i="1" s="1"/>
  <c r="W1104" i="1" s="1"/>
  <c r="AA1104" i="1"/>
  <c r="O1103" i="1"/>
  <c r="W1103" i="1" s="1"/>
  <c r="U1103" i="1"/>
  <c r="V1103" i="1"/>
  <c r="AA1103" i="1"/>
  <c r="O1102" i="1"/>
  <c r="U1102" i="1"/>
  <c r="V1102" i="1"/>
  <c r="W1102" i="1"/>
  <c r="AA1102" i="1"/>
  <c r="O1101" i="1"/>
  <c r="U1101" i="1"/>
  <c r="V1101" i="1"/>
  <c r="W1101" i="1" s="1"/>
  <c r="AA1101" i="1"/>
  <c r="O1100" i="1"/>
  <c r="W1100" i="1" s="1"/>
  <c r="U1100" i="1"/>
  <c r="V1100" i="1" s="1"/>
  <c r="O1099" i="1"/>
  <c r="U1099" i="1"/>
  <c r="V1099" i="1" s="1"/>
  <c r="W1099" i="1" s="1"/>
  <c r="AA1099" i="1"/>
  <c r="O1098" i="1"/>
  <c r="W1098" i="1" s="1"/>
  <c r="U1098" i="1"/>
  <c r="V1098" i="1"/>
  <c r="AA1098" i="1"/>
  <c r="O1097" i="1"/>
  <c r="U1097" i="1"/>
  <c r="V1097" i="1"/>
  <c r="W1097" i="1"/>
  <c r="AA1097" i="1"/>
  <c r="O1096" i="1"/>
  <c r="U1096" i="1"/>
  <c r="V1096" i="1"/>
  <c r="W1096" i="1" s="1"/>
  <c r="AA1096" i="1"/>
  <c r="O1095" i="1"/>
  <c r="U1095" i="1"/>
  <c r="V1095" i="1" s="1"/>
  <c r="AA1095" i="1"/>
  <c r="O1094" i="1"/>
  <c r="U1094" i="1"/>
  <c r="V1094" i="1"/>
  <c r="W1094" i="1"/>
  <c r="AA1094" i="1"/>
  <c r="O1093" i="1"/>
  <c r="U1093" i="1"/>
  <c r="V1093" i="1"/>
  <c r="W1093" i="1"/>
  <c r="AA1093" i="1"/>
  <c r="O1092" i="1"/>
  <c r="W1092" i="1" s="1"/>
  <c r="U1092" i="1"/>
  <c r="V1092" i="1"/>
  <c r="AA1092" i="1"/>
  <c r="O1091" i="1"/>
  <c r="U1091" i="1"/>
  <c r="V1091" i="1" s="1"/>
  <c r="W1091" i="1" s="1"/>
  <c r="AA1091" i="1"/>
  <c r="O1090" i="1"/>
  <c r="W1090" i="1" s="1"/>
  <c r="U1090" i="1"/>
  <c r="V1090" i="1"/>
  <c r="AA1090" i="1"/>
  <c r="O1089" i="1"/>
  <c r="U1089" i="1"/>
  <c r="V1089" i="1" s="1"/>
  <c r="W1089" i="1" s="1"/>
  <c r="O1088" i="1"/>
  <c r="U1088" i="1"/>
  <c r="V1088" i="1"/>
  <c r="W1088" i="1"/>
  <c r="AA1088" i="1"/>
  <c r="O1087" i="1"/>
  <c r="W1087" i="1" s="1"/>
  <c r="U1087" i="1"/>
  <c r="V1087" i="1"/>
  <c r="AA1087" i="1"/>
  <c r="O1086" i="1"/>
  <c r="U1086" i="1"/>
  <c r="V1086" i="1" s="1"/>
  <c r="W1086" i="1" s="1"/>
  <c r="AA1086" i="1"/>
  <c r="O1085" i="1"/>
  <c r="W1085" i="1" s="1"/>
  <c r="U1085" i="1"/>
  <c r="V1085" i="1"/>
  <c r="AA1085" i="1"/>
  <c r="O1084" i="1"/>
  <c r="U1084" i="1"/>
  <c r="V1084" i="1"/>
  <c r="W1084" i="1"/>
  <c r="AA1084" i="1"/>
  <c r="O1083" i="1"/>
  <c r="U1083" i="1"/>
  <c r="V1083" i="1"/>
  <c r="W1083" i="1" s="1"/>
  <c r="AA1083" i="1"/>
  <c r="O1082" i="1"/>
  <c r="U1082" i="1"/>
  <c r="V1082" i="1" s="1"/>
  <c r="AA1082" i="1"/>
  <c r="O1081" i="1"/>
  <c r="U1081" i="1"/>
  <c r="V1081" i="1"/>
  <c r="W1081" i="1"/>
  <c r="AA1081" i="1"/>
  <c r="O1080" i="1"/>
  <c r="U1080" i="1"/>
  <c r="V1080" i="1"/>
  <c r="W1080" i="1"/>
  <c r="AA1080" i="1"/>
  <c r="O1079" i="1"/>
  <c r="W1079" i="1" s="1"/>
  <c r="U1079" i="1"/>
  <c r="V1079" i="1"/>
  <c r="AA1079" i="1"/>
  <c r="O1078" i="1"/>
  <c r="U1078" i="1"/>
  <c r="V1078" i="1" s="1"/>
  <c r="W1078" i="1" s="1"/>
  <c r="O1077" i="1"/>
  <c r="W1077" i="1" s="1"/>
  <c r="U1077" i="1"/>
  <c r="V1077" i="1"/>
  <c r="O1076" i="1"/>
  <c r="U1076" i="1"/>
  <c r="V1076" i="1"/>
  <c r="W1076" i="1"/>
  <c r="AA1076" i="1"/>
  <c r="O1075" i="1"/>
  <c r="U1075" i="1"/>
  <c r="V1075" i="1"/>
  <c r="W1075" i="1"/>
  <c r="AA1075" i="1"/>
  <c r="O1074" i="1"/>
  <c r="W1074" i="1" s="1"/>
  <c r="U1074" i="1"/>
  <c r="V1074" i="1"/>
  <c r="AA1074" i="1"/>
  <c r="O1073" i="1"/>
  <c r="U1073" i="1"/>
  <c r="V1073" i="1" s="1"/>
  <c r="W1073" i="1" s="1"/>
  <c r="AA1073" i="1"/>
  <c r="O1072" i="1"/>
  <c r="W1072" i="1" s="1"/>
  <c r="U1072" i="1"/>
  <c r="V1072" i="1"/>
  <c r="O1071" i="1"/>
  <c r="U1071" i="1"/>
  <c r="V1071" i="1"/>
  <c r="W1071" i="1"/>
  <c r="AA1071" i="1"/>
  <c r="O1070" i="1"/>
  <c r="U1070" i="1"/>
  <c r="V1070" i="1"/>
  <c r="W1070" i="1"/>
  <c r="AA1070" i="1"/>
  <c r="O1069" i="1"/>
  <c r="W1069" i="1" s="1"/>
  <c r="U1069" i="1"/>
  <c r="V1069" i="1"/>
  <c r="AA1069" i="1"/>
  <c r="O1068" i="1"/>
  <c r="U1068" i="1"/>
  <c r="V1068" i="1" s="1"/>
  <c r="W1068" i="1" s="1"/>
  <c r="AA1068" i="1"/>
  <c r="O1067" i="1"/>
  <c r="W1067" i="1" s="1"/>
  <c r="U1067" i="1"/>
  <c r="V1067" i="1"/>
  <c r="AA1067" i="1"/>
  <c r="O1066" i="1"/>
  <c r="U1066" i="1"/>
  <c r="V1066" i="1"/>
  <c r="W1066" i="1"/>
  <c r="AA1066" i="1"/>
  <c r="O1065" i="1"/>
  <c r="U1065" i="1"/>
  <c r="V1065" i="1"/>
  <c r="W1065" i="1" s="1"/>
  <c r="AA1065" i="1"/>
  <c r="O1064" i="1"/>
  <c r="U1064" i="1"/>
  <c r="V1064" i="1" s="1"/>
  <c r="O1063" i="1"/>
  <c r="U1063" i="1"/>
  <c r="V1063" i="1" s="1"/>
  <c r="W1063" i="1" s="1"/>
  <c r="AA1063" i="1"/>
  <c r="O1062" i="1"/>
  <c r="W1062" i="1" s="1"/>
  <c r="U1062" i="1"/>
  <c r="V1062" i="1"/>
  <c r="AA1062" i="1"/>
  <c r="O1061" i="1"/>
  <c r="U1061" i="1"/>
  <c r="V1061" i="1"/>
  <c r="W1061" i="1"/>
  <c r="AA1061" i="1"/>
  <c r="O1060" i="1"/>
  <c r="U1060" i="1"/>
  <c r="V1060" i="1"/>
  <c r="W1060" i="1" s="1"/>
  <c r="AA1060" i="1"/>
  <c r="O1059" i="1"/>
  <c r="U1059" i="1"/>
  <c r="V1059" i="1" s="1"/>
  <c r="AA1059" i="1"/>
  <c r="O1058" i="1"/>
  <c r="U1058" i="1"/>
  <c r="V1058" i="1"/>
  <c r="W1058" i="1"/>
  <c r="AA1058" i="1"/>
  <c r="O1057" i="1"/>
  <c r="U1057" i="1"/>
  <c r="V1057" i="1"/>
  <c r="W1057" i="1"/>
  <c r="AA1057" i="1"/>
  <c r="O1056" i="1"/>
  <c r="W1056" i="1" s="1"/>
  <c r="U1056" i="1"/>
  <c r="V1056" i="1"/>
  <c r="AA1056" i="1"/>
  <c r="O1055" i="1"/>
  <c r="U1055" i="1"/>
  <c r="V1055" i="1" s="1"/>
  <c r="W1055" i="1" s="1"/>
  <c r="AA1055" i="1"/>
  <c r="O1054" i="1"/>
  <c r="W1054" i="1" s="1"/>
  <c r="U1054" i="1"/>
  <c r="V1054" i="1"/>
  <c r="AA1054" i="1"/>
  <c r="O1053" i="1"/>
  <c r="U1053" i="1"/>
  <c r="V1053" i="1"/>
  <c r="W1053" i="1"/>
  <c r="O1052" i="1"/>
  <c r="U1052" i="1"/>
  <c r="V1052" i="1"/>
  <c r="W1052" i="1"/>
  <c r="AA1052" i="1"/>
  <c r="O1051" i="1"/>
  <c r="W1051" i="1" s="1"/>
  <c r="U1051" i="1"/>
  <c r="V1051" i="1"/>
  <c r="O1050" i="1"/>
  <c r="U1050" i="1"/>
  <c r="V1050" i="1"/>
  <c r="W1050" i="1" s="1"/>
  <c r="AA1050" i="1"/>
  <c r="O1049" i="1"/>
  <c r="U1049" i="1"/>
  <c r="V1049" i="1" s="1"/>
  <c r="AA1049" i="1"/>
  <c r="O1048" i="1"/>
  <c r="U1048" i="1"/>
  <c r="V1048" i="1"/>
  <c r="W1048" i="1"/>
  <c r="O1047" i="1"/>
  <c r="W1047" i="1" s="1"/>
  <c r="U1047" i="1"/>
  <c r="V1047" i="1"/>
  <c r="AA1047" i="1"/>
  <c r="O1046" i="1"/>
  <c r="U1046" i="1"/>
  <c r="V1046" i="1"/>
  <c r="W1046" i="1"/>
  <c r="AA1046" i="1"/>
  <c r="O1045" i="1"/>
  <c r="U1045" i="1"/>
  <c r="V1045" i="1"/>
  <c r="W1045" i="1" s="1"/>
  <c r="AA1045" i="1"/>
  <c r="O1044" i="1"/>
  <c r="W1044" i="1" s="1"/>
  <c r="U1044" i="1"/>
  <c r="V1044" i="1" s="1"/>
  <c r="O1043" i="1"/>
  <c r="U1043" i="1"/>
  <c r="V1043" i="1" s="1"/>
  <c r="W1043" i="1" s="1"/>
  <c r="AA1043" i="1"/>
  <c r="O1042" i="1"/>
  <c r="W1042" i="1" s="1"/>
  <c r="U1042" i="1"/>
  <c r="V1042" i="1"/>
  <c r="AA1042" i="1"/>
  <c r="O1041" i="1"/>
  <c r="U1041" i="1"/>
  <c r="V1041" i="1"/>
  <c r="W1041" i="1"/>
  <c r="AA1041" i="1"/>
  <c r="O1040" i="1"/>
  <c r="U1040" i="1"/>
  <c r="V1040" i="1"/>
  <c r="W1040" i="1" s="1"/>
  <c r="AA1040" i="1"/>
  <c r="O1039" i="1"/>
  <c r="U1039" i="1"/>
  <c r="V1039" i="1" s="1"/>
  <c r="O1038" i="1"/>
  <c r="U1038" i="1"/>
  <c r="V1038" i="1" s="1"/>
  <c r="W1038" i="1" s="1"/>
  <c r="AA1038" i="1"/>
  <c r="O1037" i="1"/>
  <c r="W1037" i="1" s="1"/>
  <c r="U1037" i="1"/>
  <c r="V1037" i="1"/>
  <c r="AA1037" i="1"/>
  <c r="O1036" i="1"/>
  <c r="U1036" i="1"/>
  <c r="V1036" i="1"/>
  <c r="W1036" i="1"/>
  <c r="AA1036" i="1"/>
  <c r="O1035" i="1"/>
  <c r="U1035" i="1"/>
  <c r="V1035" i="1"/>
  <c r="W1035" i="1" s="1"/>
  <c r="AA1035" i="1"/>
  <c r="O1034" i="1"/>
  <c r="U1034" i="1"/>
  <c r="V1034" i="1" s="1"/>
  <c r="AA1034" i="1"/>
  <c r="O1033" i="1"/>
  <c r="U1033" i="1"/>
  <c r="V1033" i="1"/>
  <c r="W1033" i="1"/>
  <c r="AA1033" i="1"/>
  <c r="O1032" i="1"/>
  <c r="U1032" i="1"/>
  <c r="V1032" i="1"/>
  <c r="W1032" i="1"/>
  <c r="AA1032" i="1"/>
  <c r="O1031" i="1"/>
  <c r="W1031" i="1" s="1"/>
  <c r="U1031" i="1"/>
  <c r="V1031" i="1"/>
  <c r="AA1031" i="1"/>
  <c r="O1030" i="1"/>
  <c r="U1030" i="1"/>
  <c r="V1030" i="1" s="1"/>
  <c r="W1030" i="1" s="1"/>
  <c r="AA1030" i="1"/>
  <c r="O1029" i="1"/>
  <c r="W1029" i="1" s="1"/>
  <c r="U1029" i="1"/>
  <c r="V1029" i="1"/>
  <c r="AA1029" i="1"/>
  <c r="O1028" i="1"/>
  <c r="U1028" i="1"/>
  <c r="V1028" i="1"/>
  <c r="W1028" i="1"/>
  <c r="AA1028" i="1"/>
  <c r="O1027" i="1"/>
  <c r="U1027" i="1"/>
  <c r="V1027" i="1"/>
  <c r="W1027" i="1" s="1"/>
  <c r="AA1027" i="1"/>
  <c r="O1026" i="1"/>
  <c r="W1026" i="1" s="1"/>
  <c r="U1026" i="1"/>
  <c r="V1026" i="1" s="1"/>
  <c r="AA1026" i="1"/>
  <c r="O1025" i="1"/>
  <c r="U1025" i="1"/>
  <c r="V1025" i="1"/>
  <c r="W1025" i="1"/>
  <c r="AA1025" i="1"/>
  <c r="O1024" i="1"/>
  <c r="U1024" i="1"/>
  <c r="V1024" i="1"/>
  <c r="W1024" i="1"/>
  <c r="AA1024" i="1"/>
  <c r="O1023" i="1"/>
  <c r="W1023" i="1" s="1"/>
  <c r="U1023" i="1"/>
  <c r="V1023" i="1"/>
  <c r="O1022" i="1"/>
  <c r="U1022" i="1"/>
  <c r="V1022" i="1"/>
  <c r="W1022" i="1" s="1"/>
  <c r="O1021" i="1"/>
  <c r="W1021" i="1" s="1"/>
  <c r="U1021" i="1"/>
  <c r="V1021" i="1"/>
  <c r="O1020" i="1"/>
  <c r="U1020" i="1"/>
  <c r="V1020" i="1"/>
  <c r="W1020" i="1" s="1"/>
  <c r="AA1020" i="1"/>
  <c r="O1019" i="1"/>
  <c r="U1019" i="1"/>
  <c r="V1019" i="1" s="1"/>
  <c r="O1018" i="1"/>
  <c r="U1018" i="1"/>
  <c r="V1018" i="1" s="1"/>
  <c r="W1018" i="1" s="1"/>
  <c r="AA1018" i="1"/>
  <c r="O1017" i="1"/>
  <c r="W1017" i="1" s="1"/>
  <c r="U1017" i="1"/>
  <c r="V1017" i="1"/>
  <c r="AA1017" i="1"/>
  <c r="O1016" i="1"/>
  <c r="U1016" i="1"/>
  <c r="V1016" i="1"/>
  <c r="W1016" i="1"/>
  <c r="AA1016" i="1"/>
  <c r="O1015" i="1"/>
  <c r="U1015" i="1"/>
  <c r="V1015" i="1"/>
  <c r="W1015" i="1" s="1"/>
  <c r="AA1015" i="1"/>
  <c r="O1014" i="1"/>
  <c r="U1014" i="1"/>
  <c r="V1014" i="1" s="1"/>
  <c r="AA1014" i="1"/>
  <c r="O1013" i="1"/>
  <c r="U1013" i="1"/>
  <c r="V1013" i="1"/>
  <c r="W1013" i="1"/>
  <c r="AA1013" i="1"/>
  <c r="O1012" i="1"/>
  <c r="U1012" i="1"/>
  <c r="V1012" i="1"/>
  <c r="W1012" i="1"/>
  <c r="AA1012" i="1"/>
  <c r="O1011" i="1"/>
  <c r="W1011" i="1" s="1"/>
  <c r="U1011" i="1"/>
  <c r="V1011" i="1"/>
  <c r="AA1011" i="1"/>
  <c r="O1010" i="1"/>
  <c r="U1010" i="1"/>
  <c r="V1010" i="1" s="1"/>
  <c r="W1010" i="1" s="1"/>
  <c r="AA1010" i="1"/>
  <c r="O1009" i="1"/>
  <c r="W1009" i="1" s="1"/>
  <c r="U1009" i="1"/>
  <c r="V1009" i="1"/>
  <c r="AA1009" i="1"/>
  <c r="O1008" i="1"/>
  <c r="U1008" i="1"/>
  <c r="V1008" i="1"/>
  <c r="W1008" i="1"/>
  <c r="AA1008" i="1"/>
  <c r="O1007" i="1"/>
  <c r="U1007" i="1"/>
  <c r="V1007" i="1"/>
  <c r="W1007" i="1" s="1"/>
  <c r="AA1007" i="1"/>
  <c r="O1006" i="1"/>
  <c r="U1006" i="1"/>
  <c r="V1006" i="1" s="1"/>
  <c r="AA1006" i="1"/>
  <c r="O1005" i="1"/>
  <c r="U1005" i="1"/>
  <c r="V1005" i="1"/>
  <c r="W1005" i="1"/>
  <c r="AA1005" i="1"/>
  <c r="O1004" i="1"/>
  <c r="U1004" i="1"/>
  <c r="V1004" i="1"/>
  <c r="W1004" i="1"/>
  <c r="AA1004" i="1"/>
  <c r="O1003" i="1"/>
  <c r="W1003" i="1" s="1"/>
  <c r="U1003" i="1"/>
  <c r="V1003" i="1"/>
  <c r="AA1003" i="1"/>
  <c r="O1002" i="1"/>
  <c r="U1002" i="1"/>
  <c r="V1002" i="1" s="1"/>
  <c r="W1002" i="1" s="1"/>
  <c r="AA1002" i="1"/>
  <c r="O1001" i="1"/>
  <c r="W1001" i="1" s="1"/>
  <c r="U1001" i="1"/>
  <c r="V1001" i="1"/>
  <c r="AA1001" i="1"/>
  <c r="O1000" i="1"/>
  <c r="U1000" i="1"/>
  <c r="V1000" i="1"/>
  <c r="W1000" i="1"/>
  <c r="AA1000" i="1"/>
  <c r="O999" i="1"/>
  <c r="U999" i="1"/>
  <c r="V999" i="1"/>
  <c r="W999" i="1" s="1"/>
  <c r="AA999" i="1"/>
  <c r="O998" i="1"/>
  <c r="U998" i="1"/>
  <c r="V998" i="1" s="1"/>
  <c r="AA998" i="1"/>
  <c r="O997" i="1"/>
  <c r="U997" i="1"/>
  <c r="V997" i="1"/>
  <c r="W997" i="1"/>
  <c r="AA997" i="1"/>
  <c r="O996" i="1"/>
  <c r="U996" i="1"/>
  <c r="V996" i="1"/>
  <c r="W996" i="1"/>
  <c r="AA996" i="1"/>
  <c r="O995" i="1"/>
  <c r="W995" i="1" s="1"/>
  <c r="U995" i="1"/>
  <c r="V995" i="1"/>
  <c r="AA995" i="1"/>
  <c r="O994" i="1"/>
  <c r="U994" i="1"/>
  <c r="V994" i="1" s="1"/>
  <c r="W994" i="1" s="1"/>
  <c r="AA994" i="1"/>
  <c r="O993" i="1"/>
  <c r="W993" i="1" s="1"/>
  <c r="U993" i="1"/>
  <c r="V993" i="1"/>
  <c r="AA993" i="1"/>
  <c r="O992" i="1"/>
  <c r="U992" i="1"/>
  <c r="V992" i="1"/>
  <c r="W992" i="1"/>
  <c r="AA992" i="1"/>
  <c r="O991" i="1"/>
  <c r="U991" i="1"/>
  <c r="V991" i="1"/>
  <c r="W991" i="1" s="1"/>
  <c r="AA991" i="1"/>
  <c r="O990" i="1"/>
  <c r="U990" i="1"/>
  <c r="V990" i="1" s="1"/>
  <c r="AA990" i="1"/>
  <c r="O989" i="1"/>
  <c r="U989" i="1"/>
  <c r="V989" i="1"/>
  <c r="W989" i="1"/>
  <c r="AA989" i="1"/>
  <c r="O988" i="1"/>
  <c r="U988" i="1"/>
  <c r="V988" i="1"/>
  <c r="W988" i="1"/>
  <c r="AA988" i="1"/>
  <c r="O987" i="1"/>
  <c r="W987" i="1" s="1"/>
  <c r="U987" i="1"/>
  <c r="V987" i="1"/>
  <c r="AA987" i="1"/>
  <c r="O986" i="1"/>
  <c r="U986" i="1"/>
  <c r="V986" i="1" s="1"/>
  <c r="W986" i="1" s="1"/>
  <c r="AA986" i="1"/>
  <c r="O985" i="1"/>
  <c r="W985" i="1" s="1"/>
  <c r="U985" i="1"/>
  <c r="V985" i="1"/>
  <c r="AA985" i="1"/>
  <c r="O984" i="1"/>
  <c r="U984" i="1"/>
  <c r="V984" i="1"/>
  <c r="W984" i="1"/>
  <c r="AA984" i="1"/>
  <c r="O983" i="1"/>
  <c r="U983" i="1"/>
  <c r="V983" i="1"/>
  <c r="W983" i="1" s="1"/>
  <c r="AA983" i="1"/>
  <c r="O982" i="1"/>
  <c r="W982" i="1" s="1"/>
  <c r="U982" i="1"/>
  <c r="V982" i="1" s="1"/>
  <c r="AA982" i="1"/>
  <c r="O981" i="1"/>
  <c r="U981" i="1"/>
  <c r="V981" i="1"/>
  <c r="W981" i="1"/>
  <c r="AA981" i="1"/>
  <c r="O980" i="1"/>
  <c r="U980" i="1"/>
  <c r="V980" i="1"/>
  <c r="W980" i="1"/>
  <c r="AA980" i="1"/>
  <c r="O979" i="1"/>
  <c r="W979" i="1" s="1"/>
  <c r="U979" i="1"/>
  <c r="V979" i="1"/>
  <c r="AA979" i="1"/>
  <c r="O978" i="1"/>
  <c r="U978" i="1"/>
  <c r="V978" i="1" s="1"/>
  <c r="W978" i="1" s="1"/>
  <c r="AA978" i="1"/>
  <c r="O977" i="1"/>
  <c r="W977" i="1" s="1"/>
  <c r="U977" i="1"/>
  <c r="V977" i="1"/>
  <c r="AA977" i="1"/>
  <c r="O976" i="1"/>
  <c r="U976" i="1"/>
  <c r="V976" i="1"/>
  <c r="W976" i="1"/>
  <c r="AA976" i="1"/>
  <c r="O975" i="1"/>
  <c r="U975" i="1"/>
  <c r="V975" i="1"/>
  <c r="W975" i="1" s="1"/>
  <c r="O974" i="1"/>
  <c r="W974" i="1" s="1"/>
  <c r="U974" i="1"/>
  <c r="V974" i="1"/>
  <c r="AA974" i="1"/>
  <c r="O973" i="1"/>
  <c r="U973" i="1"/>
  <c r="V973" i="1" s="1"/>
  <c r="W973" i="1" s="1"/>
  <c r="AA973" i="1"/>
  <c r="O972" i="1"/>
  <c r="W972" i="1" s="1"/>
  <c r="U972" i="1"/>
  <c r="V972" i="1"/>
  <c r="O971" i="1"/>
  <c r="U971" i="1"/>
  <c r="V971" i="1"/>
  <c r="W971" i="1"/>
  <c r="AA971" i="1"/>
  <c r="O970" i="1"/>
  <c r="U970" i="1"/>
  <c r="V970" i="1"/>
  <c r="W970" i="1"/>
  <c r="AA970" i="1"/>
  <c r="O969" i="1"/>
  <c r="W969" i="1" s="1"/>
  <c r="U969" i="1"/>
  <c r="V969" i="1"/>
  <c r="AA969" i="1"/>
  <c r="O968" i="1"/>
  <c r="U968" i="1"/>
  <c r="V968" i="1" s="1"/>
  <c r="W968" i="1" s="1"/>
  <c r="AA968" i="1"/>
  <c r="O967" i="1"/>
  <c r="W967" i="1" s="1"/>
  <c r="U967" i="1"/>
  <c r="V967" i="1"/>
  <c r="AA967" i="1"/>
  <c r="O966" i="1"/>
  <c r="U966" i="1"/>
  <c r="V966" i="1"/>
  <c r="W966" i="1"/>
  <c r="AA966" i="1"/>
  <c r="O965" i="1"/>
  <c r="U965" i="1"/>
  <c r="V965" i="1"/>
  <c r="W965" i="1" s="1"/>
  <c r="AA965" i="1"/>
  <c r="O964" i="1"/>
  <c r="W964" i="1" s="1"/>
  <c r="U964" i="1"/>
  <c r="V964" i="1" s="1"/>
  <c r="AA964" i="1"/>
  <c r="O963" i="1"/>
  <c r="U963" i="1"/>
  <c r="V963" i="1"/>
  <c r="W963" i="1"/>
  <c r="AA963" i="1"/>
  <c r="O962" i="1"/>
  <c r="U962" i="1"/>
  <c r="V962" i="1"/>
  <c r="W962" i="1"/>
  <c r="AA962" i="1"/>
  <c r="O961" i="1"/>
  <c r="W961" i="1" s="1"/>
  <c r="U961" i="1"/>
  <c r="V961" i="1"/>
  <c r="O960" i="1"/>
  <c r="U960" i="1"/>
  <c r="V960" i="1"/>
  <c r="W960" i="1" s="1"/>
  <c r="AA960" i="1"/>
  <c r="O959" i="1"/>
  <c r="U959" i="1"/>
  <c r="V959" i="1" s="1"/>
  <c r="AA959" i="1"/>
  <c r="O958" i="1"/>
  <c r="U958" i="1"/>
  <c r="V958" i="1"/>
  <c r="W958" i="1"/>
  <c r="AA958" i="1"/>
  <c r="O957" i="1"/>
  <c r="U957" i="1"/>
  <c r="V957" i="1"/>
  <c r="W957" i="1"/>
  <c r="AA957" i="1"/>
  <c r="O956" i="1"/>
  <c r="W956" i="1" s="1"/>
  <c r="U956" i="1"/>
  <c r="V956" i="1"/>
  <c r="O955" i="1"/>
  <c r="U955" i="1"/>
  <c r="V955" i="1"/>
  <c r="W955" i="1" s="1"/>
  <c r="AA955" i="1"/>
  <c r="O954" i="1"/>
  <c r="W954" i="1" s="1"/>
  <c r="U954" i="1"/>
  <c r="V954" i="1" s="1"/>
  <c r="AA954" i="1"/>
  <c r="O953" i="1"/>
  <c r="U953" i="1"/>
  <c r="V953" i="1"/>
  <c r="W953" i="1"/>
  <c r="AA953" i="1"/>
  <c r="O952" i="1"/>
  <c r="U952" i="1"/>
  <c r="V952" i="1"/>
  <c r="W952" i="1"/>
  <c r="AA952" i="1"/>
  <c r="O951" i="1"/>
  <c r="W951" i="1" s="1"/>
  <c r="U951" i="1"/>
  <c r="V951" i="1"/>
  <c r="AA951" i="1"/>
  <c r="O950" i="1"/>
  <c r="U950" i="1"/>
  <c r="V950" i="1" s="1"/>
  <c r="W950" i="1" s="1"/>
  <c r="AA950" i="1"/>
  <c r="O949" i="1"/>
  <c r="W949" i="1" s="1"/>
  <c r="U949" i="1"/>
  <c r="V949" i="1"/>
  <c r="AA949" i="1"/>
  <c r="O948" i="1"/>
  <c r="U948" i="1"/>
  <c r="V948" i="1"/>
  <c r="W948" i="1"/>
  <c r="AA948" i="1"/>
  <c r="O947" i="1"/>
  <c r="U947" i="1"/>
  <c r="V947" i="1"/>
  <c r="W947" i="1" s="1"/>
  <c r="AA947" i="1"/>
  <c r="O946" i="1"/>
  <c r="U946" i="1"/>
  <c r="V946" i="1" s="1"/>
  <c r="AA946" i="1"/>
  <c r="O945" i="1"/>
  <c r="U945" i="1"/>
  <c r="V945" i="1"/>
  <c r="W945" i="1"/>
  <c r="AA945" i="1"/>
  <c r="O944" i="1"/>
  <c r="U944" i="1"/>
  <c r="V944" i="1"/>
  <c r="W944" i="1"/>
  <c r="AA944" i="1"/>
  <c r="O943" i="1"/>
  <c r="W943" i="1" s="1"/>
  <c r="U943" i="1"/>
  <c r="V943" i="1"/>
  <c r="AA943" i="1"/>
  <c r="O942" i="1"/>
  <c r="U942" i="1"/>
  <c r="V942" i="1" s="1"/>
  <c r="W942" i="1" s="1"/>
  <c r="AA942" i="1"/>
  <c r="O941" i="1"/>
  <c r="W941" i="1" s="1"/>
  <c r="U941" i="1"/>
  <c r="V941" i="1"/>
  <c r="AA941" i="1"/>
  <c r="O940" i="1"/>
  <c r="U940" i="1"/>
  <c r="V940" i="1"/>
  <c r="W940" i="1"/>
  <c r="AA940" i="1"/>
  <c r="O939" i="1"/>
  <c r="U939" i="1"/>
  <c r="V939" i="1"/>
  <c r="W939" i="1" s="1"/>
  <c r="AA939" i="1"/>
  <c r="O938" i="1"/>
  <c r="U938" i="1"/>
  <c r="V938" i="1" s="1"/>
  <c r="AA938" i="1"/>
  <c r="O937" i="1"/>
  <c r="U937" i="1"/>
  <c r="V937" i="1"/>
  <c r="W937" i="1"/>
  <c r="AA937" i="1"/>
  <c r="O936" i="1"/>
  <c r="U936" i="1"/>
  <c r="V936" i="1"/>
  <c r="W936" i="1"/>
  <c r="AA936" i="1"/>
  <c r="O935" i="1"/>
  <c r="W935" i="1" s="1"/>
  <c r="U935" i="1"/>
  <c r="V935" i="1"/>
  <c r="AA935" i="1"/>
  <c r="O934" i="1"/>
  <c r="U934" i="1"/>
  <c r="V934" i="1" s="1"/>
  <c r="W934" i="1" s="1"/>
  <c r="AA934" i="1"/>
  <c r="O933" i="1"/>
  <c r="W933" i="1" s="1"/>
  <c r="U933" i="1"/>
  <c r="V933" i="1"/>
  <c r="O932" i="1"/>
  <c r="U932" i="1"/>
  <c r="V932" i="1"/>
  <c r="W932" i="1"/>
  <c r="AA932" i="1"/>
  <c r="O931" i="1"/>
  <c r="U931" i="1"/>
  <c r="V931" i="1"/>
  <c r="W931" i="1"/>
  <c r="AA931" i="1"/>
  <c r="O929" i="1"/>
  <c r="W929" i="1" s="1"/>
  <c r="U929" i="1"/>
  <c r="V929" i="1"/>
  <c r="O928" i="1"/>
  <c r="U928" i="1"/>
  <c r="V928" i="1"/>
  <c r="W928" i="1" s="1"/>
  <c r="AA928" i="1"/>
  <c r="O927" i="1"/>
  <c r="U927" i="1"/>
  <c r="V927" i="1" s="1"/>
  <c r="AA927" i="1"/>
  <c r="O926" i="1"/>
  <c r="U926" i="1"/>
  <c r="V926" i="1"/>
  <c r="W926" i="1"/>
  <c r="AA926" i="1"/>
  <c r="O925" i="1"/>
  <c r="U925" i="1"/>
  <c r="V925" i="1"/>
  <c r="W925" i="1"/>
  <c r="AA925" i="1"/>
  <c r="O924" i="1"/>
  <c r="W924" i="1" s="1"/>
  <c r="U924" i="1"/>
  <c r="V924" i="1"/>
  <c r="AA924" i="1"/>
  <c r="O923" i="1"/>
  <c r="U923" i="1"/>
  <c r="V923" i="1" s="1"/>
  <c r="W923" i="1" s="1"/>
  <c r="AA923" i="1"/>
  <c r="O922" i="1"/>
  <c r="W922" i="1" s="1"/>
  <c r="U922" i="1"/>
  <c r="V922" i="1"/>
  <c r="AA922" i="1"/>
  <c r="O921" i="1"/>
  <c r="U921" i="1"/>
  <c r="V921" i="1"/>
  <c r="W921" i="1"/>
  <c r="O920" i="1"/>
  <c r="U920" i="1"/>
  <c r="V920" i="1"/>
  <c r="W920" i="1"/>
  <c r="AA920" i="1"/>
  <c r="O919" i="1"/>
  <c r="W919" i="1" s="1"/>
  <c r="U919" i="1"/>
  <c r="V919" i="1"/>
  <c r="AA919" i="1"/>
  <c r="O918" i="1"/>
  <c r="U918" i="1"/>
  <c r="V918" i="1" s="1"/>
  <c r="W918" i="1" s="1"/>
  <c r="AA918" i="1"/>
  <c r="O917" i="1"/>
  <c r="W917" i="1" s="1"/>
  <c r="U917" i="1"/>
  <c r="V917" i="1"/>
  <c r="AA917" i="1"/>
  <c r="O916" i="1"/>
  <c r="U916" i="1"/>
  <c r="V916" i="1"/>
  <c r="W916" i="1"/>
  <c r="AA916" i="1"/>
  <c r="O915" i="1"/>
  <c r="U915" i="1"/>
  <c r="V915" i="1"/>
  <c r="W915" i="1" s="1"/>
  <c r="AA915" i="1"/>
  <c r="O914" i="1"/>
  <c r="U914" i="1"/>
  <c r="V914" i="1" s="1"/>
  <c r="AA914" i="1"/>
  <c r="O913" i="1"/>
  <c r="U913" i="1"/>
  <c r="V913" i="1"/>
  <c r="W913" i="1"/>
  <c r="AA913" i="1"/>
  <c r="O912" i="1"/>
  <c r="U912" i="1"/>
  <c r="V912" i="1"/>
  <c r="W912" i="1"/>
  <c r="AA912" i="1"/>
  <c r="O911" i="1"/>
  <c r="W911" i="1" s="1"/>
  <c r="U911" i="1"/>
  <c r="V911" i="1"/>
  <c r="AA911" i="1"/>
  <c r="O910" i="1"/>
  <c r="U910" i="1"/>
  <c r="V910" i="1" s="1"/>
  <c r="W910" i="1" s="1"/>
  <c r="AA910" i="1"/>
  <c r="O909" i="1"/>
  <c r="W909" i="1" s="1"/>
  <c r="U909" i="1"/>
  <c r="V909" i="1"/>
  <c r="AA909" i="1"/>
  <c r="O908" i="1"/>
  <c r="U908" i="1"/>
  <c r="V908" i="1"/>
  <c r="W908" i="1"/>
  <c r="AA908" i="1"/>
  <c r="O907" i="1"/>
  <c r="U907" i="1"/>
  <c r="V907" i="1"/>
  <c r="W907" i="1" s="1"/>
  <c r="O906" i="1"/>
  <c r="W906" i="1" s="1"/>
  <c r="U906" i="1"/>
  <c r="V906" i="1"/>
  <c r="AA906" i="1"/>
  <c r="O905" i="1"/>
  <c r="U905" i="1"/>
  <c r="V905" i="1" s="1"/>
  <c r="W905" i="1" s="1"/>
  <c r="O904" i="1"/>
  <c r="U904" i="1"/>
  <c r="V904" i="1" s="1"/>
  <c r="O903" i="1"/>
  <c r="U903" i="1"/>
  <c r="V903" i="1" s="1"/>
  <c r="W903" i="1" s="1"/>
  <c r="AA903" i="1"/>
  <c r="O902" i="1"/>
  <c r="W902" i="1" s="1"/>
  <c r="U902" i="1"/>
  <c r="V902" i="1"/>
  <c r="AA902" i="1"/>
  <c r="O901" i="1"/>
  <c r="U901" i="1"/>
  <c r="V901" i="1"/>
  <c r="W901" i="1"/>
  <c r="O900" i="1"/>
  <c r="U900" i="1"/>
  <c r="V900" i="1"/>
  <c r="W900" i="1"/>
  <c r="AA900" i="1"/>
  <c r="O899" i="1"/>
  <c r="W899" i="1" s="1"/>
  <c r="U899" i="1"/>
  <c r="V899" i="1"/>
  <c r="O898" i="1"/>
  <c r="U898" i="1"/>
  <c r="V898" i="1"/>
  <c r="W898" i="1" s="1"/>
  <c r="AA898" i="1"/>
  <c r="O897" i="1"/>
  <c r="U897" i="1"/>
  <c r="V897" i="1" s="1"/>
  <c r="AA897" i="1"/>
  <c r="O896" i="1"/>
  <c r="U896" i="1"/>
  <c r="V896" i="1"/>
  <c r="W896" i="1"/>
  <c r="O895" i="1"/>
  <c r="W895" i="1" s="1"/>
  <c r="U895" i="1"/>
  <c r="V895" i="1"/>
  <c r="O894" i="1"/>
  <c r="U894" i="1"/>
  <c r="V894" i="1"/>
  <c r="W894" i="1"/>
  <c r="O893" i="1"/>
  <c r="W893" i="1" s="1"/>
  <c r="U893" i="1"/>
  <c r="V893" i="1"/>
  <c r="AA893" i="1"/>
  <c r="O892" i="1"/>
  <c r="U892" i="1"/>
  <c r="V892" i="1"/>
  <c r="W892" i="1"/>
  <c r="AA892" i="1"/>
  <c r="O891" i="1"/>
  <c r="U891" i="1"/>
  <c r="V891" i="1"/>
  <c r="W891" i="1" s="1"/>
  <c r="AA891" i="1"/>
  <c r="O890" i="1"/>
  <c r="U890" i="1"/>
  <c r="V890" i="1" s="1"/>
  <c r="AA890" i="1"/>
  <c r="O889" i="1"/>
  <c r="U889" i="1"/>
  <c r="V889" i="1"/>
  <c r="W889" i="1"/>
  <c r="AA889" i="1"/>
  <c r="O888" i="1"/>
  <c r="U888" i="1"/>
  <c r="V888" i="1"/>
  <c r="W888" i="1"/>
  <c r="AA888" i="1"/>
  <c r="O887" i="1"/>
  <c r="W887" i="1" s="1"/>
  <c r="U887" i="1"/>
  <c r="V887" i="1"/>
  <c r="AA887" i="1"/>
  <c r="O886" i="1"/>
  <c r="U886" i="1"/>
  <c r="V886" i="1" s="1"/>
  <c r="W886" i="1" s="1"/>
  <c r="AA886" i="1"/>
  <c r="O885" i="1"/>
  <c r="W885" i="1" s="1"/>
  <c r="U885" i="1"/>
  <c r="V885" i="1"/>
  <c r="AA885" i="1"/>
  <c r="O884" i="1"/>
  <c r="U884" i="1"/>
  <c r="V884" i="1"/>
  <c r="W884" i="1"/>
  <c r="AA884" i="1"/>
  <c r="O883" i="1"/>
  <c r="U883" i="1"/>
  <c r="V883" i="1"/>
  <c r="W883" i="1" s="1"/>
  <c r="AA883" i="1"/>
  <c r="O882" i="1"/>
  <c r="U882" i="1"/>
  <c r="V882" i="1" s="1"/>
  <c r="AA882" i="1"/>
  <c r="O881" i="1"/>
  <c r="U881" i="1"/>
  <c r="V881" i="1"/>
  <c r="W881" i="1"/>
  <c r="AA881" i="1"/>
  <c r="O880" i="1"/>
  <c r="U880" i="1"/>
  <c r="V880" i="1"/>
  <c r="W880" i="1"/>
  <c r="AA880" i="1"/>
  <c r="O879" i="1"/>
  <c r="W879" i="1" s="1"/>
  <c r="U879" i="1"/>
  <c r="V879" i="1"/>
  <c r="O878" i="1"/>
  <c r="U878" i="1"/>
  <c r="V878" i="1"/>
  <c r="W878" i="1" s="1"/>
  <c r="AA878" i="1"/>
  <c r="O877" i="1"/>
  <c r="U877" i="1"/>
  <c r="V877" i="1" s="1"/>
  <c r="AA877" i="1"/>
  <c r="O876" i="1"/>
  <c r="U876" i="1"/>
  <c r="V876" i="1"/>
  <c r="W876" i="1"/>
  <c r="AA876" i="1"/>
  <c r="O875" i="1"/>
  <c r="U875" i="1"/>
  <c r="V875" i="1"/>
  <c r="W875" i="1"/>
  <c r="AA875" i="1"/>
  <c r="O874" i="1"/>
  <c r="W874" i="1" s="1"/>
  <c r="U874" i="1"/>
  <c r="V874" i="1"/>
  <c r="AA874" i="1"/>
  <c r="O873" i="1"/>
  <c r="U873" i="1"/>
  <c r="V873" i="1" s="1"/>
  <c r="W873" i="1" s="1"/>
  <c r="AA873" i="1"/>
  <c r="O872" i="1"/>
  <c r="W872" i="1" s="1"/>
  <c r="U872" i="1"/>
  <c r="V872" i="1"/>
  <c r="AA872" i="1"/>
  <c r="O871" i="1"/>
  <c r="U871" i="1"/>
  <c r="V871" i="1"/>
  <c r="W871" i="1"/>
  <c r="AA871" i="1"/>
  <c r="O870" i="1"/>
  <c r="U870" i="1"/>
  <c r="V870" i="1"/>
  <c r="W870" i="1" s="1"/>
  <c r="AA870" i="1"/>
  <c r="O869" i="1"/>
  <c r="U869" i="1"/>
  <c r="V869" i="1" s="1"/>
  <c r="AA869" i="1"/>
  <c r="O868" i="1"/>
  <c r="U868" i="1"/>
  <c r="V868" i="1"/>
  <c r="W868" i="1"/>
  <c r="AA868" i="1"/>
  <c r="O867" i="1"/>
  <c r="U867" i="1"/>
  <c r="V867" i="1"/>
  <c r="W867" i="1"/>
  <c r="AA867" i="1"/>
  <c r="O866" i="1"/>
  <c r="W866" i="1" s="1"/>
  <c r="U866" i="1"/>
  <c r="V866" i="1"/>
  <c r="AA866" i="1"/>
  <c r="O865" i="1"/>
  <c r="U865" i="1"/>
  <c r="V865" i="1" s="1"/>
  <c r="W865" i="1" s="1"/>
  <c r="AA865" i="1"/>
  <c r="O864" i="1"/>
  <c r="W864" i="1" s="1"/>
  <c r="U864" i="1"/>
  <c r="V864" i="1"/>
  <c r="AA864" i="1"/>
  <c r="O863" i="1"/>
  <c r="U863" i="1"/>
  <c r="V863" i="1"/>
  <c r="W863" i="1"/>
  <c r="AA863" i="1"/>
  <c r="O862" i="1"/>
  <c r="U862" i="1"/>
  <c r="V862" i="1"/>
  <c r="W862" i="1" s="1"/>
  <c r="AA862" i="1"/>
  <c r="O861" i="1"/>
  <c r="W861" i="1" s="1"/>
  <c r="U861" i="1"/>
  <c r="V861" i="1" s="1"/>
  <c r="AA861" i="1"/>
  <c r="O860" i="1"/>
  <c r="U860" i="1"/>
  <c r="V860" i="1"/>
  <c r="W860" i="1"/>
  <c r="AA860" i="1"/>
  <c r="O859" i="1"/>
  <c r="U859" i="1"/>
  <c r="V859" i="1"/>
  <c r="W859" i="1"/>
  <c r="AA859" i="1"/>
  <c r="O858" i="1"/>
  <c r="W858" i="1" s="1"/>
  <c r="U858" i="1"/>
  <c r="V858" i="1"/>
  <c r="AA858" i="1"/>
  <c r="O857" i="1"/>
  <c r="U857" i="1"/>
  <c r="V857" i="1" s="1"/>
  <c r="W857" i="1" s="1"/>
  <c r="AA857" i="1"/>
  <c r="O856" i="1"/>
  <c r="W856" i="1" s="1"/>
  <c r="U856" i="1"/>
  <c r="V856" i="1"/>
  <c r="AA856" i="1"/>
  <c r="O855" i="1"/>
  <c r="U855" i="1"/>
  <c r="V855" i="1"/>
  <c r="W855" i="1"/>
  <c r="AA855" i="1"/>
  <c r="O854" i="1"/>
  <c r="U854" i="1"/>
  <c r="V854" i="1"/>
  <c r="W854" i="1" s="1"/>
  <c r="AA854" i="1"/>
  <c r="O853" i="1"/>
  <c r="U853" i="1"/>
  <c r="V853" i="1" s="1"/>
  <c r="AA853" i="1"/>
  <c r="O852" i="1"/>
  <c r="U852" i="1"/>
  <c r="V852" i="1"/>
  <c r="W852" i="1"/>
  <c r="AA852" i="1"/>
  <c r="O851" i="1"/>
  <c r="U851" i="1"/>
  <c r="V851" i="1"/>
  <c r="W851" i="1"/>
  <c r="AA851" i="1"/>
  <c r="O850" i="1"/>
  <c r="W850" i="1" s="1"/>
  <c r="U850" i="1"/>
  <c r="V850" i="1"/>
  <c r="AA850" i="1"/>
  <c r="O849" i="1"/>
  <c r="U849" i="1"/>
  <c r="V849" i="1" s="1"/>
  <c r="W849" i="1" s="1"/>
  <c r="AA849" i="1"/>
  <c r="O848" i="1"/>
  <c r="W848" i="1" s="1"/>
  <c r="U848" i="1"/>
  <c r="V848" i="1"/>
  <c r="AA848" i="1"/>
  <c r="O847" i="1"/>
  <c r="U847" i="1"/>
  <c r="V847" i="1"/>
  <c r="W847" i="1"/>
  <c r="O846" i="1"/>
  <c r="U846" i="1"/>
  <c r="V846" i="1"/>
  <c r="W846" i="1"/>
  <c r="AA846" i="1"/>
  <c r="O845" i="1"/>
  <c r="W845" i="1" s="1"/>
  <c r="U845" i="1"/>
  <c r="V845" i="1"/>
  <c r="AA845" i="1"/>
  <c r="O844" i="1"/>
  <c r="U844" i="1"/>
  <c r="V844" i="1" s="1"/>
  <c r="W844" i="1" s="1"/>
  <c r="O843" i="1"/>
  <c r="W843" i="1" s="1"/>
  <c r="U843" i="1"/>
  <c r="V843" i="1" s="1"/>
  <c r="AA843" i="1"/>
  <c r="O842" i="1"/>
  <c r="U842" i="1"/>
  <c r="V842" i="1"/>
  <c r="W842" i="1"/>
  <c r="AA842" i="1"/>
  <c r="O841" i="1"/>
  <c r="U841" i="1"/>
  <c r="V841" i="1"/>
  <c r="W841" i="1"/>
  <c r="O840" i="1"/>
  <c r="U840" i="1"/>
  <c r="V840" i="1"/>
  <c r="W840" i="1"/>
  <c r="AA840" i="1"/>
  <c r="O839" i="1"/>
  <c r="U839" i="1"/>
  <c r="V839" i="1"/>
  <c r="W839" i="1" s="1"/>
  <c r="AA839" i="1"/>
  <c r="O838" i="1"/>
  <c r="U838" i="1"/>
  <c r="V838" i="1" s="1"/>
  <c r="AA838" i="1"/>
  <c r="O837" i="1"/>
  <c r="U837" i="1"/>
  <c r="V837" i="1"/>
  <c r="W837" i="1"/>
  <c r="AA837" i="1"/>
  <c r="O836" i="1"/>
  <c r="U836" i="1"/>
  <c r="V836" i="1"/>
  <c r="W836" i="1"/>
  <c r="AA836" i="1"/>
  <c r="O835" i="1"/>
  <c r="W835" i="1" s="1"/>
  <c r="U835" i="1"/>
  <c r="V835" i="1"/>
  <c r="AA835" i="1"/>
  <c r="O834" i="1"/>
  <c r="U834" i="1"/>
  <c r="V834" i="1" s="1"/>
  <c r="W834" i="1" s="1"/>
  <c r="AA834" i="1"/>
  <c r="O833" i="1"/>
  <c r="W833" i="1" s="1"/>
  <c r="U833" i="1"/>
  <c r="V833" i="1"/>
  <c r="AA833" i="1"/>
  <c r="O832" i="1"/>
  <c r="U832" i="1"/>
  <c r="V832" i="1"/>
  <c r="W832" i="1"/>
  <c r="AA832" i="1"/>
  <c r="O831" i="1"/>
  <c r="U831" i="1"/>
  <c r="V831" i="1"/>
  <c r="W831" i="1" s="1"/>
  <c r="AA831" i="1"/>
  <c r="O830" i="1"/>
  <c r="U830" i="1"/>
  <c r="V830" i="1" s="1"/>
  <c r="AA830" i="1"/>
  <c r="O829" i="1"/>
  <c r="U829" i="1"/>
  <c r="V829" i="1"/>
  <c r="W829" i="1"/>
  <c r="AA829" i="1"/>
  <c r="O828" i="1"/>
  <c r="U828" i="1"/>
  <c r="V828" i="1"/>
  <c r="W828" i="1"/>
  <c r="AA828" i="1"/>
  <c r="O827" i="1"/>
  <c r="W827" i="1" s="1"/>
  <c r="U827" i="1"/>
  <c r="V827" i="1"/>
  <c r="AA827" i="1"/>
  <c r="O826" i="1"/>
  <c r="U826" i="1"/>
  <c r="V826" i="1" s="1"/>
  <c r="W826" i="1" s="1"/>
  <c r="AA826" i="1"/>
  <c r="O825" i="1"/>
  <c r="W825" i="1" s="1"/>
  <c r="U825" i="1"/>
  <c r="V825" i="1"/>
  <c r="O824" i="1"/>
  <c r="U824" i="1"/>
  <c r="V824" i="1"/>
  <c r="W824" i="1"/>
  <c r="AA824" i="1"/>
  <c r="O823" i="1"/>
  <c r="U823" i="1"/>
  <c r="V823" i="1"/>
  <c r="W823" i="1"/>
  <c r="AA823" i="1"/>
  <c r="O822" i="1"/>
  <c r="W822" i="1" s="1"/>
  <c r="U822" i="1"/>
  <c r="V822" i="1"/>
  <c r="AA822" i="1"/>
  <c r="O821" i="1"/>
  <c r="U821" i="1"/>
  <c r="V821" i="1" s="1"/>
  <c r="W821" i="1" s="1"/>
  <c r="O820" i="1"/>
  <c r="U820" i="1"/>
  <c r="V820" i="1" s="1"/>
  <c r="AA820" i="1"/>
  <c r="O819" i="1"/>
  <c r="U819" i="1"/>
  <c r="V819" i="1"/>
  <c r="W819" i="1"/>
  <c r="O818" i="1"/>
  <c r="W818" i="1" s="1"/>
  <c r="U818" i="1"/>
  <c r="V818" i="1"/>
  <c r="AA818" i="1"/>
  <c r="O817" i="1"/>
  <c r="U817" i="1"/>
  <c r="V817" i="1"/>
  <c r="W817" i="1"/>
  <c r="O816" i="1"/>
  <c r="U816" i="1"/>
  <c r="V816" i="1"/>
  <c r="W816" i="1"/>
  <c r="O815" i="1"/>
  <c r="U815" i="1"/>
  <c r="V815" i="1"/>
  <c r="W815" i="1"/>
  <c r="AA815" i="1"/>
  <c r="O814" i="1"/>
  <c r="U814" i="1"/>
  <c r="V814" i="1"/>
  <c r="W814" i="1" s="1"/>
  <c r="AA814" i="1"/>
  <c r="O813" i="1"/>
  <c r="U813" i="1"/>
  <c r="V813" i="1" s="1"/>
  <c r="AA813" i="1"/>
  <c r="O812" i="1"/>
  <c r="U812" i="1"/>
  <c r="V812" i="1"/>
  <c r="W812" i="1"/>
  <c r="O811" i="1"/>
  <c r="W811" i="1" s="1"/>
  <c r="U811" i="1"/>
  <c r="V811" i="1"/>
  <c r="AA811" i="1"/>
  <c r="O810" i="1"/>
  <c r="U810" i="1"/>
  <c r="V810" i="1"/>
  <c r="W810" i="1"/>
  <c r="AA810" i="1"/>
  <c r="O809" i="1"/>
  <c r="U809" i="1"/>
  <c r="V809" i="1"/>
  <c r="W809" i="1" s="1"/>
  <c r="AA809" i="1"/>
  <c r="O808" i="1"/>
  <c r="U808" i="1"/>
  <c r="V808" i="1" s="1"/>
  <c r="O807" i="1"/>
  <c r="U807" i="1"/>
  <c r="V807" i="1" s="1"/>
  <c r="W807" i="1" s="1"/>
  <c r="O806" i="1"/>
  <c r="U806" i="1"/>
  <c r="V806" i="1" s="1"/>
  <c r="AA806" i="1"/>
  <c r="O805" i="1"/>
  <c r="U805" i="1"/>
  <c r="V805" i="1"/>
  <c r="W805" i="1"/>
  <c r="AA805" i="1"/>
  <c r="O804" i="1"/>
  <c r="U804" i="1"/>
  <c r="V804" i="1"/>
  <c r="W804" i="1"/>
  <c r="AA804" i="1"/>
  <c r="O803" i="1"/>
  <c r="W803" i="1" s="1"/>
  <c r="U803" i="1"/>
  <c r="V803" i="1"/>
  <c r="AA803" i="1"/>
  <c r="O802" i="1"/>
  <c r="U802" i="1"/>
  <c r="V802" i="1" s="1"/>
  <c r="W802" i="1" s="1"/>
  <c r="AA802" i="1"/>
  <c r="O801" i="1"/>
  <c r="W801" i="1" s="1"/>
  <c r="U801" i="1"/>
  <c r="V801" i="1"/>
  <c r="AA801" i="1"/>
  <c r="O800" i="1"/>
  <c r="U800" i="1"/>
  <c r="V800" i="1"/>
  <c r="W800" i="1"/>
  <c r="O799" i="1"/>
  <c r="U799" i="1"/>
  <c r="V799" i="1"/>
  <c r="W799" i="1"/>
  <c r="AA799" i="1"/>
  <c r="O798" i="1"/>
  <c r="W798" i="1" s="1"/>
  <c r="U798" i="1"/>
  <c r="V798" i="1"/>
  <c r="O797" i="1"/>
  <c r="U797" i="1"/>
  <c r="V797" i="1"/>
  <c r="W797" i="1" s="1"/>
  <c r="O796" i="1"/>
  <c r="W796" i="1" s="1"/>
  <c r="U796" i="1"/>
  <c r="V796" i="1"/>
  <c r="AA796" i="1"/>
  <c r="O795" i="1"/>
  <c r="U795" i="1"/>
  <c r="V795" i="1" s="1"/>
  <c r="W795" i="1" s="1"/>
  <c r="AA795" i="1"/>
  <c r="O794" i="1"/>
  <c r="W794" i="1" s="1"/>
  <c r="U794" i="1"/>
  <c r="V794" i="1"/>
  <c r="AA794" i="1"/>
  <c r="O793" i="1"/>
  <c r="U793" i="1"/>
  <c r="V793" i="1"/>
  <c r="W793" i="1"/>
  <c r="AA793" i="1"/>
  <c r="O792" i="1"/>
  <c r="U792" i="1"/>
  <c r="V792" i="1"/>
  <c r="W792" i="1" s="1"/>
  <c r="AA792" i="1"/>
  <c r="O791" i="1"/>
  <c r="U791" i="1"/>
  <c r="V791" i="1" s="1"/>
  <c r="AA791" i="1"/>
  <c r="O790" i="1"/>
  <c r="U790" i="1"/>
  <c r="V790" i="1"/>
  <c r="W790" i="1"/>
  <c r="O789" i="1"/>
  <c r="W789" i="1" s="1"/>
  <c r="U789" i="1"/>
  <c r="V789" i="1"/>
  <c r="AA789" i="1"/>
  <c r="O788" i="1"/>
  <c r="U788" i="1"/>
  <c r="V788" i="1"/>
  <c r="W788" i="1"/>
  <c r="AA788" i="1"/>
  <c r="O787" i="1"/>
  <c r="U787" i="1"/>
  <c r="V787" i="1"/>
  <c r="W787" i="1" s="1"/>
  <c r="O786" i="1"/>
  <c r="W786" i="1" s="1"/>
  <c r="U786" i="1"/>
  <c r="V786" i="1"/>
  <c r="AA786" i="1"/>
  <c r="O785" i="1"/>
  <c r="U785" i="1"/>
  <c r="V785" i="1" s="1"/>
  <c r="W785" i="1" s="1"/>
  <c r="AA785" i="1"/>
  <c r="O784" i="1"/>
  <c r="W784" i="1" s="1"/>
  <c r="U784" i="1"/>
  <c r="V784" i="1"/>
  <c r="AA784" i="1"/>
  <c r="O783" i="1"/>
  <c r="U783" i="1"/>
  <c r="V783" i="1"/>
  <c r="W783" i="1"/>
  <c r="AA783" i="1"/>
  <c r="O782" i="1"/>
  <c r="U782" i="1"/>
  <c r="V782" i="1"/>
  <c r="W782" i="1" s="1"/>
  <c r="AA782" i="1"/>
  <c r="O781" i="1"/>
  <c r="W781" i="1" s="1"/>
  <c r="U781" i="1"/>
  <c r="V781" i="1" s="1"/>
  <c r="AA781" i="1"/>
  <c r="O780" i="1"/>
  <c r="U780" i="1"/>
  <c r="V780" i="1"/>
  <c r="W780" i="1"/>
  <c r="AA780" i="1"/>
  <c r="O779" i="1"/>
  <c r="U779" i="1"/>
  <c r="V779" i="1"/>
  <c r="W779" i="1"/>
  <c r="AA779" i="1"/>
  <c r="O778" i="1"/>
  <c r="W778" i="1" s="1"/>
  <c r="U778" i="1"/>
  <c r="V778" i="1"/>
  <c r="AA778" i="1"/>
  <c r="O777" i="1"/>
  <c r="U777" i="1"/>
  <c r="V777" i="1" s="1"/>
  <c r="W777" i="1" s="1"/>
  <c r="O776" i="1"/>
  <c r="W776" i="1" s="1"/>
  <c r="U776" i="1"/>
  <c r="V776" i="1"/>
  <c r="O775" i="1"/>
  <c r="U775" i="1"/>
  <c r="V775" i="1"/>
  <c r="W775" i="1"/>
  <c r="O774" i="1"/>
  <c r="W774" i="1" s="1"/>
  <c r="U774" i="1"/>
  <c r="V774" i="1"/>
  <c r="O773" i="1"/>
  <c r="U773" i="1"/>
  <c r="V773" i="1"/>
  <c r="W773" i="1"/>
  <c r="AA773" i="1"/>
  <c r="O772" i="1"/>
  <c r="U772" i="1"/>
  <c r="V772" i="1"/>
  <c r="W772" i="1"/>
  <c r="AA772" i="1"/>
  <c r="O771" i="1"/>
  <c r="W771" i="1" s="1"/>
  <c r="U771" i="1"/>
  <c r="V771" i="1"/>
  <c r="AA771" i="1"/>
  <c r="O770" i="1"/>
  <c r="U770" i="1"/>
  <c r="V770" i="1" s="1"/>
  <c r="W770" i="1" s="1"/>
  <c r="O769" i="1"/>
  <c r="W769" i="1" s="1"/>
  <c r="U769" i="1"/>
  <c r="V769" i="1" s="1"/>
  <c r="O768" i="1"/>
  <c r="U768" i="1"/>
  <c r="V768" i="1" s="1"/>
  <c r="W768" i="1" s="1"/>
  <c r="AA768" i="1"/>
  <c r="O767" i="1"/>
  <c r="W767" i="1" s="1"/>
  <c r="U767" i="1"/>
  <c r="V767" i="1"/>
  <c r="AA767" i="1"/>
  <c r="O766" i="1"/>
  <c r="U766" i="1"/>
  <c r="V766" i="1"/>
  <c r="W766" i="1"/>
  <c r="AA766" i="1"/>
  <c r="O765" i="1"/>
  <c r="U765" i="1"/>
  <c r="V765" i="1"/>
  <c r="W765" i="1" s="1"/>
  <c r="AA765" i="1"/>
  <c r="O764" i="1"/>
  <c r="U764" i="1"/>
  <c r="V764" i="1" s="1"/>
  <c r="O763" i="1"/>
  <c r="U763" i="1"/>
  <c r="V763" i="1" s="1"/>
  <c r="W763" i="1" s="1"/>
  <c r="AA763" i="1"/>
  <c r="O762" i="1"/>
  <c r="W762" i="1" s="1"/>
  <c r="U762" i="1"/>
  <c r="V762" i="1"/>
  <c r="AA762" i="1"/>
  <c r="O761" i="1"/>
  <c r="U761" i="1"/>
  <c r="V761" i="1"/>
  <c r="W761" i="1"/>
  <c r="AA761" i="1"/>
  <c r="O760" i="1"/>
  <c r="U760" i="1"/>
  <c r="V760" i="1"/>
  <c r="W760" i="1" s="1"/>
  <c r="AA760" i="1"/>
  <c r="O759" i="1"/>
  <c r="U759" i="1"/>
  <c r="V759" i="1" s="1"/>
  <c r="AA759" i="1"/>
  <c r="O758" i="1"/>
  <c r="U758" i="1"/>
  <c r="V758" i="1"/>
  <c r="W758" i="1"/>
  <c r="O757" i="1"/>
  <c r="W757" i="1" s="1"/>
  <c r="U757" i="1"/>
  <c r="V757" i="1"/>
  <c r="AA757" i="1"/>
  <c r="O756" i="1"/>
  <c r="U756" i="1"/>
  <c r="V756" i="1"/>
  <c r="W756" i="1"/>
  <c r="AA756" i="1"/>
  <c r="O755" i="1"/>
  <c r="U755" i="1"/>
  <c r="V755" i="1"/>
  <c r="W755" i="1" s="1"/>
  <c r="O754" i="1"/>
  <c r="W754" i="1" s="1"/>
  <c r="U754" i="1"/>
  <c r="V754" i="1"/>
  <c r="O753" i="1"/>
  <c r="U753" i="1"/>
  <c r="V753" i="1"/>
  <c r="W753" i="1" s="1"/>
  <c r="AA753" i="1"/>
  <c r="O752" i="1"/>
  <c r="U752" i="1"/>
  <c r="V752" i="1" s="1"/>
  <c r="AA752" i="1"/>
  <c r="O751" i="1"/>
  <c r="U751" i="1"/>
  <c r="V751" i="1"/>
  <c r="W751" i="1"/>
  <c r="AA751" i="1"/>
  <c r="O750" i="1"/>
  <c r="U750" i="1"/>
  <c r="V750" i="1"/>
  <c r="W750" i="1"/>
  <c r="AA750" i="1"/>
  <c r="O749" i="1"/>
  <c r="W749" i="1" s="1"/>
  <c r="U749" i="1"/>
  <c r="V749" i="1"/>
  <c r="AA749" i="1"/>
  <c r="O748" i="1"/>
  <c r="U748" i="1"/>
  <c r="V748" i="1" s="1"/>
  <c r="W748" i="1" s="1"/>
  <c r="O747" i="1"/>
  <c r="U747" i="1"/>
  <c r="V747" i="1" s="1"/>
  <c r="AA747" i="1"/>
  <c r="O746" i="1"/>
  <c r="U746" i="1"/>
  <c r="V746" i="1"/>
  <c r="W746" i="1"/>
  <c r="AA746" i="1"/>
  <c r="O745" i="1"/>
  <c r="U745" i="1"/>
  <c r="V745" i="1"/>
  <c r="W745" i="1"/>
  <c r="AA745" i="1"/>
  <c r="O744" i="1"/>
  <c r="W744" i="1" s="1"/>
  <c r="U744" i="1"/>
  <c r="V744" i="1"/>
  <c r="AA744" i="1"/>
  <c r="O743" i="1"/>
  <c r="U743" i="1"/>
  <c r="V743" i="1" s="1"/>
  <c r="W743" i="1" s="1"/>
  <c r="O742" i="1"/>
  <c r="U742" i="1"/>
  <c r="V742" i="1" s="1"/>
  <c r="AA742" i="1"/>
  <c r="O741" i="1"/>
  <c r="U741" i="1"/>
  <c r="V741" i="1"/>
  <c r="W741" i="1"/>
  <c r="AA741" i="1"/>
  <c r="O740" i="1"/>
  <c r="U740" i="1"/>
  <c r="V740" i="1"/>
  <c r="W740" i="1"/>
  <c r="AA740" i="1"/>
  <c r="O739" i="1"/>
  <c r="W739" i="1" s="1"/>
  <c r="U739" i="1"/>
  <c r="V739" i="1"/>
  <c r="O738" i="1"/>
  <c r="U738" i="1"/>
  <c r="V738" i="1"/>
  <c r="W738" i="1" s="1"/>
  <c r="AA738" i="1"/>
  <c r="O737" i="1"/>
  <c r="W737" i="1" s="1"/>
  <c r="U737" i="1"/>
  <c r="V737" i="1" s="1"/>
  <c r="AA737" i="1"/>
  <c r="O736" i="1"/>
  <c r="U736" i="1"/>
  <c r="V736" i="1"/>
  <c r="W736" i="1"/>
  <c r="AA736" i="1"/>
  <c r="O735" i="1"/>
  <c r="U735" i="1"/>
  <c r="V735" i="1"/>
  <c r="W735" i="1"/>
  <c r="AA735" i="1"/>
  <c r="O734" i="1"/>
  <c r="W734" i="1" s="1"/>
  <c r="U734" i="1"/>
  <c r="V734" i="1"/>
  <c r="AA734" i="1"/>
  <c r="O733" i="1"/>
  <c r="U733" i="1"/>
  <c r="V733" i="1" s="1"/>
  <c r="W733" i="1" s="1"/>
  <c r="AA733" i="1"/>
  <c r="O732" i="1"/>
  <c r="W732" i="1" s="1"/>
  <c r="U732" i="1"/>
  <c r="V732" i="1"/>
  <c r="AA732" i="1"/>
  <c r="O731" i="1"/>
  <c r="U731" i="1"/>
  <c r="V731" i="1"/>
  <c r="W731" i="1"/>
  <c r="AA731" i="1"/>
  <c r="O730" i="1"/>
  <c r="U730" i="1"/>
  <c r="V730" i="1"/>
  <c r="W730" i="1" s="1"/>
  <c r="AA730" i="1"/>
  <c r="O729" i="1"/>
  <c r="U729" i="1"/>
  <c r="V729" i="1" s="1"/>
  <c r="AA729" i="1"/>
  <c r="O728" i="1"/>
  <c r="U728" i="1"/>
  <c r="V728" i="1"/>
  <c r="W728" i="1"/>
  <c r="AA728" i="1"/>
  <c r="O726" i="1"/>
  <c r="U726" i="1"/>
  <c r="V726" i="1"/>
  <c r="W726" i="1"/>
  <c r="AA726" i="1"/>
  <c r="O725" i="1"/>
  <c r="W725" i="1" s="1"/>
  <c r="U725" i="1"/>
  <c r="V725" i="1"/>
  <c r="O724" i="1"/>
  <c r="U724" i="1"/>
  <c r="V724" i="1"/>
  <c r="W724" i="1" s="1"/>
  <c r="O723" i="1"/>
  <c r="W723" i="1" s="1"/>
  <c r="U723" i="1"/>
  <c r="V723" i="1"/>
  <c r="AA723" i="1"/>
  <c r="O722" i="1"/>
  <c r="U722" i="1"/>
  <c r="V722" i="1" s="1"/>
  <c r="W722" i="1" s="1"/>
  <c r="AA722" i="1"/>
  <c r="O721" i="1"/>
  <c r="W721" i="1" s="1"/>
  <c r="U721" i="1"/>
  <c r="V721" i="1"/>
  <c r="AA721" i="1"/>
  <c r="O720" i="1"/>
  <c r="U720" i="1"/>
  <c r="V720" i="1"/>
  <c r="W720" i="1"/>
  <c r="AA720" i="1"/>
  <c r="O719" i="1"/>
  <c r="U719" i="1"/>
  <c r="V719" i="1"/>
  <c r="W719" i="1" s="1"/>
  <c r="AA719" i="1"/>
  <c r="O718" i="1"/>
  <c r="W718" i="1" s="1"/>
  <c r="U718" i="1"/>
  <c r="V718" i="1" s="1"/>
  <c r="O717" i="1"/>
  <c r="U717" i="1"/>
  <c r="V717" i="1" s="1"/>
  <c r="W717" i="1" s="1"/>
  <c r="O716" i="1"/>
  <c r="W716" i="1" s="1"/>
  <c r="U716" i="1"/>
  <c r="V716" i="1"/>
  <c r="O715" i="1"/>
  <c r="U715" i="1"/>
  <c r="V715" i="1"/>
  <c r="W715" i="1"/>
  <c r="AA715" i="1"/>
  <c r="O714" i="1"/>
  <c r="U714" i="1"/>
  <c r="V714" i="1"/>
  <c r="W714" i="1"/>
  <c r="AA714" i="1"/>
  <c r="O713" i="1"/>
  <c r="W713" i="1" s="1"/>
  <c r="U713" i="1"/>
  <c r="V713" i="1"/>
  <c r="AA713" i="1"/>
  <c r="O712" i="1"/>
  <c r="U712" i="1"/>
  <c r="V712" i="1" s="1"/>
  <c r="W712" i="1" s="1"/>
  <c r="O711" i="1"/>
  <c r="U711" i="1"/>
  <c r="V711" i="1" s="1"/>
  <c r="O710" i="1"/>
  <c r="U710" i="1"/>
  <c r="V710" i="1" s="1"/>
  <c r="W710" i="1" s="1"/>
  <c r="O709" i="1"/>
  <c r="W709" i="1" s="1"/>
  <c r="U709" i="1"/>
  <c r="V709" i="1" s="1"/>
  <c r="AA709" i="1"/>
  <c r="O708" i="1"/>
  <c r="U708" i="1"/>
  <c r="V708" i="1"/>
  <c r="W708" i="1"/>
  <c r="AA708" i="1"/>
  <c r="O707" i="1"/>
  <c r="U707" i="1"/>
  <c r="V707" i="1"/>
  <c r="W707" i="1"/>
  <c r="O706" i="1"/>
  <c r="U706" i="1"/>
  <c r="V706" i="1"/>
  <c r="W706" i="1"/>
  <c r="AA706" i="1"/>
  <c r="O705" i="1"/>
  <c r="U705" i="1"/>
  <c r="V705" i="1"/>
  <c r="W705" i="1" s="1"/>
  <c r="AA705" i="1"/>
  <c r="O704" i="1"/>
  <c r="W704" i="1" s="1"/>
  <c r="U704" i="1"/>
  <c r="V704" i="1" s="1"/>
  <c r="AA704" i="1"/>
  <c r="O703" i="1"/>
  <c r="U703" i="1"/>
  <c r="V703" i="1"/>
  <c r="W703" i="1"/>
  <c r="O702" i="1"/>
  <c r="W702" i="1" s="1"/>
  <c r="U702" i="1"/>
  <c r="V702" i="1"/>
  <c r="AA702" i="1"/>
  <c r="O701" i="1"/>
  <c r="U701" i="1"/>
  <c r="V701" i="1"/>
  <c r="W701" i="1"/>
  <c r="AA701" i="1"/>
  <c r="O700" i="1"/>
  <c r="U700" i="1"/>
  <c r="V700" i="1"/>
  <c r="W700" i="1" s="1"/>
  <c r="AA700" i="1"/>
  <c r="O699" i="1"/>
  <c r="U699" i="1"/>
  <c r="V699" i="1" s="1"/>
  <c r="AA699" i="1"/>
  <c r="O698" i="1"/>
  <c r="U698" i="1"/>
  <c r="V698" i="1"/>
  <c r="W698" i="1"/>
  <c r="AA698" i="1"/>
  <c r="O697" i="1"/>
  <c r="U697" i="1"/>
  <c r="V697" i="1"/>
  <c r="W697" i="1"/>
  <c r="O696" i="1"/>
  <c r="U696" i="1"/>
  <c r="V696" i="1"/>
  <c r="W696" i="1"/>
  <c r="AA696" i="1"/>
  <c r="O695" i="1"/>
  <c r="U695" i="1"/>
  <c r="V695" i="1"/>
  <c r="W695" i="1" s="1"/>
  <c r="AA695" i="1"/>
  <c r="O694" i="1"/>
  <c r="U694" i="1"/>
  <c r="V694" i="1" s="1"/>
  <c r="O693" i="1"/>
  <c r="U693" i="1"/>
  <c r="V693" i="1" s="1"/>
  <c r="W693" i="1" s="1"/>
  <c r="AA693" i="1"/>
  <c r="O692" i="1"/>
  <c r="W692" i="1" s="1"/>
  <c r="U692" i="1"/>
  <c r="V692" i="1"/>
  <c r="AA692" i="1"/>
  <c r="O691" i="1"/>
  <c r="U691" i="1"/>
  <c r="V691" i="1"/>
  <c r="W691" i="1"/>
  <c r="AA691" i="1"/>
  <c r="O690" i="1"/>
  <c r="U690" i="1"/>
  <c r="V690" i="1"/>
  <c r="W690" i="1" s="1"/>
  <c r="AA690" i="1"/>
  <c r="O689" i="1"/>
  <c r="W689" i="1" s="1"/>
  <c r="U689" i="1"/>
  <c r="V689" i="1" s="1"/>
  <c r="AA689" i="1"/>
  <c r="O688" i="1"/>
  <c r="U688" i="1"/>
  <c r="V688" i="1"/>
  <c r="W688" i="1"/>
  <c r="AA688" i="1"/>
  <c r="O687" i="1"/>
  <c r="U687" i="1"/>
  <c r="V687" i="1"/>
  <c r="W687" i="1"/>
  <c r="O686" i="1"/>
  <c r="U686" i="1"/>
  <c r="V686" i="1"/>
  <c r="W686" i="1"/>
  <c r="AA686" i="1"/>
  <c r="O685" i="1"/>
  <c r="U685" i="1"/>
  <c r="V685" i="1"/>
  <c r="W685" i="1" s="1"/>
  <c r="AA685" i="1"/>
  <c r="O684" i="1"/>
  <c r="W684" i="1" s="1"/>
  <c r="U684" i="1"/>
  <c r="V684" i="1" s="1"/>
  <c r="AA684" i="1"/>
  <c r="O683" i="1"/>
  <c r="U683" i="1"/>
  <c r="V683" i="1"/>
  <c r="W683" i="1"/>
  <c r="AA683" i="1"/>
  <c r="O682" i="1"/>
  <c r="U682" i="1"/>
  <c r="V682" i="1"/>
  <c r="W682" i="1"/>
  <c r="AA682" i="1"/>
  <c r="O681" i="1"/>
  <c r="W681" i="1" s="1"/>
  <c r="U681" i="1"/>
  <c r="V681" i="1"/>
  <c r="AA681" i="1"/>
  <c r="O680" i="1"/>
  <c r="U680" i="1"/>
  <c r="V680" i="1" s="1"/>
  <c r="W680" i="1" s="1"/>
  <c r="AA680" i="1"/>
  <c r="O679" i="1"/>
  <c r="W679" i="1" s="1"/>
  <c r="U679" i="1"/>
  <c r="V679" i="1"/>
  <c r="AA679" i="1"/>
  <c r="O678" i="1"/>
  <c r="U678" i="1"/>
  <c r="V678" i="1"/>
  <c r="W678" i="1"/>
  <c r="O677" i="1"/>
  <c r="U677" i="1"/>
  <c r="V677" i="1"/>
  <c r="W677" i="1"/>
  <c r="AA677" i="1"/>
  <c r="O676" i="1"/>
  <c r="W676" i="1" s="1"/>
  <c r="U676" i="1"/>
  <c r="V676" i="1"/>
  <c r="AA676" i="1"/>
  <c r="O675" i="1"/>
  <c r="U675" i="1"/>
  <c r="V675" i="1" s="1"/>
  <c r="W675" i="1" s="1"/>
  <c r="O674" i="1"/>
  <c r="U674" i="1"/>
  <c r="V674" i="1" s="1"/>
  <c r="AA674" i="1"/>
  <c r="O673" i="1"/>
  <c r="U673" i="1"/>
  <c r="V673" i="1"/>
  <c r="W673" i="1"/>
  <c r="AA673" i="1"/>
  <c r="O672" i="1"/>
  <c r="U672" i="1"/>
  <c r="V672" i="1"/>
  <c r="W672" i="1"/>
  <c r="AA672" i="1"/>
  <c r="O671" i="1"/>
  <c r="W671" i="1" s="1"/>
  <c r="U671" i="1"/>
  <c r="V671" i="1"/>
  <c r="O670" i="1"/>
  <c r="U670" i="1"/>
  <c r="V670" i="1"/>
  <c r="W670" i="1" s="1"/>
  <c r="AA670" i="1"/>
  <c r="O669" i="1"/>
  <c r="W669" i="1" s="1"/>
  <c r="U669" i="1"/>
  <c r="V669" i="1" s="1"/>
  <c r="AA669" i="1"/>
  <c r="O668" i="1"/>
  <c r="U668" i="1"/>
  <c r="V668" i="1"/>
  <c r="W668" i="1"/>
  <c r="AA668" i="1"/>
  <c r="O667" i="1"/>
  <c r="U667" i="1"/>
  <c r="V667" i="1"/>
  <c r="W667" i="1"/>
  <c r="AA667" i="1"/>
  <c r="O666" i="1"/>
  <c r="W666" i="1" s="1"/>
  <c r="U666" i="1"/>
  <c r="V666" i="1"/>
  <c r="O665" i="1"/>
  <c r="U665" i="1"/>
  <c r="V665" i="1"/>
  <c r="W665" i="1" s="1"/>
  <c r="AA665" i="1"/>
  <c r="O664" i="1"/>
  <c r="U664" i="1"/>
  <c r="V664" i="1" s="1"/>
  <c r="AA664" i="1"/>
  <c r="O663" i="1"/>
  <c r="U663" i="1"/>
  <c r="V663" i="1"/>
  <c r="W663" i="1"/>
  <c r="AA663" i="1"/>
  <c r="O662" i="1"/>
  <c r="U662" i="1"/>
  <c r="V662" i="1"/>
  <c r="W662" i="1"/>
  <c r="AA662" i="1"/>
  <c r="O661" i="1"/>
  <c r="W661" i="1" s="1"/>
  <c r="U661" i="1"/>
  <c r="V661" i="1"/>
  <c r="AA661" i="1"/>
  <c r="O660" i="1"/>
  <c r="U660" i="1"/>
  <c r="V660" i="1" s="1"/>
  <c r="W660" i="1" s="1"/>
  <c r="AA660" i="1"/>
  <c r="O659" i="1"/>
  <c r="W659" i="1" s="1"/>
  <c r="U659" i="1"/>
  <c r="V659" i="1"/>
  <c r="AA659" i="1"/>
  <c r="O658" i="1"/>
  <c r="U658" i="1"/>
  <c r="V658" i="1"/>
  <c r="W658" i="1"/>
  <c r="AA658" i="1"/>
  <c r="O657" i="1"/>
  <c r="U657" i="1"/>
  <c r="V657" i="1"/>
  <c r="W657" i="1" s="1"/>
  <c r="AA657" i="1"/>
  <c r="O656" i="1"/>
  <c r="W656" i="1" s="1"/>
  <c r="U656" i="1"/>
  <c r="V656" i="1" s="1"/>
  <c r="AA656" i="1"/>
  <c r="O655" i="1"/>
  <c r="U655" i="1"/>
  <c r="V655" i="1"/>
  <c r="W655" i="1"/>
  <c r="AA655" i="1"/>
  <c r="O654" i="1"/>
  <c r="U654" i="1"/>
  <c r="V654" i="1"/>
  <c r="W654" i="1"/>
  <c r="AA654" i="1"/>
  <c r="O653" i="1"/>
  <c r="W653" i="1" s="1"/>
  <c r="U653" i="1"/>
  <c r="V653" i="1"/>
  <c r="AA653" i="1"/>
  <c r="O652" i="1"/>
  <c r="U652" i="1"/>
  <c r="V652" i="1" s="1"/>
  <c r="W652" i="1" s="1"/>
  <c r="AA652" i="1"/>
  <c r="O651" i="1"/>
  <c r="W651" i="1" s="1"/>
  <c r="U651" i="1"/>
  <c r="V651" i="1"/>
  <c r="O650" i="1"/>
  <c r="U650" i="1"/>
  <c r="V650" i="1"/>
  <c r="W650" i="1"/>
  <c r="O649" i="1"/>
  <c r="W649" i="1" s="1"/>
  <c r="U649" i="1"/>
  <c r="V649" i="1"/>
  <c r="AA649" i="1"/>
  <c r="O648" i="1"/>
  <c r="U648" i="1"/>
  <c r="V648" i="1"/>
  <c r="W648" i="1"/>
  <c r="AA648" i="1"/>
  <c r="O647" i="1"/>
  <c r="U647" i="1"/>
  <c r="V647" i="1"/>
  <c r="W647" i="1" s="1"/>
  <c r="AA647" i="1"/>
  <c r="O646" i="1"/>
  <c r="W646" i="1" s="1"/>
  <c r="U646" i="1"/>
  <c r="V646" i="1" s="1"/>
  <c r="AA646" i="1"/>
  <c r="O645" i="1"/>
  <c r="U645" i="1"/>
  <c r="V645" i="1"/>
  <c r="W645" i="1"/>
  <c r="AA645" i="1"/>
  <c r="O644" i="1"/>
  <c r="U644" i="1"/>
  <c r="V644" i="1"/>
  <c r="W644" i="1"/>
  <c r="AA644" i="1"/>
  <c r="O643" i="1"/>
  <c r="W643" i="1" s="1"/>
  <c r="U643" i="1"/>
  <c r="V643" i="1"/>
  <c r="AA643" i="1"/>
  <c r="O642" i="1"/>
  <c r="U642" i="1"/>
  <c r="V642" i="1" s="1"/>
  <c r="W642" i="1" s="1"/>
  <c r="O641" i="1"/>
  <c r="W641" i="1" s="1"/>
  <c r="U641" i="1"/>
  <c r="V641" i="1" s="1"/>
  <c r="AA641" i="1"/>
  <c r="O640" i="1"/>
  <c r="U640" i="1"/>
  <c r="V640" i="1"/>
  <c r="W640" i="1"/>
  <c r="AA640" i="1"/>
  <c r="O639" i="1"/>
  <c r="U639" i="1"/>
  <c r="V639" i="1"/>
  <c r="W639" i="1"/>
  <c r="AA639" i="1"/>
  <c r="O638" i="1"/>
  <c r="W638" i="1" s="1"/>
  <c r="U638" i="1"/>
  <c r="V638" i="1"/>
  <c r="AA638" i="1"/>
  <c r="O637" i="1"/>
  <c r="U637" i="1"/>
  <c r="V637" i="1" s="1"/>
  <c r="W637" i="1" s="1"/>
  <c r="AA637" i="1"/>
  <c r="O636" i="1"/>
  <c r="W636" i="1" s="1"/>
  <c r="U636" i="1"/>
  <c r="V636" i="1"/>
  <c r="AA636" i="1"/>
  <c r="O635" i="1"/>
  <c r="U635" i="1"/>
  <c r="V635" i="1"/>
  <c r="W635" i="1"/>
  <c r="AA635" i="1"/>
  <c r="O634" i="1"/>
  <c r="U634" i="1"/>
  <c r="V634" i="1"/>
  <c r="W634" i="1" s="1"/>
  <c r="O633" i="1"/>
  <c r="W633" i="1" s="1"/>
  <c r="U633" i="1"/>
  <c r="V633" i="1"/>
  <c r="AA633" i="1"/>
  <c r="O632" i="1"/>
  <c r="U632" i="1"/>
  <c r="V632" i="1" s="1"/>
  <c r="W632" i="1" s="1"/>
  <c r="AA632" i="1"/>
  <c r="O631" i="1"/>
  <c r="W631" i="1" s="1"/>
  <c r="U631" i="1"/>
  <c r="V631" i="1"/>
  <c r="AA631" i="1"/>
  <c r="O630" i="1"/>
  <c r="U630" i="1"/>
  <c r="V630" i="1"/>
  <c r="W630" i="1"/>
  <c r="O629" i="1"/>
  <c r="U629" i="1"/>
  <c r="V629" i="1"/>
  <c r="W629" i="1"/>
  <c r="O628" i="1"/>
  <c r="U628" i="1"/>
  <c r="V628" i="1"/>
  <c r="W628" i="1"/>
  <c r="AA628" i="1"/>
  <c r="O627" i="1"/>
  <c r="U627" i="1"/>
  <c r="V627" i="1"/>
  <c r="W627" i="1" s="1"/>
  <c r="AA627" i="1"/>
  <c r="O626" i="1"/>
  <c r="U626" i="1"/>
  <c r="V626" i="1" s="1"/>
  <c r="AA626" i="1"/>
  <c r="O625" i="1"/>
  <c r="U625" i="1"/>
  <c r="V625" i="1"/>
  <c r="W625" i="1"/>
  <c r="O624" i="1"/>
  <c r="W624" i="1" s="1"/>
  <c r="U624" i="1"/>
  <c r="V624" i="1"/>
  <c r="AA624" i="1"/>
  <c r="O623" i="1"/>
  <c r="U623" i="1"/>
  <c r="V623" i="1"/>
  <c r="W623" i="1"/>
  <c r="AA623" i="1"/>
  <c r="O622" i="1"/>
  <c r="U622" i="1"/>
  <c r="V622" i="1"/>
  <c r="W622" i="1" s="1"/>
  <c r="AA622" i="1"/>
  <c r="O621" i="1"/>
  <c r="W621" i="1" s="1"/>
  <c r="U621" i="1"/>
  <c r="V621" i="1" s="1"/>
  <c r="AA621" i="1"/>
  <c r="O620" i="1"/>
  <c r="U620" i="1"/>
  <c r="V620" i="1"/>
  <c r="W620" i="1"/>
  <c r="AA620" i="1"/>
  <c r="O619" i="1"/>
  <c r="U619" i="1"/>
  <c r="V619" i="1"/>
  <c r="W619" i="1"/>
  <c r="O618" i="1"/>
  <c r="U618" i="1"/>
  <c r="V618" i="1"/>
  <c r="W618" i="1"/>
  <c r="AA618" i="1"/>
  <c r="O617" i="1"/>
  <c r="U617" i="1"/>
  <c r="V617" i="1"/>
  <c r="W617" i="1" s="1"/>
  <c r="O616" i="1"/>
  <c r="W616" i="1" s="1"/>
  <c r="U616" i="1"/>
  <c r="V616" i="1"/>
  <c r="AA616" i="1"/>
  <c r="O615" i="1"/>
  <c r="U615" i="1"/>
  <c r="V615" i="1" s="1"/>
  <c r="W615" i="1" s="1"/>
  <c r="O614" i="1"/>
  <c r="U614" i="1"/>
  <c r="V614" i="1" s="1"/>
  <c r="AA614" i="1"/>
  <c r="O613" i="1"/>
  <c r="U613" i="1"/>
  <c r="V613" i="1"/>
  <c r="W613" i="1"/>
  <c r="AA613" i="1"/>
  <c r="O612" i="1"/>
  <c r="U612" i="1"/>
  <c r="V612" i="1"/>
  <c r="W612" i="1"/>
  <c r="AA612" i="1"/>
  <c r="O611" i="1"/>
  <c r="W611" i="1" s="1"/>
  <c r="U611" i="1"/>
  <c r="V611" i="1"/>
  <c r="AA611" i="1"/>
  <c r="O610" i="1"/>
  <c r="U610" i="1"/>
  <c r="V610" i="1" s="1"/>
  <c r="W610" i="1" s="1"/>
  <c r="AA610" i="1"/>
  <c r="O609" i="1"/>
  <c r="W609" i="1" s="1"/>
  <c r="U609" i="1"/>
  <c r="V609" i="1"/>
  <c r="AA609" i="1"/>
  <c r="O608" i="1"/>
  <c r="U608" i="1"/>
  <c r="V608" i="1"/>
  <c r="W608" i="1"/>
  <c r="AA608" i="1"/>
  <c r="O607" i="1"/>
  <c r="U607" i="1"/>
  <c r="V607" i="1"/>
  <c r="W607" i="1" s="1"/>
  <c r="AA607" i="1"/>
  <c r="O606" i="1"/>
  <c r="U606" i="1"/>
  <c r="V606" i="1" s="1"/>
  <c r="O605" i="1"/>
  <c r="U605" i="1"/>
  <c r="V605" i="1" s="1"/>
  <c r="W605" i="1" s="1"/>
  <c r="AA605" i="1"/>
  <c r="O604" i="1"/>
  <c r="W604" i="1" s="1"/>
  <c r="U604" i="1"/>
  <c r="V604" i="1"/>
  <c r="O603" i="1"/>
  <c r="U603" i="1"/>
  <c r="V603" i="1"/>
  <c r="W603" i="1"/>
  <c r="O602" i="1"/>
  <c r="W602" i="1" s="1"/>
  <c r="U602" i="1"/>
  <c r="V602" i="1"/>
  <c r="AA602" i="1"/>
  <c r="O601" i="1"/>
  <c r="U601" i="1"/>
  <c r="V601" i="1"/>
  <c r="W601" i="1"/>
  <c r="AA601" i="1"/>
  <c r="O600" i="1"/>
  <c r="U600" i="1"/>
  <c r="V600" i="1"/>
  <c r="W600" i="1" s="1"/>
  <c r="AA600" i="1"/>
  <c r="O599" i="1"/>
  <c r="U599" i="1"/>
  <c r="V599" i="1" s="1"/>
  <c r="AA599" i="1"/>
  <c r="O598" i="1"/>
  <c r="U598" i="1"/>
  <c r="V598" i="1"/>
  <c r="W598" i="1"/>
  <c r="AA598" i="1"/>
  <c r="O597" i="1"/>
  <c r="U597" i="1"/>
  <c r="V597" i="1"/>
  <c r="W597" i="1"/>
  <c r="AA597" i="1"/>
  <c r="O596" i="1"/>
  <c r="W596" i="1" s="1"/>
  <c r="U596" i="1"/>
  <c r="V596" i="1"/>
  <c r="AA596" i="1"/>
  <c r="O595" i="1"/>
  <c r="U595" i="1"/>
  <c r="V595" i="1" s="1"/>
  <c r="W595" i="1" s="1"/>
  <c r="AA595" i="1"/>
  <c r="O594" i="1"/>
  <c r="W594" i="1" s="1"/>
  <c r="U594" i="1"/>
  <c r="V594" i="1"/>
  <c r="AA594" i="1"/>
  <c r="O593" i="1"/>
  <c r="U593" i="1"/>
  <c r="V593" i="1"/>
  <c r="W593" i="1"/>
  <c r="O592" i="1"/>
  <c r="U592" i="1"/>
  <c r="V592" i="1"/>
  <c r="W592" i="1"/>
  <c r="AA592" i="1"/>
  <c r="O591" i="1"/>
  <c r="W591" i="1" s="1"/>
  <c r="U591" i="1"/>
  <c r="V591" i="1"/>
  <c r="AA591" i="1"/>
  <c r="O590" i="1"/>
  <c r="U590" i="1"/>
  <c r="V590" i="1" s="1"/>
  <c r="W590" i="1" s="1"/>
  <c r="AA590" i="1"/>
  <c r="O589" i="1"/>
  <c r="W589" i="1" s="1"/>
  <c r="U589" i="1"/>
  <c r="V589" i="1"/>
  <c r="AA589" i="1"/>
  <c r="O588" i="1"/>
  <c r="U588" i="1"/>
  <c r="V588" i="1"/>
  <c r="W588" i="1"/>
  <c r="AA588" i="1"/>
  <c r="O587" i="1"/>
  <c r="U587" i="1"/>
  <c r="V587" i="1"/>
  <c r="W587" i="1" s="1"/>
  <c r="AA587" i="1"/>
  <c r="O586" i="1"/>
  <c r="U586" i="1"/>
  <c r="V586" i="1" s="1"/>
  <c r="AA586" i="1"/>
  <c r="O585" i="1"/>
  <c r="U585" i="1"/>
  <c r="V585" i="1"/>
  <c r="W585" i="1"/>
  <c r="AA585" i="1"/>
  <c r="O584" i="1"/>
  <c r="U584" i="1"/>
  <c r="V584" i="1"/>
  <c r="W584" i="1"/>
  <c r="AA584" i="1"/>
  <c r="O583" i="1"/>
  <c r="W583" i="1" s="1"/>
  <c r="U583" i="1"/>
  <c r="V583" i="1"/>
  <c r="AA583" i="1"/>
  <c r="O582" i="1"/>
  <c r="U582" i="1"/>
  <c r="V582" i="1" s="1"/>
  <c r="W582" i="1" s="1"/>
  <c r="O581" i="1"/>
  <c r="U581" i="1"/>
  <c r="V581" i="1" s="1"/>
  <c r="AA581" i="1"/>
  <c r="O580" i="1"/>
  <c r="U580" i="1"/>
  <c r="V580" i="1"/>
  <c r="W580" i="1"/>
  <c r="O579" i="1"/>
  <c r="U579" i="1"/>
  <c r="V579" i="1"/>
  <c r="W579" i="1"/>
  <c r="AA579" i="1"/>
  <c r="O578" i="1"/>
  <c r="W578" i="1" s="1"/>
  <c r="U578" i="1"/>
  <c r="V578" i="1"/>
  <c r="AA578" i="1"/>
  <c r="O577" i="1"/>
  <c r="U577" i="1"/>
  <c r="V577" i="1" s="1"/>
  <c r="W577" i="1" s="1"/>
  <c r="AA577" i="1"/>
  <c r="O576" i="1"/>
  <c r="W576" i="1" s="1"/>
  <c r="U576" i="1"/>
  <c r="V576" i="1"/>
  <c r="AA576" i="1"/>
  <c r="O575" i="1"/>
  <c r="U575" i="1"/>
  <c r="V575" i="1"/>
  <c r="W575" i="1"/>
  <c r="O574" i="1"/>
  <c r="U574" i="1"/>
  <c r="V574" i="1"/>
  <c r="W574" i="1"/>
  <c r="AA574" i="1"/>
  <c r="O573" i="1"/>
  <c r="W573" i="1" s="1"/>
  <c r="U573" i="1"/>
  <c r="V573" i="1"/>
  <c r="AA573" i="1"/>
  <c r="O572" i="1"/>
  <c r="U572" i="1"/>
  <c r="V572" i="1" s="1"/>
  <c r="W572" i="1" s="1"/>
  <c r="AA572" i="1"/>
  <c r="O571" i="1"/>
  <c r="W571" i="1" s="1"/>
  <c r="U571" i="1"/>
  <c r="V571" i="1"/>
  <c r="AA571" i="1"/>
  <c r="O570" i="1"/>
  <c r="U570" i="1"/>
  <c r="V570" i="1"/>
  <c r="W570" i="1"/>
  <c r="AA570" i="1"/>
  <c r="O569" i="1"/>
  <c r="U569" i="1"/>
  <c r="V569" i="1"/>
  <c r="W569" i="1" s="1"/>
  <c r="AA569" i="1"/>
  <c r="O568" i="1"/>
  <c r="W568" i="1" s="1"/>
  <c r="U568" i="1"/>
  <c r="V568" i="1" s="1"/>
  <c r="O567" i="1"/>
  <c r="U567" i="1"/>
  <c r="V567" i="1"/>
  <c r="W567" i="1"/>
  <c r="AA567" i="1"/>
  <c r="O566" i="1"/>
  <c r="U566" i="1"/>
  <c r="V566" i="1"/>
  <c r="W566" i="1"/>
  <c r="O565" i="1"/>
  <c r="U565" i="1"/>
  <c r="V565" i="1"/>
  <c r="W565" i="1"/>
  <c r="O564" i="1"/>
  <c r="U564" i="1"/>
  <c r="V564" i="1"/>
  <c r="W564" i="1"/>
  <c r="AA564" i="1"/>
  <c r="O562" i="1"/>
  <c r="W562" i="1" s="1"/>
  <c r="U562" i="1"/>
  <c r="V562" i="1"/>
  <c r="AA562" i="1"/>
  <c r="O561" i="1"/>
  <c r="U561" i="1"/>
  <c r="V561" i="1" s="1"/>
  <c r="W561" i="1" s="1"/>
  <c r="AA561" i="1"/>
  <c r="O560" i="1"/>
  <c r="W560" i="1" s="1"/>
  <c r="U560" i="1"/>
  <c r="V560" i="1"/>
  <c r="AA560" i="1"/>
  <c r="O559" i="1"/>
  <c r="U559" i="1"/>
  <c r="V559" i="1"/>
  <c r="W559" i="1"/>
  <c r="O558" i="1"/>
  <c r="U558" i="1"/>
  <c r="V558" i="1"/>
  <c r="W558" i="1"/>
  <c r="AA558" i="1"/>
  <c r="O557" i="1"/>
  <c r="W557" i="1" s="1"/>
  <c r="U557" i="1"/>
  <c r="V557" i="1"/>
  <c r="AA557" i="1"/>
  <c r="O556" i="1"/>
  <c r="U556" i="1"/>
  <c r="V556" i="1" s="1"/>
  <c r="W556" i="1" s="1"/>
  <c r="AA556" i="1"/>
  <c r="O555" i="1"/>
  <c r="W555" i="1" s="1"/>
  <c r="U555" i="1"/>
  <c r="V555" i="1"/>
  <c r="AA555" i="1"/>
  <c r="O554" i="1"/>
  <c r="U554" i="1"/>
  <c r="V554" i="1"/>
  <c r="W554" i="1"/>
  <c r="AA554" i="1"/>
  <c r="O553" i="1"/>
  <c r="U553" i="1"/>
  <c r="V553" i="1"/>
  <c r="W553" i="1" s="1"/>
  <c r="O552" i="1"/>
  <c r="W552" i="1" s="1"/>
  <c r="U552" i="1"/>
  <c r="V552" i="1"/>
  <c r="AA552" i="1"/>
  <c r="O551" i="1"/>
  <c r="U551" i="1"/>
  <c r="V551" i="1" s="1"/>
  <c r="W551" i="1" s="1"/>
  <c r="AA551" i="1"/>
  <c r="O549" i="1"/>
  <c r="W549" i="1" s="1"/>
  <c r="U549" i="1"/>
  <c r="V549" i="1"/>
  <c r="AA549" i="1"/>
  <c r="O548" i="1"/>
  <c r="U548" i="1"/>
  <c r="V548" i="1"/>
  <c r="W548" i="1"/>
  <c r="AA548" i="1"/>
  <c r="O547" i="1"/>
  <c r="U547" i="1"/>
  <c r="V547" i="1"/>
  <c r="W547" i="1" s="1"/>
  <c r="O546" i="1"/>
  <c r="W546" i="1" s="1"/>
  <c r="U546" i="1"/>
  <c r="V546" i="1"/>
  <c r="O545" i="1"/>
  <c r="U545" i="1"/>
  <c r="V545" i="1"/>
  <c r="W545" i="1" s="1"/>
  <c r="AA545" i="1"/>
  <c r="O544" i="1"/>
  <c r="W544" i="1" s="1"/>
  <c r="U544" i="1"/>
  <c r="V544" i="1" s="1"/>
  <c r="O543" i="1"/>
  <c r="U543" i="1"/>
  <c r="V543" i="1"/>
  <c r="W543" i="1"/>
  <c r="AA543" i="1"/>
  <c r="O542" i="1"/>
  <c r="U542" i="1"/>
  <c r="V542" i="1"/>
  <c r="W542" i="1"/>
  <c r="AA542" i="1"/>
  <c r="O541" i="1"/>
  <c r="W541" i="1" s="1"/>
  <c r="U541" i="1"/>
  <c r="V541" i="1"/>
  <c r="AA541" i="1"/>
  <c r="O540" i="1"/>
  <c r="U540" i="1"/>
  <c r="V540" i="1" s="1"/>
  <c r="W540" i="1" s="1"/>
  <c r="AA540" i="1"/>
  <c r="O539" i="1"/>
  <c r="W539" i="1" s="1"/>
  <c r="U539" i="1"/>
  <c r="V539" i="1"/>
  <c r="AA539" i="1"/>
  <c r="O538" i="1"/>
  <c r="U538" i="1"/>
  <c r="V538" i="1"/>
  <c r="W538" i="1"/>
  <c r="AA538" i="1"/>
  <c r="O537" i="1"/>
  <c r="U537" i="1"/>
  <c r="V537" i="1"/>
  <c r="W537" i="1" s="1"/>
  <c r="AA537" i="1"/>
  <c r="O536" i="1"/>
  <c r="W536" i="1" s="1"/>
  <c r="U536" i="1"/>
  <c r="V536" i="1" s="1"/>
  <c r="O535" i="1"/>
  <c r="U535" i="1"/>
  <c r="V535" i="1" s="1"/>
  <c r="W535" i="1" s="1"/>
  <c r="AA535" i="1"/>
  <c r="O534" i="1"/>
  <c r="W534" i="1" s="1"/>
  <c r="U534" i="1"/>
  <c r="V534" i="1"/>
  <c r="O533" i="1"/>
  <c r="U533" i="1"/>
  <c r="V533" i="1"/>
  <c r="W533" i="1"/>
  <c r="AA533" i="1"/>
  <c r="O532" i="1"/>
  <c r="U532" i="1"/>
  <c r="V532" i="1"/>
  <c r="W532" i="1" s="1"/>
  <c r="AA532" i="1"/>
  <c r="O531" i="1"/>
  <c r="U531" i="1"/>
  <c r="V531" i="1" s="1"/>
  <c r="O530" i="1"/>
  <c r="U530" i="1"/>
  <c r="V530" i="1" s="1"/>
  <c r="W530" i="1" s="1"/>
  <c r="AA530" i="1"/>
  <c r="O529" i="1"/>
  <c r="W529" i="1" s="1"/>
  <c r="U529" i="1"/>
  <c r="V529" i="1"/>
  <c r="AA529" i="1"/>
  <c r="O528" i="1"/>
  <c r="U528" i="1"/>
  <c r="V528" i="1"/>
  <c r="W528" i="1"/>
  <c r="AA528" i="1"/>
  <c r="O527" i="1"/>
  <c r="U527" i="1"/>
  <c r="V527" i="1"/>
  <c r="W527" i="1" s="1"/>
  <c r="O526" i="1"/>
  <c r="W526" i="1" s="1"/>
  <c r="U526" i="1"/>
  <c r="V526" i="1"/>
  <c r="AA526" i="1"/>
  <c r="O525" i="1"/>
  <c r="U525" i="1"/>
  <c r="V525" i="1" s="1"/>
  <c r="W525" i="1" s="1"/>
  <c r="AA525" i="1"/>
  <c r="O524" i="1"/>
  <c r="W524" i="1" s="1"/>
  <c r="U524" i="1"/>
  <c r="V524" i="1"/>
  <c r="AA524" i="1"/>
  <c r="O523" i="1"/>
  <c r="U523" i="1"/>
  <c r="V523" i="1"/>
  <c r="W523" i="1"/>
  <c r="AA523" i="1"/>
  <c r="O522" i="1"/>
  <c r="U522" i="1"/>
  <c r="V522" i="1"/>
  <c r="W522" i="1" s="1"/>
  <c r="AA522" i="1"/>
  <c r="O521" i="1"/>
  <c r="U521" i="1"/>
  <c r="V521" i="1" s="1"/>
  <c r="AA521" i="1"/>
  <c r="O520" i="1"/>
  <c r="U520" i="1"/>
  <c r="V520" i="1"/>
  <c r="W520" i="1"/>
  <c r="AA520" i="1"/>
  <c r="O519" i="1"/>
  <c r="U519" i="1"/>
  <c r="V519" i="1"/>
  <c r="W519" i="1"/>
  <c r="AA519" i="1"/>
  <c r="O518" i="1"/>
  <c r="W518" i="1" s="1"/>
  <c r="U518" i="1"/>
  <c r="V518" i="1"/>
  <c r="AA518" i="1"/>
  <c r="O517" i="1"/>
  <c r="U517" i="1"/>
  <c r="V517" i="1" s="1"/>
  <c r="W517" i="1" s="1"/>
  <c r="AA517" i="1"/>
  <c r="O516" i="1"/>
  <c r="W516" i="1" s="1"/>
  <c r="U516" i="1"/>
  <c r="V516" i="1"/>
  <c r="AA516" i="1"/>
  <c r="O515" i="1"/>
  <c r="U515" i="1"/>
  <c r="V515" i="1"/>
  <c r="W515" i="1"/>
  <c r="AA515" i="1"/>
  <c r="O514" i="1"/>
  <c r="U514" i="1"/>
  <c r="V514" i="1"/>
  <c r="W514" i="1" s="1"/>
  <c r="AA514" i="1"/>
  <c r="O513" i="1"/>
  <c r="U513" i="1"/>
  <c r="V513" i="1" s="1"/>
  <c r="AA513" i="1"/>
  <c r="O512" i="1"/>
  <c r="U512" i="1"/>
  <c r="V512" i="1"/>
  <c r="W512" i="1"/>
  <c r="AA512" i="1"/>
  <c r="O511" i="1"/>
  <c r="U511" i="1"/>
  <c r="V511" i="1"/>
  <c r="W511" i="1"/>
  <c r="O510" i="1"/>
  <c r="U510" i="1"/>
  <c r="V510" i="1"/>
  <c r="W510" i="1"/>
  <c r="AA510" i="1"/>
  <c r="O509" i="1"/>
  <c r="U509" i="1"/>
  <c r="V509" i="1"/>
  <c r="W509" i="1" s="1"/>
  <c r="AA509" i="1"/>
  <c r="O508" i="1"/>
  <c r="U508" i="1"/>
  <c r="V508" i="1" s="1"/>
  <c r="AA508" i="1"/>
  <c r="O507" i="1"/>
  <c r="U507" i="1"/>
  <c r="V507" i="1"/>
  <c r="W507" i="1"/>
  <c r="AA507" i="1"/>
  <c r="O506" i="1"/>
  <c r="U506" i="1"/>
  <c r="V506" i="1"/>
  <c r="W506" i="1"/>
  <c r="AA506" i="1"/>
  <c r="O505" i="1"/>
  <c r="W505" i="1" s="1"/>
  <c r="U505" i="1"/>
  <c r="V505" i="1"/>
  <c r="AA505" i="1"/>
  <c r="O504" i="1"/>
  <c r="U504" i="1"/>
  <c r="V504" i="1" s="1"/>
  <c r="W504" i="1" s="1"/>
  <c r="O503" i="1"/>
  <c r="W503" i="1" s="1"/>
  <c r="U503" i="1"/>
  <c r="V503" i="1"/>
  <c r="AA503" i="1"/>
  <c r="O502" i="1"/>
  <c r="U502" i="1"/>
  <c r="V502" i="1"/>
  <c r="W502" i="1"/>
  <c r="AA502" i="1"/>
  <c r="O501" i="1"/>
  <c r="U501" i="1"/>
  <c r="V501" i="1"/>
  <c r="W501" i="1" s="1"/>
  <c r="AA501" i="1"/>
  <c r="O500" i="1"/>
  <c r="U500" i="1"/>
  <c r="V500" i="1" s="1"/>
  <c r="AA500" i="1"/>
  <c r="O499" i="1"/>
  <c r="U499" i="1"/>
  <c r="V499" i="1"/>
  <c r="W499" i="1"/>
  <c r="AA499" i="1"/>
  <c r="O498" i="1"/>
  <c r="U498" i="1"/>
  <c r="V498" i="1"/>
  <c r="W498" i="1"/>
  <c r="AA498" i="1"/>
  <c r="O497" i="1"/>
  <c r="W497" i="1" s="1"/>
  <c r="U497" i="1"/>
  <c r="V497" i="1"/>
  <c r="AA497" i="1"/>
  <c r="O496" i="1"/>
  <c r="U496" i="1"/>
  <c r="V496" i="1" s="1"/>
  <c r="W496" i="1" s="1"/>
  <c r="AA496" i="1"/>
  <c r="O495" i="1"/>
  <c r="W495" i="1" s="1"/>
  <c r="U495" i="1"/>
  <c r="V495" i="1"/>
  <c r="O494" i="1"/>
  <c r="U494" i="1"/>
  <c r="V494" i="1"/>
  <c r="W494" i="1"/>
  <c r="AA494" i="1"/>
  <c r="O493" i="1"/>
  <c r="U493" i="1"/>
  <c r="V493" i="1"/>
  <c r="W493" i="1" s="1"/>
  <c r="AA493" i="1"/>
  <c r="O492" i="1"/>
  <c r="U492" i="1"/>
  <c r="V492" i="1" s="1"/>
  <c r="AA492" i="1"/>
  <c r="O491" i="1"/>
  <c r="U491" i="1"/>
  <c r="V491" i="1"/>
  <c r="W491" i="1"/>
  <c r="AA491" i="1"/>
  <c r="O490" i="1"/>
  <c r="U490" i="1"/>
  <c r="V490" i="1"/>
  <c r="W490" i="1"/>
  <c r="AA490" i="1"/>
  <c r="O489" i="1"/>
  <c r="W489" i="1" s="1"/>
  <c r="U489" i="1"/>
  <c r="V489" i="1"/>
  <c r="AA489" i="1"/>
  <c r="O488" i="1"/>
  <c r="U488" i="1"/>
  <c r="V488" i="1" s="1"/>
  <c r="W488" i="1" s="1"/>
  <c r="AA488" i="1"/>
  <c r="O487" i="1"/>
  <c r="W487" i="1" s="1"/>
  <c r="U487" i="1"/>
  <c r="V487" i="1"/>
  <c r="AA487" i="1"/>
  <c r="O486" i="1"/>
  <c r="U486" i="1"/>
  <c r="V486" i="1"/>
  <c r="W486" i="1"/>
  <c r="AA486" i="1"/>
  <c r="O485" i="1"/>
  <c r="U485" i="1"/>
  <c r="V485" i="1"/>
  <c r="W485" i="1" s="1"/>
  <c r="AA485" i="1"/>
  <c r="O484" i="1"/>
  <c r="U484" i="1"/>
  <c r="V484" i="1" s="1"/>
  <c r="AA484" i="1"/>
  <c r="O483" i="1"/>
  <c r="U483" i="1"/>
  <c r="V483" i="1"/>
  <c r="W483" i="1"/>
  <c r="AA483" i="1"/>
  <c r="O482" i="1"/>
  <c r="U482" i="1"/>
  <c r="V482" i="1"/>
  <c r="W482" i="1"/>
  <c r="AA482" i="1"/>
  <c r="O481" i="1"/>
  <c r="W481" i="1" s="1"/>
  <c r="U481" i="1"/>
  <c r="V481" i="1"/>
  <c r="AA481" i="1"/>
  <c r="O480" i="1"/>
  <c r="U480" i="1"/>
  <c r="V480" i="1" s="1"/>
  <c r="W480" i="1" s="1"/>
  <c r="AA480" i="1"/>
  <c r="O479" i="1"/>
  <c r="W479" i="1" s="1"/>
  <c r="U479" i="1"/>
  <c r="V479" i="1"/>
  <c r="AA479" i="1"/>
  <c r="O478" i="1"/>
  <c r="U478" i="1"/>
  <c r="V478" i="1"/>
  <c r="W478" i="1"/>
  <c r="AA478" i="1"/>
  <c r="O477" i="1"/>
  <c r="U477" i="1"/>
  <c r="V477" i="1"/>
  <c r="W477" i="1" s="1"/>
  <c r="AA477" i="1"/>
  <c r="O476" i="1"/>
  <c r="U476" i="1"/>
  <c r="V476" i="1" s="1"/>
  <c r="AA476" i="1"/>
  <c r="O475" i="1"/>
  <c r="U475" i="1"/>
  <c r="V475" i="1"/>
  <c r="W475" i="1"/>
  <c r="O474" i="1"/>
  <c r="W474" i="1" s="1"/>
  <c r="U474" i="1"/>
  <c r="V474" i="1"/>
  <c r="AA474" i="1"/>
  <c r="O473" i="1"/>
  <c r="U473" i="1"/>
  <c r="V473" i="1"/>
  <c r="W473" i="1"/>
  <c r="AA473" i="1"/>
  <c r="O472" i="1"/>
  <c r="U472" i="1"/>
  <c r="V472" i="1"/>
  <c r="W472" i="1" s="1"/>
  <c r="AA472" i="1"/>
  <c r="O471" i="1"/>
  <c r="U471" i="1"/>
  <c r="V471" i="1" s="1"/>
  <c r="AA471" i="1"/>
  <c r="O470" i="1"/>
  <c r="U470" i="1"/>
  <c r="V470" i="1"/>
  <c r="W470" i="1"/>
  <c r="O469" i="1"/>
  <c r="U469" i="1"/>
  <c r="V469" i="1"/>
  <c r="W469" i="1"/>
  <c r="AA469" i="1"/>
  <c r="O468" i="1"/>
  <c r="W468" i="1" s="1"/>
  <c r="U468" i="1"/>
  <c r="V468" i="1"/>
  <c r="AA468" i="1"/>
  <c r="O467" i="1"/>
  <c r="U467" i="1"/>
  <c r="V467" i="1" s="1"/>
  <c r="W467" i="1" s="1"/>
  <c r="AA467" i="1"/>
  <c r="O466" i="1"/>
  <c r="W466" i="1" s="1"/>
  <c r="U466" i="1"/>
  <c r="V466" i="1"/>
  <c r="AA466" i="1"/>
  <c r="O465" i="1"/>
  <c r="U465" i="1"/>
  <c r="V465" i="1"/>
  <c r="W465" i="1"/>
  <c r="O463" i="1"/>
  <c r="U463" i="1"/>
  <c r="V463" i="1"/>
  <c r="W463" i="1"/>
  <c r="AA463" i="1"/>
  <c r="O462" i="1"/>
  <c r="W462" i="1" s="1"/>
  <c r="U462" i="1"/>
  <c r="V462" i="1"/>
  <c r="AA462" i="1"/>
  <c r="O461" i="1"/>
  <c r="U461" i="1"/>
  <c r="V461" i="1" s="1"/>
  <c r="W461" i="1" s="1"/>
  <c r="AA461" i="1"/>
  <c r="O460" i="1"/>
  <c r="W460" i="1" s="1"/>
  <c r="U460" i="1"/>
  <c r="V460" i="1"/>
  <c r="AA460" i="1"/>
  <c r="O459" i="1"/>
  <c r="U459" i="1"/>
  <c r="V459" i="1"/>
  <c r="W459" i="1"/>
  <c r="O458" i="1"/>
  <c r="U458" i="1"/>
  <c r="V458" i="1"/>
  <c r="W458" i="1"/>
  <c r="AA458" i="1"/>
  <c r="O457" i="1"/>
  <c r="W457" i="1" s="1"/>
  <c r="U457" i="1"/>
  <c r="V457" i="1"/>
  <c r="AA457" i="1"/>
  <c r="O456" i="1"/>
  <c r="U456" i="1"/>
  <c r="V456" i="1" s="1"/>
  <c r="W456" i="1" s="1"/>
  <c r="O455" i="1"/>
  <c r="U455" i="1"/>
  <c r="V455" i="1" s="1"/>
  <c r="O454" i="1"/>
  <c r="U454" i="1"/>
  <c r="V454" i="1" s="1"/>
  <c r="W454" i="1" s="1"/>
  <c r="AA454" i="1"/>
  <c r="O453" i="1"/>
  <c r="W453" i="1" s="1"/>
  <c r="U453" i="1"/>
  <c r="V453" i="1"/>
  <c r="O452" i="1"/>
  <c r="U452" i="1"/>
  <c r="V452" i="1"/>
  <c r="W452" i="1"/>
  <c r="O451" i="1"/>
  <c r="W451" i="1" s="1"/>
  <c r="U451" i="1"/>
  <c r="V451" i="1"/>
  <c r="AA451" i="1"/>
  <c r="O450" i="1"/>
  <c r="U450" i="1"/>
  <c r="V450" i="1"/>
  <c r="W450" i="1"/>
  <c r="AA450" i="1"/>
  <c r="O449" i="1"/>
  <c r="U449" i="1"/>
  <c r="V449" i="1"/>
  <c r="W449" i="1" s="1"/>
  <c r="AA449" i="1"/>
  <c r="O448" i="1"/>
  <c r="U448" i="1"/>
  <c r="V448" i="1" s="1"/>
  <c r="AA448" i="1"/>
  <c r="O447" i="1"/>
  <c r="U447" i="1"/>
  <c r="V447" i="1"/>
  <c r="W447" i="1"/>
  <c r="AA447" i="1"/>
  <c r="O446" i="1"/>
  <c r="U446" i="1"/>
  <c r="V446" i="1"/>
  <c r="W446" i="1"/>
  <c r="AA446" i="1"/>
  <c r="O445" i="1"/>
  <c r="W445" i="1" s="1"/>
  <c r="U445" i="1"/>
  <c r="V445" i="1"/>
  <c r="AA445" i="1"/>
  <c r="O444" i="1"/>
  <c r="U444" i="1"/>
  <c r="V444" i="1" s="1"/>
  <c r="W444" i="1" s="1"/>
  <c r="AA444" i="1"/>
  <c r="O443" i="1"/>
  <c r="W443" i="1" s="1"/>
  <c r="U443" i="1"/>
  <c r="V443" i="1"/>
  <c r="AA443" i="1"/>
  <c r="O442" i="1"/>
  <c r="U442" i="1"/>
  <c r="V442" i="1"/>
  <c r="W442" i="1"/>
  <c r="AA442" i="1"/>
  <c r="O441" i="1"/>
  <c r="U441" i="1"/>
  <c r="V441" i="1"/>
  <c r="W441" i="1" s="1"/>
  <c r="AA441" i="1"/>
  <c r="O440" i="1"/>
  <c r="U440" i="1"/>
  <c r="V440" i="1" s="1"/>
  <c r="O439" i="1"/>
  <c r="U439" i="1"/>
  <c r="V439" i="1" s="1"/>
  <c r="W439" i="1" s="1"/>
  <c r="AA439" i="1"/>
  <c r="O438" i="1"/>
  <c r="W438" i="1" s="1"/>
  <c r="U438" i="1"/>
  <c r="V438" i="1"/>
  <c r="AA438" i="1"/>
  <c r="O437" i="1"/>
  <c r="U437" i="1"/>
  <c r="V437" i="1"/>
  <c r="W437" i="1"/>
  <c r="AA437" i="1"/>
  <c r="O436" i="1"/>
  <c r="V436" i="1"/>
  <c r="W436" i="1"/>
  <c r="AA436" i="1"/>
  <c r="O435" i="1"/>
  <c r="W435" i="1" s="1"/>
  <c r="U435" i="1"/>
  <c r="V435" i="1"/>
  <c r="AA435" i="1"/>
  <c r="O434" i="1"/>
  <c r="U434" i="1"/>
  <c r="V434" i="1" s="1"/>
  <c r="W434" i="1" s="1"/>
  <c r="O433" i="1"/>
  <c r="U433" i="1"/>
  <c r="V433" i="1" s="1"/>
  <c r="O432" i="1"/>
  <c r="U432" i="1"/>
  <c r="V432" i="1" s="1"/>
  <c r="W432" i="1" s="1"/>
  <c r="AA432" i="1"/>
  <c r="O431" i="1"/>
  <c r="W431" i="1" s="1"/>
  <c r="U431" i="1"/>
  <c r="V431" i="1"/>
  <c r="AA431" i="1"/>
  <c r="O430" i="1"/>
  <c r="U430" i="1"/>
  <c r="V430" i="1"/>
  <c r="W430" i="1"/>
  <c r="O429" i="1"/>
  <c r="U429" i="1"/>
  <c r="V429" i="1"/>
  <c r="W429" i="1" s="1"/>
  <c r="AA429" i="1"/>
  <c r="O428" i="1"/>
  <c r="U428" i="1"/>
  <c r="V428" i="1" s="1"/>
  <c r="AA428" i="1"/>
  <c r="O427" i="1"/>
  <c r="U427" i="1"/>
  <c r="V427" i="1"/>
  <c r="W427" i="1"/>
  <c r="O426" i="1"/>
  <c r="W426" i="1" s="1"/>
  <c r="U426" i="1"/>
  <c r="V426" i="1"/>
  <c r="AA426" i="1"/>
  <c r="O425" i="1"/>
  <c r="U425" i="1"/>
  <c r="V425" i="1"/>
  <c r="W425" i="1"/>
  <c r="AA425" i="1"/>
  <c r="O424" i="1"/>
  <c r="U424" i="1"/>
  <c r="V424" i="1"/>
  <c r="W424" i="1" s="1"/>
  <c r="O423" i="1"/>
  <c r="W423" i="1" s="1"/>
  <c r="U423" i="1"/>
  <c r="V423" i="1"/>
  <c r="AA423" i="1"/>
  <c r="O422" i="1"/>
  <c r="U422" i="1"/>
  <c r="V422" i="1" s="1"/>
  <c r="W422" i="1" s="1"/>
  <c r="AA422" i="1"/>
  <c r="O421" i="1"/>
  <c r="W421" i="1" s="1"/>
  <c r="U421" i="1"/>
  <c r="V421" i="1"/>
  <c r="AA421" i="1"/>
  <c r="O420" i="1"/>
  <c r="U420" i="1"/>
  <c r="V420" i="1"/>
  <c r="W420" i="1"/>
  <c r="AA420" i="1"/>
  <c r="O419" i="1"/>
  <c r="U419" i="1"/>
  <c r="V419" i="1"/>
  <c r="W419" i="1" s="1"/>
  <c r="AA419" i="1"/>
  <c r="O418" i="1"/>
  <c r="U418" i="1"/>
  <c r="V418" i="1" s="1"/>
  <c r="AA418" i="1"/>
  <c r="O417" i="1"/>
  <c r="U417" i="1"/>
  <c r="V417" i="1"/>
  <c r="W417" i="1"/>
  <c r="O416" i="1"/>
  <c r="W416" i="1" s="1"/>
  <c r="U416" i="1"/>
  <c r="V416" i="1"/>
  <c r="O415" i="1"/>
  <c r="U415" i="1"/>
  <c r="V415" i="1"/>
  <c r="W415" i="1"/>
  <c r="O414" i="1"/>
  <c r="W414" i="1" s="1"/>
  <c r="U414" i="1"/>
  <c r="V414" i="1"/>
  <c r="AA414" i="1"/>
  <c r="O413" i="1"/>
  <c r="U413" i="1"/>
  <c r="V413" i="1"/>
  <c r="W413" i="1"/>
  <c r="AA413" i="1"/>
  <c r="O412" i="1"/>
  <c r="U412" i="1"/>
  <c r="V412" i="1"/>
  <c r="W412" i="1" s="1"/>
  <c r="O411" i="1"/>
  <c r="W411" i="1" s="1"/>
  <c r="U411" i="1"/>
  <c r="V411" i="1"/>
  <c r="AA411" i="1"/>
  <c r="O410" i="1"/>
  <c r="U410" i="1"/>
  <c r="V410" i="1" s="1"/>
  <c r="W410" i="1" s="1"/>
  <c r="AA410" i="1"/>
  <c r="O409" i="1"/>
  <c r="W409" i="1" s="1"/>
  <c r="U409" i="1"/>
  <c r="V409" i="1"/>
  <c r="O407" i="1"/>
  <c r="U407" i="1"/>
  <c r="V407" i="1"/>
  <c r="W407" i="1"/>
  <c r="O406" i="1"/>
  <c r="W406" i="1" s="1"/>
  <c r="U406" i="1"/>
  <c r="V406" i="1"/>
  <c r="AA406" i="1"/>
  <c r="O405" i="1"/>
  <c r="U405" i="1"/>
  <c r="V405" i="1"/>
  <c r="W405" i="1"/>
  <c r="AA405" i="1"/>
  <c r="O404" i="1"/>
  <c r="U404" i="1"/>
  <c r="V404" i="1"/>
  <c r="W404" i="1" s="1"/>
  <c r="AA404" i="1"/>
  <c r="O403" i="1"/>
  <c r="W403" i="1" s="1"/>
  <c r="U403" i="1"/>
  <c r="V403" i="1" s="1"/>
  <c r="AA403" i="1"/>
  <c r="O402" i="1"/>
  <c r="U402" i="1"/>
  <c r="V402" i="1"/>
  <c r="W402" i="1"/>
  <c r="AA402" i="1"/>
  <c r="O401" i="1"/>
  <c r="U401" i="1"/>
  <c r="V401" i="1"/>
  <c r="W401" i="1"/>
  <c r="AA401" i="1"/>
  <c r="O400" i="1"/>
  <c r="W400" i="1" s="1"/>
  <c r="U400" i="1"/>
  <c r="V400" i="1"/>
  <c r="AA400" i="1"/>
  <c r="O399" i="1"/>
  <c r="U399" i="1"/>
  <c r="V399" i="1" s="1"/>
  <c r="W399" i="1" s="1"/>
  <c r="O398" i="1"/>
  <c r="U398" i="1"/>
  <c r="V398" i="1" s="1"/>
  <c r="O397" i="1"/>
  <c r="U397" i="1"/>
  <c r="V397" i="1" s="1"/>
  <c r="W397" i="1" s="1"/>
  <c r="O396" i="1"/>
  <c r="U396" i="1"/>
  <c r="V396" i="1" s="1"/>
  <c r="AA396" i="1"/>
  <c r="O395" i="1"/>
  <c r="U395" i="1"/>
  <c r="V395" i="1"/>
  <c r="W395" i="1"/>
  <c r="AA395" i="1"/>
  <c r="O394" i="1"/>
  <c r="U394" i="1"/>
  <c r="V394" i="1"/>
  <c r="W394" i="1"/>
  <c r="AA394" i="1"/>
  <c r="O393" i="1"/>
  <c r="W393" i="1" s="1"/>
  <c r="U393" i="1"/>
  <c r="V393" i="1"/>
  <c r="AA393" i="1"/>
  <c r="O392" i="1"/>
  <c r="U392" i="1"/>
  <c r="V392" i="1" s="1"/>
  <c r="W392" i="1" s="1"/>
  <c r="AA392" i="1"/>
  <c r="O391" i="1"/>
  <c r="W391" i="1" s="1"/>
  <c r="U391" i="1"/>
  <c r="V391" i="1"/>
  <c r="AA391" i="1"/>
  <c r="O390" i="1"/>
  <c r="U390" i="1"/>
  <c r="V390" i="1"/>
  <c r="W390" i="1"/>
  <c r="AA390" i="1"/>
  <c r="O389" i="1"/>
  <c r="U389" i="1"/>
  <c r="V389" i="1"/>
  <c r="W389" i="1" s="1"/>
  <c r="AA389" i="1"/>
  <c r="O388" i="1"/>
  <c r="W388" i="1" s="1"/>
  <c r="U388" i="1"/>
  <c r="V388" i="1" s="1"/>
  <c r="AA388" i="1"/>
  <c r="O387" i="1"/>
  <c r="U387" i="1"/>
  <c r="V387" i="1"/>
  <c r="W387" i="1"/>
  <c r="AA387" i="1"/>
  <c r="O386" i="1"/>
  <c r="U386" i="1"/>
  <c r="V386" i="1"/>
  <c r="W386" i="1"/>
  <c r="O385" i="1"/>
  <c r="U385" i="1"/>
  <c r="V385" i="1"/>
  <c r="W385" i="1"/>
  <c r="AA385" i="1"/>
  <c r="O384" i="1"/>
  <c r="U384" i="1"/>
  <c r="V384" i="1"/>
  <c r="W384" i="1" s="1"/>
  <c r="AA384" i="1"/>
  <c r="O383" i="1"/>
  <c r="W383" i="1" s="1"/>
  <c r="U383" i="1"/>
  <c r="V383" i="1" s="1"/>
  <c r="AA383" i="1"/>
  <c r="O382" i="1"/>
  <c r="U382" i="1"/>
  <c r="V382" i="1"/>
  <c r="W382" i="1"/>
  <c r="AA382" i="1"/>
  <c r="O381" i="1"/>
  <c r="U381" i="1"/>
  <c r="V381" i="1"/>
  <c r="W381" i="1"/>
  <c r="AA381" i="1"/>
  <c r="O380" i="1"/>
  <c r="W380" i="1" s="1"/>
  <c r="U380" i="1"/>
  <c r="V380" i="1"/>
  <c r="O379" i="1"/>
  <c r="U379" i="1"/>
  <c r="V379" i="1"/>
  <c r="W379" i="1" s="1"/>
  <c r="AA379" i="1"/>
  <c r="O378" i="1"/>
  <c r="U378" i="1"/>
  <c r="V378" i="1" s="1"/>
  <c r="AA378" i="1"/>
  <c r="O377" i="1"/>
  <c r="U377" i="1"/>
  <c r="V377" i="1"/>
  <c r="W377" i="1"/>
  <c r="AA377" i="1"/>
  <c r="O376" i="1"/>
  <c r="U376" i="1"/>
  <c r="V376" i="1"/>
  <c r="W376" i="1"/>
  <c r="O375" i="1"/>
  <c r="U375" i="1"/>
  <c r="V375" i="1"/>
  <c r="W375" i="1"/>
  <c r="O374" i="1"/>
  <c r="U374" i="1"/>
  <c r="V374" i="1"/>
  <c r="W374" i="1" s="1"/>
  <c r="AA374" i="1"/>
  <c r="O373" i="1"/>
  <c r="W373" i="1" s="1"/>
  <c r="U373" i="1"/>
  <c r="V373" i="1" s="1"/>
  <c r="AA373" i="1"/>
  <c r="O372" i="1"/>
  <c r="U372" i="1"/>
  <c r="V372" i="1"/>
  <c r="W372" i="1"/>
  <c r="AA372" i="1"/>
  <c r="O371" i="1"/>
  <c r="U371" i="1"/>
  <c r="V371" i="1"/>
  <c r="W371" i="1"/>
  <c r="AA371" i="1"/>
  <c r="O370" i="1"/>
  <c r="W370" i="1" s="1"/>
  <c r="U370" i="1"/>
  <c r="V370" i="1"/>
  <c r="AA370" i="1"/>
  <c r="O369" i="1"/>
  <c r="U369" i="1"/>
  <c r="V369" i="1" s="1"/>
  <c r="W369" i="1" s="1"/>
  <c r="AA369" i="1"/>
  <c r="O368" i="1"/>
  <c r="W368" i="1" s="1"/>
  <c r="U368" i="1"/>
  <c r="V368" i="1"/>
  <c r="AA368" i="1"/>
  <c r="O367" i="1"/>
  <c r="U367" i="1"/>
  <c r="V367" i="1"/>
  <c r="W367" i="1"/>
  <c r="AA367" i="1"/>
  <c r="O366" i="1"/>
  <c r="U366" i="1"/>
  <c r="V366" i="1"/>
  <c r="W366" i="1" s="1"/>
  <c r="O365" i="1"/>
  <c r="W365" i="1" s="1"/>
  <c r="U365" i="1"/>
  <c r="V365" i="1" s="1"/>
  <c r="AA365" i="1"/>
  <c r="O364" i="1"/>
  <c r="U364" i="1"/>
  <c r="V364" i="1"/>
  <c r="W364" i="1"/>
  <c r="AA364" i="1"/>
  <c r="O363" i="1"/>
  <c r="U363" i="1"/>
  <c r="V363" i="1"/>
  <c r="W363" i="1"/>
  <c r="AA363" i="1"/>
  <c r="O362" i="1"/>
  <c r="W362" i="1" s="1"/>
  <c r="U362" i="1"/>
  <c r="V362" i="1"/>
  <c r="AA362" i="1"/>
  <c r="O361" i="1"/>
  <c r="U361" i="1"/>
  <c r="V361" i="1" s="1"/>
  <c r="W361" i="1" s="1"/>
  <c r="AA361" i="1"/>
  <c r="O360" i="1"/>
  <c r="W360" i="1" s="1"/>
  <c r="U360" i="1"/>
  <c r="V360" i="1"/>
  <c r="AA360" i="1"/>
  <c r="O359" i="1"/>
  <c r="U359" i="1"/>
  <c r="V359" i="1"/>
  <c r="W359" i="1"/>
  <c r="AA359" i="1"/>
  <c r="O358" i="1"/>
  <c r="U358" i="1"/>
  <c r="V358" i="1"/>
  <c r="W358" i="1" s="1"/>
  <c r="AA358" i="1"/>
  <c r="O357" i="1"/>
  <c r="U357" i="1"/>
  <c r="V357" i="1" s="1"/>
  <c r="AA357" i="1"/>
  <c r="O356" i="1"/>
  <c r="U356" i="1"/>
  <c r="V356" i="1"/>
  <c r="W356" i="1"/>
  <c r="AA356" i="1"/>
  <c r="O355" i="1"/>
  <c r="U355" i="1"/>
  <c r="V355" i="1"/>
  <c r="W355" i="1"/>
  <c r="AA355" i="1"/>
  <c r="O354" i="1"/>
  <c r="W354" i="1" s="1"/>
  <c r="U354" i="1"/>
  <c r="V354" i="1"/>
  <c r="AA354" i="1"/>
  <c r="O353" i="1"/>
  <c r="U353" i="1"/>
  <c r="V353" i="1" s="1"/>
  <c r="W353" i="1" s="1"/>
  <c r="AA353" i="1"/>
  <c r="O352" i="1"/>
  <c r="W352" i="1" s="1"/>
  <c r="U352" i="1"/>
  <c r="V352" i="1"/>
  <c r="AA352" i="1"/>
  <c r="O351" i="1"/>
  <c r="U351" i="1"/>
  <c r="V351" i="1"/>
  <c r="W351" i="1"/>
  <c r="O350" i="1"/>
  <c r="U350" i="1"/>
  <c r="V350" i="1"/>
  <c r="W350" i="1"/>
  <c r="AA350" i="1"/>
  <c r="O349" i="1"/>
  <c r="W349" i="1" s="1"/>
  <c r="U349" i="1"/>
  <c r="V349" i="1"/>
  <c r="AA349" i="1"/>
  <c r="O348" i="1"/>
  <c r="U348" i="1"/>
  <c r="V348" i="1" s="1"/>
  <c r="W348" i="1" s="1"/>
  <c r="AA348" i="1"/>
  <c r="O347" i="1"/>
  <c r="W347" i="1" s="1"/>
  <c r="U347" i="1"/>
  <c r="V347" i="1"/>
  <c r="AA347" i="1"/>
  <c r="O346" i="1"/>
  <c r="U346" i="1"/>
  <c r="V346" i="1"/>
  <c r="W346" i="1"/>
  <c r="AA346" i="1"/>
  <c r="O345" i="1"/>
  <c r="U345" i="1"/>
  <c r="V345" i="1"/>
  <c r="W345" i="1" s="1"/>
  <c r="O344" i="1"/>
  <c r="U344" i="1"/>
  <c r="V344" i="1" s="1"/>
  <c r="AA344" i="1"/>
  <c r="O343" i="1"/>
  <c r="U343" i="1"/>
  <c r="V343" i="1"/>
  <c r="W343" i="1"/>
  <c r="AA343" i="1"/>
  <c r="O342" i="1"/>
  <c r="U342" i="1"/>
  <c r="V342" i="1"/>
  <c r="W342" i="1"/>
  <c r="AA342" i="1"/>
  <c r="O341" i="1"/>
  <c r="W341" i="1" s="1"/>
  <c r="U341" i="1"/>
  <c r="V341" i="1"/>
  <c r="AA341" i="1"/>
  <c r="O340" i="1"/>
  <c r="U340" i="1"/>
  <c r="V340" i="1" s="1"/>
  <c r="W340" i="1" s="1"/>
  <c r="AA340" i="1"/>
  <c r="O339" i="1"/>
  <c r="W339" i="1" s="1"/>
  <c r="U339" i="1"/>
  <c r="V339" i="1"/>
  <c r="AA339" i="1"/>
  <c r="O338" i="1"/>
  <c r="U338" i="1"/>
  <c r="V338" i="1"/>
  <c r="W338" i="1"/>
  <c r="AA338" i="1"/>
  <c r="O337" i="1"/>
  <c r="U337" i="1"/>
  <c r="V337" i="1"/>
  <c r="W337" i="1" s="1"/>
  <c r="O336" i="1"/>
  <c r="W336" i="1" s="1"/>
  <c r="U336" i="1"/>
  <c r="V336" i="1"/>
  <c r="O335" i="1"/>
  <c r="U335" i="1"/>
  <c r="V335" i="1"/>
  <c r="W335" i="1" s="1"/>
  <c r="AA335" i="1"/>
  <c r="O334" i="1"/>
  <c r="U334" i="1"/>
  <c r="V334" i="1" s="1"/>
  <c r="AA334" i="1"/>
  <c r="O333" i="1"/>
  <c r="U333" i="1"/>
  <c r="V333" i="1"/>
  <c r="W333" i="1"/>
  <c r="AA333" i="1"/>
  <c r="O332" i="1"/>
  <c r="U332" i="1"/>
  <c r="V332" i="1"/>
  <c r="W332" i="1"/>
  <c r="AA332" i="1"/>
  <c r="O331" i="1"/>
  <c r="W331" i="1" s="1"/>
  <c r="U331" i="1"/>
  <c r="V331" i="1"/>
  <c r="AA331" i="1"/>
  <c r="O330" i="1"/>
  <c r="U330" i="1"/>
  <c r="V330" i="1" s="1"/>
  <c r="W330" i="1" s="1"/>
  <c r="O329" i="1"/>
  <c r="U329" i="1"/>
  <c r="V329" i="1" s="1"/>
  <c r="AA329" i="1"/>
  <c r="O328" i="1"/>
  <c r="U328" i="1"/>
  <c r="V328" i="1"/>
  <c r="W328" i="1"/>
  <c r="AA328" i="1"/>
  <c r="O327" i="1"/>
  <c r="U327" i="1"/>
  <c r="V327" i="1"/>
  <c r="W327" i="1"/>
  <c r="AA327" i="1"/>
  <c r="O326" i="1"/>
  <c r="W326" i="1" s="1"/>
  <c r="U326" i="1"/>
  <c r="V326" i="1"/>
  <c r="AA326" i="1"/>
  <c r="O325" i="1"/>
  <c r="U325" i="1"/>
  <c r="V325" i="1" s="1"/>
  <c r="W325" i="1" s="1"/>
  <c r="AA325" i="1"/>
  <c r="O324" i="1"/>
  <c r="W324" i="1" s="1"/>
  <c r="U324" i="1"/>
  <c r="V324" i="1"/>
  <c r="AA324" i="1"/>
  <c r="O323" i="1"/>
  <c r="U323" i="1"/>
  <c r="V323" i="1"/>
  <c r="W323" i="1"/>
  <c r="AA323" i="1"/>
  <c r="O322" i="1"/>
  <c r="U322" i="1"/>
  <c r="V322" i="1"/>
  <c r="W322" i="1" s="1"/>
  <c r="AA322" i="1"/>
  <c r="O321" i="1"/>
  <c r="W321" i="1" s="1"/>
  <c r="U321" i="1"/>
  <c r="V321" i="1" s="1"/>
  <c r="AA321" i="1"/>
  <c r="O320" i="1"/>
  <c r="U320" i="1"/>
  <c r="V320" i="1"/>
  <c r="W320" i="1"/>
  <c r="AA320" i="1"/>
  <c r="O319" i="1"/>
  <c r="U319" i="1"/>
  <c r="V319" i="1"/>
  <c r="W319" i="1"/>
  <c r="AA319" i="1"/>
  <c r="O318" i="1"/>
  <c r="W318" i="1" s="1"/>
  <c r="U318" i="1"/>
  <c r="V318" i="1"/>
  <c r="AA318" i="1"/>
  <c r="O317" i="1"/>
  <c r="U317" i="1"/>
  <c r="V317" i="1" s="1"/>
  <c r="W317" i="1" s="1"/>
  <c r="AA317" i="1"/>
  <c r="O316" i="1"/>
  <c r="W316" i="1" s="1"/>
  <c r="U316" i="1"/>
  <c r="V316" i="1"/>
  <c r="AA316" i="1"/>
  <c r="O315" i="1"/>
  <c r="U315" i="1"/>
  <c r="V315" i="1"/>
  <c r="W315" i="1"/>
  <c r="AA315" i="1"/>
  <c r="O314" i="1"/>
  <c r="U314" i="1"/>
  <c r="V314" i="1"/>
  <c r="W314" i="1" s="1"/>
  <c r="AA314" i="1"/>
  <c r="O313" i="1"/>
  <c r="U313" i="1"/>
  <c r="V313" i="1" s="1"/>
  <c r="O312" i="1"/>
  <c r="U312" i="1"/>
  <c r="V312" i="1" s="1"/>
  <c r="W312" i="1" s="1"/>
  <c r="O311" i="1"/>
  <c r="U311" i="1"/>
  <c r="V311" i="1" s="1"/>
  <c r="O310" i="1"/>
  <c r="U310" i="1"/>
  <c r="V310" i="1"/>
  <c r="W310" i="1"/>
  <c r="AA310" i="1"/>
  <c r="O309" i="1"/>
  <c r="U309" i="1"/>
  <c r="V309" i="1"/>
  <c r="W309" i="1"/>
  <c r="AA309" i="1"/>
  <c r="O308" i="1"/>
  <c r="W308" i="1" s="1"/>
  <c r="U308" i="1"/>
  <c r="V308" i="1"/>
  <c r="AA308" i="1"/>
  <c r="O307" i="1"/>
  <c r="U307" i="1"/>
  <c r="V307" i="1" s="1"/>
  <c r="W307" i="1" s="1"/>
  <c r="AA307" i="1"/>
  <c r="O306" i="1"/>
  <c r="W306" i="1" s="1"/>
  <c r="U306" i="1"/>
  <c r="V306" i="1"/>
  <c r="AA306" i="1"/>
  <c r="O305" i="1"/>
  <c r="U305" i="1"/>
  <c r="V305" i="1"/>
  <c r="W305" i="1"/>
  <c r="AA305" i="1"/>
  <c r="O304" i="1"/>
  <c r="U304" i="1"/>
  <c r="V304" i="1"/>
  <c r="W304" i="1" s="1"/>
  <c r="AA304" i="1"/>
  <c r="O303" i="1"/>
  <c r="U303" i="1"/>
  <c r="V303" i="1" s="1"/>
  <c r="AA303" i="1"/>
  <c r="O302" i="1"/>
  <c r="U302" i="1"/>
  <c r="V302" i="1"/>
  <c r="W302" i="1"/>
  <c r="AA302" i="1"/>
  <c r="O301" i="1"/>
  <c r="U301" i="1"/>
  <c r="V301" i="1"/>
  <c r="W301" i="1"/>
  <c r="AA301" i="1"/>
  <c r="O300" i="1"/>
  <c r="W300" i="1" s="1"/>
  <c r="U300" i="1"/>
  <c r="V300" i="1"/>
  <c r="O299" i="1"/>
  <c r="U299" i="1"/>
  <c r="V299" i="1"/>
  <c r="W299" i="1" s="1"/>
  <c r="AA299" i="1"/>
  <c r="O298" i="1"/>
  <c r="U298" i="1"/>
  <c r="V298" i="1" s="1"/>
  <c r="AA298" i="1"/>
  <c r="O297" i="1"/>
  <c r="U297" i="1"/>
  <c r="V297" i="1"/>
  <c r="W297" i="1"/>
  <c r="AA297" i="1"/>
  <c r="O296" i="1"/>
  <c r="U296" i="1"/>
  <c r="V296" i="1"/>
  <c r="W296" i="1"/>
  <c r="AA296" i="1"/>
  <c r="O295" i="1"/>
  <c r="W295" i="1" s="1"/>
  <c r="U295" i="1"/>
  <c r="V295" i="1"/>
  <c r="AA295" i="1"/>
  <c r="O294" i="1"/>
  <c r="U294" i="1"/>
  <c r="V294" i="1" s="1"/>
  <c r="W294" i="1" s="1"/>
  <c r="AA294" i="1"/>
  <c r="O293" i="1"/>
  <c r="W293" i="1" s="1"/>
  <c r="U293" i="1"/>
  <c r="V293" i="1"/>
  <c r="AA293" i="1"/>
  <c r="O292" i="1"/>
  <c r="U292" i="1"/>
  <c r="V292" i="1"/>
  <c r="W292" i="1"/>
  <c r="AA292" i="1"/>
  <c r="O291" i="1"/>
  <c r="U291" i="1"/>
  <c r="V291" i="1"/>
  <c r="W291" i="1" s="1"/>
  <c r="AA291" i="1"/>
  <c r="O290" i="1"/>
  <c r="U290" i="1"/>
  <c r="V290" i="1" s="1"/>
  <c r="AA290" i="1"/>
  <c r="O289" i="1"/>
  <c r="U289" i="1"/>
  <c r="V289" i="1"/>
  <c r="W289" i="1"/>
  <c r="AA289" i="1"/>
  <c r="O288" i="1"/>
  <c r="U288" i="1"/>
  <c r="V288" i="1"/>
  <c r="W288" i="1"/>
  <c r="AA288" i="1"/>
  <c r="O287" i="1"/>
  <c r="W287" i="1" s="1"/>
  <c r="U287" i="1"/>
  <c r="V287" i="1"/>
  <c r="AA287" i="1"/>
  <c r="O286" i="1"/>
  <c r="U286" i="1"/>
  <c r="V286" i="1" s="1"/>
  <c r="W286" i="1" s="1"/>
  <c r="AA286" i="1"/>
  <c r="O285" i="1"/>
  <c r="W285" i="1" s="1"/>
  <c r="U285" i="1"/>
  <c r="V285" i="1"/>
  <c r="AA285" i="1"/>
  <c r="O284" i="1"/>
  <c r="U284" i="1"/>
  <c r="V284" i="1"/>
  <c r="W284" i="1"/>
  <c r="AA284" i="1"/>
  <c r="O283" i="1"/>
  <c r="U283" i="1"/>
  <c r="V283" i="1"/>
  <c r="W283" i="1" s="1"/>
  <c r="AA283" i="1"/>
  <c r="O282" i="1"/>
  <c r="W282" i="1" s="1"/>
  <c r="U282" i="1"/>
  <c r="V282" i="1" s="1"/>
  <c r="AA282" i="1"/>
  <c r="O281" i="1"/>
  <c r="U281" i="1"/>
  <c r="V281" i="1"/>
  <c r="W281" i="1"/>
  <c r="O280" i="1"/>
  <c r="U280" i="1"/>
  <c r="V280" i="1"/>
  <c r="W280" i="1"/>
  <c r="AA280" i="1"/>
  <c r="O279" i="1"/>
  <c r="W279" i="1" s="1"/>
  <c r="U279" i="1"/>
  <c r="V279" i="1"/>
  <c r="AA279" i="1"/>
  <c r="O278" i="1"/>
  <c r="U278" i="1"/>
  <c r="V278" i="1" s="1"/>
  <c r="W278" i="1" s="1"/>
  <c r="AA278" i="1"/>
  <c r="O277" i="1"/>
  <c r="W277" i="1" s="1"/>
  <c r="U277" i="1"/>
  <c r="V277" i="1"/>
  <c r="AA277" i="1"/>
  <c r="O276" i="1"/>
  <c r="U276" i="1"/>
  <c r="V276" i="1"/>
  <c r="W276" i="1"/>
  <c r="O275" i="1"/>
  <c r="U275" i="1"/>
  <c r="V275" i="1"/>
  <c r="W275" i="1"/>
  <c r="AA275" i="1"/>
  <c r="O274" i="1"/>
  <c r="W274" i="1" s="1"/>
  <c r="U274" i="1"/>
  <c r="V274" i="1"/>
  <c r="AA274" i="1"/>
  <c r="O273" i="1"/>
  <c r="U273" i="1"/>
  <c r="V273" i="1" s="1"/>
  <c r="W273" i="1" s="1"/>
  <c r="AA273" i="1"/>
  <c r="O272" i="1"/>
  <c r="W272" i="1" s="1"/>
  <c r="U272" i="1"/>
  <c r="V272" i="1"/>
  <c r="AA272" i="1"/>
  <c r="O271" i="1"/>
  <c r="U271" i="1"/>
  <c r="V271" i="1"/>
  <c r="W271" i="1"/>
  <c r="O270" i="1"/>
  <c r="U270" i="1"/>
  <c r="V270" i="1"/>
  <c r="W270" i="1"/>
  <c r="AA270" i="1"/>
  <c r="O269" i="1"/>
  <c r="W269" i="1" s="1"/>
  <c r="U269" i="1"/>
  <c r="V269" i="1"/>
  <c r="AA269" i="1"/>
  <c r="O268" i="1"/>
  <c r="U268" i="1"/>
  <c r="V268" i="1" s="1"/>
  <c r="W268" i="1" s="1"/>
  <c r="AA268" i="1"/>
  <c r="O267" i="1"/>
  <c r="W267" i="1" s="1"/>
  <c r="U267" i="1"/>
  <c r="V267" i="1"/>
  <c r="AA267" i="1"/>
  <c r="O266" i="1"/>
  <c r="U266" i="1"/>
  <c r="V266" i="1"/>
  <c r="W266" i="1"/>
  <c r="AA266" i="1"/>
  <c r="O265" i="1"/>
  <c r="U265" i="1"/>
  <c r="V265" i="1"/>
  <c r="W265" i="1" s="1"/>
  <c r="AA265" i="1"/>
  <c r="O264" i="1"/>
  <c r="W264" i="1" s="1"/>
  <c r="U264" i="1"/>
  <c r="V264" i="1" s="1"/>
  <c r="AA264" i="1"/>
  <c r="O263" i="1"/>
  <c r="U263" i="1"/>
  <c r="V263" i="1"/>
  <c r="W263" i="1"/>
  <c r="O262" i="1"/>
  <c r="W262" i="1" s="1"/>
  <c r="U262" i="1"/>
  <c r="V262" i="1"/>
  <c r="AA262" i="1"/>
  <c r="O261" i="1"/>
  <c r="U261" i="1"/>
  <c r="V261" i="1"/>
  <c r="W261" i="1"/>
  <c r="AA261" i="1"/>
  <c r="O260" i="1"/>
  <c r="U260" i="1"/>
  <c r="V260" i="1"/>
  <c r="W260" i="1" s="1"/>
  <c r="AA260" i="1"/>
  <c r="O259" i="1"/>
  <c r="U259" i="1"/>
  <c r="V259" i="1" s="1"/>
  <c r="AA259" i="1"/>
  <c r="O258" i="1"/>
  <c r="U258" i="1"/>
  <c r="V258" i="1"/>
  <c r="W258" i="1"/>
  <c r="AA258" i="1"/>
  <c r="O257" i="1"/>
  <c r="U257" i="1"/>
  <c r="V257" i="1"/>
  <c r="W257" i="1"/>
  <c r="O256" i="1"/>
  <c r="W256" i="1" s="1"/>
  <c r="U256" i="1"/>
  <c r="V256" i="1"/>
  <c r="AA256" i="1"/>
  <c r="O255" i="1"/>
  <c r="U255" i="1"/>
  <c r="V255" i="1" s="1"/>
  <c r="W255" i="1" s="1"/>
  <c r="AA255" i="1"/>
  <c r="O254" i="1"/>
  <c r="W254" i="1" s="1"/>
  <c r="U254" i="1"/>
  <c r="V254" i="1"/>
  <c r="AA254" i="1"/>
  <c r="O253" i="1"/>
  <c r="U253" i="1"/>
  <c r="V253" i="1"/>
  <c r="W253" i="1"/>
  <c r="AA253" i="1"/>
  <c r="O252" i="1"/>
  <c r="U252" i="1"/>
  <c r="V252" i="1"/>
  <c r="W252" i="1" s="1"/>
  <c r="O251" i="1"/>
  <c r="W251" i="1" s="1"/>
  <c r="U251" i="1"/>
  <c r="V251" i="1"/>
  <c r="AA251" i="1"/>
  <c r="O250" i="1"/>
  <c r="U250" i="1"/>
  <c r="V250" i="1" s="1"/>
  <c r="W250" i="1" s="1"/>
  <c r="AA250" i="1"/>
  <c r="O249" i="1"/>
  <c r="W249" i="1" s="1"/>
  <c r="U249" i="1"/>
  <c r="V249" i="1"/>
  <c r="AA249" i="1"/>
  <c r="O248" i="1"/>
  <c r="U248" i="1"/>
  <c r="V248" i="1"/>
  <c r="W248" i="1"/>
  <c r="AA248" i="1"/>
  <c r="O247" i="1"/>
  <c r="U247" i="1"/>
  <c r="V247" i="1"/>
  <c r="W247" i="1" s="1"/>
  <c r="O246" i="1"/>
  <c r="W246" i="1" s="1"/>
  <c r="U246" i="1"/>
  <c r="V246" i="1"/>
  <c r="AA246" i="1"/>
  <c r="O245" i="1"/>
  <c r="U245" i="1"/>
  <c r="V245" i="1" s="1"/>
  <c r="W245" i="1" s="1"/>
  <c r="O244" i="1"/>
  <c r="U244" i="1"/>
  <c r="V244" i="1" s="1"/>
  <c r="AA244" i="1"/>
  <c r="O243" i="1"/>
  <c r="U243" i="1"/>
  <c r="V243" i="1"/>
  <c r="W243" i="1"/>
  <c r="O242" i="1"/>
  <c r="W242" i="1" s="1"/>
  <c r="U242" i="1"/>
  <c r="V242" i="1"/>
  <c r="AA242" i="1"/>
  <c r="O241" i="1"/>
  <c r="U241" i="1"/>
  <c r="V241" i="1"/>
  <c r="W241" i="1"/>
  <c r="AA241" i="1"/>
  <c r="O240" i="1"/>
  <c r="U240" i="1"/>
  <c r="V240" i="1"/>
  <c r="W240" i="1" s="1"/>
  <c r="AA240" i="1"/>
  <c r="O239" i="1"/>
  <c r="W239" i="1" s="1"/>
  <c r="U239" i="1"/>
  <c r="V239" i="1" s="1"/>
  <c r="O238" i="1"/>
  <c r="U238" i="1"/>
  <c r="V238" i="1" s="1"/>
  <c r="W238" i="1" s="1"/>
  <c r="AA238" i="1"/>
  <c r="O237" i="1"/>
  <c r="W237" i="1" s="1"/>
  <c r="U237" i="1"/>
  <c r="V237" i="1"/>
  <c r="AA237" i="1"/>
  <c r="O236" i="1"/>
  <c r="U236" i="1"/>
  <c r="V236" i="1"/>
  <c r="W236" i="1"/>
  <c r="AA236" i="1"/>
  <c r="O235" i="1"/>
  <c r="U235" i="1"/>
  <c r="V235" i="1"/>
  <c r="W235" i="1" s="1"/>
  <c r="AA235" i="1"/>
  <c r="O234" i="1"/>
  <c r="U234" i="1"/>
  <c r="V234" i="1" s="1"/>
  <c r="AA234" i="1"/>
  <c r="O233" i="1"/>
  <c r="U233" i="1"/>
  <c r="V233" i="1"/>
  <c r="W233" i="1"/>
  <c r="AA233" i="1"/>
  <c r="O232" i="1"/>
  <c r="U232" i="1"/>
  <c r="V232" i="1"/>
  <c r="W232" i="1"/>
  <c r="AA232" i="1"/>
  <c r="O231" i="1"/>
  <c r="W231" i="1" s="1"/>
  <c r="U231" i="1"/>
  <c r="V231" i="1"/>
  <c r="AA231" i="1"/>
  <c r="O230" i="1"/>
  <c r="U230" i="1"/>
  <c r="V230" i="1" s="1"/>
  <c r="W230" i="1" s="1"/>
  <c r="O229" i="1"/>
  <c r="W229" i="1" s="1"/>
  <c r="U229" i="1"/>
  <c r="V229" i="1" s="1"/>
  <c r="AA229" i="1"/>
  <c r="O228" i="1"/>
  <c r="U228" i="1"/>
  <c r="V228" i="1"/>
  <c r="W228" i="1"/>
  <c r="AA228" i="1"/>
  <c r="O227" i="1"/>
  <c r="U227" i="1"/>
  <c r="V227" i="1"/>
  <c r="W227" i="1"/>
  <c r="AA227" i="1"/>
  <c r="O226" i="1"/>
  <c r="W226" i="1" s="1"/>
  <c r="U226" i="1"/>
  <c r="V226" i="1"/>
  <c r="AA226" i="1"/>
  <c r="O225" i="1"/>
  <c r="U225" i="1"/>
  <c r="V225" i="1" s="1"/>
  <c r="W225" i="1" s="1"/>
  <c r="AA225" i="1"/>
  <c r="O224" i="1"/>
  <c r="W224" i="1" s="1"/>
  <c r="U224" i="1"/>
  <c r="V224" i="1"/>
  <c r="O223" i="1"/>
  <c r="U223" i="1"/>
  <c r="V223" i="1"/>
  <c r="W223" i="1"/>
  <c r="AA223" i="1"/>
  <c r="O222" i="1"/>
  <c r="U222" i="1"/>
  <c r="V222" i="1"/>
  <c r="W222" i="1"/>
  <c r="AA222" i="1"/>
  <c r="O221" i="1"/>
  <c r="W221" i="1" s="1"/>
  <c r="U221" i="1"/>
  <c r="V221" i="1"/>
  <c r="AA221" i="1"/>
  <c r="O220" i="1"/>
  <c r="U220" i="1"/>
  <c r="V220" i="1" s="1"/>
  <c r="W220" i="1" s="1"/>
  <c r="O219" i="1"/>
  <c r="W219" i="1" s="1"/>
  <c r="U219" i="1"/>
  <c r="V219" i="1"/>
  <c r="AA219" i="1"/>
  <c r="O218" i="1"/>
  <c r="U218" i="1"/>
  <c r="V218" i="1"/>
  <c r="W218" i="1"/>
  <c r="AA218" i="1"/>
  <c r="O217" i="1"/>
  <c r="U217" i="1"/>
  <c r="V217" i="1"/>
  <c r="W217" i="1" s="1"/>
  <c r="O216" i="1"/>
  <c r="W216" i="1" s="1"/>
  <c r="U216" i="1"/>
  <c r="V216" i="1"/>
  <c r="AA216" i="1"/>
  <c r="O215" i="1"/>
  <c r="U215" i="1"/>
  <c r="V215" i="1" s="1"/>
  <c r="W215" i="1" s="1"/>
  <c r="AA215" i="1"/>
  <c r="O214" i="1"/>
  <c r="W214" i="1" s="1"/>
  <c r="U214" i="1"/>
  <c r="V214" i="1"/>
  <c r="O213" i="1"/>
  <c r="U213" i="1"/>
  <c r="V213" i="1"/>
  <c r="W213" i="1"/>
  <c r="O212" i="1"/>
  <c r="U212" i="1"/>
  <c r="V212" i="1"/>
  <c r="W212" i="1"/>
  <c r="AA212" i="1"/>
  <c r="O211" i="1"/>
  <c r="W211" i="1" s="1"/>
  <c r="U211" i="1"/>
  <c r="V211" i="1"/>
  <c r="AA211" i="1"/>
  <c r="O210" i="1"/>
  <c r="U210" i="1"/>
  <c r="V210" i="1" s="1"/>
  <c r="W210" i="1" s="1"/>
  <c r="O209" i="1"/>
  <c r="U209" i="1"/>
  <c r="V209" i="1" s="1"/>
  <c r="AA209" i="1"/>
  <c r="O208" i="1"/>
  <c r="U208" i="1"/>
  <c r="V208" i="1"/>
  <c r="W208" i="1"/>
  <c r="AA208" i="1"/>
  <c r="O207" i="1"/>
  <c r="U207" i="1"/>
  <c r="V207" i="1"/>
  <c r="W207" i="1"/>
  <c r="AA207" i="1"/>
  <c r="O206" i="1"/>
  <c r="W206" i="1" s="1"/>
  <c r="U206" i="1"/>
  <c r="V206" i="1"/>
  <c r="O205" i="1"/>
  <c r="U205" i="1"/>
  <c r="V205" i="1" s="1"/>
  <c r="W205" i="1" s="1"/>
  <c r="AA205" i="1"/>
  <c r="O204" i="1"/>
  <c r="W204" i="1" s="1"/>
  <c r="U204" i="1"/>
  <c r="V204" i="1"/>
  <c r="AA204" i="1"/>
  <c r="O203" i="1"/>
  <c r="U203" i="1"/>
  <c r="V203" i="1"/>
  <c r="W203" i="1"/>
  <c r="AA203" i="1"/>
  <c r="O202" i="1"/>
  <c r="U202" i="1"/>
  <c r="V202" i="1"/>
  <c r="W202" i="1" s="1"/>
  <c r="AA202" i="1"/>
  <c r="O201" i="1"/>
  <c r="U201" i="1"/>
  <c r="V201" i="1" s="1"/>
  <c r="AA201" i="1"/>
  <c r="O200" i="1"/>
  <c r="U200" i="1"/>
  <c r="V200" i="1"/>
  <c r="W200" i="1"/>
  <c r="AA200" i="1"/>
  <c r="O199" i="1"/>
  <c r="U199" i="1"/>
  <c r="V199" i="1"/>
  <c r="W199" i="1"/>
  <c r="AA199" i="1"/>
  <c r="O198" i="1"/>
  <c r="W198" i="1" s="1"/>
  <c r="U198" i="1"/>
  <c r="V198" i="1"/>
  <c r="O197" i="1"/>
  <c r="U197" i="1"/>
  <c r="V197" i="1" s="1"/>
  <c r="W197" i="1" s="1"/>
  <c r="AA197" i="1"/>
  <c r="O196" i="1"/>
  <c r="W196" i="1" s="1"/>
  <c r="U196" i="1"/>
  <c r="V196" i="1"/>
  <c r="O195" i="1"/>
  <c r="U195" i="1"/>
  <c r="V195" i="1"/>
  <c r="W195" i="1"/>
  <c r="AA195" i="1"/>
  <c r="O194" i="1"/>
  <c r="U194" i="1"/>
  <c r="V194" i="1"/>
  <c r="W194" i="1" s="1"/>
  <c r="AA194" i="1"/>
  <c r="O193" i="1"/>
  <c r="W193" i="1" s="1"/>
  <c r="U193" i="1"/>
  <c r="V193" i="1" s="1"/>
  <c r="O192" i="1"/>
  <c r="U192" i="1"/>
  <c r="V192" i="1" s="1"/>
  <c r="W192" i="1" s="1"/>
  <c r="AA192" i="1"/>
  <c r="O191" i="1"/>
  <c r="W191" i="1" s="1"/>
  <c r="U191" i="1"/>
  <c r="V191" i="1"/>
  <c r="AA191" i="1"/>
  <c r="O190" i="1"/>
  <c r="U190" i="1"/>
  <c r="V190" i="1"/>
  <c r="W190" i="1"/>
  <c r="O189" i="1"/>
  <c r="U189" i="1"/>
  <c r="V189" i="1"/>
  <c r="W189" i="1" s="1"/>
  <c r="AA189" i="1"/>
  <c r="O188" i="1"/>
  <c r="U188" i="1"/>
  <c r="V188" i="1" s="1"/>
  <c r="O187" i="1"/>
  <c r="U187" i="1"/>
  <c r="V187" i="1"/>
  <c r="W187" i="1"/>
  <c r="AA187" i="1"/>
  <c r="O186" i="1"/>
  <c r="V186" i="1"/>
  <c r="W186" i="1"/>
  <c r="O185" i="1"/>
  <c r="U185" i="1"/>
  <c r="V185" i="1"/>
  <c r="W185" i="1"/>
  <c r="AA185" i="1"/>
  <c r="O184" i="1"/>
  <c r="U184" i="1"/>
  <c r="V184" i="1"/>
  <c r="W184" i="1" s="1"/>
  <c r="AA184" i="1"/>
  <c r="O183" i="1"/>
  <c r="U183" i="1"/>
  <c r="V183" i="1" s="1"/>
  <c r="AA183" i="1"/>
  <c r="O182" i="1"/>
  <c r="U182" i="1"/>
  <c r="V182" i="1"/>
  <c r="W182" i="1"/>
  <c r="AA182" i="1"/>
  <c r="O181" i="1"/>
  <c r="U181" i="1"/>
  <c r="V181" i="1"/>
  <c r="W181" i="1"/>
  <c r="AA181" i="1"/>
  <c r="O180" i="1"/>
  <c r="W180" i="1" s="1"/>
  <c r="U180" i="1"/>
  <c r="V180" i="1"/>
  <c r="O179" i="1"/>
  <c r="U179" i="1"/>
  <c r="V179" i="1" s="1"/>
  <c r="W179" i="1" s="1"/>
  <c r="O178" i="1"/>
  <c r="W178" i="1" s="1"/>
  <c r="U178" i="1"/>
  <c r="V178" i="1"/>
  <c r="AA178" i="1"/>
  <c r="O177" i="1"/>
  <c r="U177" i="1"/>
  <c r="V177" i="1"/>
  <c r="W177" i="1"/>
  <c r="AA177" i="1"/>
  <c r="O176" i="1"/>
  <c r="U176" i="1"/>
  <c r="V176" i="1"/>
  <c r="W176" i="1" s="1"/>
  <c r="AA176" i="1"/>
  <c r="O175" i="1"/>
  <c r="U175" i="1"/>
  <c r="V175" i="1" s="1"/>
  <c r="AA175" i="1"/>
  <c r="O174" i="1"/>
  <c r="U174" i="1"/>
  <c r="V174" i="1"/>
  <c r="W174" i="1"/>
  <c r="AA174" i="1"/>
  <c r="O173" i="1"/>
  <c r="U173" i="1"/>
  <c r="V173" i="1"/>
  <c r="W173" i="1"/>
  <c r="AA173" i="1"/>
  <c r="O172" i="1"/>
  <c r="W172" i="1" s="1"/>
  <c r="U172" i="1"/>
  <c r="V172" i="1"/>
  <c r="O171" i="1"/>
  <c r="U171" i="1"/>
  <c r="V171" i="1" s="1"/>
  <c r="W171" i="1" s="1"/>
  <c r="O170" i="1"/>
  <c r="W170" i="1" s="1"/>
  <c r="U170" i="1"/>
  <c r="V170" i="1"/>
  <c r="AA170" i="1"/>
  <c r="O169" i="1"/>
  <c r="U169" i="1"/>
  <c r="V169" i="1"/>
  <c r="W169" i="1"/>
  <c r="AA169" i="1"/>
  <c r="O168" i="1"/>
  <c r="U168" i="1"/>
  <c r="V168" i="1"/>
  <c r="W168" i="1" s="1"/>
  <c r="AA168" i="1"/>
  <c r="O167" i="1"/>
  <c r="U167" i="1"/>
  <c r="V167" i="1" s="1"/>
  <c r="AA167" i="1"/>
  <c r="O166" i="1"/>
  <c r="U166" i="1"/>
  <c r="V166" i="1"/>
  <c r="W166" i="1"/>
  <c r="AA166" i="1"/>
  <c r="O165" i="1"/>
  <c r="U165" i="1"/>
  <c r="V165" i="1"/>
  <c r="W165" i="1"/>
  <c r="AA165" i="1"/>
  <c r="O163" i="1"/>
  <c r="W163" i="1" s="1"/>
  <c r="U163" i="1"/>
  <c r="V163" i="1"/>
  <c r="O162" i="1"/>
  <c r="U162" i="1"/>
  <c r="V162" i="1"/>
  <c r="W162" i="1" s="1"/>
  <c r="AA162" i="1"/>
  <c r="O161" i="1"/>
  <c r="U161" i="1"/>
  <c r="V161" i="1" s="1"/>
  <c r="AA161" i="1"/>
  <c r="O160" i="1"/>
  <c r="U160" i="1"/>
  <c r="V160" i="1"/>
  <c r="W160" i="1"/>
  <c r="AA160" i="1"/>
  <c r="O159" i="1"/>
  <c r="U159" i="1"/>
  <c r="V159" i="1"/>
  <c r="W159" i="1"/>
  <c r="AA159" i="1"/>
  <c r="O158" i="1"/>
  <c r="W158" i="1" s="1"/>
  <c r="U158" i="1"/>
  <c r="V158" i="1"/>
  <c r="AA158" i="1"/>
  <c r="O157" i="1"/>
  <c r="U157" i="1"/>
  <c r="V157" i="1" s="1"/>
  <c r="W157" i="1" s="1"/>
  <c r="O156" i="1"/>
  <c r="U156" i="1"/>
  <c r="V156" i="1" s="1"/>
  <c r="O155" i="1"/>
  <c r="U155" i="1"/>
  <c r="V155" i="1" s="1"/>
  <c r="W155" i="1" s="1"/>
  <c r="O154" i="1"/>
  <c r="W154" i="1" s="1"/>
  <c r="U154" i="1"/>
  <c r="V154" i="1"/>
  <c r="AA154" i="1"/>
  <c r="O153" i="1"/>
  <c r="U153" i="1"/>
  <c r="V153" i="1"/>
  <c r="W153" i="1"/>
  <c r="AA153" i="1"/>
  <c r="O152" i="1"/>
  <c r="U152" i="1"/>
  <c r="V152" i="1"/>
  <c r="W152" i="1" s="1"/>
  <c r="AA152" i="1"/>
  <c r="O151" i="1"/>
  <c r="U151" i="1"/>
  <c r="V151" i="1" s="1"/>
  <c r="AA151" i="1"/>
  <c r="O150" i="1"/>
  <c r="U150" i="1"/>
  <c r="V150" i="1"/>
  <c r="W150" i="1"/>
  <c r="AA150" i="1"/>
  <c r="O149" i="1"/>
  <c r="U149" i="1"/>
  <c r="V149" i="1"/>
  <c r="W149" i="1"/>
  <c r="AA149" i="1"/>
  <c r="O148" i="1"/>
  <c r="W148" i="1" s="1"/>
  <c r="U148" i="1"/>
  <c r="V148" i="1"/>
  <c r="O147" i="1"/>
  <c r="U147" i="1"/>
  <c r="V147" i="1" s="1"/>
  <c r="W147" i="1" s="1"/>
  <c r="O146" i="1"/>
  <c r="W146" i="1" s="1"/>
  <c r="U146" i="1"/>
  <c r="V146" i="1"/>
  <c r="AA146" i="1"/>
  <c r="O145" i="1"/>
  <c r="U145" i="1"/>
  <c r="V145" i="1"/>
  <c r="W145" i="1"/>
  <c r="AA145" i="1"/>
  <c r="O144" i="1"/>
  <c r="U144" i="1"/>
  <c r="V144" i="1"/>
  <c r="W144" i="1" s="1"/>
  <c r="O143" i="1"/>
  <c r="W143" i="1" s="1"/>
  <c r="U143" i="1"/>
  <c r="V143" i="1"/>
  <c r="O142" i="1"/>
  <c r="U142" i="1"/>
  <c r="V142" i="1"/>
  <c r="W142" i="1" s="1"/>
  <c r="AA142" i="1"/>
  <c r="O141" i="1"/>
  <c r="U141" i="1"/>
  <c r="V141" i="1" s="1"/>
  <c r="AA141" i="1"/>
  <c r="O140" i="1"/>
  <c r="U140" i="1"/>
  <c r="V140" i="1"/>
  <c r="W140" i="1"/>
  <c r="O139" i="1"/>
  <c r="U139" i="1"/>
  <c r="V139" i="1"/>
  <c r="W139" i="1"/>
  <c r="O138" i="1"/>
  <c r="W138" i="1" s="1"/>
  <c r="U138" i="1"/>
  <c r="V138" i="1"/>
  <c r="AA138" i="1"/>
  <c r="O137" i="1"/>
  <c r="U137" i="1"/>
  <c r="V137" i="1" s="1"/>
  <c r="W137" i="1" s="1"/>
  <c r="AA137" i="1"/>
  <c r="O136" i="1"/>
  <c r="W136" i="1" s="1"/>
  <c r="U136" i="1"/>
  <c r="V136" i="1"/>
  <c r="AA136" i="1"/>
  <c r="O135" i="1"/>
  <c r="U135" i="1"/>
  <c r="V135" i="1"/>
  <c r="W135" i="1"/>
  <c r="AA135" i="1"/>
  <c r="O134" i="1"/>
  <c r="U134" i="1"/>
  <c r="V134" i="1"/>
  <c r="W134" i="1" s="1"/>
  <c r="AA134" i="1"/>
  <c r="O133" i="1"/>
  <c r="U133" i="1"/>
  <c r="V133" i="1" s="1"/>
  <c r="AA133" i="1"/>
  <c r="O132" i="1"/>
  <c r="U132" i="1"/>
  <c r="V132" i="1"/>
  <c r="W132" i="1"/>
  <c r="AA132" i="1"/>
  <c r="O131" i="1"/>
  <c r="U131" i="1"/>
  <c r="V131" i="1"/>
  <c r="W131" i="1"/>
  <c r="O129" i="1"/>
  <c r="U129" i="1"/>
  <c r="V129" i="1"/>
  <c r="W129" i="1"/>
  <c r="O128" i="1"/>
  <c r="U128" i="1"/>
  <c r="V128" i="1"/>
  <c r="W128" i="1"/>
  <c r="AA128" i="1"/>
  <c r="O127" i="1"/>
  <c r="W127" i="1" s="1"/>
  <c r="U127" i="1"/>
  <c r="V127" i="1"/>
  <c r="AA127" i="1"/>
  <c r="O126" i="1"/>
  <c r="U126" i="1"/>
  <c r="V126" i="1" s="1"/>
  <c r="W126" i="1" s="1"/>
  <c r="AA126" i="1"/>
  <c r="O125" i="1"/>
  <c r="W125" i="1" s="1"/>
  <c r="U125" i="1"/>
  <c r="V125" i="1"/>
  <c r="AA125" i="1"/>
  <c r="O124" i="1"/>
  <c r="U124" i="1"/>
  <c r="V124" i="1"/>
  <c r="W124" i="1"/>
  <c r="O123" i="1"/>
  <c r="U123" i="1"/>
  <c r="V123" i="1"/>
  <c r="W123" i="1" s="1"/>
  <c r="O122" i="1"/>
  <c r="W122" i="1" s="1"/>
  <c r="U122" i="1"/>
  <c r="V122" i="1" s="1"/>
  <c r="AA122" i="1"/>
  <c r="O121" i="1"/>
  <c r="U121" i="1"/>
  <c r="V121" i="1"/>
  <c r="W121" i="1"/>
  <c r="AA121" i="1"/>
  <c r="O120" i="1"/>
  <c r="U120" i="1"/>
  <c r="V120" i="1"/>
  <c r="W120" i="1"/>
  <c r="AA120" i="1"/>
  <c r="O119" i="1"/>
  <c r="W119" i="1" s="1"/>
  <c r="U119" i="1"/>
  <c r="V119" i="1"/>
  <c r="AA119" i="1"/>
  <c r="O118" i="1"/>
  <c r="U118" i="1"/>
  <c r="V118" i="1" s="1"/>
  <c r="W118" i="1" s="1"/>
  <c r="AA118" i="1"/>
  <c r="O117" i="1"/>
  <c r="W117" i="1" s="1"/>
  <c r="U117" i="1"/>
  <c r="V117" i="1"/>
  <c r="O116" i="1"/>
  <c r="U116" i="1"/>
  <c r="V116" i="1"/>
  <c r="W116" i="1"/>
  <c r="O115" i="1"/>
  <c r="U115" i="1"/>
  <c r="V115" i="1"/>
  <c r="W115" i="1"/>
  <c r="O114" i="1"/>
  <c r="W114" i="1" s="1"/>
  <c r="U114" i="1"/>
  <c r="V114" i="1"/>
  <c r="AA114" i="1"/>
  <c r="O113" i="1"/>
  <c r="U113" i="1"/>
  <c r="V113" i="1" s="1"/>
  <c r="W113" i="1" s="1"/>
  <c r="AA113" i="1"/>
  <c r="O112" i="1"/>
  <c r="W112" i="1" s="1"/>
  <c r="U112" i="1"/>
  <c r="V112" i="1"/>
  <c r="AA112" i="1"/>
  <c r="O111" i="1"/>
  <c r="U111" i="1"/>
  <c r="V111" i="1"/>
  <c r="W111" i="1"/>
  <c r="AA111" i="1"/>
  <c r="O110" i="1"/>
  <c r="U110" i="1"/>
  <c r="V110" i="1"/>
  <c r="W110" i="1" s="1"/>
  <c r="AA110" i="1"/>
  <c r="O109" i="1"/>
  <c r="W109" i="1" s="1"/>
  <c r="U109" i="1"/>
  <c r="V109" i="1" s="1"/>
  <c r="AA109" i="1"/>
  <c r="O108" i="1"/>
  <c r="U108" i="1"/>
  <c r="V108" i="1"/>
  <c r="W108" i="1"/>
  <c r="AA108" i="1"/>
  <c r="O107" i="1"/>
  <c r="U107" i="1"/>
  <c r="V107" i="1"/>
  <c r="W107" i="1"/>
  <c r="O106" i="1"/>
  <c r="W106" i="1" s="1"/>
  <c r="U106" i="1"/>
  <c r="V106" i="1"/>
  <c r="AA106" i="1"/>
  <c r="O105" i="1"/>
  <c r="U105" i="1"/>
  <c r="V105" i="1" s="1"/>
  <c r="W105" i="1" s="1"/>
  <c r="O104" i="1"/>
  <c r="W104" i="1" s="1"/>
  <c r="U104" i="1"/>
  <c r="V104" i="1"/>
  <c r="AA104" i="1"/>
  <c r="O103" i="1"/>
  <c r="U103" i="1"/>
  <c r="V103" i="1"/>
  <c r="W103" i="1"/>
  <c r="AA103" i="1"/>
  <c r="O102" i="1"/>
  <c r="U102" i="1"/>
  <c r="V102" i="1"/>
  <c r="W102" i="1" s="1"/>
  <c r="O101" i="1"/>
  <c r="U101" i="1"/>
  <c r="V101" i="1" s="1"/>
  <c r="AA101" i="1"/>
  <c r="O100" i="1"/>
  <c r="U100" i="1"/>
  <c r="V100" i="1"/>
  <c r="W100" i="1"/>
  <c r="O99" i="1"/>
  <c r="W99" i="1" s="1"/>
  <c r="U99" i="1"/>
  <c r="V99" i="1"/>
  <c r="O98" i="1"/>
  <c r="U98" i="1"/>
  <c r="V98" i="1"/>
  <c r="W98" i="1"/>
  <c r="AA98" i="1"/>
  <c r="O97" i="1"/>
  <c r="U97" i="1"/>
  <c r="V97" i="1"/>
  <c r="W97" i="1" s="1"/>
  <c r="O96" i="1"/>
  <c r="W96" i="1" s="1"/>
  <c r="U96" i="1"/>
  <c r="V96" i="1"/>
  <c r="AA96" i="1"/>
  <c r="O95" i="1"/>
  <c r="U95" i="1"/>
  <c r="V95" i="1" s="1"/>
  <c r="W95" i="1" s="1"/>
  <c r="AA95" i="1"/>
  <c r="O94" i="1"/>
  <c r="W94" i="1" s="1"/>
  <c r="U94" i="1"/>
  <c r="V94" i="1"/>
  <c r="O93" i="1"/>
  <c r="U93" i="1"/>
  <c r="V93" i="1"/>
  <c r="W93" i="1"/>
  <c r="AA93" i="1"/>
  <c r="O92" i="1"/>
  <c r="U92" i="1"/>
  <c r="V92" i="1"/>
  <c r="W92" i="1" s="1"/>
  <c r="AA92" i="1"/>
  <c r="O91" i="1"/>
  <c r="U91" i="1"/>
  <c r="V91" i="1" s="1"/>
  <c r="O90" i="1"/>
  <c r="U90" i="1"/>
  <c r="V90" i="1"/>
  <c r="W90" i="1"/>
  <c r="AA90" i="1"/>
  <c r="O89" i="1"/>
  <c r="U89" i="1"/>
  <c r="V89" i="1"/>
  <c r="W89" i="1"/>
  <c r="AA89" i="1"/>
  <c r="O88" i="1"/>
  <c r="W88" i="1" s="1"/>
  <c r="U88" i="1"/>
  <c r="V88" i="1"/>
  <c r="AA88" i="1"/>
  <c r="O87" i="1"/>
  <c r="U87" i="1"/>
  <c r="V87" i="1" s="1"/>
  <c r="W87" i="1" s="1"/>
  <c r="AA87" i="1"/>
  <c r="O86" i="1"/>
  <c r="W86" i="1" s="1"/>
  <c r="U86" i="1"/>
  <c r="V86" i="1"/>
  <c r="O85" i="1"/>
  <c r="U85" i="1"/>
  <c r="V85" i="1"/>
  <c r="W85" i="1"/>
  <c r="AA85" i="1"/>
  <c r="O84" i="1"/>
  <c r="U84" i="1"/>
  <c r="V84" i="1"/>
  <c r="W84" i="1" s="1"/>
  <c r="AA84" i="1"/>
  <c r="O83" i="1"/>
  <c r="U83" i="1"/>
  <c r="V83" i="1" s="1"/>
  <c r="O82" i="1"/>
  <c r="U82" i="1"/>
  <c r="V82" i="1"/>
  <c r="W82" i="1"/>
  <c r="AA82" i="1"/>
  <c r="O81" i="1"/>
  <c r="U81" i="1"/>
  <c r="V81" i="1"/>
  <c r="W81" i="1"/>
  <c r="O80" i="1"/>
  <c r="W80" i="1" s="1"/>
  <c r="U80" i="1"/>
  <c r="V80" i="1"/>
  <c r="AA80" i="1"/>
  <c r="O79" i="1"/>
  <c r="U79" i="1"/>
  <c r="V79" i="1" s="1"/>
  <c r="W79" i="1" s="1"/>
  <c r="AA79" i="1"/>
  <c r="O78" i="1"/>
  <c r="U78" i="1"/>
  <c r="V78" i="1" s="1"/>
  <c r="AA78" i="1"/>
  <c r="O77" i="1"/>
  <c r="U77" i="1"/>
  <c r="V77" i="1"/>
  <c r="W77" i="1"/>
  <c r="AA77" i="1"/>
  <c r="O76" i="1"/>
  <c r="U76" i="1"/>
  <c r="V76" i="1"/>
  <c r="W76" i="1" s="1"/>
  <c r="AA76" i="1"/>
  <c r="O75" i="1"/>
  <c r="W75" i="1" s="1"/>
  <c r="U75" i="1"/>
  <c r="V75" i="1" s="1"/>
  <c r="O74" i="1"/>
  <c r="U74" i="1"/>
  <c r="V74" i="1"/>
  <c r="W74" i="1"/>
  <c r="AA74" i="1"/>
  <c r="O73" i="1"/>
  <c r="U73" i="1"/>
  <c r="V73" i="1"/>
  <c r="W73" i="1"/>
  <c r="O72" i="1"/>
  <c r="W72" i="1" s="1"/>
  <c r="U72" i="1"/>
  <c r="V72" i="1"/>
  <c r="AA72" i="1"/>
  <c r="O71" i="1"/>
  <c r="U71" i="1"/>
  <c r="V71" i="1" s="1"/>
  <c r="W71" i="1" s="1"/>
  <c r="O70" i="1"/>
  <c r="U70" i="1"/>
  <c r="V70" i="1" s="1"/>
  <c r="O69" i="1"/>
  <c r="U69" i="1"/>
  <c r="V69" i="1"/>
  <c r="W69" i="1"/>
  <c r="O68" i="1"/>
  <c r="U68" i="1"/>
  <c r="V68" i="1" s="1"/>
  <c r="AA68" i="1"/>
  <c r="O67" i="1"/>
  <c r="U67" i="1"/>
  <c r="V67" i="1"/>
  <c r="W67" i="1"/>
  <c r="O66" i="1"/>
  <c r="U66" i="1"/>
  <c r="V66" i="1"/>
  <c r="W66" i="1" s="1"/>
  <c r="AA66" i="1"/>
  <c r="O65" i="1"/>
  <c r="U65" i="1"/>
  <c r="V65" i="1" s="1"/>
  <c r="AA65" i="1"/>
  <c r="O64" i="1"/>
  <c r="U64" i="1"/>
  <c r="V64" i="1"/>
  <c r="W64" i="1"/>
  <c r="AA64" i="1"/>
  <c r="O63" i="1"/>
  <c r="U63" i="1"/>
  <c r="V63" i="1"/>
  <c r="W63" i="1"/>
  <c r="AA63" i="1"/>
  <c r="O62" i="1"/>
  <c r="W62" i="1" s="1"/>
  <c r="U62" i="1"/>
  <c r="V62" i="1"/>
  <c r="O61" i="1"/>
  <c r="U61" i="1"/>
  <c r="V61" i="1" s="1"/>
  <c r="W61" i="1" s="1"/>
  <c r="O60" i="1"/>
  <c r="U60" i="1"/>
  <c r="V60" i="1" s="1"/>
  <c r="AA60" i="1"/>
  <c r="O59" i="1"/>
  <c r="U59" i="1"/>
  <c r="V59" i="1"/>
  <c r="W59" i="1"/>
  <c r="O58" i="1"/>
  <c r="U58" i="1"/>
  <c r="V58" i="1"/>
  <c r="W58" i="1"/>
  <c r="AA58" i="1"/>
  <c r="O57" i="1"/>
  <c r="W57" i="1" s="1"/>
  <c r="U57" i="1"/>
  <c r="V57" i="1"/>
  <c r="AA57" i="1"/>
  <c r="O56" i="1"/>
  <c r="U56" i="1"/>
  <c r="V56" i="1" s="1"/>
  <c r="W56" i="1" s="1"/>
  <c r="O55" i="1"/>
  <c r="U55" i="1"/>
  <c r="V55" i="1" s="1"/>
  <c r="AA55" i="1"/>
  <c r="O54" i="1"/>
  <c r="U54" i="1"/>
  <c r="V54" i="1"/>
  <c r="W54" i="1"/>
  <c r="AA54" i="1"/>
  <c r="O53" i="1"/>
  <c r="U53" i="1"/>
  <c r="V53" i="1"/>
  <c r="W53" i="1" s="1"/>
  <c r="AA53" i="1"/>
  <c r="O52" i="1"/>
  <c r="U52" i="1"/>
  <c r="V52" i="1" s="1"/>
  <c r="AA52" i="1"/>
  <c r="O51" i="1"/>
  <c r="U51" i="1"/>
  <c r="V51" i="1"/>
  <c r="W51" i="1"/>
  <c r="AA51" i="1"/>
  <c r="O50" i="1"/>
  <c r="U50" i="1"/>
  <c r="V50" i="1"/>
  <c r="W50" i="1"/>
  <c r="AA50" i="1"/>
  <c r="O49" i="1"/>
  <c r="W49" i="1" s="1"/>
  <c r="U49" i="1"/>
  <c r="V49" i="1"/>
  <c r="O48" i="1"/>
  <c r="U48" i="1"/>
  <c r="V48" i="1" s="1"/>
  <c r="W48" i="1" s="1"/>
  <c r="AA48" i="1"/>
  <c r="O47" i="1"/>
  <c r="W47" i="1" s="1"/>
  <c r="U47" i="1"/>
  <c r="V47" i="1" s="1"/>
  <c r="AA47" i="1"/>
  <c r="O46" i="1"/>
  <c r="U46" i="1"/>
  <c r="V46" i="1"/>
  <c r="W46" i="1"/>
  <c r="AA46" i="1"/>
  <c r="O45" i="1"/>
  <c r="U45" i="1"/>
  <c r="V45" i="1"/>
  <c r="W45" i="1" s="1"/>
  <c r="AA45" i="1"/>
  <c r="O44" i="1"/>
  <c r="U44" i="1"/>
  <c r="V44" i="1" s="1"/>
  <c r="AA44" i="1"/>
  <c r="O43" i="1"/>
  <c r="U43" i="1"/>
  <c r="V43" i="1"/>
  <c r="W43" i="1"/>
  <c r="AA43" i="1"/>
  <c r="O42" i="1"/>
  <c r="U42" i="1"/>
  <c r="V42" i="1"/>
  <c r="W42" i="1"/>
  <c r="AA42" i="1"/>
  <c r="O41" i="1"/>
  <c r="W41" i="1" s="1"/>
  <c r="U41" i="1"/>
  <c r="V41" i="1"/>
  <c r="O40" i="1"/>
  <c r="U40" i="1"/>
  <c r="V40" i="1" s="1"/>
  <c r="W40" i="1" s="1"/>
  <c r="O39" i="1"/>
  <c r="U39" i="1"/>
  <c r="V39" i="1" s="1"/>
  <c r="AA39" i="1"/>
  <c r="O38" i="1"/>
  <c r="U38" i="1"/>
  <c r="V38" i="1"/>
  <c r="W38" i="1"/>
  <c r="AA38" i="1"/>
  <c r="O37" i="1"/>
  <c r="U37" i="1"/>
  <c r="V37" i="1"/>
  <c r="W37" i="1"/>
  <c r="AA37" i="1"/>
  <c r="O36" i="1"/>
  <c r="W36" i="1" s="1"/>
  <c r="U36" i="1"/>
  <c r="V36" i="1"/>
  <c r="AA36" i="1"/>
  <c r="O35" i="1"/>
  <c r="U35" i="1"/>
  <c r="V35" i="1" s="1"/>
  <c r="W35" i="1" s="1"/>
  <c r="O34" i="1"/>
  <c r="U34" i="1"/>
  <c r="V34" i="1" s="1"/>
  <c r="AA34" i="1"/>
  <c r="O33" i="1"/>
  <c r="U33" i="1"/>
  <c r="V33" i="1"/>
  <c r="W33" i="1"/>
  <c r="AA33" i="1"/>
  <c r="O32" i="1"/>
  <c r="U32" i="1"/>
  <c r="V32" i="1"/>
  <c r="W32" i="1"/>
  <c r="AA32" i="1"/>
  <c r="O31" i="1"/>
  <c r="W31" i="1" s="1"/>
  <c r="U31" i="1"/>
  <c r="V31" i="1"/>
  <c r="AA31" i="1"/>
  <c r="O30" i="1"/>
  <c r="U30" i="1"/>
  <c r="V30" i="1" s="1"/>
  <c r="W30" i="1" s="1"/>
  <c r="AA30" i="1"/>
  <c r="O29" i="1"/>
  <c r="U29" i="1"/>
  <c r="V29" i="1" s="1"/>
  <c r="AA29" i="1"/>
  <c r="O28" i="1"/>
  <c r="U28" i="1"/>
  <c r="V28" i="1"/>
  <c r="W28" i="1"/>
  <c r="AA28" i="1"/>
  <c r="O27" i="1"/>
  <c r="U27" i="1"/>
  <c r="V27" i="1"/>
  <c r="W27" i="1" s="1"/>
  <c r="O26" i="1"/>
  <c r="W26" i="1" s="1"/>
  <c r="U26" i="1"/>
  <c r="V26" i="1"/>
  <c r="AA26" i="1"/>
  <c r="O25" i="1"/>
  <c r="U25" i="1"/>
  <c r="V25" i="1" s="1"/>
  <c r="W25" i="1" s="1"/>
  <c r="AA25" i="1"/>
  <c r="O24" i="1"/>
  <c r="U24" i="1"/>
  <c r="V24" i="1" s="1"/>
  <c r="AA24" i="1"/>
  <c r="O23" i="1"/>
  <c r="U23" i="1"/>
  <c r="V23" i="1"/>
  <c r="W23" i="1"/>
  <c r="AA23" i="1"/>
  <c r="O22" i="1"/>
  <c r="U22" i="1"/>
  <c r="V22" i="1"/>
  <c r="W22" i="1" s="1"/>
  <c r="O21" i="1"/>
  <c r="W21" i="1" s="1"/>
  <c r="U21" i="1"/>
  <c r="V21" i="1"/>
  <c r="O20" i="1"/>
  <c r="U20" i="1"/>
  <c r="V20" i="1"/>
  <c r="W20" i="1" s="1"/>
  <c r="AA20" i="1"/>
  <c r="O19" i="1"/>
  <c r="U19" i="1"/>
  <c r="V19" i="1" s="1"/>
  <c r="AA19" i="1"/>
  <c r="O18" i="1"/>
  <c r="U18" i="1"/>
  <c r="V18" i="1"/>
  <c r="W18" i="1"/>
  <c r="AA18" i="1"/>
  <c r="O17" i="1"/>
  <c r="U17" i="1"/>
  <c r="V17" i="1"/>
  <c r="W17" i="1"/>
  <c r="AA17" i="1"/>
  <c r="O16" i="1"/>
  <c r="W16" i="1" s="1"/>
  <c r="U16" i="1"/>
  <c r="V16" i="1"/>
  <c r="O15" i="1"/>
  <c r="U15" i="1"/>
  <c r="V15" i="1" s="1"/>
  <c r="W15" i="1" s="1"/>
  <c r="AA15" i="1"/>
  <c r="O14" i="1"/>
  <c r="U14" i="1"/>
  <c r="V14" i="1" s="1"/>
  <c r="O13" i="1"/>
  <c r="U13" i="1"/>
  <c r="V13" i="1"/>
  <c r="W13" i="1"/>
  <c r="AA13" i="1"/>
  <c r="O12" i="1"/>
  <c r="U12" i="1"/>
  <c r="V12" i="1"/>
  <c r="W12" i="1"/>
  <c r="AA12" i="1"/>
  <c r="O11" i="1"/>
  <c r="W11" i="1" s="1"/>
  <c r="U11" i="1"/>
  <c r="V11" i="1"/>
  <c r="AA11" i="1"/>
  <c r="O10" i="1"/>
  <c r="U10" i="1"/>
  <c r="V10" i="1" s="1"/>
  <c r="W10" i="1" s="1"/>
  <c r="AA10" i="1"/>
  <c r="O9" i="1"/>
  <c r="U9" i="1"/>
  <c r="V9" i="1" s="1"/>
  <c r="O8" i="1"/>
  <c r="V8" i="1"/>
  <c r="W8" i="1"/>
  <c r="O7" i="1"/>
  <c r="U7" i="1"/>
  <c r="V7" i="1" s="1"/>
  <c r="AA7" i="1"/>
  <c r="O6" i="1"/>
  <c r="U6" i="1"/>
  <c r="V6" i="1"/>
  <c r="W6" i="1"/>
  <c r="AA6" i="1"/>
  <c r="O5" i="1"/>
  <c r="U5" i="1"/>
  <c r="V5" i="1"/>
  <c r="W5" i="1" s="1"/>
  <c r="AA5" i="1"/>
  <c r="O4" i="1"/>
  <c r="W4" i="1" s="1"/>
  <c r="U4" i="1"/>
  <c r="V4" i="1" s="1"/>
  <c r="AA4" i="1"/>
  <c r="O3" i="1"/>
  <c r="U3" i="1"/>
  <c r="V3" i="1"/>
  <c r="W3" i="1"/>
  <c r="AA1366" i="1"/>
  <c r="AA1353" i="1"/>
  <c r="AA1349" i="1"/>
  <c r="AA1341" i="1"/>
  <c r="AA1335" i="1"/>
  <c r="AA1333" i="1"/>
  <c r="AA1331" i="1"/>
  <c r="AA1317" i="1"/>
  <c r="AA1313" i="1"/>
  <c r="AA1295" i="1"/>
  <c r="AA1290" i="1"/>
  <c r="AA1279" i="1"/>
  <c r="AA1268" i="1"/>
  <c r="AA1232" i="1"/>
  <c r="AA1224" i="1"/>
  <c r="AA1218" i="1"/>
  <c r="AA1210" i="1"/>
  <c r="AA1204" i="1"/>
  <c r="AA1202" i="1"/>
  <c r="AA1185" i="1"/>
  <c r="AA1177" i="1"/>
  <c r="AA1171" i="1"/>
  <c r="AA1161" i="1"/>
  <c r="AA1145" i="1"/>
  <c r="AA1140" i="1"/>
  <c r="AA1137" i="1"/>
  <c r="AA1128" i="1"/>
  <c r="AA1119" i="1"/>
  <c r="AA1117" i="1"/>
  <c r="AA1116" i="1"/>
  <c r="AA1110" i="1"/>
  <c r="AA1109" i="1"/>
  <c r="AA1107" i="1"/>
  <c r="AA1106" i="1"/>
  <c r="AA1100" i="1"/>
  <c r="AA1089" i="1"/>
  <c r="AA1077" i="1"/>
  <c r="AA1072" i="1"/>
  <c r="AA1064" i="1"/>
  <c r="AA1053" i="1"/>
  <c r="AA1051" i="1"/>
  <c r="AA1048" i="1"/>
  <c r="AA1044" i="1"/>
  <c r="AA1039" i="1"/>
  <c r="AA1023" i="1"/>
  <c r="AA1022" i="1"/>
  <c r="AA1021" i="1"/>
  <c r="AA1019" i="1"/>
  <c r="AA975" i="1"/>
  <c r="AA972" i="1"/>
  <c r="AA961" i="1"/>
  <c r="AA956" i="1"/>
  <c r="AA933" i="1"/>
  <c r="AA929" i="1"/>
  <c r="AA921" i="1"/>
  <c r="AA907" i="1"/>
  <c r="AA905" i="1"/>
  <c r="AA904" i="1"/>
  <c r="AA901" i="1"/>
  <c r="AA899" i="1"/>
  <c r="AA896" i="1"/>
  <c r="AA895" i="1"/>
  <c r="AA894" i="1"/>
  <c r="AA879" i="1"/>
  <c r="AA847" i="1"/>
  <c r="AA844" i="1"/>
  <c r="AA841" i="1"/>
  <c r="AA825" i="1"/>
  <c r="AA821" i="1"/>
  <c r="AA819" i="1"/>
  <c r="AA817" i="1"/>
  <c r="AA816" i="1"/>
  <c r="AA812" i="1"/>
  <c r="AA808" i="1"/>
  <c r="AA807" i="1"/>
  <c r="AA800" i="1"/>
  <c r="AA798" i="1"/>
  <c r="AA797" i="1"/>
  <c r="AA790" i="1"/>
  <c r="AA787" i="1"/>
  <c r="AA776" i="1"/>
  <c r="AA775" i="1"/>
  <c r="AA774" i="1"/>
  <c r="AA770" i="1"/>
  <c r="AA769" i="1"/>
  <c r="AA764" i="1"/>
  <c r="AA758" i="1"/>
  <c r="AA755" i="1"/>
  <c r="AA754" i="1"/>
  <c r="AA748" i="1"/>
  <c r="AA743" i="1"/>
  <c r="AA739" i="1"/>
  <c r="AA725" i="1"/>
  <c r="AA724" i="1"/>
  <c r="AA718" i="1"/>
  <c r="AA716" i="1"/>
  <c r="AA712" i="1"/>
  <c r="AA711" i="1"/>
  <c r="AA710" i="1"/>
  <c r="AA707" i="1"/>
  <c r="AA703" i="1"/>
  <c r="AA697" i="1"/>
  <c r="AA694" i="1"/>
  <c r="AA687" i="1"/>
  <c r="AA678" i="1"/>
  <c r="AA675" i="1"/>
  <c r="AA671" i="1"/>
  <c r="AA666" i="1"/>
  <c r="AA651" i="1"/>
  <c r="AA650" i="1"/>
  <c r="AA642" i="1"/>
  <c r="AA634" i="1"/>
  <c r="AA630" i="1"/>
  <c r="AA629" i="1"/>
  <c r="AA625" i="1"/>
  <c r="AA619" i="1"/>
  <c r="AA617" i="1"/>
  <c r="AA615" i="1"/>
  <c r="AA606" i="1"/>
  <c r="AA604" i="1"/>
  <c r="AA603" i="1"/>
  <c r="AA593" i="1"/>
  <c r="AA582" i="1"/>
  <c r="AA575" i="1"/>
  <c r="AA566" i="1"/>
  <c r="AA565" i="1"/>
  <c r="AA559" i="1"/>
  <c r="AA553" i="1"/>
  <c r="AA547" i="1"/>
  <c r="AA546" i="1"/>
  <c r="AA536" i="1"/>
  <c r="AA531" i="1"/>
  <c r="AA527" i="1"/>
  <c r="AA511" i="1"/>
  <c r="AA475" i="1"/>
  <c r="AA465" i="1"/>
  <c r="AA459" i="1"/>
  <c r="AA456" i="1"/>
  <c r="AA455" i="1"/>
  <c r="AA453" i="1"/>
  <c r="AA452" i="1"/>
  <c r="AA440" i="1"/>
  <c r="AA434" i="1"/>
  <c r="AA433" i="1"/>
  <c r="AA427" i="1"/>
  <c r="AA424" i="1"/>
  <c r="AA417" i="1"/>
  <c r="AA416" i="1"/>
  <c r="AA415" i="1"/>
  <c r="AA412" i="1"/>
  <c r="AA409" i="1"/>
  <c r="AA407" i="1"/>
  <c r="AA399" i="1"/>
  <c r="AA398" i="1"/>
  <c r="AA397" i="1"/>
  <c r="AA386" i="1"/>
  <c r="AA380" i="1"/>
  <c r="AA376" i="1"/>
  <c r="AA351" i="1"/>
  <c r="AA337" i="1"/>
  <c r="AA336" i="1"/>
  <c r="AA330" i="1"/>
  <c r="AA313" i="1"/>
  <c r="AA312" i="1"/>
  <c r="AA300" i="1"/>
  <c r="AA276" i="1"/>
  <c r="AA271" i="1"/>
  <c r="AA263" i="1"/>
  <c r="AA252" i="1"/>
  <c r="AA247" i="1"/>
  <c r="AA245" i="1"/>
  <c r="AA243" i="1"/>
  <c r="AA239" i="1"/>
  <c r="AA230" i="1"/>
  <c r="AA224" i="1"/>
  <c r="AA217" i="1"/>
  <c r="AA213" i="1"/>
  <c r="AA210" i="1"/>
  <c r="AA193" i="1"/>
  <c r="AA157" i="1"/>
  <c r="AA144" i="1"/>
  <c r="AA143" i="1"/>
  <c r="AA130" i="1"/>
  <c r="AA129" i="1"/>
  <c r="AA117" i="1"/>
  <c r="AA100" i="1"/>
  <c r="AA97" i="1"/>
  <c r="AA71" i="1"/>
  <c r="AA69" i="1"/>
  <c r="AA61" i="1"/>
  <c r="AA41" i="1"/>
  <c r="AA35" i="1"/>
  <c r="AA27" i="1"/>
  <c r="AA22" i="1"/>
  <c r="AA21" i="1"/>
  <c r="AA14" i="1"/>
  <c r="W9" i="1" l="1"/>
  <c r="W24" i="1"/>
  <c r="W60" i="1"/>
  <c r="W78" i="1"/>
  <c r="W183" i="1"/>
  <c r="W244" i="1"/>
  <c r="W259" i="1"/>
  <c r="W329" i="1"/>
  <c r="W428" i="1"/>
  <c r="W513" i="1"/>
  <c r="W581" i="1"/>
  <c r="W599" i="1"/>
  <c r="W626" i="1"/>
  <c r="W664" i="1"/>
  <c r="W674" i="1"/>
  <c r="W711" i="1"/>
  <c r="W869" i="1"/>
  <c r="W914" i="1"/>
  <c r="W990" i="1"/>
  <c r="W1034" i="1"/>
  <c r="W1049" i="1"/>
  <c r="W1059" i="1"/>
  <c r="W1134" i="1"/>
  <c r="W1144" i="1"/>
  <c r="W1162" i="1"/>
  <c r="W1180" i="1"/>
  <c r="W1294" i="1"/>
  <c r="W39" i="1"/>
  <c r="W91" i="1"/>
  <c r="W175" i="1"/>
  <c r="W398" i="1"/>
  <c r="W418" i="1"/>
  <c r="W433" i="1"/>
  <c r="W440" i="1"/>
  <c r="W476" i="1"/>
  <c r="W521" i="1"/>
  <c r="W606" i="1"/>
  <c r="W752" i="1"/>
  <c r="W830" i="1"/>
  <c r="W877" i="1"/>
  <c r="W897" i="1"/>
  <c r="W998" i="1"/>
  <c r="W1170" i="1"/>
  <c r="W1221" i="1"/>
  <c r="W1337" i="1"/>
  <c r="W1185" i="1"/>
  <c r="W1239" i="1"/>
  <c r="W29" i="1"/>
  <c r="W52" i="1"/>
  <c r="W65" i="1"/>
  <c r="W83" i="1"/>
  <c r="W151" i="1"/>
  <c r="W167" i="1"/>
  <c r="W234" i="1"/>
  <c r="W303" i="1"/>
  <c r="W311" i="1"/>
  <c r="W344" i="1"/>
  <c r="W448" i="1"/>
  <c r="W484" i="1"/>
  <c r="W614" i="1"/>
  <c r="W808" i="1"/>
  <c r="W820" i="1"/>
  <c r="W838" i="1"/>
  <c r="W904" i="1"/>
  <c r="W1006" i="1"/>
  <c r="W1039" i="1"/>
  <c r="W1064" i="1"/>
  <c r="W1082" i="1"/>
  <c r="W7" i="1"/>
  <c r="W14" i="1"/>
  <c r="W44" i="1"/>
  <c r="W70" i="1"/>
  <c r="W156" i="1"/>
  <c r="W188" i="1"/>
  <c r="W201" i="1"/>
  <c r="W209" i="1"/>
  <c r="W334" i="1"/>
  <c r="W378" i="1"/>
  <c r="W455" i="1"/>
  <c r="W492" i="1"/>
  <c r="W500" i="1"/>
  <c r="W508" i="1"/>
  <c r="W586" i="1"/>
  <c r="W699" i="1"/>
  <c r="W742" i="1"/>
  <c r="W759" i="1"/>
  <c r="W791" i="1"/>
  <c r="W959" i="1"/>
  <c r="W1014" i="1"/>
  <c r="W1121" i="1"/>
  <c r="W1149" i="1"/>
  <c r="W1193" i="1"/>
  <c r="W1247" i="1"/>
  <c r="W1299" i="1"/>
  <c r="W68" i="1"/>
  <c r="W141" i="1"/>
  <c r="W290" i="1"/>
  <c r="W396" i="1"/>
  <c r="W471" i="1"/>
  <c r="W764" i="1"/>
  <c r="W882" i="1"/>
  <c r="W927" i="1"/>
  <c r="W938" i="1"/>
  <c r="W1019" i="1"/>
  <c r="W1095" i="1"/>
  <c r="W1139" i="1"/>
  <c r="W1216" i="1"/>
  <c r="W1263" i="1"/>
  <c r="W1289" i="1"/>
  <c r="W1342" i="1"/>
  <c r="W1360" i="1"/>
  <c r="W1365" i="1"/>
  <c r="W19" i="1"/>
  <c r="W34" i="1"/>
  <c r="W55" i="1"/>
  <c r="W101" i="1"/>
  <c r="W133" i="1"/>
  <c r="W161" i="1"/>
  <c r="W298" i="1"/>
  <c r="W313" i="1"/>
  <c r="W357" i="1"/>
  <c r="W531" i="1"/>
  <c r="W694" i="1"/>
  <c r="W729" i="1"/>
  <c r="W747" i="1"/>
  <c r="W806" i="1"/>
  <c r="W813" i="1"/>
  <c r="W853" i="1"/>
  <c r="W890" i="1"/>
  <c r="W946" i="1"/>
  <c r="W1112" i="1"/>
  <c r="W1226" i="1"/>
  <c r="W1268" i="1"/>
  <c r="W1322" i="1"/>
  <c r="W563" i="1"/>
  <c r="AO3" i="1"/>
  <c r="AP3" i="1" s="1"/>
  <c r="AB3" i="1" s="1"/>
  <c r="Z3" i="1"/>
  <c r="AA3" i="1" s="1"/>
  <c r="AO91" i="1"/>
  <c r="AP91" i="1" s="1"/>
  <c r="AB91" i="1" s="1"/>
  <c r="Z91" i="1"/>
  <c r="AA91" i="1" s="1"/>
  <c r="AO115" i="1"/>
  <c r="AP115" i="1" s="1"/>
  <c r="AB115" i="1" s="1"/>
  <c r="Z115" i="1"/>
  <c r="AA115" i="1" s="1"/>
  <c r="AO140" i="1"/>
  <c r="AP140" i="1" s="1"/>
  <c r="AB140" i="1" s="1"/>
  <c r="Z140" i="1"/>
  <c r="AA140" i="1" s="1"/>
  <c r="AO155" i="1"/>
  <c r="AP155" i="1" s="1"/>
  <c r="AB155" i="1" s="1"/>
  <c r="Z155" i="1"/>
  <c r="AA155" i="1" s="1"/>
  <c r="AO180" i="1"/>
  <c r="AP180" i="1" s="1"/>
  <c r="AB180" i="1" s="1"/>
  <c r="Z180" i="1"/>
  <c r="AA180" i="1" s="1"/>
  <c r="AO777" i="1"/>
  <c r="AP777" i="1" s="1"/>
  <c r="Z777" i="1"/>
  <c r="AA777" i="1" s="1"/>
  <c r="Z62" i="1"/>
  <c r="AA62" i="1" s="1"/>
  <c r="AO67" i="1"/>
  <c r="AP67" i="1" s="1"/>
  <c r="AB67" i="1" s="1"/>
  <c r="Z67" i="1"/>
  <c r="AA67" i="1" s="1"/>
  <c r="AO86" i="1"/>
  <c r="AP86" i="1" s="1"/>
  <c r="AB86" i="1" s="1"/>
  <c r="Z86" i="1"/>
  <c r="AA86" i="1" s="1"/>
  <c r="AO131" i="1"/>
  <c r="AP131" i="1" s="1"/>
  <c r="AB131" i="1" s="1"/>
  <c r="Z131" i="1"/>
  <c r="AA131" i="1" s="1"/>
  <c r="AD8" i="1"/>
  <c r="AE8" i="1" s="1"/>
  <c r="Z8" i="1"/>
  <c r="AA8" i="1" s="1"/>
  <c r="AO198" i="1"/>
  <c r="AP198" i="1" s="1"/>
  <c r="AB198" i="1" s="1"/>
  <c r="Z198" i="1"/>
  <c r="AA198" i="1" s="1"/>
  <c r="AO9" i="1"/>
  <c r="AP9" i="1" s="1"/>
  <c r="AB9" i="1" s="1"/>
  <c r="Z9" i="1"/>
  <c r="AA9" i="1" s="1"/>
  <c r="AO102" i="1"/>
  <c r="AP102" i="1" s="1"/>
  <c r="AB102" i="1" s="1"/>
  <c r="Z102" i="1"/>
  <c r="AA102" i="1" s="1"/>
  <c r="AO59" i="1"/>
  <c r="AP59" i="1" s="1"/>
  <c r="AB59" i="1" s="1"/>
  <c r="Z59" i="1"/>
  <c r="AA59" i="1" s="1"/>
  <c r="AO83" i="1"/>
  <c r="AP83" i="1" s="1"/>
  <c r="AB83" i="1" s="1"/>
  <c r="Z83" i="1"/>
  <c r="AA83" i="1" s="1"/>
  <c r="AO123" i="1"/>
  <c r="AP123" i="1" s="1"/>
  <c r="AB123" i="1" s="1"/>
  <c r="Z123" i="1"/>
  <c r="AA123" i="1" s="1"/>
  <c r="AO147" i="1"/>
  <c r="AP147" i="1" s="1"/>
  <c r="AB147" i="1" s="1"/>
  <c r="Z147" i="1"/>
  <c r="AA147" i="1" s="1"/>
  <c r="AO122" i="1"/>
  <c r="AP122" i="1" s="1"/>
  <c r="AB122" i="1" s="1"/>
  <c r="Z94" i="1"/>
  <c r="AA94" i="1" s="1"/>
  <c r="AO99" i="1"/>
  <c r="AP99" i="1" s="1"/>
  <c r="AB99" i="1" s="1"/>
  <c r="Z99" i="1"/>
  <c r="AA99" i="1" s="1"/>
  <c r="AO163" i="1"/>
  <c r="AP163" i="1" s="1"/>
  <c r="AB163" i="1" s="1"/>
  <c r="Z163" i="1"/>
  <c r="AA163" i="1" s="1"/>
  <c r="AO430" i="1"/>
  <c r="AP430" i="1" s="1"/>
  <c r="AB430" i="1" s="1"/>
  <c r="Z430" i="1"/>
  <c r="AA430" i="1" s="1"/>
  <c r="AO495" i="1"/>
  <c r="AP495" i="1" s="1"/>
  <c r="AB495" i="1" s="1"/>
  <c r="Z495" i="1"/>
  <c r="AA495" i="1" s="1"/>
  <c r="AO40" i="1"/>
  <c r="AP40" i="1" s="1"/>
  <c r="AB40" i="1" s="1"/>
  <c r="Z40" i="1"/>
  <c r="AA40" i="1" s="1"/>
  <c r="AO70" i="1"/>
  <c r="AP70" i="1" s="1"/>
  <c r="AB70" i="1" s="1"/>
  <c r="Z70" i="1"/>
  <c r="AA70" i="1" s="1"/>
  <c r="Z16" i="1"/>
  <c r="AA16" i="1" s="1"/>
  <c r="Z73" i="1"/>
  <c r="AA73" i="1" s="1"/>
  <c r="Z105" i="1"/>
  <c r="AA105" i="1" s="1"/>
  <c r="Z116" i="1"/>
  <c r="AA116" i="1" s="1"/>
  <c r="Z148" i="1"/>
  <c r="AA148" i="1" s="1"/>
  <c r="Z188" i="1"/>
  <c r="AA188" i="1" s="1"/>
  <c r="Z220" i="1"/>
  <c r="AA220" i="1" s="1"/>
  <c r="Z504" i="1"/>
  <c r="AA504" i="1" s="1"/>
  <c r="AO580" i="1"/>
  <c r="AP580" i="1" s="1"/>
  <c r="Z580" i="1"/>
  <c r="AA580" i="1" s="1"/>
  <c r="AO206" i="1"/>
  <c r="AP206" i="1" s="1"/>
  <c r="AB206" i="1" s="1"/>
  <c r="Z206" i="1"/>
  <c r="AA206" i="1" s="1"/>
  <c r="AO281" i="1"/>
  <c r="AP281" i="1" s="1"/>
  <c r="AB281" i="1" s="1"/>
  <c r="Z281" i="1"/>
  <c r="AA281" i="1" s="1"/>
  <c r="AO345" i="1"/>
  <c r="AP345" i="1" s="1"/>
  <c r="AB345" i="1" s="1"/>
  <c r="Z345" i="1"/>
  <c r="AA345" i="1" s="1"/>
  <c r="AO366" i="1"/>
  <c r="AP366" i="1" s="1"/>
  <c r="AB366" i="1" s="1"/>
  <c r="Z366" i="1"/>
  <c r="AA366" i="1" s="1"/>
  <c r="Z544" i="1"/>
  <c r="AA544" i="1" s="1"/>
  <c r="Z568" i="1"/>
  <c r="AA568" i="1" s="1"/>
  <c r="Z49" i="1"/>
  <c r="AA49" i="1" s="1"/>
  <c r="Z56" i="1"/>
  <c r="AA56" i="1" s="1"/>
  <c r="Z81" i="1"/>
  <c r="AA81" i="1" s="1"/>
  <c r="Z124" i="1"/>
  <c r="AA124" i="1" s="1"/>
  <c r="Z156" i="1"/>
  <c r="AA156" i="1" s="1"/>
  <c r="Z196" i="1"/>
  <c r="AA196" i="1" s="1"/>
  <c r="AO13" i="1"/>
  <c r="AP13" i="1" s="1"/>
  <c r="AB13" i="1" s="1"/>
  <c r="AO29" i="1"/>
  <c r="AP29" i="1" s="1"/>
  <c r="AB29" i="1" s="1"/>
  <c r="AO457" i="1"/>
  <c r="AP457" i="1" s="1"/>
  <c r="AB457" i="1" s="1"/>
  <c r="AO171" i="1"/>
  <c r="AP171" i="1" s="1"/>
  <c r="AB171" i="1" s="1"/>
  <c r="Z171" i="1"/>
  <c r="AA171" i="1" s="1"/>
  <c r="AO214" i="1"/>
  <c r="AP214" i="1" s="1"/>
  <c r="AB214" i="1" s="1"/>
  <c r="Z214" i="1"/>
  <c r="AA214" i="1" s="1"/>
  <c r="AO257" i="1"/>
  <c r="AP257" i="1" s="1"/>
  <c r="AB257" i="1" s="1"/>
  <c r="Z257" i="1"/>
  <c r="AA257" i="1" s="1"/>
  <c r="AO75" i="1"/>
  <c r="AP75" i="1" s="1"/>
  <c r="AB75" i="1" s="1"/>
  <c r="Z75" i="1"/>
  <c r="AA75" i="1" s="1"/>
  <c r="AO107" i="1"/>
  <c r="AP107" i="1" s="1"/>
  <c r="AB107" i="1" s="1"/>
  <c r="Z107" i="1"/>
  <c r="AA107" i="1" s="1"/>
  <c r="AO139" i="1"/>
  <c r="AP139" i="1" s="1"/>
  <c r="AB139" i="1" s="1"/>
  <c r="Z139" i="1"/>
  <c r="AA139" i="1" s="1"/>
  <c r="AO172" i="1"/>
  <c r="AP172" i="1" s="1"/>
  <c r="AB172" i="1" s="1"/>
  <c r="Z172" i="1"/>
  <c r="AA172" i="1" s="1"/>
  <c r="Z186" i="1"/>
  <c r="AA186" i="1" s="1"/>
  <c r="AD186" i="1"/>
  <c r="AE186" i="1" s="1"/>
  <c r="AO311" i="1"/>
  <c r="AP311" i="1" s="1"/>
  <c r="AB311" i="1" s="1"/>
  <c r="Z311" i="1"/>
  <c r="AA311" i="1" s="1"/>
  <c r="AO375" i="1"/>
  <c r="AP375" i="1" s="1"/>
  <c r="AB375" i="1" s="1"/>
  <c r="Z375" i="1"/>
  <c r="AA375" i="1" s="1"/>
  <c r="AO470" i="1"/>
  <c r="AP470" i="1" s="1"/>
  <c r="AB470" i="1" s="1"/>
  <c r="Z470" i="1"/>
  <c r="AA470" i="1" s="1"/>
  <c r="AO179" i="1"/>
  <c r="AP179" i="1" s="1"/>
  <c r="AB179" i="1" s="1"/>
  <c r="Z179" i="1"/>
  <c r="AA179" i="1" s="1"/>
  <c r="AO190" i="1"/>
  <c r="AP190" i="1" s="1"/>
  <c r="AB190" i="1" s="1"/>
  <c r="Z190" i="1"/>
  <c r="AA190" i="1" s="1"/>
  <c r="AO534" i="1"/>
  <c r="AP534" i="1" s="1"/>
  <c r="AB534" i="1" s="1"/>
  <c r="Z534" i="1"/>
  <c r="AA534" i="1" s="1"/>
  <c r="AD1266" i="1"/>
  <c r="AE1266" i="1" s="1"/>
  <c r="Z1266" i="1"/>
  <c r="AA1266" i="1" s="1"/>
  <c r="AO24" i="1"/>
  <c r="AP24" i="1" s="1"/>
  <c r="AB24" i="1" s="1"/>
  <c r="AO48" i="1"/>
  <c r="AP48" i="1" s="1"/>
  <c r="AB48" i="1" s="1"/>
  <c r="AO216" i="1"/>
  <c r="AP216" i="1" s="1"/>
  <c r="AO224" i="1"/>
  <c r="AP224" i="1" s="1"/>
  <c r="AB224" i="1" s="1"/>
  <c r="AO232" i="1"/>
  <c r="AP232" i="1" s="1"/>
  <c r="AB232" i="1" s="1"/>
  <c r="AO240" i="1"/>
  <c r="AP240" i="1" s="1"/>
  <c r="AB240" i="1" s="1"/>
  <c r="AO248" i="1"/>
  <c r="AP248" i="1" s="1"/>
  <c r="AB248" i="1" s="1"/>
  <c r="AO256" i="1"/>
  <c r="AP256" i="1" s="1"/>
  <c r="AB256" i="1" s="1"/>
  <c r="AO264" i="1"/>
  <c r="AP264" i="1" s="1"/>
  <c r="AB264" i="1" s="1"/>
  <c r="AO272" i="1"/>
  <c r="AP272" i="1" s="1"/>
  <c r="AB272" i="1" s="1"/>
  <c r="AO280" i="1"/>
  <c r="AP280" i="1" s="1"/>
  <c r="AB280" i="1" s="1"/>
  <c r="AO288" i="1"/>
  <c r="AP288" i="1" s="1"/>
  <c r="AB288" i="1" s="1"/>
  <c r="AO296" i="1"/>
  <c r="AP296" i="1" s="1"/>
  <c r="AB296" i="1" s="1"/>
  <c r="AO304" i="1"/>
  <c r="AP304" i="1" s="1"/>
  <c r="AB304" i="1" s="1"/>
  <c r="AO312" i="1"/>
  <c r="AP312" i="1" s="1"/>
  <c r="AB312" i="1" s="1"/>
  <c r="AO320" i="1"/>
  <c r="AP320" i="1" s="1"/>
  <c r="AB320" i="1" s="1"/>
  <c r="AO328" i="1"/>
  <c r="AP328" i="1" s="1"/>
  <c r="AB328" i="1" s="1"/>
  <c r="AO336" i="1"/>
  <c r="AP336" i="1" s="1"/>
  <c r="AB336" i="1" s="1"/>
  <c r="AO344" i="1"/>
  <c r="AP344" i="1" s="1"/>
  <c r="AB344" i="1" s="1"/>
  <c r="AO352" i="1"/>
  <c r="AP352" i="1" s="1"/>
  <c r="AB352" i="1" s="1"/>
  <c r="AO360" i="1"/>
  <c r="AP360" i="1" s="1"/>
  <c r="AB360" i="1" s="1"/>
  <c r="AO368" i="1"/>
  <c r="AP368" i="1" s="1"/>
  <c r="AB368" i="1" s="1"/>
  <c r="AO376" i="1"/>
  <c r="AP376" i="1" s="1"/>
  <c r="AB376" i="1" s="1"/>
  <c r="AO384" i="1"/>
  <c r="AP384" i="1" s="1"/>
  <c r="AB384" i="1" s="1"/>
  <c r="AO400" i="1"/>
  <c r="AP400" i="1" s="1"/>
  <c r="AB400" i="1" s="1"/>
  <c r="AO416" i="1"/>
  <c r="AP416" i="1" s="1"/>
  <c r="AB416" i="1" s="1"/>
  <c r="AO424" i="1"/>
  <c r="AP424" i="1" s="1"/>
  <c r="AB424" i="1" s="1"/>
  <c r="AO432" i="1"/>
  <c r="AP432" i="1" s="1"/>
  <c r="AB432" i="1" s="1"/>
  <c r="AO448" i="1"/>
  <c r="AP448" i="1" s="1"/>
  <c r="AB448" i="1" s="1"/>
  <c r="AO456" i="1"/>
  <c r="AP456" i="1" s="1"/>
  <c r="AB456" i="1" s="1"/>
  <c r="AO472" i="1"/>
  <c r="AP472" i="1" s="1"/>
  <c r="AB472" i="1" s="1"/>
  <c r="AO480" i="1"/>
  <c r="AP480" i="1" s="1"/>
  <c r="AB480" i="1" s="1"/>
  <c r="AO488" i="1"/>
  <c r="AP488" i="1" s="1"/>
  <c r="AB488" i="1" s="1"/>
  <c r="AO496" i="1"/>
  <c r="AP496" i="1" s="1"/>
  <c r="AB496" i="1" s="1"/>
  <c r="AO520" i="1"/>
  <c r="AP520" i="1" s="1"/>
  <c r="AB520" i="1" s="1"/>
  <c r="AO528" i="1"/>
  <c r="AP528" i="1" s="1"/>
  <c r="AB528" i="1" s="1"/>
  <c r="AO552" i="1"/>
  <c r="AP552" i="1" s="1"/>
  <c r="AB552" i="1" s="1"/>
  <c r="AO1078" i="1"/>
  <c r="AP1078" i="1" s="1"/>
  <c r="AB1078" i="1" s="1"/>
  <c r="Z1078" i="1"/>
  <c r="AA1078" i="1" s="1"/>
  <c r="Z717" i="1"/>
  <c r="AA717" i="1" s="1"/>
  <c r="AO717" i="1"/>
  <c r="AP717" i="1" s="1"/>
  <c r="Z1207" i="1"/>
  <c r="AA1207" i="1" s="1"/>
  <c r="AO17" i="1"/>
  <c r="AP17" i="1" s="1"/>
  <c r="AB17" i="1" s="1"/>
  <c r="AO33" i="1"/>
  <c r="AP33" i="1" s="1"/>
  <c r="AB33" i="1" s="1"/>
  <c r="AO41" i="1"/>
  <c r="AP41" i="1" s="1"/>
  <c r="AB41" i="1" s="1"/>
  <c r="AO57" i="1"/>
  <c r="AP57" i="1" s="1"/>
  <c r="AB57" i="1" s="1"/>
  <c r="AO65" i="1"/>
  <c r="AP65" i="1" s="1"/>
  <c r="AB65" i="1" s="1"/>
  <c r="AO97" i="1"/>
  <c r="AP97" i="1" s="1"/>
  <c r="AB97" i="1" s="1"/>
  <c r="AO521" i="1"/>
  <c r="AP521" i="1" s="1"/>
  <c r="AB521" i="1" s="1"/>
  <c r="AO1214" i="1"/>
  <c r="AP1214" i="1" s="1"/>
  <c r="AB1214" i="1" s="1"/>
  <c r="AO1222" i="1"/>
  <c r="AP1222" i="1" s="1"/>
  <c r="AB1222" i="1" s="1"/>
  <c r="AO1230" i="1"/>
  <c r="AP1230" i="1" s="1"/>
  <c r="AB1230" i="1" s="1"/>
  <c r="AO1238" i="1"/>
  <c r="AP1238" i="1" s="1"/>
  <c r="AB1238" i="1" s="1"/>
  <c r="AO1246" i="1"/>
  <c r="AP1246" i="1" s="1"/>
  <c r="AB1246" i="1" s="1"/>
  <c r="AO1254" i="1"/>
  <c r="AP1254" i="1" s="1"/>
  <c r="AB1254" i="1" s="1"/>
  <c r="AO1262" i="1"/>
  <c r="AP1262" i="1" s="1"/>
  <c r="AB1262" i="1" s="1"/>
  <c r="AO1270" i="1"/>
  <c r="AP1270" i="1" s="1"/>
  <c r="AB1270" i="1" s="1"/>
  <c r="AO1286" i="1"/>
  <c r="AP1286" i="1" s="1"/>
  <c r="AB1286" i="1" s="1"/>
  <c r="AO1302" i="1"/>
  <c r="AP1302" i="1" s="1"/>
  <c r="AB1302" i="1" s="1"/>
  <c r="AO1310" i="1"/>
  <c r="AP1310" i="1" s="1"/>
  <c r="AB1310" i="1" s="1"/>
  <c r="AO1326" i="1"/>
  <c r="AP1326" i="1" s="1"/>
  <c r="AB1326" i="1" s="1"/>
  <c r="AO1342" i="1"/>
  <c r="AP1342" i="1" s="1"/>
  <c r="AB1342" i="1" s="1"/>
  <c r="AO1366" i="1"/>
  <c r="AP1366" i="1" s="1"/>
  <c r="AB1366" i="1" s="1"/>
  <c r="AO2" i="1"/>
  <c r="AP2" i="1" s="1"/>
  <c r="AB2" i="1" s="1"/>
  <c r="AO10" i="1"/>
  <c r="AP10" i="1" s="1"/>
  <c r="AB10" i="1" s="1"/>
  <c r="AO18" i="1"/>
  <c r="AP18" i="1" s="1"/>
  <c r="AB18" i="1" s="1"/>
  <c r="AO26" i="1"/>
  <c r="AP26" i="1" s="1"/>
  <c r="AB26" i="1" s="1"/>
  <c r="AO34" i="1"/>
  <c r="AP34" i="1" s="1"/>
  <c r="AB34" i="1" s="1"/>
  <c r="AO42" i="1"/>
  <c r="AP42" i="1" s="1"/>
  <c r="AB42" i="1" s="1"/>
  <c r="AO50" i="1"/>
  <c r="AP50" i="1" s="1"/>
  <c r="AB50" i="1" s="1"/>
  <c r="AO58" i="1"/>
  <c r="AP58" i="1" s="1"/>
  <c r="AB58" i="1" s="1"/>
  <c r="AO66" i="1"/>
  <c r="AP66" i="1" s="1"/>
  <c r="AB66" i="1" s="1"/>
  <c r="AO74" i="1"/>
  <c r="AP74" i="1" s="1"/>
  <c r="AB74" i="1" s="1"/>
  <c r="AO82" i="1"/>
  <c r="AP82" i="1" s="1"/>
  <c r="AB82" i="1" s="1"/>
  <c r="AO90" i="1"/>
  <c r="AP90" i="1" s="1"/>
  <c r="AB90" i="1" s="1"/>
  <c r="AO98" i="1"/>
  <c r="AP98" i="1" s="1"/>
  <c r="AB98" i="1" s="1"/>
  <c r="AO106" i="1"/>
  <c r="AP106" i="1" s="1"/>
  <c r="AB106" i="1" s="1"/>
  <c r="AO114" i="1"/>
  <c r="AP114" i="1" s="1"/>
  <c r="AB114" i="1" s="1"/>
  <c r="AO130" i="1"/>
  <c r="AP130" i="1" s="1"/>
  <c r="AB130" i="1" s="1"/>
  <c r="AO138" i="1"/>
  <c r="AP138" i="1" s="1"/>
  <c r="AB138" i="1" s="1"/>
  <c r="AO146" i="1"/>
  <c r="AP146" i="1" s="1"/>
  <c r="AB146" i="1" s="1"/>
  <c r="AO154" i="1"/>
  <c r="AP154" i="1" s="1"/>
  <c r="AB154" i="1" s="1"/>
  <c r="AO162" i="1"/>
  <c r="AP162" i="1" s="1"/>
  <c r="AB162" i="1" s="1"/>
  <c r="AO170" i="1"/>
  <c r="AP170" i="1" s="1"/>
  <c r="AB170" i="1" s="1"/>
  <c r="AO178" i="1"/>
  <c r="AP178" i="1" s="1"/>
  <c r="AB178" i="1" s="1"/>
  <c r="AO186" i="1"/>
  <c r="AP186" i="1" s="1"/>
  <c r="AB186" i="1" s="1"/>
  <c r="AO194" i="1"/>
  <c r="AP194" i="1" s="1"/>
  <c r="AB194" i="1" s="1"/>
  <c r="AO202" i="1"/>
  <c r="AP202" i="1" s="1"/>
  <c r="AB202" i="1" s="1"/>
  <c r="AO210" i="1"/>
  <c r="AP210" i="1" s="1"/>
  <c r="AB210" i="1" s="1"/>
  <c r="AO218" i="1"/>
  <c r="AP218" i="1" s="1"/>
  <c r="AB218" i="1" s="1"/>
  <c r="AO226" i="1"/>
  <c r="AP226" i="1" s="1"/>
  <c r="AB226" i="1" s="1"/>
  <c r="AO242" i="1"/>
  <c r="AP242" i="1" s="1"/>
  <c r="AB242" i="1" s="1"/>
  <c r="AO250" i="1"/>
  <c r="AP250" i="1" s="1"/>
  <c r="AB250" i="1" s="1"/>
  <c r="AO258" i="1"/>
  <c r="AP258" i="1" s="1"/>
  <c r="AB258" i="1" s="1"/>
  <c r="AO266" i="1"/>
  <c r="AP266" i="1" s="1"/>
  <c r="AB266" i="1" s="1"/>
  <c r="AO274" i="1"/>
  <c r="AP274" i="1" s="1"/>
  <c r="AB274" i="1" s="1"/>
  <c r="AO282" i="1"/>
  <c r="AP282" i="1" s="1"/>
  <c r="AB282" i="1" s="1"/>
  <c r="AO290" i="1"/>
  <c r="AP290" i="1" s="1"/>
  <c r="AB290" i="1" s="1"/>
  <c r="AO306" i="1"/>
  <c r="AP306" i="1" s="1"/>
  <c r="AB306" i="1" s="1"/>
  <c r="AO314" i="1"/>
  <c r="AP314" i="1" s="1"/>
  <c r="AB314" i="1" s="1"/>
  <c r="AO322" i="1"/>
  <c r="AP322" i="1" s="1"/>
  <c r="AB322" i="1" s="1"/>
  <c r="AO330" i="1"/>
  <c r="AP330" i="1" s="1"/>
  <c r="AB330" i="1" s="1"/>
  <c r="AO338" i="1"/>
  <c r="AP338" i="1" s="1"/>
  <c r="AB338" i="1" s="1"/>
  <c r="AO346" i="1"/>
  <c r="AP346" i="1" s="1"/>
  <c r="AB346" i="1" s="1"/>
  <c r="AO784" i="1"/>
  <c r="AP784" i="1" s="1"/>
  <c r="AB784" i="1" s="1"/>
  <c r="AO792" i="1"/>
  <c r="AP792" i="1" s="1"/>
  <c r="AB792" i="1" s="1"/>
  <c r="AO800" i="1"/>
  <c r="AP800" i="1" s="1"/>
  <c r="AB800" i="1" s="1"/>
  <c r="AO816" i="1"/>
  <c r="AP816" i="1" s="1"/>
  <c r="AB816" i="1" s="1"/>
  <c r="AO824" i="1"/>
  <c r="AP824" i="1" s="1"/>
  <c r="AB824" i="1" s="1"/>
  <c r="AO832" i="1"/>
  <c r="AP832" i="1" s="1"/>
  <c r="AB832" i="1" s="1"/>
  <c r="AO848" i="1"/>
  <c r="AP848" i="1" s="1"/>
  <c r="AB848" i="1" s="1"/>
  <c r="AO856" i="1"/>
  <c r="AP856" i="1" s="1"/>
  <c r="AB856" i="1" s="1"/>
  <c r="AO864" i="1"/>
  <c r="AP864" i="1" s="1"/>
  <c r="AB864" i="1" s="1"/>
  <c r="AO880" i="1"/>
  <c r="AP880" i="1" s="1"/>
  <c r="AB880" i="1" s="1"/>
  <c r="AO888" i="1"/>
  <c r="AP888" i="1" s="1"/>
  <c r="AB888" i="1" s="1"/>
  <c r="AO896" i="1"/>
  <c r="AP896" i="1" s="1"/>
  <c r="AB896" i="1" s="1"/>
  <c r="AO912" i="1"/>
  <c r="AP912" i="1" s="1"/>
  <c r="AB912" i="1" s="1"/>
  <c r="AO920" i="1"/>
  <c r="AP920" i="1" s="1"/>
  <c r="AB920" i="1" s="1"/>
  <c r="AO928" i="1"/>
  <c r="AP928" i="1" s="1"/>
  <c r="AB928" i="1" s="1"/>
  <c r="AO944" i="1"/>
  <c r="AP944" i="1" s="1"/>
  <c r="AB944" i="1" s="1"/>
  <c r="AO952" i="1"/>
  <c r="AP952" i="1" s="1"/>
  <c r="AB952" i="1" s="1"/>
  <c r="AO960" i="1"/>
  <c r="AP960" i="1" s="1"/>
  <c r="AB960" i="1" s="1"/>
  <c r="AO976" i="1"/>
  <c r="AP976" i="1" s="1"/>
  <c r="AB976" i="1" s="1"/>
  <c r="AO984" i="1"/>
  <c r="AP984" i="1" s="1"/>
  <c r="AB984" i="1" s="1"/>
  <c r="AO992" i="1"/>
  <c r="AP992" i="1" s="1"/>
  <c r="AB992" i="1" s="1"/>
  <c r="AO1016" i="1"/>
  <c r="AP1016" i="1" s="1"/>
  <c r="AB1016" i="1" s="1"/>
  <c r="AO1024" i="1"/>
  <c r="AP1024" i="1" s="1"/>
  <c r="AB1024" i="1" s="1"/>
  <c r="AO1048" i="1"/>
  <c r="AP1048" i="1" s="1"/>
  <c r="AB1048" i="1" s="1"/>
  <c r="AO1056" i="1"/>
  <c r="AP1056" i="1" s="1"/>
  <c r="AB1056" i="1" s="1"/>
  <c r="AO1080" i="1"/>
  <c r="AP1080" i="1" s="1"/>
  <c r="AB1080" i="1" s="1"/>
  <c r="AO1088" i="1"/>
  <c r="AP1088" i="1" s="1"/>
  <c r="AB1088" i="1" s="1"/>
  <c r="AO1112" i="1"/>
  <c r="AP1112" i="1" s="1"/>
  <c r="AB1112" i="1" s="1"/>
  <c r="AO1120" i="1"/>
  <c r="AP1120" i="1" s="1"/>
  <c r="AB1120" i="1" s="1"/>
  <c r="AO1144" i="1"/>
  <c r="AP1144" i="1" s="1"/>
  <c r="AB1144" i="1" s="1"/>
  <c r="AO1160" i="1"/>
  <c r="AP1160" i="1" s="1"/>
  <c r="AB1160" i="1" s="1"/>
  <c r="AO1168" i="1"/>
  <c r="AP1168" i="1" s="1"/>
  <c r="AB1168" i="1" s="1"/>
  <c r="AO1176" i="1"/>
  <c r="AP1176" i="1" s="1"/>
  <c r="AB1176" i="1" s="1"/>
  <c r="AO1192" i="1"/>
  <c r="AP1192" i="1" s="1"/>
  <c r="AB1192" i="1" s="1"/>
  <c r="AO1200" i="1"/>
  <c r="AP1200" i="1" s="1"/>
  <c r="AB1200" i="1" s="1"/>
  <c r="AO219" i="1"/>
  <c r="AP219" i="1" s="1"/>
  <c r="AB219" i="1" s="1"/>
  <c r="AO379" i="1"/>
  <c r="AP379" i="1" s="1"/>
  <c r="AB379" i="1" s="1"/>
  <c r="AO603" i="1"/>
  <c r="AP603" i="1" s="1"/>
  <c r="AB603" i="1" s="1"/>
  <c r="AO611" i="1"/>
  <c r="AP611" i="1" s="1"/>
  <c r="AB611" i="1" s="1"/>
  <c r="AO730" i="1"/>
  <c r="AP730" i="1" s="1"/>
  <c r="AB730" i="1" s="1"/>
  <c r="AO738" i="1"/>
  <c r="AP738" i="1" s="1"/>
  <c r="AB738" i="1" s="1"/>
  <c r="AO746" i="1"/>
  <c r="AP746" i="1" s="1"/>
  <c r="AB746" i="1" s="1"/>
  <c r="AO762" i="1"/>
  <c r="AP762" i="1" s="1"/>
  <c r="AB762" i="1" s="1"/>
  <c r="AO770" i="1"/>
  <c r="AP770" i="1" s="1"/>
  <c r="AB770" i="1" s="1"/>
  <c r="AO12" i="1"/>
  <c r="AP12" i="1" s="1"/>
  <c r="AB12" i="1" s="1"/>
  <c r="AO20" i="1"/>
  <c r="AP20" i="1" s="1"/>
  <c r="AB20" i="1" s="1"/>
  <c r="AO28" i="1"/>
  <c r="AP28" i="1" s="1"/>
  <c r="AB28" i="1" s="1"/>
  <c r="AO36" i="1"/>
  <c r="AP36" i="1" s="1"/>
  <c r="AB36" i="1" s="1"/>
  <c r="AO44" i="1"/>
  <c r="AP44" i="1" s="1"/>
  <c r="AB44" i="1" s="1"/>
  <c r="AO52" i="1"/>
  <c r="AP52" i="1" s="1"/>
  <c r="AB52" i="1" s="1"/>
  <c r="AO60" i="1"/>
  <c r="AP60" i="1" s="1"/>
  <c r="AB60" i="1" s="1"/>
  <c r="AO68" i="1"/>
  <c r="AP68" i="1" s="1"/>
  <c r="AB68" i="1" s="1"/>
  <c r="AO76" i="1"/>
  <c r="AP76" i="1" s="1"/>
  <c r="AB76" i="1" s="1"/>
  <c r="AO84" i="1"/>
  <c r="AP84" i="1" s="1"/>
  <c r="AB84" i="1" s="1"/>
  <c r="AO92" i="1"/>
  <c r="AP92" i="1" s="1"/>
  <c r="AB92" i="1" s="1"/>
  <c r="AO100" i="1"/>
  <c r="AP100" i="1" s="1"/>
  <c r="AB100" i="1" s="1"/>
  <c r="AO108" i="1"/>
  <c r="AP108" i="1" s="1"/>
  <c r="AB108" i="1" s="1"/>
  <c r="AO212" i="1"/>
  <c r="AP212" i="1" s="1"/>
  <c r="AB212" i="1" s="1"/>
  <c r="AO444" i="1"/>
  <c r="AP444" i="1" s="1"/>
  <c r="AB444" i="1" s="1"/>
  <c r="AO508" i="1"/>
  <c r="AP508" i="1" s="1"/>
  <c r="AB508" i="1" s="1"/>
  <c r="AD1120" i="1"/>
  <c r="AE1120" i="1" s="1"/>
  <c r="Z1120" i="1"/>
  <c r="AA1120" i="1" s="1"/>
  <c r="AO5" i="1"/>
  <c r="AP5" i="1" s="1"/>
  <c r="AB5" i="1" s="1"/>
  <c r="AO21" i="1"/>
  <c r="AP21" i="1" s="1"/>
  <c r="AB21" i="1" s="1"/>
  <c r="AO37" i="1"/>
  <c r="AP37" i="1" s="1"/>
  <c r="AB37" i="1" s="1"/>
  <c r="AO45" i="1"/>
  <c r="AP45" i="1" s="1"/>
  <c r="AB45" i="1" s="1"/>
  <c r="AO189" i="1"/>
  <c r="AP189" i="1" s="1"/>
  <c r="AB189" i="1" s="1"/>
  <c r="AO197" i="1"/>
  <c r="AP197" i="1" s="1"/>
  <c r="AB197" i="1" s="1"/>
  <c r="AO205" i="1"/>
  <c r="AP205" i="1" s="1"/>
  <c r="AB205" i="1" s="1"/>
  <c r="AO213" i="1"/>
  <c r="AP213" i="1" s="1"/>
  <c r="AB213" i="1" s="1"/>
  <c r="AO221" i="1"/>
  <c r="AP221" i="1" s="1"/>
  <c r="AB221" i="1" s="1"/>
  <c r="AO229" i="1"/>
  <c r="AP229" i="1" s="1"/>
  <c r="AB229" i="1" s="1"/>
  <c r="AO237" i="1"/>
  <c r="AP237" i="1" s="1"/>
  <c r="AB237" i="1" s="1"/>
  <c r="AO245" i="1"/>
  <c r="AP245" i="1" s="1"/>
  <c r="AB245" i="1" s="1"/>
  <c r="AO253" i="1"/>
  <c r="AP253" i="1" s="1"/>
  <c r="AB253" i="1" s="1"/>
  <c r="AO261" i="1"/>
  <c r="AP261" i="1" s="1"/>
  <c r="AB261" i="1" s="1"/>
  <c r="AO269" i="1"/>
  <c r="AP269" i="1" s="1"/>
  <c r="AB269" i="1" s="1"/>
  <c r="AO277" i="1"/>
  <c r="AP277" i="1" s="1"/>
  <c r="AB277" i="1" s="1"/>
  <c r="AO285" i="1"/>
  <c r="AP285" i="1" s="1"/>
  <c r="AB285" i="1" s="1"/>
  <c r="AO293" i="1"/>
  <c r="AP293" i="1" s="1"/>
  <c r="AB293" i="1" s="1"/>
  <c r="AO301" i="1"/>
  <c r="AP301" i="1" s="1"/>
  <c r="AB301" i="1" s="1"/>
  <c r="AO309" i="1"/>
  <c r="AP309" i="1" s="1"/>
  <c r="AB309" i="1" s="1"/>
  <c r="AO317" i="1"/>
  <c r="AP317" i="1" s="1"/>
  <c r="AB317" i="1" s="1"/>
  <c r="AO325" i="1"/>
  <c r="AP325" i="1" s="1"/>
  <c r="AB325" i="1" s="1"/>
  <c r="AO333" i="1"/>
  <c r="AP333" i="1" s="1"/>
  <c r="AB333" i="1" s="1"/>
  <c r="AO341" i="1"/>
  <c r="AP341" i="1" s="1"/>
  <c r="AB341" i="1" s="1"/>
  <c r="AO349" i="1"/>
  <c r="AP349" i="1" s="1"/>
  <c r="AB349" i="1" s="1"/>
  <c r="AO357" i="1"/>
  <c r="AP357" i="1" s="1"/>
  <c r="AB357" i="1" s="1"/>
  <c r="AO365" i="1"/>
  <c r="AP365" i="1" s="1"/>
  <c r="AB365" i="1" s="1"/>
  <c r="AO373" i="1"/>
  <c r="AP373" i="1" s="1"/>
  <c r="AB373" i="1" s="1"/>
  <c r="AO381" i="1"/>
  <c r="AP381" i="1" s="1"/>
  <c r="AB381" i="1" s="1"/>
  <c r="AO389" i="1"/>
  <c r="AP389" i="1" s="1"/>
  <c r="AB389" i="1" s="1"/>
  <c r="AO397" i="1"/>
  <c r="AP397" i="1" s="1"/>
  <c r="AB397" i="1" s="1"/>
  <c r="AO405" i="1"/>
  <c r="AP405" i="1" s="1"/>
  <c r="AB405" i="1" s="1"/>
  <c r="AO413" i="1"/>
  <c r="AP413" i="1" s="1"/>
  <c r="AB413" i="1" s="1"/>
  <c r="AO421" i="1"/>
  <c r="AP421" i="1" s="1"/>
  <c r="AB421" i="1" s="1"/>
  <c r="AO429" i="1"/>
  <c r="AP429" i="1" s="1"/>
  <c r="AB429" i="1" s="1"/>
  <c r="AO437" i="1"/>
  <c r="AP437" i="1" s="1"/>
  <c r="AB437" i="1" s="1"/>
  <c r="AO445" i="1"/>
  <c r="AP445" i="1" s="1"/>
  <c r="AB445" i="1" s="1"/>
  <c r="AO453" i="1"/>
  <c r="AP453" i="1" s="1"/>
  <c r="AB453" i="1" s="1"/>
  <c r="AO461" i="1"/>
  <c r="AP461" i="1" s="1"/>
  <c r="AB461" i="1" s="1"/>
  <c r="AO469" i="1"/>
  <c r="AP469" i="1" s="1"/>
  <c r="AB469" i="1" s="1"/>
  <c r="AO477" i="1"/>
  <c r="AP477" i="1" s="1"/>
  <c r="AB477" i="1" s="1"/>
  <c r="AO485" i="1"/>
  <c r="AP485" i="1" s="1"/>
  <c r="AB485" i="1" s="1"/>
  <c r="AO493" i="1"/>
  <c r="AP493" i="1" s="1"/>
  <c r="AB493" i="1" s="1"/>
  <c r="AO501" i="1"/>
  <c r="AP501" i="1" s="1"/>
  <c r="AB501" i="1" s="1"/>
  <c r="AO509" i="1"/>
  <c r="AP509" i="1" s="1"/>
  <c r="AB509" i="1" s="1"/>
  <c r="AO517" i="1"/>
  <c r="AP517" i="1" s="1"/>
  <c r="AB517" i="1" s="1"/>
  <c r="AO525" i="1"/>
  <c r="AP525" i="1" s="1"/>
  <c r="AB525" i="1" s="1"/>
  <c r="AO533" i="1"/>
  <c r="AP533" i="1" s="1"/>
  <c r="AB533" i="1" s="1"/>
  <c r="AO541" i="1"/>
  <c r="AP541" i="1" s="1"/>
  <c r="AB541" i="1" s="1"/>
  <c r="AO549" i="1"/>
  <c r="AP549" i="1" s="1"/>
  <c r="AB549" i="1" s="1"/>
  <c r="AO700" i="1"/>
  <c r="AP700" i="1" s="1"/>
  <c r="AB700" i="1" s="1"/>
  <c r="AO708" i="1"/>
  <c r="AP708" i="1" s="1"/>
  <c r="AB708" i="1" s="1"/>
  <c r="AO716" i="1"/>
  <c r="AP716" i="1" s="1"/>
  <c r="AB716" i="1" s="1"/>
  <c r="AO598" i="1"/>
  <c r="AP598" i="1" s="1"/>
  <c r="AO606" i="1"/>
  <c r="AP606" i="1" s="1"/>
  <c r="AB606" i="1" s="1"/>
  <c r="AO614" i="1"/>
  <c r="AP614" i="1" s="1"/>
  <c r="AB614" i="1" s="1"/>
  <c r="AO622" i="1"/>
  <c r="AP622" i="1" s="1"/>
  <c r="AB622" i="1" s="1"/>
  <c r="AO630" i="1"/>
  <c r="AP630" i="1" s="1"/>
  <c r="AB630" i="1" s="1"/>
  <c r="AO638" i="1"/>
  <c r="AP638" i="1" s="1"/>
  <c r="AB638" i="1" s="1"/>
  <c r="AO646" i="1"/>
  <c r="AP646" i="1" s="1"/>
  <c r="AB646" i="1" s="1"/>
  <c r="AO654" i="1"/>
  <c r="AP654" i="1" s="1"/>
  <c r="AB654" i="1" s="1"/>
  <c r="AO662" i="1"/>
  <c r="AP662" i="1" s="1"/>
  <c r="AB662" i="1" s="1"/>
  <c r="AO670" i="1"/>
  <c r="AP670" i="1" s="1"/>
  <c r="AB670" i="1" s="1"/>
  <c r="AO678" i="1"/>
  <c r="AP678" i="1" s="1"/>
  <c r="AB678" i="1" s="1"/>
  <c r="AO686" i="1"/>
  <c r="AP686" i="1" s="1"/>
  <c r="AB686" i="1" s="1"/>
  <c r="AD1306" i="1"/>
  <c r="AE1306" i="1" s="1"/>
  <c r="Z1306" i="1"/>
  <c r="AA1306" i="1" s="1"/>
  <c r="U164" i="1"/>
  <c r="V164" i="1" s="1"/>
  <c r="W164" i="1" s="1"/>
  <c r="AO164" i="1"/>
  <c r="AP164" i="1" s="1"/>
  <c r="AB164" i="1" s="1"/>
  <c r="AO7" i="1"/>
  <c r="AP7" i="1" s="1"/>
  <c r="AB7" i="1" s="1"/>
  <c r="AO15" i="1"/>
  <c r="AP15" i="1" s="1"/>
  <c r="AB15" i="1" s="1"/>
  <c r="AO23" i="1"/>
  <c r="AP23" i="1" s="1"/>
  <c r="AB23" i="1" s="1"/>
  <c r="AO31" i="1"/>
  <c r="AP31" i="1" s="1"/>
  <c r="AB31" i="1" s="1"/>
  <c r="AO39" i="1"/>
  <c r="AP39" i="1" s="1"/>
  <c r="AB39" i="1" s="1"/>
  <c r="AO47" i="1"/>
  <c r="AP47" i="1" s="1"/>
  <c r="AB47" i="1" s="1"/>
  <c r="AO55" i="1"/>
  <c r="AP55" i="1" s="1"/>
  <c r="AB55" i="1" s="1"/>
  <c r="AO63" i="1"/>
  <c r="AP63" i="1" s="1"/>
  <c r="AB63" i="1" s="1"/>
  <c r="AO71" i="1"/>
  <c r="AP71" i="1" s="1"/>
  <c r="AB71" i="1" s="1"/>
  <c r="AO79" i="1"/>
  <c r="AP79" i="1" s="1"/>
  <c r="AB79" i="1" s="1"/>
  <c r="AO87" i="1"/>
  <c r="AP87" i="1" s="1"/>
  <c r="AB87" i="1" s="1"/>
  <c r="AO95" i="1"/>
  <c r="AP95" i="1" s="1"/>
  <c r="AB95" i="1" s="1"/>
  <c r="AO103" i="1"/>
  <c r="AP103" i="1" s="1"/>
  <c r="AB103" i="1" s="1"/>
  <c r="AO111" i="1"/>
  <c r="AP111" i="1" s="1"/>
  <c r="AB111" i="1" s="1"/>
  <c r="AO119" i="1"/>
  <c r="AP119" i="1" s="1"/>
  <c r="AB119" i="1" s="1"/>
  <c r="AO127" i="1"/>
  <c r="AP127" i="1" s="1"/>
  <c r="AB127" i="1" s="1"/>
  <c r="AO135" i="1"/>
  <c r="AP135" i="1" s="1"/>
  <c r="AB135" i="1" s="1"/>
  <c r="AO143" i="1"/>
  <c r="AP143" i="1" s="1"/>
  <c r="AB143" i="1" s="1"/>
  <c r="AO151" i="1"/>
  <c r="AP151" i="1" s="1"/>
  <c r="AB151" i="1" s="1"/>
  <c r="AO159" i="1"/>
  <c r="AP159" i="1" s="1"/>
  <c r="AB159" i="1" s="1"/>
  <c r="AO167" i="1"/>
  <c r="AP167" i="1" s="1"/>
  <c r="AB167" i="1" s="1"/>
  <c r="AO175" i="1"/>
  <c r="AP175" i="1" s="1"/>
  <c r="AB175" i="1" s="1"/>
  <c r="AO183" i="1"/>
  <c r="AP183" i="1" s="1"/>
  <c r="AB183" i="1" s="1"/>
  <c r="AO191" i="1"/>
  <c r="AP191" i="1" s="1"/>
  <c r="AB191" i="1" s="1"/>
  <c r="AO199" i="1"/>
  <c r="AP199" i="1" s="1"/>
  <c r="AB199" i="1" s="1"/>
  <c r="AO207" i="1"/>
  <c r="AP207" i="1" s="1"/>
  <c r="AB207" i="1" s="1"/>
  <c r="AO215" i="1"/>
  <c r="AP215" i="1" s="1"/>
  <c r="AB215" i="1" s="1"/>
  <c r="AO247" i="1"/>
  <c r="AP247" i="1" s="1"/>
  <c r="AB247" i="1" s="1"/>
  <c r="AO583" i="1"/>
  <c r="AP583" i="1" s="1"/>
  <c r="AB583" i="1" s="1"/>
  <c r="AO591" i="1"/>
  <c r="AP591" i="1" s="1"/>
  <c r="AB591" i="1" s="1"/>
  <c r="AO11" i="1"/>
  <c r="AP11" i="1" s="1"/>
  <c r="AB11" i="1" s="1"/>
  <c r="AO19" i="1"/>
  <c r="AP19" i="1" s="1"/>
  <c r="AB19" i="1" s="1"/>
  <c r="AO27" i="1"/>
  <c r="AP27" i="1" s="1"/>
  <c r="AB27" i="1" s="1"/>
  <c r="AO35" i="1"/>
  <c r="AP35" i="1" s="1"/>
  <c r="AB35" i="1" s="1"/>
  <c r="AO43" i="1"/>
  <c r="AP43" i="1" s="1"/>
  <c r="AB43" i="1" s="1"/>
  <c r="AO51" i="1"/>
  <c r="AP51" i="1" s="1"/>
  <c r="AB51" i="1" s="1"/>
  <c r="AO187" i="1"/>
  <c r="AP187" i="1" s="1"/>
  <c r="AB187" i="1" s="1"/>
  <c r="AO195" i="1"/>
  <c r="AP195" i="1" s="1"/>
  <c r="AB195" i="1" s="1"/>
  <c r="AO203" i="1"/>
  <c r="AP203" i="1" s="1"/>
  <c r="AB203" i="1" s="1"/>
  <c r="AO211" i="1"/>
  <c r="AP211" i="1" s="1"/>
  <c r="AB211" i="1" s="1"/>
  <c r="AO217" i="1"/>
  <c r="AP217" i="1" s="1"/>
  <c r="AB217" i="1" s="1"/>
  <c r="AO225" i="1"/>
  <c r="AP225" i="1" s="1"/>
  <c r="AB225" i="1" s="1"/>
  <c r="AO233" i="1"/>
  <c r="AP233" i="1" s="1"/>
  <c r="AB233" i="1" s="1"/>
  <c r="AO241" i="1"/>
  <c r="AP241" i="1" s="1"/>
  <c r="AB241" i="1" s="1"/>
  <c r="AO249" i="1"/>
  <c r="AP249" i="1" s="1"/>
  <c r="AB249" i="1" s="1"/>
  <c r="AO265" i="1"/>
  <c r="AP265" i="1" s="1"/>
  <c r="AB265" i="1" s="1"/>
  <c r="AO273" i="1"/>
  <c r="AP273" i="1" s="1"/>
  <c r="AB273" i="1" s="1"/>
  <c r="AO289" i="1"/>
  <c r="AP289" i="1" s="1"/>
  <c r="AB289" i="1" s="1"/>
  <c r="AO297" i="1"/>
  <c r="AP297" i="1" s="1"/>
  <c r="AB297" i="1" s="1"/>
  <c r="AO305" i="1"/>
  <c r="AP305" i="1" s="1"/>
  <c r="AB305" i="1" s="1"/>
  <c r="AO313" i="1"/>
  <c r="AP313" i="1" s="1"/>
  <c r="AB313" i="1" s="1"/>
  <c r="AO321" i="1"/>
  <c r="AP321" i="1" s="1"/>
  <c r="AB321" i="1" s="1"/>
  <c r="AO329" i="1"/>
  <c r="AP329" i="1" s="1"/>
  <c r="AB329" i="1" s="1"/>
  <c r="AO337" i="1"/>
  <c r="AP337" i="1" s="1"/>
  <c r="AB337" i="1" s="1"/>
  <c r="AO353" i="1"/>
  <c r="AP353" i="1" s="1"/>
  <c r="AO361" i="1"/>
  <c r="AP361" i="1" s="1"/>
  <c r="AB361" i="1" s="1"/>
  <c r="AO369" i="1"/>
  <c r="AP369" i="1" s="1"/>
  <c r="AB369" i="1" s="1"/>
  <c r="AO377" i="1"/>
  <c r="AP377" i="1" s="1"/>
  <c r="AB377" i="1" s="1"/>
  <c r="AO385" i="1"/>
  <c r="AP385" i="1" s="1"/>
  <c r="AB385" i="1" s="1"/>
  <c r="AO393" i="1"/>
  <c r="AP393" i="1" s="1"/>
  <c r="AB393" i="1" s="1"/>
  <c r="AO401" i="1"/>
  <c r="AP401" i="1" s="1"/>
  <c r="AB401" i="1" s="1"/>
  <c r="AO409" i="1"/>
  <c r="AP409" i="1" s="1"/>
  <c r="AB409" i="1" s="1"/>
  <c r="AO417" i="1"/>
  <c r="AP417" i="1" s="1"/>
  <c r="AB417" i="1" s="1"/>
  <c r="AO425" i="1"/>
  <c r="AP425" i="1" s="1"/>
  <c r="AB425" i="1" s="1"/>
  <c r="AO433" i="1"/>
  <c r="AP433" i="1" s="1"/>
  <c r="AB433" i="1" s="1"/>
  <c r="AO441" i="1"/>
  <c r="AP441" i="1" s="1"/>
  <c r="AB441" i="1" s="1"/>
  <c r="AO449" i="1"/>
  <c r="AP449" i="1" s="1"/>
  <c r="AB449" i="1" s="1"/>
  <c r="AO465" i="1"/>
  <c r="AP465" i="1" s="1"/>
  <c r="AB465" i="1" s="1"/>
  <c r="AO473" i="1"/>
  <c r="AP473" i="1" s="1"/>
  <c r="AB473" i="1" s="1"/>
  <c r="AO481" i="1"/>
  <c r="AP481" i="1" s="1"/>
  <c r="AB481" i="1" s="1"/>
  <c r="AO489" i="1"/>
  <c r="AP489" i="1" s="1"/>
  <c r="AB489" i="1" s="1"/>
  <c r="AO497" i="1"/>
  <c r="AP497" i="1" s="1"/>
  <c r="AB497" i="1" s="1"/>
  <c r="AO505" i="1"/>
  <c r="AP505" i="1" s="1"/>
  <c r="AB505" i="1" s="1"/>
  <c r="AO513" i="1"/>
  <c r="AP513" i="1" s="1"/>
  <c r="AB513" i="1" s="1"/>
  <c r="AO529" i="1"/>
  <c r="AP529" i="1" s="1"/>
  <c r="AB529" i="1" s="1"/>
  <c r="AO537" i="1"/>
  <c r="AP537" i="1" s="1"/>
  <c r="AB537" i="1" s="1"/>
  <c r="AO545" i="1"/>
  <c r="AP545" i="1" s="1"/>
  <c r="AB545" i="1" s="1"/>
  <c r="AO553" i="1"/>
  <c r="AP553" i="1" s="1"/>
  <c r="AB553" i="1" s="1"/>
  <c r="AO561" i="1"/>
  <c r="AP561" i="1" s="1"/>
  <c r="AB561" i="1" s="1"/>
  <c r="AO569" i="1"/>
  <c r="AP569" i="1" s="1"/>
  <c r="AB569" i="1" s="1"/>
  <c r="AO577" i="1"/>
  <c r="AP577" i="1" s="1"/>
  <c r="AB577" i="1" s="1"/>
  <c r="AO584" i="1"/>
  <c r="AP584" i="1" s="1"/>
  <c r="AB584" i="1" s="1"/>
  <c r="AO592" i="1"/>
  <c r="AP592" i="1" s="1"/>
  <c r="AB592" i="1" s="1"/>
  <c r="AO599" i="1"/>
  <c r="AP599" i="1" s="1"/>
  <c r="AB599" i="1" s="1"/>
  <c r="AO607" i="1"/>
  <c r="AP607" i="1" s="1"/>
  <c r="AB607" i="1" s="1"/>
  <c r="AO615" i="1"/>
  <c r="AP615" i="1" s="1"/>
  <c r="AB615" i="1" s="1"/>
  <c r="AO623" i="1"/>
  <c r="AP623" i="1" s="1"/>
  <c r="AB623" i="1" s="1"/>
  <c r="AO631" i="1"/>
  <c r="AP631" i="1" s="1"/>
  <c r="AB631" i="1" s="1"/>
  <c r="AO639" i="1"/>
  <c r="AP639" i="1" s="1"/>
  <c r="AB639" i="1" s="1"/>
  <c r="AO647" i="1"/>
  <c r="AP647" i="1" s="1"/>
  <c r="AB647" i="1" s="1"/>
  <c r="AO655" i="1"/>
  <c r="AP655" i="1" s="1"/>
  <c r="AB655" i="1" s="1"/>
  <c r="AO663" i="1"/>
  <c r="AP663" i="1" s="1"/>
  <c r="AB663" i="1" s="1"/>
  <c r="AO671" i="1"/>
  <c r="AP671" i="1" s="1"/>
  <c r="AB671" i="1" s="1"/>
  <c r="AO679" i="1"/>
  <c r="AP679" i="1" s="1"/>
  <c r="AB679" i="1" s="1"/>
  <c r="AO687" i="1"/>
  <c r="AP687" i="1" s="1"/>
  <c r="AB687" i="1" s="1"/>
  <c r="AO701" i="1"/>
  <c r="AP701" i="1" s="1"/>
  <c r="AB701" i="1" s="1"/>
  <c r="AO709" i="1"/>
  <c r="AP709" i="1" s="1"/>
  <c r="AB709" i="1" s="1"/>
  <c r="AO723" i="1"/>
  <c r="AP723" i="1" s="1"/>
  <c r="AB723" i="1" s="1"/>
  <c r="AO731" i="1"/>
  <c r="AP731" i="1" s="1"/>
  <c r="AB731" i="1" s="1"/>
  <c r="AO739" i="1"/>
  <c r="AP739" i="1" s="1"/>
  <c r="AB739" i="1" s="1"/>
  <c r="AO747" i="1"/>
  <c r="AP747" i="1" s="1"/>
  <c r="AB747" i="1" s="1"/>
  <c r="AO755" i="1"/>
  <c r="AP755" i="1" s="1"/>
  <c r="AB755" i="1" s="1"/>
  <c r="AO763" i="1"/>
  <c r="AP763" i="1" s="1"/>
  <c r="AB763" i="1" s="1"/>
  <c r="AO771" i="1"/>
  <c r="AP771" i="1" s="1"/>
  <c r="AB771" i="1" s="1"/>
  <c r="AO785" i="1"/>
  <c r="AP785" i="1" s="1"/>
  <c r="AB785" i="1" s="1"/>
  <c r="AO793" i="1"/>
  <c r="AP793" i="1" s="1"/>
  <c r="AB793" i="1" s="1"/>
  <c r="AO801" i="1"/>
  <c r="AP801" i="1" s="1"/>
  <c r="AB801" i="1" s="1"/>
  <c r="AO809" i="1"/>
  <c r="AP809" i="1" s="1"/>
  <c r="AB809" i="1" s="1"/>
  <c r="AO817" i="1"/>
  <c r="AP817" i="1" s="1"/>
  <c r="AB817" i="1" s="1"/>
  <c r="AO825" i="1"/>
  <c r="AP825" i="1" s="1"/>
  <c r="AB825" i="1" s="1"/>
  <c r="AO833" i="1"/>
  <c r="AP833" i="1" s="1"/>
  <c r="AB833" i="1" s="1"/>
  <c r="AO841" i="1"/>
  <c r="AP841" i="1" s="1"/>
  <c r="AB841" i="1" s="1"/>
  <c r="AO849" i="1"/>
  <c r="AP849" i="1" s="1"/>
  <c r="AB849" i="1" s="1"/>
  <c r="AO857" i="1"/>
  <c r="AP857" i="1" s="1"/>
  <c r="AB857" i="1" s="1"/>
  <c r="AO865" i="1"/>
  <c r="AP865" i="1" s="1"/>
  <c r="AB865" i="1" s="1"/>
  <c r="AO873" i="1"/>
  <c r="AP873" i="1" s="1"/>
  <c r="AB873" i="1" s="1"/>
  <c r="AO881" i="1"/>
  <c r="AP881" i="1" s="1"/>
  <c r="AB881" i="1" s="1"/>
  <c r="AO889" i="1"/>
  <c r="AP889" i="1" s="1"/>
  <c r="AB889" i="1" s="1"/>
  <c r="AO897" i="1"/>
  <c r="AP897" i="1" s="1"/>
  <c r="AB897" i="1" s="1"/>
  <c r="AO905" i="1"/>
  <c r="AP905" i="1" s="1"/>
  <c r="AB905" i="1" s="1"/>
  <c r="AO913" i="1"/>
  <c r="AP913" i="1" s="1"/>
  <c r="AB913" i="1" s="1"/>
  <c r="AO921" i="1"/>
  <c r="AP921" i="1" s="1"/>
  <c r="AB921" i="1" s="1"/>
  <c r="AO929" i="1"/>
  <c r="AP929" i="1" s="1"/>
  <c r="AB929" i="1" s="1"/>
  <c r="AO937" i="1"/>
  <c r="AP937" i="1" s="1"/>
  <c r="AB937" i="1" s="1"/>
  <c r="AO945" i="1"/>
  <c r="AP945" i="1" s="1"/>
  <c r="AB945" i="1" s="1"/>
  <c r="AO953" i="1"/>
  <c r="AP953" i="1" s="1"/>
  <c r="AB953" i="1" s="1"/>
  <c r="AO961" i="1"/>
  <c r="AP961" i="1" s="1"/>
  <c r="AB961" i="1" s="1"/>
  <c r="AO969" i="1"/>
  <c r="AP969" i="1" s="1"/>
  <c r="AB969" i="1" s="1"/>
  <c r="AO977" i="1"/>
  <c r="AP977" i="1" s="1"/>
  <c r="AB977" i="1" s="1"/>
  <c r="AO985" i="1"/>
  <c r="AP985" i="1" s="1"/>
  <c r="AB985" i="1" s="1"/>
  <c r="AO993" i="1"/>
  <c r="AP993" i="1" s="1"/>
  <c r="AB993" i="1" s="1"/>
  <c r="AO1001" i="1"/>
  <c r="AP1001" i="1" s="1"/>
  <c r="AB1001" i="1" s="1"/>
  <c r="AO1009" i="1"/>
  <c r="AP1009" i="1" s="1"/>
  <c r="AB1009" i="1" s="1"/>
  <c r="AO1017" i="1"/>
  <c r="AP1017" i="1" s="1"/>
  <c r="AB1017" i="1" s="1"/>
  <c r="AO1025" i="1"/>
  <c r="AP1025" i="1" s="1"/>
  <c r="AB1025" i="1" s="1"/>
  <c r="AO1033" i="1"/>
  <c r="AP1033" i="1" s="1"/>
  <c r="AB1033" i="1" s="1"/>
  <c r="AO1041" i="1"/>
  <c r="AP1041" i="1" s="1"/>
  <c r="AB1041" i="1" s="1"/>
  <c r="AO1049" i="1"/>
  <c r="AP1049" i="1" s="1"/>
  <c r="AB1049" i="1" s="1"/>
  <c r="AO1057" i="1"/>
  <c r="AP1057" i="1" s="1"/>
  <c r="AB1057" i="1" s="1"/>
  <c r="AO1065" i="1"/>
  <c r="AP1065" i="1" s="1"/>
  <c r="AB1065" i="1" s="1"/>
  <c r="AO1073" i="1"/>
  <c r="AP1073" i="1" s="1"/>
  <c r="AB1073" i="1" s="1"/>
  <c r="AO1081" i="1"/>
  <c r="AP1081" i="1" s="1"/>
  <c r="AB1081" i="1" s="1"/>
  <c r="AO1089" i="1"/>
  <c r="AP1089" i="1" s="1"/>
  <c r="AB1089" i="1" s="1"/>
  <c r="AO1097" i="1"/>
  <c r="AP1097" i="1" s="1"/>
  <c r="AB1097" i="1" s="1"/>
  <c r="AO1105" i="1"/>
  <c r="AP1105" i="1" s="1"/>
  <c r="AB1105" i="1" s="1"/>
  <c r="AO1113" i="1"/>
  <c r="AP1113" i="1" s="1"/>
  <c r="AB1113" i="1" s="1"/>
  <c r="AO1121" i="1"/>
  <c r="AP1121" i="1" s="1"/>
  <c r="AB1121" i="1" s="1"/>
  <c r="AO1129" i="1"/>
  <c r="AP1129" i="1" s="1"/>
  <c r="AB1129" i="1" s="1"/>
  <c r="AO1137" i="1"/>
  <c r="AP1137" i="1" s="1"/>
  <c r="AB1137" i="1" s="1"/>
  <c r="AO1145" i="1"/>
  <c r="AP1145" i="1" s="1"/>
  <c r="AB1145" i="1" s="1"/>
  <c r="AO1153" i="1"/>
  <c r="AP1153" i="1" s="1"/>
  <c r="AB1153" i="1" s="1"/>
  <c r="AO1161" i="1"/>
  <c r="AP1161" i="1" s="1"/>
  <c r="AB1161" i="1" s="1"/>
  <c r="AO1169" i="1"/>
  <c r="AP1169" i="1" s="1"/>
  <c r="AB1169" i="1" s="1"/>
  <c r="AO1177" i="1"/>
  <c r="AP1177" i="1" s="1"/>
  <c r="AB1177" i="1" s="1"/>
  <c r="AO1185" i="1"/>
  <c r="AP1185" i="1" s="1"/>
  <c r="AB1185" i="1" s="1"/>
  <c r="AO538" i="1"/>
  <c r="AP538" i="1" s="1"/>
  <c r="AB538" i="1" s="1"/>
  <c r="AO546" i="1"/>
  <c r="AP546" i="1" s="1"/>
  <c r="AB546" i="1" s="1"/>
  <c r="AO554" i="1"/>
  <c r="AP554" i="1" s="1"/>
  <c r="AB554" i="1" s="1"/>
  <c r="AO562" i="1"/>
  <c r="AP562" i="1" s="1"/>
  <c r="AB562" i="1" s="1"/>
  <c r="AO570" i="1"/>
  <c r="AP570" i="1" s="1"/>
  <c r="AB570" i="1" s="1"/>
  <c r="AO578" i="1"/>
  <c r="AP578" i="1" s="1"/>
  <c r="AB578" i="1" s="1"/>
  <c r="AO585" i="1"/>
  <c r="AP585" i="1" s="1"/>
  <c r="AB585" i="1" s="1"/>
  <c r="AO593" i="1"/>
  <c r="AP593" i="1" s="1"/>
  <c r="AB593" i="1" s="1"/>
  <c r="AO600" i="1"/>
  <c r="AP600" i="1" s="1"/>
  <c r="AB600" i="1" s="1"/>
  <c r="AO608" i="1"/>
  <c r="AP608" i="1" s="1"/>
  <c r="AB608" i="1" s="1"/>
  <c r="AO616" i="1"/>
  <c r="AP616" i="1" s="1"/>
  <c r="AB616" i="1" s="1"/>
  <c r="AO624" i="1"/>
  <c r="AP624" i="1" s="1"/>
  <c r="AB624" i="1" s="1"/>
  <c r="AO632" i="1"/>
  <c r="AP632" i="1" s="1"/>
  <c r="AB632" i="1" s="1"/>
  <c r="AO640" i="1"/>
  <c r="AP640" i="1" s="1"/>
  <c r="AB640" i="1" s="1"/>
  <c r="AO648" i="1"/>
  <c r="AP648" i="1" s="1"/>
  <c r="AB648" i="1" s="1"/>
  <c r="AO656" i="1"/>
  <c r="AP656" i="1" s="1"/>
  <c r="AB656" i="1" s="1"/>
  <c r="AO664" i="1"/>
  <c r="AP664" i="1" s="1"/>
  <c r="AB664" i="1" s="1"/>
  <c r="AO672" i="1"/>
  <c r="AP672" i="1" s="1"/>
  <c r="AB672" i="1" s="1"/>
  <c r="AO680" i="1"/>
  <c r="AP680" i="1" s="1"/>
  <c r="AB680" i="1" s="1"/>
  <c r="AO688" i="1"/>
  <c r="AP688" i="1" s="1"/>
  <c r="AB688" i="1" s="1"/>
  <c r="AO694" i="1"/>
  <c r="AP694" i="1" s="1"/>
  <c r="AB694" i="1" s="1"/>
  <c r="AO702" i="1"/>
  <c r="AP702" i="1" s="1"/>
  <c r="AB702" i="1" s="1"/>
  <c r="AO710" i="1"/>
  <c r="AP710" i="1" s="1"/>
  <c r="AB710" i="1" s="1"/>
  <c r="AO724" i="1"/>
  <c r="AP724" i="1" s="1"/>
  <c r="AB724" i="1" s="1"/>
  <c r="AO732" i="1"/>
  <c r="AP732" i="1" s="1"/>
  <c r="AB732" i="1" s="1"/>
  <c r="AO740" i="1"/>
  <c r="AP740" i="1" s="1"/>
  <c r="AB740" i="1" s="1"/>
  <c r="AO748" i="1"/>
  <c r="AP748" i="1" s="1"/>
  <c r="AB748" i="1" s="1"/>
  <c r="AO756" i="1"/>
  <c r="AP756" i="1" s="1"/>
  <c r="AB756" i="1" s="1"/>
  <c r="AO764" i="1"/>
  <c r="AP764" i="1" s="1"/>
  <c r="AB764" i="1" s="1"/>
  <c r="AO772" i="1"/>
  <c r="AP772" i="1" s="1"/>
  <c r="AB772" i="1" s="1"/>
  <c r="AO778" i="1"/>
  <c r="AP778" i="1" s="1"/>
  <c r="AB778" i="1" s="1"/>
  <c r="AO786" i="1"/>
  <c r="AP786" i="1" s="1"/>
  <c r="AB786" i="1" s="1"/>
  <c r="AO794" i="1"/>
  <c r="AP794" i="1" s="1"/>
  <c r="AB794" i="1" s="1"/>
  <c r="AO802" i="1"/>
  <c r="AP802" i="1" s="1"/>
  <c r="AB802" i="1" s="1"/>
  <c r="AO810" i="1"/>
  <c r="AP810" i="1" s="1"/>
  <c r="AB810" i="1" s="1"/>
  <c r="AO818" i="1"/>
  <c r="AP818" i="1" s="1"/>
  <c r="AB818" i="1" s="1"/>
  <c r="AO826" i="1"/>
  <c r="AP826" i="1" s="1"/>
  <c r="AB826" i="1" s="1"/>
  <c r="AO834" i="1"/>
  <c r="AP834" i="1" s="1"/>
  <c r="AB834" i="1" s="1"/>
  <c r="AO842" i="1"/>
  <c r="AP842" i="1" s="1"/>
  <c r="AB842" i="1" s="1"/>
  <c r="AO850" i="1"/>
  <c r="AP850" i="1" s="1"/>
  <c r="AB850" i="1" s="1"/>
  <c r="AO858" i="1"/>
  <c r="AP858" i="1" s="1"/>
  <c r="AB858" i="1" s="1"/>
  <c r="AO866" i="1"/>
  <c r="AP866" i="1" s="1"/>
  <c r="AB866" i="1" s="1"/>
  <c r="AO874" i="1"/>
  <c r="AP874" i="1" s="1"/>
  <c r="AB874" i="1" s="1"/>
  <c r="AO882" i="1"/>
  <c r="AP882" i="1" s="1"/>
  <c r="AB882" i="1" s="1"/>
  <c r="AO890" i="1"/>
  <c r="AP890" i="1" s="1"/>
  <c r="AB890" i="1" s="1"/>
  <c r="AO898" i="1"/>
  <c r="AP898" i="1" s="1"/>
  <c r="AB898" i="1" s="1"/>
  <c r="AO906" i="1"/>
  <c r="AP906" i="1" s="1"/>
  <c r="AB906" i="1" s="1"/>
  <c r="AO914" i="1"/>
  <c r="AP914" i="1" s="1"/>
  <c r="AB914" i="1" s="1"/>
  <c r="AO922" i="1"/>
  <c r="AP922" i="1" s="1"/>
  <c r="AB922" i="1" s="1"/>
  <c r="AO930" i="1"/>
  <c r="AP930" i="1" s="1"/>
  <c r="AB930" i="1" s="1"/>
  <c r="AO938" i="1"/>
  <c r="AP938" i="1" s="1"/>
  <c r="AB938" i="1" s="1"/>
  <c r="AO946" i="1"/>
  <c r="AP946" i="1" s="1"/>
  <c r="AB946" i="1" s="1"/>
  <c r="AO954" i="1"/>
  <c r="AP954" i="1" s="1"/>
  <c r="AB954" i="1" s="1"/>
  <c r="AO962" i="1"/>
  <c r="AP962" i="1" s="1"/>
  <c r="AB962" i="1" s="1"/>
  <c r="AO970" i="1"/>
  <c r="AP970" i="1" s="1"/>
  <c r="AB970" i="1" s="1"/>
  <c r="AO978" i="1"/>
  <c r="AP978" i="1" s="1"/>
  <c r="AB978" i="1" s="1"/>
  <c r="AO986" i="1"/>
  <c r="AP986" i="1" s="1"/>
  <c r="AB986" i="1" s="1"/>
  <c r="AO994" i="1"/>
  <c r="AP994" i="1" s="1"/>
  <c r="AB994" i="1" s="1"/>
  <c r="AO1010" i="1"/>
  <c r="AP1010" i="1" s="1"/>
  <c r="AB1010" i="1" s="1"/>
  <c r="AO1018" i="1"/>
  <c r="AP1018" i="1" s="1"/>
  <c r="AB1018" i="1" s="1"/>
  <c r="AO1026" i="1"/>
  <c r="AP1026" i="1" s="1"/>
  <c r="AB1026" i="1" s="1"/>
  <c r="AO1034" i="1"/>
  <c r="AP1034" i="1" s="1"/>
  <c r="AB1034" i="1" s="1"/>
  <c r="AO1042" i="1"/>
  <c r="AP1042" i="1" s="1"/>
  <c r="AB1042" i="1" s="1"/>
  <c r="AO1050" i="1"/>
  <c r="AP1050" i="1" s="1"/>
  <c r="AB1050" i="1" s="1"/>
  <c r="AO1058" i="1"/>
  <c r="AP1058" i="1" s="1"/>
  <c r="AB1058" i="1" s="1"/>
  <c r="AO1066" i="1"/>
  <c r="AP1066" i="1" s="1"/>
  <c r="AB1066" i="1" s="1"/>
  <c r="AO1074" i="1"/>
  <c r="AP1074" i="1" s="1"/>
  <c r="AB1074" i="1" s="1"/>
  <c r="AO1082" i="1"/>
  <c r="AP1082" i="1" s="1"/>
  <c r="AB1082" i="1" s="1"/>
  <c r="AO1090" i="1"/>
  <c r="AP1090" i="1" s="1"/>
  <c r="AB1090" i="1" s="1"/>
  <c r="AO1098" i="1"/>
  <c r="AP1098" i="1" s="1"/>
  <c r="AB1098" i="1" s="1"/>
  <c r="AO1106" i="1"/>
  <c r="AP1106" i="1" s="1"/>
  <c r="AB1106" i="1" s="1"/>
  <c r="AO1114" i="1"/>
  <c r="AP1114" i="1" s="1"/>
  <c r="AB1114" i="1" s="1"/>
  <c r="AO1122" i="1"/>
  <c r="AP1122" i="1" s="1"/>
  <c r="AB1122" i="1" s="1"/>
  <c r="AO1130" i="1"/>
  <c r="AP1130" i="1" s="1"/>
  <c r="AB1130" i="1" s="1"/>
  <c r="AO1138" i="1"/>
  <c r="AP1138" i="1" s="1"/>
  <c r="AB1138" i="1" s="1"/>
  <c r="AO1154" i="1"/>
  <c r="AP1154" i="1" s="1"/>
  <c r="AB1154" i="1" s="1"/>
  <c r="AO1162" i="1"/>
  <c r="AP1162" i="1" s="1"/>
  <c r="AB1162" i="1" s="1"/>
  <c r="AO1170" i="1"/>
  <c r="AP1170" i="1" s="1"/>
  <c r="AB1170" i="1" s="1"/>
  <c r="AO1178" i="1"/>
  <c r="AP1178" i="1" s="1"/>
  <c r="AB1178" i="1" s="1"/>
  <c r="AO1186" i="1"/>
  <c r="AP1186" i="1" s="1"/>
  <c r="AB1186" i="1" s="1"/>
  <c r="AO53" i="1"/>
  <c r="AP53" i="1" s="1"/>
  <c r="AB53" i="1" s="1"/>
  <c r="AO61" i="1"/>
  <c r="AP61" i="1" s="1"/>
  <c r="AB61" i="1" s="1"/>
  <c r="AO69" i="1"/>
  <c r="AP69" i="1" s="1"/>
  <c r="AB69" i="1" s="1"/>
  <c r="AO77" i="1"/>
  <c r="AP77" i="1" s="1"/>
  <c r="AB77" i="1" s="1"/>
  <c r="AO85" i="1"/>
  <c r="AP85" i="1" s="1"/>
  <c r="AB85" i="1" s="1"/>
  <c r="AO93" i="1"/>
  <c r="AP93" i="1" s="1"/>
  <c r="AB93" i="1" s="1"/>
  <c r="AO101" i="1"/>
  <c r="AP101" i="1" s="1"/>
  <c r="AB101" i="1" s="1"/>
  <c r="AO109" i="1"/>
  <c r="AP109" i="1" s="1"/>
  <c r="AB109" i="1" s="1"/>
  <c r="AO117" i="1"/>
  <c r="AP117" i="1" s="1"/>
  <c r="AB117" i="1" s="1"/>
  <c r="AO125" i="1"/>
  <c r="AP125" i="1" s="1"/>
  <c r="AB125" i="1" s="1"/>
  <c r="AO133" i="1"/>
  <c r="AP133" i="1" s="1"/>
  <c r="AB133" i="1" s="1"/>
  <c r="AO141" i="1"/>
  <c r="AP141" i="1" s="1"/>
  <c r="AB141" i="1" s="1"/>
  <c r="AO149" i="1"/>
  <c r="AP149" i="1" s="1"/>
  <c r="AB149" i="1" s="1"/>
  <c r="AO157" i="1"/>
  <c r="AP157" i="1" s="1"/>
  <c r="AB157" i="1" s="1"/>
  <c r="AO165" i="1"/>
  <c r="AP165" i="1" s="1"/>
  <c r="AB165" i="1" s="1"/>
  <c r="AO173" i="1"/>
  <c r="AP173" i="1" s="1"/>
  <c r="AB173" i="1" s="1"/>
  <c r="AO181" i="1"/>
  <c r="AP181" i="1" s="1"/>
  <c r="AB181" i="1" s="1"/>
  <c r="AO227" i="1"/>
  <c r="AP227" i="1" s="1"/>
  <c r="AB227" i="1" s="1"/>
  <c r="AO235" i="1"/>
  <c r="AP235" i="1" s="1"/>
  <c r="AB235" i="1" s="1"/>
  <c r="AO243" i="1"/>
  <c r="AP243" i="1" s="1"/>
  <c r="AB243" i="1" s="1"/>
  <c r="AO251" i="1"/>
  <c r="AP251" i="1" s="1"/>
  <c r="AB251" i="1" s="1"/>
  <c r="AO259" i="1"/>
  <c r="AP259" i="1" s="1"/>
  <c r="AB259" i="1" s="1"/>
  <c r="AO267" i="1"/>
  <c r="AP267" i="1" s="1"/>
  <c r="AB267" i="1" s="1"/>
  <c r="AO275" i="1"/>
  <c r="AP275" i="1" s="1"/>
  <c r="AB275" i="1" s="1"/>
  <c r="AO283" i="1"/>
  <c r="AP283" i="1" s="1"/>
  <c r="AB283" i="1" s="1"/>
  <c r="AO291" i="1"/>
  <c r="AP291" i="1" s="1"/>
  <c r="AB291" i="1" s="1"/>
  <c r="AO299" i="1"/>
  <c r="AP299" i="1" s="1"/>
  <c r="AB299" i="1" s="1"/>
  <c r="AO307" i="1"/>
  <c r="AP307" i="1" s="1"/>
  <c r="AB307" i="1" s="1"/>
  <c r="AO315" i="1"/>
  <c r="AP315" i="1" s="1"/>
  <c r="AB315" i="1" s="1"/>
  <c r="AO323" i="1"/>
  <c r="AP323" i="1" s="1"/>
  <c r="AB323" i="1" s="1"/>
  <c r="AO331" i="1"/>
  <c r="AP331" i="1" s="1"/>
  <c r="AB331" i="1" s="1"/>
  <c r="AO339" i="1"/>
  <c r="AP339" i="1" s="1"/>
  <c r="AB339" i="1" s="1"/>
  <c r="AO347" i="1"/>
  <c r="AP347" i="1" s="1"/>
  <c r="AB347" i="1" s="1"/>
  <c r="AO355" i="1"/>
  <c r="AP355" i="1" s="1"/>
  <c r="AB355" i="1" s="1"/>
  <c r="AO363" i="1"/>
  <c r="AP363" i="1" s="1"/>
  <c r="AB363" i="1" s="1"/>
  <c r="AO371" i="1"/>
  <c r="AP371" i="1" s="1"/>
  <c r="AB371" i="1" s="1"/>
  <c r="AO387" i="1"/>
  <c r="AP387" i="1" s="1"/>
  <c r="AB387" i="1" s="1"/>
  <c r="AO395" i="1"/>
  <c r="AP395" i="1" s="1"/>
  <c r="AB395" i="1" s="1"/>
  <c r="AO403" i="1"/>
  <c r="AP403" i="1" s="1"/>
  <c r="AB403" i="1" s="1"/>
  <c r="AO411" i="1"/>
  <c r="AP411" i="1" s="1"/>
  <c r="AB411" i="1" s="1"/>
  <c r="AO419" i="1"/>
  <c r="AP419" i="1" s="1"/>
  <c r="AB419" i="1" s="1"/>
  <c r="AO427" i="1"/>
  <c r="AP427" i="1" s="1"/>
  <c r="AB427" i="1" s="1"/>
  <c r="AO435" i="1"/>
  <c r="AP435" i="1" s="1"/>
  <c r="AB435" i="1" s="1"/>
  <c r="AO443" i="1"/>
  <c r="AP443" i="1" s="1"/>
  <c r="AB443" i="1" s="1"/>
  <c r="AO451" i="1"/>
  <c r="AP451" i="1" s="1"/>
  <c r="AB451" i="1" s="1"/>
  <c r="AO459" i="1"/>
  <c r="AP459" i="1" s="1"/>
  <c r="AB459" i="1" s="1"/>
  <c r="AO467" i="1"/>
  <c r="AP467" i="1" s="1"/>
  <c r="AB467" i="1" s="1"/>
  <c r="AO475" i="1"/>
  <c r="AP475" i="1" s="1"/>
  <c r="AB475" i="1" s="1"/>
  <c r="AO483" i="1"/>
  <c r="AP483" i="1" s="1"/>
  <c r="AB483" i="1" s="1"/>
  <c r="AO491" i="1"/>
  <c r="AP491" i="1" s="1"/>
  <c r="AB491" i="1" s="1"/>
  <c r="AO499" i="1"/>
  <c r="AP499" i="1" s="1"/>
  <c r="AB499" i="1" s="1"/>
  <c r="AO507" i="1"/>
  <c r="AP507" i="1" s="1"/>
  <c r="AB507" i="1" s="1"/>
  <c r="AO515" i="1"/>
  <c r="AP515" i="1" s="1"/>
  <c r="AB515" i="1" s="1"/>
  <c r="AO523" i="1"/>
  <c r="AP523" i="1" s="1"/>
  <c r="AB523" i="1" s="1"/>
  <c r="AO531" i="1"/>
  <c r="AP531" i="1" s="1"/>
  <c r="AB531" i="1" s="1"/>
  <c r="AO539" i="1"/>
  <c r="AP539" i="1" s="1"/>
  <c r="AB539" i="1" s="1"/>
  <c r="AO547" i="1"/>
  <c r="AP547" i="1" s="1"/>
  <c r="AB547" i="1" s="1"/>
  <c r="AO555" i="1"/>
  <c r="AP555" i="1" s="1"/>
  <c r="AB555" i="1" s="1"/>
  <c r="AO563" i="1"/>
  <c r="AP563" i="1" s="1"/>
  <c r="AB563" i="1" s="1"/>
  <c r="AO571" i="1"/>
  <c r="AP571" i="1" s="1"/>
  <c r="AB571" i="1" s="1"/>
  <c r="AO579" i="1"/>
  <c r="AP579" i="1" s="1"/>
  <c r="AB579" i="1" s="1"/>
  <c r="AO586" i="1"/>
  <c r="AP586" i="1" s="1"/>
  <c r="AB586" i="1" s="1"/>
  <c r="AO594" i="1"/>
  <c r="AP594" i="1" s="1"/>
  <c r="AB594" i="1" s="1"/>
  <c r="AO633" i="1"/>
  <c r="AP633" i="1" s="1"/>
  <c r="AB633" i="1" s="1"/>
  <c r="AO1187" i="1"/>
  <c r="AP1187" i="1" s="1"/>
  <c r="AO1195" i="1"/>
  <c r="AP1195" i="1" s="1"/>
  <c r="AB1195" i="1" s="1"/>
  <c r="AO1203" i="1"/>
  <c r="AP1203" i="1" s="1"/>
  <c r="AB1203" i="1" s="1"/>
  <c r="AO1209" i="1"/>
  <c r="AP1209" i="1" s="1"/>
  <c r="AB1209" i="1" s="1"/>
  <c r="AO1217" i="1"/>
  <c r="AP1217" i="1" s="1"/>
  <c r="AB1217" i="1" s="1"/>
  <c r="AO1225" i="1"/>
  <c r="AP1225" i="1" s="1"/>
  <c r="AB1225" i="1" s="1"/>
  <c r="AO1233" i="1"/>
  <c r="AP1233" i="1" s="1"/>
  <c r="AB1233" i="1" s="1"/>
  <c r="AO1241" i="1"/>
  <c r="AP1241" i="1" s="1"/>
  <c r="AB1241" i="1" s="1"/>
  <c r="AO1249" i="1"/>
  <c r="AP1249" i="1" s="1"/>
  <c r="AB1249" i="1" s="1"/>
  <c r="AO1257" i="1"/>
  <c r="AP1257" i="1" s="1"/>
  <c r="AB1257" i="1" s="1"/>
  <c r="AO1265" i="1"/>
  <c r="AP1265" i="1" s="1"/>
  <c r="AB1265" i="1" s="1"/>
  <c r="AO1273" i="1"/>
  <c r="AP1273" i="1" s="1"/>
  <c r="AB1273" i="1" s="1"/>
  <c r="AO1281" i="1"/>
  <c r="AP1281" i="1" s="1"/>
  <c r="AB1281" i="1" s="1"/>
  <c r="AO1289" i="1"/>
  <c r="AP1289" i="1" s="1"/>
  <c r="AB1289" i="1" s="1"/>
  <c r="AO1297" i="1"/>
  <c r="AP1297" i="1" s="1"/>
  <c r="AB1297" i="1" s="1"/>
  <c r="AO1305" i="1"/>
  <c r="AP1305" i="1" s="1"/>
  <c r="AB1305" i="1" s="1"/>
  <c r="AO1313" i="1"/>
  <c r="AP1313" i="1" s="1"/>
  <c r="AB1313" i="1" s="1"/>
  <c r="AO1321" i="1"/>
  <c r="AP1321" i="1" s="1"/>
  <c r="AB1321" i="1" s="1"/>
  <c r="AO1329" i="1"/>
  <c r="AP1329" i="1" s="1"/>
  <c r="AB1329" i="1" s="1"/>
  <c r="AO1337" i="1"/>
  <c r="AP1337" i="1" s="1"/>
  <c r="AB1337" i="1" s="1"/>
  <c r="AO1345" i="1"/>
  <c r="AP1345" i="1" s="1"/>
  <c r="AB1345" i="1" s="1"/>
  <c r="AO1353" i="1"/>
  <c r="AP1353" i="1" s="1"/>
  <c r="AB1353" i="1" s="1"/>
  <c r="AO14" i="1"/>
  <c r="AP14" i="1" s="1"/>
  <c r="AB14" i="1" s="1"/>
  <c r="AO22" i="1"/>
  <c r="AP22" i="1" s="1"/>
  <c r="AB22" i="1" s="1"/>
  <c r="AO30" i="1"/>
  <c r="AP30" i="1" s="1"/>
  <c r="AB30" i="1" s="1"/>
  <c r="AO38" i="1"/>
  <c r="AP38" i="1" s="1"/>
  <c r="AB38" i="1" s="1"/>
  <c r="AO46" i="1"/>
  <c r="AP46" i="1" s="1"/>
  <c r="AB46" i="1" s="1"/>
  <c r="AO54" i="1"/>
  <c r="AP54" i="1" s="1"/>
  <c r="AB54" i="1" s="1"/>
  <c r="AO118" i="1"/>
  <c r="AP118" i="1" s="1"/>
  <c r="AB118" i="1" s="1"/>
  <c r="AO126" i="1"/>
  <c r="AP126" i="1" s="1"/>
  <c r="AB126" i="1" s="1"/>
  <c r="AO134" i="1"/>
  <c r="AP134" i="1" s="1"/>
  <c r="AB134" i="1" s="1"/>
  <c r="AO142" i="1"/>
  <c r="AP142" i="1" s="1"/>
  <c r="AB142" i="1" s="1"/>
  <c r="AO150" i="1"/>
  <c r="AP150" i="1" s="1"/>
  <c r="AB150" i="1" s="1"/>
  <c r="AO158" i="1"/>
  <c r="AP158" i="1" s="1"/>
  <c r="AB158" i="1" s="1"/>
  <c r="AO166" i="1"/>
  <c r="AP166" i="1" s="1"/>
  <c r="AB166" i="1" s="1"/>
  <c r="AO174" i="1"/>
  <c r="AP174" i="1" s="1"/>
  <c r="AB174" i="1" s="1"/>
  <c r="AO182" i="1"/>
  <c r="AP182" i="1" s="1"/>
  <c r="AB182" i="1" s="1"/>
  <c r="AO356" i="1"/>
  <c r="AP356" i="1" s="1"/>
  <c r="AB356" i="1" s="1"/>
  <c r="AO364" i="1"/>
  <c r="AP364" i="1" s="1"/>
  <c r="AB364" i="1" s="1"/>
  <c r="AO372" i="1"/>
  <c r="AP372" i="1" s="1"/>
  <c r="AB372" i="1" s="1"/>
  <c r="AO380" i="1"/>
  <c r="AP380" i="1" s="1"/>
  <c r="AB380" i="1" s="1"/>
  <c r="AO388" i="1"/>
  <c r="AP388" i="1" s="1"/>
  <c r="AB388" i="1" s="1"/>
  <c r="AO396" i="1"/>
  <c r="AP396" i="1" s="1"/>
  <c r="AB396" i="1" s="1"/>
  <c r="AO404" i="1"/>
  <c r="AP404" i="1" s="1"/>
  <c r="AB404" i="1" s="1"/>
  <c r="AO412" i="1"/>
  <c r="AP412" i="1" s="1"/>
  <c r="AB412" i="1" s="1"/>
  <c r="AO420" i="1"/>
  <c r="AP420" i="1" s="1"/>
  <c r="AB420" i="1" s="1"/>
  <c r="AO428" i="1"/>
  <c r="AP428" i="1" s="1"/>
  <c r="AB428" i="1" s="1"/>
  <c r="AO436" i="1"/>
  <c r="AP436" i="1" s="1"/>
  <c r="AB436" i="1" s="1"/>
  <c r="AO452" i="1"/>
  <c r="AP452" i="1" s="1"/>
  <c r="AB452" i="1" s="1"/>
  <c r="AO460" i="1"/>
  <c r="AP460" i="1" s="1"/>
  <c r="AB460" i="1" s="1"/>
  <c r="AO468" i="1"/>
  <c r="AP468" i="1" s="1"/>
  <c r="AB468" i="1" s="1"/>
  <c r="AO476" i="1"/>
  <c r="AP476" i="1" s="1"/>
  <c r="AB476" i="1" s="1"/>
  <c r="AO484" i="1"/>
  <c r="AP484" i="1" s="1"/>
  <c r="AB484" i="1" s="1"/>
  <c r="AO492" i="1"/>
  <c r="AP492" i="1" s="1"/>
  <c r="AB492" i="1" s="1"/>
  <c r="AO500" i="1"/>
  <c r="AP500" i="1" s="1"/>
  <c r="AB500" i="1" s="1"/>
  <c r="AO516" i="1"/>
  <c r="AP516" i="1" s="1"/>
  <c r="AB516" i="1" s="1"/>
  <c r="AO524" i="1"/>
  <c r="AP524" i="1" s="1"/>
  <c r="AB524" i="1" s="1"/>
  <c r="AO532" i="1"/>
  <c r="AP532" i="1" s="1"/>
  <c r="AB532" i="1" s="1"/>
  <c r="AO540" i="1"/>
  <c r="AP540" i="1" s="1"/>
  <c r="AB540" i="1" s="1"/>
  <c r="AO548" i="1"/>
  <c r="AP548" i="1" s="1"/>
  <c r="AB548" i="1" s="1"/>
  <c r="AO556" i="1"/>
  <c r="AP556" i="1" s="1"/>
  <c r="AB556" i="1" s="1"/>
  <c r="AO564" i="1"/>
  <c r="AP564" i="1" s="1"/>
  <c r="AB564" i="1" s="1"/>
  <c r="AO572" i="1"/>
  <c r="AP572" i="1" s="1"/>
  <c r="AB572" i="1" s="1"/>
  <c r="AO619" i="1"/>
  <c r="AP619" i="1" s="1"/>
  <c r="AB619" i="1" s="1"/>
  <c r="AO627" i="1"/>
  <c r="AP627" i="1" s="1"/>
  <c r="AB627" i="1" s="1"/>
  <c r="AO635" i="1"/>
  <c r="AP635" i="1" s="1"/>
  <c r="AB635" i="1" s="1"/>
  <c r="AO643" i="1"/>
  <c r="AP643" i="1" s="1"/>
  <c r="AB643" i="1" s="1"/>
  <c r="AO651" i="1"/>
  <c r="AP651" i="1" s="1"/>
  <c r="AB651" i="1" s="1"/>
  <c r="AO659" i="1"/>
  <c r="AP659" i="1" s="1"/>
  <c r="AB659" i="1" s="1"/>
  <c r="AO667" i="1"/>
  <c r="AP667" i="1" s="1"/>
  <c r="AB667" i="1" s="1"/>
  <c r="AO675" i="1"/>
  <c r="AP675" i="1" s="1"/>
  <c r="AB675" i="1" s="1"/>
  <c r="AO683" i="1"/>
  <c r="AP683" i="1" s="1"/>
  <c r="AB683" i="1" s="1"/>
  <c r="AO691" i="1"/>
  <c r="AP691" i="1" s="1"/>
  <c r="AB691" i="1" s="1"/>
  <c r="AO697" i="1"/>
  <c r="AP697" i="1" s="1"/>
  <c r="AB697" i="1" s="1"/>
  <c r="AO705" i="1"/>
  <c r="AP705" i="1" s="1"/>
  <c r="AB705" i="1" s="1"/>
  <c r="AO713" i="1"/>
  <c r="AP713" i="1" s="1"/>
  <c r="AB713" i="1" s="1"/>
  <c r="AO719" i="1"/>
  <c r="AP719" i="1" s="1"/>
  <c r="AB719" i="1" s="1"/>
  <c r="AO727" i="1"/>
  <c r="AP727" i="1" s="1"/>
  <c r="AB727" i="1" s="1"/>
  <c r="AO735" i="1"/>
  <c r="AP735" i="1" s="1"/>
  <c r="AB735" i="1" s="1"/>
  <c r="AO743" i="1"/>
  <c r="AP743" i="1" s="1"/>
  <c r="AB743" i="1" s="1"/>
  <c r="AO751" i="1"/>
  <c r="AP751" i="1" s="1"/>
  <c r="AB751" i="1" s="1"/>
  <c r="AO759" i="1"/>
  <c r="AP759" i="1" s="1"/>
  <c r="AB759" i="1" s="1"/>
  <c r="AO767" i="1"/>
  <c r="AP767" i="1" s="1"/>
  <c r="AB767" i="1" s="1"/>
  <c r="AO775" i="1"/>
  <c r="AP775" i="1" s="1"/>
  <c r="AB775" i="1" s="1"/>
  <c r="AO781" i="1"/>
  <c r="AP781" i="1" s="1"/>
  <c r="AB781" i="1" s="1"/>
  <c r="AO789" i="1"/>
  <c r="AP789" i="1" s="1"/>
  <c r="AB789" i="1" s="1"/>
  <c r="AO797" i="1"/>
  <c r="AP797" i="1" s="1"/>
  <c r="AB797" i="1" s="1"/>
  <c r="AO805" i="1"/>
  <c r="AP805" i="1" s="1"/>
  <c r="AB805" i="1" s="1"/>
  <c r="AO813" i="1"/>
  <c r="AP813" i="1" s="1"/>
  <c r="AB813" i="1" s="1"/>
  <c r="AO821" i="1"/>
  <c r="AP821" i="1" s="1"/>
  <c r="AB821" i="1" s="1"/>
  <c r="AO829" i="1"/>
  <c r="AP829" i="1" s="1"/>
  <c r="AB829" i="1" s="1"/>
  <c r="AO837" i="1"/>
  <c r="AP837" i="1" s="1"/>
  <c r="AB837" i="1" s="1"/>
  <c r="AO845" i="1"/>
  <c r="AP845" i="1" s="1"/>
  <c r="AB845" i="1" s="1"/>
  <c r="AO853" i="1"/>
  <c r="AP853" i="1" s="1"/>
  <c r="AB853" i="1" s="1"/>
  <c r="AO861" i="1"/>
  <c r="AP861" i="1" s="1"/>
  <c r="AB861" i="1" s="1"/>
  <c r="AO869" i="1"/>
  <c r="AP869" i="1" s="1"/>
  <c r="AB869" i="1" s="1"/>
  <c r="AO877" i="1"/>
  <c r="AP877" i="1" s="1"/>
  <c r="AB877" i="1" s="1"/>
  <c r="AO885" i="1"/>
  <c r="AP885" i="1" s="1"/>
  <c r="AB885" i="1" s="1"/>
  <c r="AO893" i="1"/>
  <c r="AP893" i="1" s="1"/>
  <c r="AB893" i="1" s="1"/>
  <c r="AO901" i="1"/>
  <c r="AP901" i="1" s="1"/>
  <c r="AB901" i="1" s="1"/>
  <c r="AO909" i="1"/>
  <c r="AP909" i="1" s="1"/>
  <c r="AB909" i="1" s="1"/>
  <c r="AO917" i="1"/>
  <c r="AP917" i="1" s="1"/>
  <c r="AB917" i="1" s="1"/>
  <c r="AO925" i="1"/>
  <c r="AP925" i="1" s="1"/>
  <c r="AB925" i="1" s="1"/>
  <c r="AO933" i="1"/>
  <c r="AP933" i="1" s="1"/>
  <c r="AB933" i="1" s="1"/>
  <c r="AO941" i="1"/>
  <c r="AP941" i="1" s="1"/>
  <c r="AB941" i="1" s="1"/>
  <c r="AO949" i="1"/>
  <c r="AP949" i="1" s="1"/>
  <c r="AB949" i="1" s="1"/>
  <c r="AO957" i="1"/>
  <c r="AP957" i="1" s="1"/>
  <c r="AB957" i="1" s="1"/>
  <c r="AO965" i="1"/>
  <c r="AP965" i="1" s="1"/>
  <c r="AB965" i="1" s="1"/>
  <c r="AO973" i="1"/>
  <c r="AP973" i="1" s="1"/>
  <c r="AB973" i="1" s="1"/>
  <c r="AO981" i="1"/>
  <c r="AP981" i="1" s="1"/>
  <c r="AB981" i="1" s="1"/>
  <c r="AO989" i="1"/>
  <c r="AP989" i="1" s="1"/>
  <c r="AB989" i="1" s="1"/>
  <c r="AO997" i="1"/>
  <c r="AP997" i="1" s="1"/>
  <c r="AB997" i="1" s="1"/>
  <c r="AO1005" i="1"/>
  <c r="AP1005" i="1" s="1"/>
  <c r="AB1005" i="1" s="1"/>
  <c r="AO1013" i="1"/>
  <c r="AP1013" i="1" s="1"/>
  <c r="AB1013" i="1" s="1"/>
  <c r="AO1021" i="1"/>
  <c r="AP1021" i="1" s="1"/>
  <c r="AB1021" i="1" s="1"/>
  <c r="AO1029" i="1"/>
  <c r="AP1029" i="1" s="1"/>
  <c r="AB1029" i="1" s="1"/>
  <c r="AO1037" i="1"/>
  <c r="AP1037" i="1" s="1"/>
  <c r="AB1037" i="1" s="1"/>
  <c r="AO1045" i="1"/>
  <c r="AP1045" i="1" s="1"/>
  <c r="AB1045" i="1" s="1"/>
  <c r="AO1053" i="1"/>
  <c r="AP1053" i="1" s="1"/>
  <c r="AB1053" i="1" s="1"/>
  <c r="AO1061" i="1"/>
  <c r="AP1061" i="1" s="1"/>
  <c r="AB1061" i="1" s="1"/>
  <c r="AO1069" i="1"/>
  <c r="AP1069" i="1" s="1"/>
  <c r="AB1069" i="1" s="1"/>
  <c r="AO1077" i="1"/>
  <c r="AP1077" i="1" s="1"/>
  <c r="AB1077" i="1" s="1"/>
  <c r="AO1085" i="1"/>
  <c r="AP1085" i="1" s="1"/>
  <c r="AB1085" i="1" s="1"/>
  <c r="AO1093" i="1"/>
  <c r="AP1093" i="1" s="1"/>
  <c r="AB1093" i="1" s="1"/>
  <c r="AO1101" i="1"/>
  <c r="AP1101" i="1" s="1"/>
  <c r="AB1101" i="1" s="1"/>
  <c r="AO1109" i="1"/>
  <c r="AP1109" i="1" s="1"/>
  <c r="AB1109" i="1" s="1"/>
  <c r="AO1117" i="1"/>
  <c r="AP1117" i="1" s="1"/>
  <c r="AB1117" i="1" s="1"/>
  <c r="AO1125" i="1"/>
  <c r="AP1125" i="1" s="1"/>
  <c r="AB1125" i="1" s="1"/>
  <c r="AO1133" i="1"/>
  <c r="AP1133" i="1" s="1"/>
  <c r="AB1133" i="1" s="1"/>
  <c r="AO1141" i="1"/>
  <c r="AP1141" i="1" s="1"/>
  <c r="AB1141" i="1" s="1"/>
  <c r="AO1149" i="1"/>
  <c r="AP1149" i="1" s="1"/>
  <c r="AB1149" i="1" s="1"/>
  <c r="AO1157" i="1"/>
  <c r="AP1157" i="1" s="1"/>
  <c r="AB1157" i="1" s="1"/>
  <c r="AO1165" i="1"/>
  <c r="AP1165" i="1" s="1"/>
  <c r="AB1165" i="1" s="1"/>
  <c r="AO1173" i="1"/>
  <c r="AP1173" i="1" s="1"/>
  <c r="AB1173" i="1" s="1"/>
  <c r="AO1181" i="1"/>
  <c r="AP1181" i="1" s="1"/>
  <c r="AB1181" i="1" s="1"/>
  <c r="AO1189" i="1"/>
  <c r="AP1189" i="1" s="1"/>
  <c r="AB1189" i="1" s="1"/>
  <c r="AO1197" i="1"/>
  <c r="AP1197" i="1" s="1"/>
  <c r="AB1197" i="1" s="1"/>
  <c r="AO1205" i="1"/>
  <c r="AP1205" i="1" s="1"/>
  <c r="AB1205" i="1" s="1"/>
  <c r="AO1211" i="1"/>
  <c r="AP1211" i="1" s="1"/>
  <c r="AB1211" i="1" s="1"/>
  <c r="AO1219" i="1"/>
  <c r="AP1219" i="1" s="1"/>
  <c r="AB1219" i="1" s="1"/>
  <c r="AO1227" i="1"/>
  <c r="AP1227" i="1" s="1"/>
  <c r="AB1227" i="1" s="1"/>
  <c r="AO1235" i="1"/>
  <c r="AP1235" i="1" s="1"/>
  <c r="AB1235" i="1" s="1"/>
  <c r="AO1243" i="1"/>
  <c r="AP1243" i="1" s="1"/>
  <c r="AB1243" i="1" s="1"/>
  <c r="AO1251" i="1"/>
  <c r="AP1251" i="1" s="1"/>
  <c r="AB1251" i="1" s="1"/>
  <c r="AO1259" i="1"/>
  <c r="AP1259" i="1" s="1"/>
  <c r="AB1259" i="1" s="1"/>
  <c r="AO1275" i="1"/>
  <c r="AP1275" i="1" s="1"/>
  <c r="AB1275" i="1" s="1"/>
  <c r="AO1291" i="1"/>
  <c r="AP1291" i="1" s="1"/>
  <c r="AB1291" i="1" s="1"/>
  <c r="AO1307" i="1"/>
  <c r="AP1307" i="1" s="1"/>
  <c r="AB1307" i="1" s="1"/>
  <c r="AO8" i="1"/>
  <c r="AP8" i="1" s="1"/>
  <c r="AB8" i="1" s="1"/>
  <c r="AO64" i="1"/>
  <c r="AP64" i="1" s="1"/>
  <c r="AB64" i="1" s="1"/>
  <c r="AO72" i="1"/>
  <c r="AP72" i="1" s="1"/>
  <c r="AB72" i="1" s="1"/>
  <c r="AO80" i="1"/>
  <c r="AP80" i="1" s="1"/>
  <c r="AB80" i="1" s="1"/>
  <c r="AO88" i="1"/>
  <c r="AP88" i="1" s="1"/>
  <c r="AB88" i="1" s="1"/>
  <c r="AO96" i="1"/>
  <c r="AP96" i="1" s="1"/>
  <c r="AB96" i="1" s="1"/>
  <c r="AO104" i="1"/>
  <c r="AP104" i="1" s="1"/>
  <c r="AB104" i="1" s="1"/>
  <c r="AO112" i="1"/>
  <c r="AP112" i="1" s="1"/>
  <c r="AB112" i="1" s="1"/>
  <c r="AO120" i="1"/>
  <c r="AP120" i="1" s="1"/>
  <c r="AB120" i="1" s="1"/>
  <c r="AO128" i="1"/>
  <c r="AP128" i="1" s="1"/>
  <c r="AB128" i="1" s="1"/>
  <c r="AO136" i="1"/>
  <c r="AP136" i="1" s="1"/>
  <c r="AB136" i="1" s="1"/>
  <c r="AO144" i="1"/>
  <c r="AP144" i="1" s="1"/>
  <c r="AB144" i="1" s="1"/>
  <c r="AO152" i="1"/>
  <c r="AP152" i="1" s="1"/>
  <c r="AB152" i="1" s="1"/>
  <c r="AO160" i="1"/>
  <c r="AP160" i="1" s="1"/>
  <c r="AB160" i="1" s="1"/>
  <c r="AO168" i="1"/>
  <c r="AP168" i="1" s="1"/>
  <c r="AB168" i="1" s="1"/>
  <c r="AO176" i="1"/>
  <c r="AP176" i="1" s="1"/>
  <c r="AB176" i="1" s="1"/>
  <c r="AO184" i="1"/>
  <c r="AP184" i="1" s="1"/>
  <c r="AB184" i="1" s="1"/>
  <c r="AO192" i="1"/>
  <c r="AP192" i="1" s="1"/>
  <c r="AB192" i="1" s="1"/>
  <c r="AO200" i="1"/>
  <c r="AP200" i="1" s="1"/>
  <c r="AB200" i="1" s="1"/>
  <c r="AO208" i="1"/>
  <c r="AP208" i="1" s="1"/>
  <c r="AB208" i="1" s="1"/>
  <c r="AO222" i="1"/>
  <c r="AP222" i="1" s="1"/>
  <c r="AB222" i="1" s="1"/>
  <c r="AO230" i="1"/>
  <c r="AP230" i="1" s="1"/>
  <c r="AB230" i="1" s="1"/>
  <c r="AO238" i="1"/>
  <c r="AP238" i="1" s="1"/>
  <c r="AB238" i="1" s="1"/>
  <c r="AO246" i="1"/>
  <c r="AP246" i="1" s="1"/>
  <c r="AB246" i="1" s="1"/>
  <c r="AO254" i="1"/>
  <c r="AP254" i="1" s="1"/>
  <c r="AB254" i="1" s="1"/>
  <c r="AO262" i="1"/>
  <c r="AP262" i="1" s="1"/>
  <c r="AB262" i="1" s="1"/>
  <c r="AO270" i="1"/>
  <c r="AP270" i="1" s="1"/>
  <c r="AB270" i="1" s="1"/>
  <c r="AO278" i="1"/>
  <c r="AP278" i="1" s="1"/>
  <c r="AB278" i="1" s="1"/>
  <c r="AO286" i="1"/>
  <c r="AP286" i="1" s="1"/>
  <c r="AB286" i="1" s="1"/>
  <c r="AO294" i="1"/>
  <c r="AP294" i="1" s="1"/>
  <c r="AB294" i="1" s="1"/>
  <c r="AO302" i="1"/>
  <c r="AP302" i="1" s="1"/>
  <c r="AB302" i="1" s="1"/>
  <c r="AO310" i="1"/>
  <c r="AP310" i="1" s="1"/>
  <c r="AB310" i="1" s="1"/>
  <c r="AO318" i="1"/>
  <c r="AP318" i="1" s="1"/>
  <c r="AB318" i="1" s="1"/>
  <c r="AO326" i="1"/>
  <c r="AP326" i="1" s="1"/>
  <c r="AB326" i="1" s="1"/>
  <c r="AO334" i="1"/>
  <c r="AP334" i="1" s="1"/>
  <c r="AB334" i="1" s="1"/>
  <c r="AO342" i="1"/>
  <c r="AP342" i="1" s="1"/>
  <c r="AB342" i="1" s="1"/>
  <c r="AO350" i="1"/>
  <c r="AP350" i="1" s="1"/>
  <c r="AB350" i="1" s="1"/>
  <c r="AO358" i="1"/>
  <c r="AP358" i="1" s="1"/>
  <c r="AB358" i="1" s="1"/>
  <c r="AO374" i="1"/>
  <c r="AP374" i="1" s="1"/>
  <c r="AB374" i="1" s="1"/>
  <c r="AO382" i="1"/>
  <c r="AP382" i="1" s="1"/>
  <c r="AB382" i="1" s="1"/>
  <c r="AO390" i="1"/>
  <c r="AP390" i="1" s="1"/>
  <c r="AB390" i="1" s="1"/>
  <c r="AO398" i="1"/>
  <c r="AP398" i="1" s="1"/>
  <c r="AB398" i="1" s="1"/>
  <c r="AO406" i="1"/>
  <c r="AP406" i="1" s="1"/>
  <c r="AB406" i="1" s="1"/>
  <c r="AO414" i="1"/>
  <c r="AP414" i="1" s="1"/>
  <c r="AB414" i="1" s="1"/>
  <c r="AO422" i="1"/>
  <c r="AP422" i="1" s="1"/>
  <c r="AB422" i="1" s="1"/>
  <c r="AO438" i="1"/>
  <c r="AP438" i="1" s="1"/>
  <c r="AB438" i="1" s="1"/>
  <c r="AO446" i="1"/>
  <c r="AP446" i="1" s="1"/>
  <c r="AB446" i="1" s="1"/>
  <c r="AO454" i="1"/>
  <c r="AP454" i="1" s="1"/>
  <c r="AB454" i="1" s="1"/>
  <c r="AO462" i="1"/>
  <c r="AP462" i="1" s="1"/>
  <c r="AB462" i="1" s="1"/>
  <c r="AO478" i="1"/>
  <c r="AP478" i="1" s="1"/>
  <c r="AB478" i="1" s="1"/>
  <c r="AO486" i="1"/>
  <c r="AP486" i="1" s="1"/>
  <c r="AB486" i="1" s="1"/>
  <c r="AO494" i="1"/>
  <c r="AP494" i="1" s="1"/>
  <c r="AB494" i="1" s="1"/>
  <c r="AO502" i="1"/>
  <c r="AP502" i="1" s="1"/>
  <c r="AB502" i="1" s="1"/>
  <c r="AO510" i="1"/>
  <c r="AP510" i="1" s="1"/>
  <c r="AB510" i="1" s="1"/>
  <c r="AO518" i="1"/>
  <c r="AP518" i="1" s="1"/>
  <c r="AB518" i="1" s="1"/>
  <c r="AO526" i="1"/>
  <c r="AP526" i="1" s="1"/>
  <c r="AB526" i="1" s="1"/>
  <c r="AO581" i="1"/>
  <c r="AP581" i="1" s="1"/>
  <c r="AB581" i="1" s="1"/>
  <c r="AO589" i="1"/>
  <c r="AP589" i="1" s="1"/>
  <c r="AB589" i="1" s="1"/>
  <c r="AO597" i="1"/>
  <c r="AP597" i="1" s="1"/>
  <c r="AB597" i="1" s="1"/>
  <c r="AO620" i="1"/>
  <c r="AP620" i="1" s="1"/>
  <c r="AB620" i="1" s="1"/>
  <c r="AO1190" i="1"/>
  <c r="AP1190" i="1" s="1"/>
  <c r="AB1190" i="1" s="1"/>
  <c r="AO1198" i="1"/>
  <c r="AP1198" i="1" s="1"/>
  <c r="AB1198" i="1" s="1"/>
  <c r="AO1206" i="1"/>
  <c r="AP1206" i="1" s="1"/>
  <c r="AB1206" i="1" s="1"/>
  <c r="AO1212" i="1"/>
  <c r="AP1212" i="1" s="1"/>
  <c r="AB1212" i="1" s="1"/>
  <c r="AO1220" i="1"/>
  <c r="AP1220" i="1" s="1"/>
  <c r="AB1220" i="1" s="1"/>
  <c r="AO1228" i="1"/>
  <c r="AP1228" i="1" s="1"/>
  <c r="AB1228" i="1" s="1"/>
  <c r="AO1236" i="1"/>
  <c r="AP1236" i="1" s="1"/>
  <c r="AB1236" i="1" s="1"/>
  <c r="AO1244" i="1"/>
  <c r="AP1244" i="1" s="1"/>
  <c r="AB1244" i="1" s="1"/>
  <c r="AO1252" i="1"/>
  <c r="AP1252" i="1" s="1"/>
  <c r="AB1252" i="1" s="1"/>
  <c r="AO1260" i="1"/>
  <c r="AP1260" i="1" s="1"/>
  <c r="AB1260" i="1" s="1"/>
  <c r="AO1268" i="1"/>
  <c r="AP1268" i="1" s="1"/>
  <c r="AB1268" i="1" s="1"/>
  <c r="AO1276" i="1"/>
  <c r="AP1276" i="1" s="1"/>
  <c r="AB1276" i="1" s="1"/>
  <c r="AO1284" i="1"/>
  <c r="AP1284" i="1" s="1"/>
  <c r="AB1284" i="1" s="1"/>
  <c r="AO1292" i="1"/>
  <c r="AP1292" i="1" s="1"/>
  <c r="AB1292" i="1" s="1"/>
  <c r="AO1300" i="1"/>
  <c r="AP1300" i="1" s="1"/>
  <c r="AB1300" i="1" s="1"/>
  <c r="AO1308" i="1"/>
  <c r="AP1308" i="1" s="1"/>
  <c r="AB1308" i="1" s="1"/>
  <c r="AO1316" i="1"/>
  <c r="AP1316" i="1" s="1"/>
  <c r="AB1316" i="1" s="1"/>
  <c r="AO1324" i="1"/>
  <c r="AP1324" i="1" s="1"/>
  <c r="AB1324" i="1" s="1"/>
  <c r="AO1332" i="1"/>
  <c r="AP1332" i="1" s="1"/>
  <c r="AB1332" i="1" s="1"/>
  <c r="AO1340" i="1"/>
  <c r="AP1340" i="1" s="1"/>
  <c r="AB1340" i="1" s="1"/>
  <c r="AO1348" i="1"/>
  <c r="AP1348" i="1" s="1"/>
  <c r="AB1348" i="1" s="1"/>
  <c r="AO1356" i="1"/>
  <c r="AP1356" i="1" s="1"/>
  <c r="AB1356" i="1" s="1"/>
  <c r="AO1364" i="1"/>
  <c r="AP1364" i="1" s="1"/>
  <c r="AB1364" i="1" s="1"/>
  <c r="AO113" i="1"/>
  <c r="AP113" i="1" s="1"/>
  <c r="AB113" i="1" s="1"/>
  <c r="AO121" i="1"/>
  <c r="AP121" i="1" s="1"/>
  <c r="AB121" i="1" s="1"/>
  <c r="AO129" i="1"/>
  <c r="AP129" i="1" s="1"/>
  <c r="AB129" i="1" s="1"/>
  <c r="AO137" i="1"/>
  <c r="AP137" i="1" s="1"/>
  <c r="AB137" i="1" s="1"/>
  <c r="AO145" i="1"/>
  <c r="AP145" i="1" s="1"/>
  <c r="AB145" i="1" s="1"/>
  <c r="AO153" i="1"/>
  <c r="AP153" i="1" s="1"/>
  <c r="AB153" i="1" s="1"/>
  <c r="AO161" i="1"/>
  <c r="AP161" i="1" s="1"/>
  <c r="AB161" i="1" s="1"/>
  <c r="AO169" i="1"/>
  <c r="AP169" i="1" s="1"/>
  <c r="AB169" i="1" s="1"/>
  <c r="AO177" i="1"/>
  <c r="AP177" i="1" s="1"/>
  <c r="AB177" i="1" s="1"/>
  <c r="AO185" i="1"/>
  <c r="AP185" i="1" s="1"/>
  <c r="AB185" i="1" s="1"/>
  <c r="AO193" i="1"/>
  <c r="AP193" i="1" s="1"/>
  <c r="AB193" i="1" s="1"/>
  <c r="AO201" i="1"/>
  <c r="AP201" i="1" s="1"/>
  <c r="AB201" i="1" s="1"/>
  <c r="AO209" i="1"/>
  <c r="AP209" i="1" s="1"/>
  <c r="AB209" i="1" s="1"/>
  <c r="AO223" i="1"/>
  <c r="AP223" i="1" s="1"/>
  <c r="AB223" i="1" s="1"/>
  <c r="AO231" i="1"/>
  <c r="AP231" i="1" s="1"/>
  <c r="AB231" i="1" s="1"/>
  <c r="AO239" i="1"/>
  <c r="AP239" i="1" s="1"/>
  <c r="AB239" i="1" s="1"/>
  <c r="AO255" i="1"/>
  <c r="AP255" i="1" s="1"/>
  <c r="AB255" i="1" s="1"/>
  <c r="AO263" i="1"/>
  <c r="AP263" i="1" s="1"/>
  <c r="AB263" i="1" s="1"/>
  <c r="AO271" i="1"/>
  <c r="AP271" i="1" s="1"/>
  <c r="AB271" i="1" s="1"/>
  <c r="AO279" i="1"/>
  <c r="AP279" i="1" s="1"/>
  <c r="AB279" i="1" s="1"/>
  <c r="AO287" i="1"/>
  <c r="AP287" i="1" s="1"/>
  <c r="AB287" i="1" s="1"/>
  <c r="AO295" i="1"/>
  <c r="AP295" i="1" s="1"/>
  <c r="AB295" i="1" s="1"/>
  <c r="AO303" i="1"/>
  <c r="AP303" i="1" s="1"/>
  <c r="AB303" i="1" s="1"/>
  <c r="AO319" i="1"/>
  <c r="AP319" i="1" s="1"/>
  <c r="AB319" i="1" s="1"/>
  <c r="AO327" i="1"/>
  <c r="AP327" i="1" s="1"/>
  <c r="AB327" i="1" s="1"/>
  <c r="AO335" i="1"/>
  <c r="AP335" i="1" s="1"/>
  <c r="AB335" i="1" s="1"/>
  <c r="AO343" i="1"/>
  <c r="AP343" i="1" s="1"/>
  <c r="AB343" i="1" s="1"/>
  <c r="AO351" i="1"/>
  <c r="AP351" i="1" s="1"/>
  <c r="AB351" i="1" s="1"/>
  <c r="AO359" i="1"/>
  <c r="AP359" i="1" s="1"/>
  <c r="AB359" i="1" s="1"/>
  <c r="AO367" i="1"/>
  <c r="AP367" i="1" s="1"/>
  <c r="AB367" i="1" s="1"/>
  <c r="AO383" i="1"/>
  <c r="AP383" i="1" s="1"/>
  <c r="AB383" i="1" s="1"/>
  <c r="AO391" i="1"/>
  <c r="AP391" i="1" s="1"/>
  <c r="AB391" i="1" s="1"/>
  <c r="AO399" i="1"/>
  <c r="AP399" i="1" s="1"/>
  <c r="AB399" i="1" s="1"/>
  <c r="AO407" i="1"/>
  <c r="AP407" i="1" s="1"/>
  <c r="AB407" i="1" s="1"/>
  <c r="AO415" i="1"/>
  <c r="AP415" i="1" s="1"/>
  <c r="AB415" i="1" s="1"/>
  <c r="AO423" i="1"/>
  <c r="AP423" i="1" s="1"/>
  <c r="AB423" i="1" s="1"/>
  <c r="AO431" i="1"/>
  <c r="AP431" i="1" s="1"/>
  <c r="AB431" i="1" s="1"/>
  <c r="AO439" i="1"/>
  <c r="AP439" i="1" s="1"/>
  <c r="AB439" i="1" s="1"/>
  <c r="AO447" i="1"/>
  <c r="AP447" i="1" s="1"/>
  <c r="AB447" i="1" s="1"/>
  <c r="AO455" i="1"/>
  <c r="AP455" i="1" s="1"/>
  <c r="AB455" i="1" s="1"/>
  <c r="AO463" i="1"/>
  <c r="AP463" i="1" s="1"/>
  <c r="AB463" i="1" s="1"/>
  <c r="AO471" i="1"/>
  <c r="AP471" i="1" s="1"/>
  <c r="AB471" i="1" s="1"/>
  <c r="AO479" i="1"/>
  <c r="AP479" i="1" s="1"/>
  <c r="AB479" i="1" s="1"/>
  <c r="AO487" i="1"/>
  <c r="AP487" i="1" s="1"/>
  <c r="AB487" i="1" s="1"/>
  <c r="AO503" i="1"/>
  <c r="AP503" i="1" s="1"/>
  <c r="AB503" i="1" s="1"/>
  <c r="AO511" i="1"/>
  <c r="AP511" i="1" s="1"/>
  <c r="AB511" i="1" s="1"/>
  <c r="AO519" i="1"/>
  <c r="AP519" i="1" s="1"/>
  <c r="AB519" i="1" s="1"/>
  <c r="AO527" i="1"/>
  <c r="AP527" i="1" s="1"/>
  <c r="AB527" i="1" s="1"/>
  <c r="AO535" i="1"/>
  <c r="AP535" i="1" s="1"/>
  <c r="AO543" i="1"/>
  <c r="AP543" i="1" s="1"/>
  <c r="AB543" i="1" s="1"/>
  <c r="AO551" i="1"/>
  <c r="AP551" i="1" s="1"/>
  <c r="AB551" i="1" s="1"/>
  <c r="AO559" i="1"/>
  <c r="AP559" i="1" s="1"/>
  <c r="AB559" i="1" s="1"/>
  <c r="AO567" i="1"/>
  <c r="AP567" i="1" s="1"/>
  <c r="AB567" i="1" s="1"/>
  <c r="AO575" i="1"/>
  <c r="AP575" i="1" s="1"/>
  <c r="AB575" i="1" s="1"/>
  <c r="AO605" i="1"/>
  <c r="AP605" i="1" s="1"/>
  <c r="AB605" i="1" s="1"/>
  <c r="AO613" i="1"/>
  <c r="AP613" i="1" s="1"/>
  <c r="AB613" i="1" s="1"/>
  <c r="AO621" i="1"/>
  <c r="AP621" i="1" s="1"/>
  <c r="AB621" i="1" s="1"/>
  <c r="AO637" i="1"/>
  <c r="AP637" i="1" s="1"/>
  <c r="AB637" i="1" s="1"/>
  <c r="AO645" i="1"/>
  <c r="AP645" i="1" s="1"/>
  <c r="AB645" i="1" s="1"/>
  <c r="AO653" i="1"/>
  <c r="AP653" i="1" s="1"/>
  <c r="AB653" i="1" s="1"/>
  <c r="AO661" i="1"/>
  <c r="AP661" i="1" s="1"/>
  <c r="AB661" i="1" s="1"/>
  <c r="AO669" i="1"/>
  <c r="AP669" i="1" s="1"/>
  <c r="AB669" i="1" s="1"/>
  <c r="AO677" i="1"/>
  <c r="AP677" i="1" s="1"/>
  <c r="AB677" i="1" s="1"/>
  <c r="AO685" i="1"/>
  <c r="AP685" i="1" s="1"/>
  <c r="AB685" i="1" s="1"/>
  <c r="AO699" i="1"/>
  <c r="AP699" i="1" s="1"/>
  <c r="AB699" i="1" s="1"/>
  <c r="AO707" i="1"/>
  <c r="AP707" i="1" s="1"/>
  <c r="AB707" i="1" s="1"/>
  <c r="AO715" i="1"/>
  <c r="AP715" i="1" s="1"/>
  <c r="AB715" i="1" s="1"/>
  <c r="AO721" i="1"/>
  <c r="AP721" i="1" s="1"/>
  <c r="AB721" i="1" s="1"/>
  <c r="AO729" i="1"/>
  <c r="AP729" i="1" s="1"/>
  <c r="AB729" i="1" s="1"/>
  <c r="AO737" i="1"/>
  <c r="AP737" i="1" s="1"/>
  <c r="AB737" i="1" s="1"/>
  <c r="AO745" i="1"/>
  <c r="AP745" i="1" s="1"/>
  <c r="AB745" i="1" s="1"/>
  <c r="AO753" i="1"/>
  <c r="AP753" i="1" s="1"/>
  <c r="AB753" i="1" s="1"/>
  <c r="AO761" i="1"/>
  <c r="AP761" i="1" s="1"/>
  <c r="AB761" i="1" s="1"/>
  <c r="AO769" i="1"/>
  <c r="AP769" i="1" s="1"/>
  <c r="AB769" i="1" s="1"/>
  <c r="AO783" i="1"/>
  <c r="AP783" i="1" s="1"/>
  <c r="AB783" i="1" s="1"/>
  <c r="AO791" i="1"/>
  <c r="AP791" i="1" s="1"/>
  <c r="AB791" i="1" s="1"/>
  <c r="AO799" i="1"/>
  <c r="AP799" i="1" s="1"/>
  <c r="AB799" i="1" s="1"/>
  <c r="AO807" i="1"/>
  <c r="AP807" i="1" s="1"/>
  <c r="AB807" i="1" s="1"/>
  <c r="AO815" i="1"/>
  <c r="AP815" i="1" s="1"/>
  <c r="AB815" i="1" s="1"/>
  <c r="AO823" i="1"/>
  <c r="AP823" i="1" s="1"/>
  <c r="AB823" i="1" s="1"/>
  <c r="AO831" i="1"/>
  <c r="AP831" i="1" s="1"/>
  <c r="AB831" i="1" s="1"/>
  <c r="AO839" i="1"/>
  <c r="AP839" i="1" s="1"/>
  <c r="AB839" i="1" s="1"/>
  <c r="AO847" i="1"/>
  <c r="AP847" i="1" s="1"/>
  <c r="AB847" i="1" s="1"/>
  <c r="AO855" i="1"/>
  <c r="AP855" i="1" s="1"/>
  <c r="AB855" i="1" s="1"/>
  <c r="AO863" i="1"/>
  <c r="AP863" i="1" s="1"/>
  <c r="AB863" i="1" s="1"/>
  <c r="AO871" i="1"/>
  <c r="AP871" i="1" s="1"/>
  <c r="AB871" i="1" s="1"/>
  <c r="AO879" i="1"/>
  <c r="AP879" i="1" s="1"/>
  <c r="AB879" i="1" s="1"/>
  <c r="AO887" i="1"/>
  <c r="AP887" i="1" s="1"/>
  <c r="AB887" i="1" s="1"/>
  <c r="AO895" i="1"/>
  <c r="AP895" i="1" s="1"/>
  <c r="AB895" i="1" s="1"/>
  <c r="AO903" i="1"/>
  <c r="AP903" i="1" s="1"/>
  <c r="AB903" i="1" s="1"/>
  <c r="AO911" i="1"/>
  <c r="AP911" i="1" s="1"/>
  <c r="AB911" i="1" s="1"/>
  <c r="AO919" i="1"/>
  <c r="AP919" i="1" s="1"/>
  <c r="AB919" i="1" s="1"/>
  <c r="AO927" i="1"/>
  <c r="AP927" i="1" s="1"/>
  <c r="AB927" i="1" s="1"/>
  <c r="AO935" i="1"/>
  <c r="AP935" i="1" s="1"/>
  <c r="AB935" i="1" s="1"/>
  <c r="AO943" i="1"/>
  <c r="AP943" i="1" s="1"/>
  <c r="AB943" i="1" s="1"/>
  <c r="AO951" i="1"/>
  <c r="AP951" i="1" s="1"/>
  <c r="AB951" i="1" s="1"/>
  <c r="AO959" i="1"/>
  <c r="AP959" i="1" s="1"/>
  <c r="AB959" i="1" s="1"/>
  <c r="AO967" i="1"/>
  <c r="AP967" i="1" s="1"/>
  <c r="AB967" i="1" s="1"/>
  <c r="AO975" i="1"/>
  <c r="AP975" i="1" s="1"/>
  <c r="AB975" i="1" s="1"/>
  <c r="AO983" i="1"/>
  <c r="AP983" i="1" s="1"/>
  <c r="AB983" i="1" s="1"/>
  <c r="AO991" i="1"/>
  <c r="AP991" i="1" s="1"/>
  <c r="AB991" i="1" s="1"/>
  <c r="AO999" i="1"/>
  <c r="AP999" i="1" s="1"/>
  <c r="AB999" i="1" s="1"/>
  <c r="AO1007" i="1"/>
  <c r="AP1007" i="1" s="1"/>
  <c r="AB1007" i="1" s="1"/>
  <c r="AO1015" i="1"/>
  <c r="AP1015" i="1" s="1"/>
  <c r="AB1015" i="1" s="1"/>
  <c r="AO1023" i="1"/>
  <c r="AP1023" i="1" s="1"/>
  <c r="AB1023" i="1" s="1"/>
  <c r="AO1031" i="1"/>
  <c r="AP1031" i="1" s="1"/>
  <c r="AB1031" i="1" s="1"/>
  <c r="AO1039" i="1"/>
  <c r="AP1039" i="1" s="1"/>
  <c r="AB1039" i="1" s="1"/>
  <c r="AO1047" i="1"/>
  <c r="AP1047" i="1" s="1"/>
  <c r="AB1047" i="1" s="1"/>
  <c r="AO1055" i="1"/>
  <c r="AP1055" i="1" s="1"/>
  <c r="AB1055" i="1" s="1"/>
  <c r="AO1063" i="1"/>
  <c r="AP1063" i="1" s="1"/>
  <c r="AB1063" i="1" s="1"/>
  <c r="AO1071" i="1"/>
  <c r="AP1071" i="1" s="1"/>
  <c r="AB1071" i="1" s="1"/>
  <c r="AO1079" i="1"/>
  <c r="AP1079" i="1" s="1"/>
  <c r="AB1079" i="1" s="1"/>
  <c r="AO1087" i="1"/>
  <c r="AP1087" i="1" s="1"/>
  <c r="AB1087" i="1" s="1"/>
  <c r="AO1095" i="1"/>
  <c r="AP1095" i="1" s="1"/>
  <c r="AB1095" i="1" s="1"/>
  <c r="AO1103" i="1"/>
  <c r="AP1103" i="1" s="1"/>
  <c r="AB1103" i="1" s="1"/>
  <c r="AO1111" i="1"/>
  <c r="AP1111" i="1" s="1"/>
  <c r="AB1111" i="1" s="1"/>
  <c r="AO1119" i="1"/>
  <c r="AP1119" i="1" s="1"/>
  <c r="AB1119" i="1" s="1"/>
  <c r="AO1127" i="1"/>
  <c r="AP1127" i="1" s="1"/>
  <c r="AB1127" i="1" s="1"/>
  <c r="AO1135" i="1"/>
  <c r="AP1135" i="1" s="1"/>
  <c r="AB1135" i="1" s="1"/>
  <c r="AO1143" i="1"/>
  <c r="AP1143" i="1" s="1"/>
  <c r="AB1143" i="1" s="1"/>
  <c r="AO1151" i="1"/>
  <c r="AP1151" i="1" s="1"/>
  <c r="AB1151" i="1" s="1"/>
  <c r="AO1159" i="1"/>
  <c r="AP1159" i="1" s="1"/>
  <c r="AB1159" i="1" s="1"/>
  <c r="AO1167" i="1"/>
  <c r="AP1167" i="1" s="1"/>
  <c r="AB1167" i="1" s="1"/>
  <c r="AO1175" i="1"/>
  <c r="AP1175" i="1" s="1"/>
  <c r="AB1175" i="1" s="1"/>
  <c r="AO1183" i="1"/>
  <c r="AP1183" i="1" s="1"/>
  <c r="AB1183" i="1" s="1"/>
  <c r="AO1191" i="1"/>
  <c r="AP1191" i="1" s="1"/>
  <c r="AB1191" i="1" s="1"/>
  <c r="AO1199" i="1"/>
  <c r="AP1199" i="1" s="1"/>
  <c r="AB1199" i="1" s="1"/>
  <c r="AO1213" i="1"/>
  <c r="AP1213" i="1" s="1"/>
  <c r="AB1213" i="1" s="1"/>
  <c r="AO1221" i="1"/>
  <c r="AP1221" i="1" s="1"/>
  <c r="AB1221" i="1" s="1"/>
  <c r="AO1229" i="1"/>
  <c r="AP1229" i="1" s="1"/>
  <c r="AB1229" i="1" s="1"/>
  <c r="AO1237" i="1"/>
  <c r="AP1237" i="1" s="1"/>
  <c r="AB1237" i="1" s="1"/>
  <c r="AO1245" i="1"/>
  <c r="AP1245" i="1" s="1"/>
  <c r="AB1245" i="1" s="1"/>
  <c r="AO1253" i="1"/>
  <c r="AP1253" i="1" s="1"/>
  <c r="AB1253" i="1" s="1"/>
  <c r="AO1261" i="1"/>
  <c r="AP1261" i="1" s="1"/>
  <c r="AB1261" i="1" s="1"/>
  <c r="AO1269" i="1"/>
  <c r="AP1269" i="1" s="1"/>
  <c r="AB1269" i="1" s="1"/>
  <c r="AO1277" i="1"/>
  <c r="AP1277" i="1" s="1"/>
  <c r="AB1277" i="1" s="1"/>
  <c r="AO1285" i="1"/>
  <c r="AP1285" i="1" s="1"/>
  <c r="AB1285" i="1" s="1"/>
  <c r="AO1293" i="1"/>
  <c r="AP1293" i="1" s="1"/>
  <c r="AB1293" i="1" s="1"/>
  <c r="AO1301" i="1"/>
  <c r="AP1301" i="1" s="1"/>
  <c r="AB1301" i="1" s="1"/>
  <c r="AO1309" i="1"/>
  <c r="AP1309" i="1" s="1"/>
  <c r="AB1309" i="1" s="1"/>
  <c r="AO1317" i="1"/>
  <c r="AP1317" i="1" s="1"/>
  <c r="AB1317" i="1" s="1"/>
  <c r="AO1325" i="1"/>
  <c r="AP1325" i="1" s="1"/>
  <c r="AB1325" i="1" s="1"/>
  <c r="AO1333" i="1"/>
  <c r="AP1333" i="1" s="1"/>
  <c r="AB1333" i="1" s="1"/>
  <c r="AO1341" i="1"/>
  <c r="AP1341" i="1" s="1"/>
  <c r="AB1341" i="1" s="1"/>
  <c r="AO1349" i="1"/>
  <c r="AP1349" i="1" s="1"/>
  <c r="AB1349" i="1" s="1"/>
  <c r="AO1357" i="1"/>
  <c r="AP1357" i="1" s="1"/>
  <c r="AB1357" i="1" s="1"/>
  <c r="AO1365" i="1"/>
  <c r="AP1365" i="1" s="1"/>
  <c r="AB1365" i="1" s="1"/>
  <c r="AO110" i="1"/>
  <c r="AP110" i="1" s="1"/>
  <c r="AB110" i="1" s="1"/>
  <c r="AO228" i="1"/>
  <c r="AP228" i="1" s="1"/>
  <c r="AB228" i="1" s="1"/>
  <c r="AO236" i="1"/>
  <c r="AP236" i="1" s="1"/>
  <c r="AB236" i="1" s="1"/>
  <c r="AO244" i="1"/>
  <c r="AP244" i="1" s="1"/>
  <c r="AB244" i="1" s="1"/>
  <c r="AO252" i="1"/>
  <c r="AP252" i="1" s="1"/>
  <c r="AB252" i="1" s="1"/>
  <c r="AO260" i="1"/>
  <c r="AP260" i="1" s="1"/>
  <c r="AB260" i="1" s="1"/>
  <c r="AO268" i="1"/>
  <c r="AP268" i="1" s="1"/>
  <c r="AB268" i="1" s="1"/>
  <c r="AO276" i="1"/>
  <c r="AP276" i="1" s="1"/>
  <c r="AB276" i="1" s="1"/>
  <c r="AO284" i="1"/>
  <c r="AP284" i="1" s="1"/>
  <c r="AB284" i="1" s="1"/>
  <c r="AO292" i="1"/>
  <c r="AP292" i="1" s="1"/>
  <c r="AB292" i="1" s="1"/>
  <c r="AO300" i="1"/>
  <c r="AP300" i="1" s="1"/>
  <c r="AB300" i="1" s="1"/>
  <c r="AO308" i="1"/>
  <c r="AP308" i="1" s="1"/>
  <c r="AB308" i="1" s="1"/>
  <c r="AO316" i="1"/>
  <c r="AP316" i="1" s="1"/>
  <c r="AB316" i="1" s="1"/>
  <c r="AO324" i="1"/>
  <c r="AP324" i="1" s="1"/>
  <c r="AB324" i="1" s="1"/>
  <c r="AO332" i="1"/>
  <c r="AP332" i="1" s="1"/>
  <c r="AB332" i="1" s="1"/>
  <c r="AO340" i="1"/>
  <c r="AP340" i="1" s="1"/>
  <c r="AB340" i="1" s="1"/>
  <c r="AO348" i="1"/>
  <c r="AP348" i="1" s="1"/>
  <c r="AB348" i="1" s="1"/>
  <c r="AO354" i="1"/>
  <c r="AP354" i="1" s="1"/>
  <c r="AB354" i="1" s="1"/>
  <c r="AO362" i="1"/>
  <c r="AP362" i="1" s="1"/>
  <c r="AB362" i="1" s="1"/>
  <c r="AO370" i="1"/>
  <c r="AP370" i="1" s="1"/>
  <c r="AB370" i="1" s="1"/>
  <c r="AO378" i="1"/>
  <c r="AP378" i="1" s="1"/>
  <c r="AB378" i="1" s="1"/>
  <c r="AO386" i="1"/>
  <c r="AP386" i="1" s="1"/>
  <c r="AB386" i="1" s="1"/>
  <c r="AO394" i="1"/>
  <c r="AP394" i="1" s="1"/>
  <c r="AB394" i="1" s="1"/>
  <c r="AO402" i="1"/>
  <c r="AP402" i="1" s="1"/>
  <c r="AB402" i="1" s="1"/>
  <c r="AO410" i="1"/>
  <c r="AP410" i="1" s="1"/>
  <c r="AB410" i="1" s="1"/>
  <c r="AO418" i="1"/>
  <c r="AP418" i="1" s="1"/>
  <c r="AB418" i="1" s="1"/>
  <c r="AO426" i="1"/>
  <c r="AP426" i="1" s="1"/>
  <c r="AB426" i="1" s="1"/>
  <c r="AO434" i="1"/>
  <c r="AP434" i="1" s="1"/>
  <c r="AB434" i="1" s="1"/>
  <c r="AO442" i="1"/>
  <c r="AP442" i="1" s="1"/>
  <c r="AB442" i="1" s="1"/>
  <c r="AO450" i="1"/>
  <c r="AP450" i="1" s="1"/>
  <c r="AB450" i="1" s="1"/>
  <c r="AO458" i="1"/>
  <c r="AP458" i="1" s="1"/>
  <c r="AB458" i="1" s="1"/>
  <c r="AO466" i="1"/>
  <c r="AP466" i="1" s="1"/>
  <c r="AB466" i="1" s="1"/>
  <c r="AO474" i="1"/>
  <c r="AP474" i="1" s="1"/>
  <c r="AB474" i="1" s="1"/>
  <c r="AO482" i="1"/>
  <c r="AP482" i="1" s="1"/>
  <c r="AB482" i="1" s="1"/>
  <c r="AO490" i="1"/>
  <c r="AP490" i="1" s="1"/>
  <c r="AB490" i="1" s="1"/>
  <c r="AO498" i="1"/>
  <c r="AP498" i="1" s="1"/>
  <c r="AB498" i="1" s="1"/>
  <c r="AO506" i="1"/>
  <c r="AP506" i="1" s="1"/>
  <c r="AB506" i="1" s="1"/>
  <c r="AO514" i="1"/>
  <c r="AP514" i="1" s="1"/>
  <c r="AB514" i="1" s="1"/>
  <c r="AO522" i="1"/>
  <c r="AP522" i="1" s="1"/>
  <c r="AB522" i="1" s="1"/>
  <c r="AO530" i="1"/>
  <c r="AP530" i="1" s="1"/>
  <c r="AB530" i="1" s="1"/>
  <c r="AO536" i="1"/>
  <c r="AP536" i="1" s="1"/>
  <c r="AB536" i="1" s="1"/>
  <c r="AO560" i="1"/>
  <c r="AP560" i="1" s="1"/>
  <c r="AB560" i="1" s="1"/>
  <c r="AO576" i="1"/>
  <c r="AP576" i="1" s="1"/>
  <c r="AB576" i="1" s="1"/>
  <c r="AO582" i="1"/>
  <c r="AP582" i="1" s="1"/>
  <c r="AB582" i="1" s="1"/>
  <c r="AO590" i="1"/>
  <c r="AP590" i="1" s="1"/>
  <c r="AB590" i="1" s="1"/>
  <c r="AO604" i="1"/>
  <c r="AP604" i="1" s="1"/>
  <c r="AB604" i="1" s="1"/>
  <c r="AO612" i="1"/>
  <c r="AP612" i="1" s="1"/>
  <c r="AB612" i="1" s="1"/>
  <c r="AO628" i="1"/>
  <c r="AP628" i="1" s="1"/>
  <c r="AB628" i="1" s="1"/>
  <c r="AO636" i="1"/>
  <c r="AP636" i="1" s="1"/>
  <c r="AB636" i="1" s="1"/>
  <c r="AO644" i="1"/>
  <c r="AP644" i="1" s="1"/>
  <c r="AB644" i="1" s="1"/>
  <c r="AO652" i="1"/>
  <c r="AP652" i="1" s="1"/>
  <c r="AB652" i="1" s="1"/>
  <c r="AO660" i="1"/>
  <c r="AP660" i="1" s="1"/>
  <c r="AB660" i="1" s="1"/>
  <c r="AO668" i="1"/>
  <c r="AP668" i="1" s="1"/>
  <c r="AB668" i="1" s="1"/>
  <c r="AO676" i="1"/>
  <c r="AP676" i="1" s="1"/>
  <c r="AB676" i="1" s="1"/>
  <c r="AO684" i="1"/>
  <c r="AP684" i="1" s="1"/>
  <c r="AB684" i="1" s="1"/>
  <c r="AO692" i="1"/>
  <c r="AP692" i="1" s="1"/>
  <c r="AB692" i="1" s="1"/>
  <c r="AO698" i="1"/>
  <c r="AP698" i="1" s="1"/>
  <c r="AB698" i="1" s="1"/>
  <c r="AO706" i="1"/>
  <c r="AP706" i="1" s="1"/>
  <c r="AB706" i="1" s="1"/>
  <c r="AO714" i="1"/>
  <c r="AP714" i="1" s="1"/>
  <c r="AB714" i="1" s="1"/>
  <c r="AO720" i="1"/>
  <c r="AP720" i="1" s="1"/>
  <c r="AB720" i="1" s="1"/>
  <c r="AO728" i="1"/>
  <c r="AP728" i="1" s="1"/>
  <c r="AB728" i="1" s="1"/>
  <c r="AO736" i="1"/>
  <c r="AP736" i="1" s="1"/>
  <c r="AB736" i="1" s="1"/>
  <c r="AO744" i="1"/>
  <c r="AP744" i="1" s="1"/>
  <c r="AB744" i="1" s="1"/>
  <c r="AO752" i="1"/>
  <c r="AP752" i="1" s="1"/>
  <c r="AB752" i="1" s="1"/>
  <c r="AO760" i="1"/>
  <c r="AP760" i="1" s="1"/>
  <c r="AB760" i="1" s="1"/>
  <c r="AO768" i="1"/>
  <c r="AP768" i="1" s="1"/>
  <c r="AB768" i="1" s="1"/>
  <c r="AO776" i="1"/>
  <c r="AP776" i="1" s="1"/>
  <c r="AB776" i="1" s="1"/>
  <c r="AO782" i="1"/>
  <c r="AP782" i="1" s="1"/>
  <c r="AB782" i="1" s="1"/>
  <c r="AO790" i="1"/>
  <c r="AP790" i="1" s="1"/>
  <c r="AB790" i="1" s="1"/>
  <c r="AO798" i="1"/>
  <c r="AP798" i="1" s="1"/>
  <c r="AB798" i="1" s="1"/>
  <c r="AO806" i="1"/>
  <c r="AP806" i="1" s="1"/>
  <c r="AB806" i="1" s="1"/>
  <c r="AO814" i="1"/>
  <c r="AP814" i="1" s="1"/>
  <c r="AB814" i="1" s="1"/>
  <c r="AO822" i="1"/>
  <c r="AP822" i="1" s="1"/>
  <c r="AB822" i="1" s="1"/>
  <c r="AO830" i="1"/>
  <c r="AP830" i="1" s="1"/>
  <c r="AB830" i="1" s="1"/>
  <c r="AO838" i="1"/>
  <c r="AP838" i="1" s="1"/>
  <c r="AB838" i="1" s="1"/>
  <c r="AO846" i="1"/>
  <c r="AP846" i="1" s="1"/>
  <c r="AB846" i="1" s="1"/>
  <c r="AO854" i="1"/>
  <c r="AP854" i="1" s="1"/>
  <c r="AB854" i="1" s="1"/>
  <c r="AO862" i="1"/>
  <c r="AP862" i="1" s="1"/>
  <c r="AB862" i="1" s="1"/>
  <c r="AO870" i="1"/>
  <c r="AP870" i="1" s="1"/>
  <c r="AB870" i="1" s="1"/>
  <c r="AO878" i="1"/>
  <c r="AP878" i="1" s="1"/>
  <c r="AB878" i="1" s="1"/>
  <c r="AO886" i="1"/>
  <c r="AP886" i="1" s="1"/>
  <c r="AB886" i="1" s="1"/>
  <c r="AO894" i="1"/>
  <c r="AP894" i="1" s="1"/>
  <c r="AB894" i="1" s="1"/>
  <c r="AO902" i="1"/>
  <c r="AP902" i="1" s="1"/>
  <c r="AB902" i="1" s="1"/>
  <c r="AO910" i="1"/>
  <c r="AP910" i="1" s="1"/>
  <c r="AB910" i="1" s="1"/>
  <c r="AO918" i="1"/>
  <c r="AP918" i="1" s="1"/>
  <c r="AB918" i="1" s="1"/>
  <c r="AO926" i="1"/>
  <c r="AP926" i="1" s="1"/>
  <c r="AB926" i="1" s="1"/>
  <c r="AO934" i="1"/>
  <c r="AP934" i="1" s="1"/>
  <c r="AB934" i="1" s="1"/>
  <c r="AO942" i="1"/>
  <c r="AP942" i="1" s="1"/>
  <c r="AB942" i="1" s="1"/>
  <c r="AO950" i="1"/>
  <c r="AP950" i="1" s="1"/>
  <c r="AB950" i="1" s="1"/>
  <c r="AO958" i="1"/>
  <c r="AP958" i="1" s="1"/>
  <c r="AB958" i="1" s="1"/>
  <c r="AO966" i="1"/>
  <c r="AP966" i="1" s="1"/>
  <c r="AB966" i="1" s="1"/>
  <c r="AO974" i="1"/>
  <c r="AP974" i="1" s="1"/>
  <c r="AB974" i="1" s="1"/>
  <c r="AO982" i="1"/>
  <c r="AP982" i="1" s="1"/>
  <c r="AB982" i="1" s="1"/>
  <c r="AO990" i="1"/>
  <c r="AP990" i="1" s="1"/>
  <c r="AB990" i="1" s="1"/>
  <c r="AO998" i="1"/>
  <c r="AP998" i="1" s="1"/>
  <c r="AB998" i="1" s="1"/>
  <c r="AO1006" i="1"/>
  <c r="AP1006" i="1" s="1"/>
  <c r="AB1006" i="1" s="1"/>
  <c r="AO1014" i="1"/>
  <c r="AP1014" i="1" s="1"/>
  <c r="AB1014" i="1" s="1"/>
  <c r="AO1022" i="1"/>
  <c r="AP1022" i="1" s="1"/>
  <c r="AB1022" i="1" s="1"/>
  <c r="AO1030" i="1"/>
  <c r="AP1030" i="1" s="1"/>
  <c r="AB1030" i="1" s="1"/>
  <c r="AO1038" i="1"/>
  <c r="AP1038" i="1" s="1"/>
  <c r="AB1038" i="1" s="1"/>
  <c r="AO1046" i="1"/>
  <c r="AP1046" i="1" s="1"/>
  <c r="AB1046" i="1" s="1"/>
  <c r="AO1054" i="1"/>
  <c r="AP1054" i="1" s="1"/>
  <c r="AB1054" i="1" s="1"/>
  <c r="AO1062" i="1"/>
  <c r="AP1062" i="1" s="1"/>
  <c r="AB1062" i="1" s="1"/>
  <c r="AO1070" i="1"/>
  <c r="AP1070" i="1" s="1"/>
  <c r="AB1070" i="1" s="1"/>
  <c r="AO1086" i="1"/>
  <c r="AP1086" i="1" s="1"/>
  <c r="AB1086" i="1" s="1"/>
  <c r="AO1094" i="1"/>
  <c r="AP1094" i="1" s="1"/>
  <c r="AB1094" i="1" s="1"/>
  <c r="AO1102" i="1"/>
  <c r="AP1102" i="1" s="1"/>
  <c r="AB1102" i="1" s="1"/>
  <c r="AO1110" i="1"/>
  <c r="AP1110" i="1" s="1"/>
  <c r="AB1110" i="1" s="1"/>
  <c r="AO1118" i="1"/>
  <c r="AP1118" i="1" s="1"/>
  <c r="AB1118" i="1" s="1"/>
  <c r="AO1126" i="1"/>
  <c r="AP1126" i="1" s="1"/>
  <c r="AB1126" i="1" s="1"/>
  <c r="AO1134" i="1"/>
  <c r="AP1134" i="1" s="1"/>
  <c r="AB1134" i="1" s="1"/>
  <c r="AO1142" i="1"/>
  <c r="AP1142" i="1" s="1"/>
  <c r="AB1142" i="1" s="1"/>
  <c r="AO1150" i="1"/>
  <c r="AP1150" i="1" s="1"/>
  <c r="AB1150" i="1" s="1"/>
  <c r="AO1158" i="1"/>
  <c r="AP1158" i="1" s="1"/>
  <c r="AB1158" i="1" s="1"/>
  <c r="AO1166" i="1"/>
  <c r="AP1166" i="1" s="1"/>
  <c r="AB1166" i="1" s="1"/>
  <c r="AO1174" i="1"/>
  <c r="AP1174" i="1" s="1"/>
  <c r="AB1174" i="1" s="1"/>
  <c r="AO1182" i="1"/>
  <c r="AP1182" i="1" s="1"/>
  <c r="AB1182" i="1" s="1"/>
  <c r="AO1188" i="1"/>
  <c r="AP1188" i="1" s="1"/>
  <c r="AB1188" i="1" s="1"/>
  <c r="AO1196" i="1"/>
  <c r="AP1196" i="1" s="1"/>
  <c r="AB1196" i="1" s="1"/>
  <c r="AO1204" i="1"/>
  <c r="AP1204" i="1" s="1"/>
  <c r="AB1204" i="1" s="1"/>
  <c r="AO1210" i="1"/>
  <c r="AP1210" i="1" s="1"/>
  <c r="AB1210" i="1" s="1"/>
  <c r="AO1218" i="1"/>
  <c r="AP1218" i="1" s="1"/>
  <c r="AB1218" i="1" s="1"/>
  <c r="AO1226" i="1"/>
  <c r="AP1226" i="1" s="1"/>
  <c r="AB1226" i="1" s="1"/>
  <c r="AO1234" i="1"/>
  <c r="AP1234" i="1" s="1"/>
  <c r="AB1234" i="1" s="1"/>
  <c r="AO1242" i="1"/>
  <c r="AP1242" i="1" s="1"/>
  <c r="AB1242" i="1" s="1"/>
  <c r="AO1250" i="1"/>
  <c r="AP1250" i="1" s="1"/>
  <c r="AB1250" i="1" s="1"/>
  <c r="AO1258" i="1"/>
  <c r="AP1258" i="1" s="1"/>
  <c r="AB1258" i="1" s="1"/>
  <c r="AO1266" i="1"/>
  <c r="AP1266" i="1" s="1"/>
  <c r="AB1266" i="1" s="1"/>
  <c r="AO1274" i="1"/>
  <c r="AP1274" i="1" s="1"/>
  <c r="AB1274" i="1" s="1"/>
  <c r="AO1282" i="1"/>
  <c r="AP1282" i="1" s="1"/>
  <c r="AB1282" i="1" s="1"/>
  <c r="AO1290" i="1"/>
  <c r="AP1290" i="1" s="1"/>
  <c r="AB1290" i="1" s="1"/>
  <c r="AO1298" i="1"/>
  <c r="AP1298" i="1" s="1"/>
  <c r="AB1298" i="1" s="1"/>
  <c r="AO1306" i="1"/>
  <c r="AP1306" i="1" s="1"/>
  <c r="AB1306" i="1" s="1"/>
  <c r="AO1314" i="1"/>
  <c r="AP1314" i="1" s="1"/>
  <c r="AB1314" i="1" s="1"/>
  <c r="AO1322" i="1"/>
  <c r="AP1322" i="1" s="1"/>
  <c r="AB1322" i="1" s="1"/>
  <c r="AO1330" i="1"/>
  <c r="AP1330" i="1" s="1"/>
  <c r="AB1330" i="1" s="1"/>
  <c r="AO1338" i="1"/>
  <c r="AP1338" i="1" s="1"/>
  <c r="AB1338" i="1" s="1"/>
  <c r="AO1346" i="1"/>
  <c r="AP1346" i="1" s="1"/>
  <c r="AB1346" i="1" s="1"/>
  <c r="AO1354" i="1"/>
  <c r="AP1354" i="1" s="1"/>
  <c r="AB1354" i="1" s="1"/>
  <c r="AO1362" i="1"/>
  <c r="AP1362" i="1" s="1"/>
  <c r="AB1362" i="1" s="1"/>
  <c r="AO1315" i="1"/>
  <c r="AP1315" i="1" s="1"/>
  <c r="AB1315" i="1" s="1"/>
  <c r="AO1323" i="1"/>
  <c r="AP1323" i="1" s="1"/>
  <c r="AB1323" i="1" s="1"/>
  <c r="AO1331" i="1"/>
  <c r="AP1331" i="1" s="1"/>
  <c r="AB1331" i="1" s="1"/>
  <c r="AO1339" i="1"/>
  <c r="AP1339" i="1" s="1"/>
  <c r="AB1339" i="1" s="1"/>
  <c r="AO1347" i="1"/>
  <c r="AP1347" i="1" s="1"/>
  <c r="AB1347" i="1" s="1"/>
  <c r="AO1355" i="1"/>
  <c r="AP1355" i="1" s="1"/>
  <c r="AB1355" i="1" s="1"/>
  <c r="AO1363" i="1"/>
  <c r="AP1363" i="1" s="1"/>
  <c r="AB1363" i="1" s="1"/>
  <c r="AO557" i="1"/>
  <c r="AP557" i="1" s="1"/>
  <c r="AB557" i="1" s="1"/>
  <c r="AO565" i="1"/>
  <c r="AP565" i="1" s="1"/>
  <c r="AB565" i="1" s="1"/>
  <c r="AO573" i="1"/>
  <c r="AP573" i="1" s="1"/>
  <c r="AB573" i="1" s="1"/>
  <c r="AO587" i="1"/>
  <c r="AP587" i="1" s="1"/>
  <c r="AB587" i="1" s="1"/>
  <c r="AO595" i="1"/>
  <c r="AP595" i="1" s="1"/>
  <c r="AB595" i="1" s="1"/>
  <c r="AO601" i="1"/>
  <c r="AP601" i="1" s="1"/>
  <c r="AB601" i="1" s="1"/>
  <c r="AO609" i="1"/>
  <c r="AP609" i="1" s="1"/>
  <c r="AB609" i="1" s="1"/>
  <c r="AO617" i="1"/>
  <c r="AP617" i="1" s="1"/>
  <c r="AB617" i="1" s="1"/>
  <c r="AO625" i="1"/>
  <c r="AP625" i="1" s="1"/>
  <c r="AB625" i="1" s="1"/>
  <c r="AO641" i="1"/>
  <c r="AP641" i="1" s="1"/>
  <c r="AB641" i="1" s="1"/>
  <c r="AO649" i="1"/>
  <c r="AP649" i="1" s="1"/>
  <c r="AB649" i="1" s="1"/>
  <c r="AO657" i="1"/>
  <c r="AP657" i="1" s="1"/>
  <c r="AB657" i="1" s="1"/>
  <c r="AO665" i="1"/>
  <c r="AP665" i="1" s="1"/>
  <c r="AB665" i="1" s="1"/>
  <c r="AO673" i="1"/>
  <c r="AP673" i="1" s="1"/>
  <c r="AB673" i="1" s="1"/>
  <c r="AO681" i="1"/>
  <c r="AP681" i="1" s="1"/>
  <c r="AB681" i="1" s="1"/>
  <c r="AO689" i="1"/>
  <c r="AP689" i="1" s="1"/>
  <c r="AB689" i="1" s="1"/>
  <c r="AO695" i="1"/>
  <c r="AP695" i="1" s="1"/>
  <c r="AB695" i="1" s="1"/>
  <c r="AO703" i="1"/>
  <c r="AP703" i="1" s="1"/>
  <c r="AB703" i="1" s="1"/>
  <c r="AO711" i="1"/>
  <c r="AP711" i="1" s="1"/>
  <c r="AB711" i="1" s="1"/>
  <c r="AO725" i="1"/>
  <c r="AP725" i="1" s="1"/>
  <c r="AB725" i="1" s="1"/>
  <c r="AO733" i="1"/>
  <c r="AP733" i="1" s="1"/>
  <c r="AB733" i="1" s="1"/>
  <c r="AO741" i="1"/>
  <c r="AP741" i="1" s="1"/>
  <c r="AB741" i="1" s="1"/>
  <c r="AO749" i="1"/>
  <c r="AP749" i="1" s="1"/>
  <c r="AB749" i="1" s="1"/>
  <c r="AO757" i="1"/>
  <c r="AP757" i="1" s="1"/>
  <c r="AB757" i="1" s="1"/>
  <c r="AO765" i="1"/>
  <c r="AP765" i="1" s="1"/>
  <c r="AB765" i="1" s="1"/>
  <c r="AO773" i="1"/>
  <c r="AP773" i="1" s="1"/>
  <c r="AB773" i="1" s="1"/>
  <c r="AO779" i="1"/>
  <c r="AP779" i="1" s="1"/>
  <c r="AB779" i="1" s="1"/>
  <c r="AO787" i="1"/>
  <c r="AP787" i="1" s="1"/>
  <c r="AB787" i="1" s="1"/>
  <c r="AO795" i="1"/>
  <c r="AP795" i="1" s="1"/>
  <c r="AB795" i="1" s="1"/>
  <c r="AO803" i="1"/>
  <c r="AP803" i="1" s="1"/>
  <c r="AB803" i="1" s="1"/>
  <c r="AO811" i="1"/>
  <c r="AP811" i="1" s="1"/>
  <c r="AB811" i="1" s="1"/>
  <c r="AO819" i="1"/>
  <c r="AP819" i="1" s="1"/>
  <c r="AB819" i="1" s="1"/>
  <c r="AO827" i="1"/>
  <c r="AP827" i="1" s="1"/>
  <c r="AB827" i="1" s="1"/>
  <c r="AO835" i="1"/>
  <c r="AP835" i="1" s="1"/>
  <c r="AB835" i="1" s="1"/>
  <c r="AO843" i="1"/>
  <c r="AP843" i="1" s="1"/>
  <c r="AB843" i="1" s="1"/>
  <c r="AO851" i="1"/>
  <c r="AP851" i="1" s="1"/>
  <c r="AB851" i="1" s="1"/>
  <c r="AO859" i="1"/>
  <c r="AP859" i="1" s="1"/>
  <c r="AB859" i="1" s="1"/>
  <c r="AO867" i="1"/>
  <c r="AP867" i="1" s="1"/>
  <c r="AB867" i="1" s="1"/>
  <c r="AO875" i="1"/>
  <c r="AP875" i="1" s="1"/>
  <c r="AB875" i="1" s="1"/>
  <c r="AO883" i="1"/>
  <c r="AP883" i="1" s="1"/>
  <c r="AB883" i="1" s="1"/>
  <c r="AO891" i="1"/>
  <c r="AP891" i="1" s="1"/>
  <c r="AB891" i="1" s="1"/>
  <c r="AO899" i="1"/>
  <c r="AP899" i="1" s="1"/>
  <c r="AB899" i="1" s="1"/>
  <c r="AO907" i="1"/>
  <c r="AP907" i="1" s="1"/>
  <c r="AB907" i="1" s="1"/>
  <c r="AO915" i="1"/>
  <c r="AP915" i="1" s="1"/>
  <c r="AB915" i="1" s="1"/>
  <c r="AO923" i="1"/>
  <c r="AP923" i="1" s="1"/>
  <c r="AB923" i="1" s="1"/>
  <c r="AO931" i="1"/>
  <c r="AP931" i="1" s="1"/>
  <c r="AB931" i="1" s="1"/>
  <c r="AO939" i="1"/>
  <c r="AP939" i="1" s="1"/>
  <c r="AB939" i="1" s="1"/>
  <c r="AO947" i="1"/>
  <c r="AP947" i="1" s="1"/>
  <c r="AB947" i="1" s="1"/>
  <c r="AO955" i="1"/>
  <c r="AP955" i="1" s="1"/>
  <c r="AB955" i="1" s="1"/>
  <c r="AO963" i="1"/>
  <c r="AP963" i="1" s="1"/>
  <c r="AB963" i="1" s="1"/>
  <c r="AO971" i="1"/>
  <c r="AP971" i="1" s="1"/>
  <c r="AB971" i="1" s="1"/>
  <c r="AO979" i="1"/>
  <c r="AP979" i="1" s="1"/>
  <c r="AB979" i="1" s="1"/>
  <c r="AO987" i="1"/>
  <c r="AP987" i="1" s="1"/>
  <c r="AB987" i="1" s="1"/>
  <c r="AO995" i="1"/>
  <c r="AP995" i="1" s="1"/>
  <c r="AB995" i="1" s="1"/>
  <c r="AO1003" i="1"/>
  <c r="AP1003" i="1" s="1"/>
  <c r="AB1003" i="1" s="1"/>
  <c r="AO1011" i="1"/>
  <c r="AP1011" i="1" s="1"/>
  <c r="AB1011" i="1" s="1"/>
  <c r="AO1019" i="1"/>
  <c r="AP1019" i="1" s="1"/>
  <c r="AB1019" i="1" s="1"/>
  <c r="AO1027" i="1"/>
  <c r="AP1027" i="1" s="1"/>
  <c r="AB1027" i="1" s="1"/>
  <c r="AO1035" i="1"/>
  <c r="AP1035" i="1" s="1"/>
  <c r="AB1035" i="1" s="1"/>
  <c r="AO1043" i="1"/>
  <c r="AP1043" i="1" s="1"/>
  <c r="AB1043" i="1" s="1"/>
  <c r="AO1051" i="1"/>
  <c r="AP1051" i="1" s="1"/>
  <c r="AB1051" i="1" s="1"/>
  <c r="AO1059" i="1"/>
  <c r="AP1059" i="1" s="1"/>
  <c r="AB1059" i="1" s="1"/>
  <c r="AO1067" i="1"/>
  <c r="AP1067" i="1" s="1"/>
  <c r="AB1067" i="1" s="1"/>
  <c r="AO1075" i="1"/>
  <c r="AP1075" i="1" s="1"/>
  <c r="AB1075" i="1" s="1"/>
  <c r="AO1083" i="1"/>
  <c r="AP1083" i="1" s="1"/>
  <c r="AB1083" i="1" s="1"/>
  <c r="AO1091" i="1"/>
  <c r="AP1091" i="1" s="1"/>
  <c r="AB1091" i="1" s="1"/>
  <c r="AO1099" i="1"/>
  <c r="AP1099" i="1" s="1"/>
  <c r="AB1099" i="1" s="1"/>
  <c r="AO1107" i="1"/>
  <c r="AP1107" i="1" s="1"/>
  <c r="AB1107" i="1" s="1"/>
  <c r="AO1115" i="1"/>
  <c r="AP1115" i="1" s="1"/>
  <c r="AB1115" i="1" s="1"/>
  <c r="AO1123" i="1"/>
  <c r="AP1123" i="1" s="1"/>
  <c r="AB1123" i="1" s="1"/>
  <c r="AO1131" i="1"/>
  <c r="AP1131" i="1" s="1"/>
  <c r="AB1131" i="1" s="1"/>
  <c r="AO1139" i="1"/>
  <c r="AP1139" i="1" s="1"/>
  <c r="AB1139" i="1" s="1"/>
  <c r="AO1147" i="1"/>
  <c r="AP1147" i="1" s="1"/>
  <c r="AB1147" i="1" s="1"/>
  <c r="AO1155" i="1"/>
  <c r="AP1155" i="1" s="1"/>
  <c r="AB1155" i="1" s="1"/>
  <c r="AO1163" i="1"/>
  <c r="AP1163" i="1" s="1"/>
  <c r="AB1163" i="1" s="1"/>
  <c r="AO1171" i="1"/>
  <c r="AP1171" i="1" s="1"/>
  <c r="AB1171" i="1" s="1"/>
  <c r="AO1179" i="1"/>
  <c r="AP1179" i="1" s="1"/>
  <c r="AB1179" i="1" s="1"/>
  <c r="AO1193" i="1"/>
  <c r="AP1193" i="1" s="1"/>
  <c r="AB1193" i="1" s="1"/>
  <c r="AO1201" i="1"/>
  <c r="AP1201" i="1" s="1"/>
  <c r="AB1201" i="1" s="1"/>
  <c r="AO1215" i="1"/>
  <c r="AP1215" i="1" s="1"/>
  <c r="AB1215" i="1" s="1"/>
  <c r="AO1223" i="1"/>
  <c r="AP1223" i="1" s="1"/>
  <c r="AB1223" i="1" s="1"/>
  <c r="AO1231" i="1"/>
  <c r="AP1231" i="1" s="1"/>
  <c r="AB1231" i="1" s="1"/>
  <c r="AO1239" i="1"/>
  <c r="AP1239" i="1" s="1"/>
  <c r="AB1239" i="1" s="1"/>
  <c r="AO1247" i="1"/>
  <c r="AP1247" i="1" s="1"/>
  <c r="AB1247" i="1" s="1"/>
  <c r="AO1255" i="1"/>
  <c r="AP1255" i="1" s="1"/>
  <c r="AB1255" i="1" s="1"/>
  <c r="AO1263" i="1"/>
  <c r="AP1263" i="1" s="1"/>
  <c r="AB1263" i="1" s="1"/>
  <c r="AO1271" i="1"/>
  <c r="AP1271" i="1" s="1"/>
  <c r="AB1271" i="1" s="1"/>
  <c r="AO1279" i="1"/>
  <c r="AP1279" i="1" s="1"/>
  <c r="AB1279" i="1" s="1"/>
  <c r="AO1287" i="1"/>
  <c r="AP1287" i="1" s="1"/>
  <c r="AB1287" i="1" s="1"/>
  <c r="AO1295" i="1"/>
  <c r="AP1295" i="1" s="1"/>
  <c r="AB1295" i="1" s="1"/>
  <c r="AO1303" i="1"/>
  <c r="AP1303" i="1" s="1"/>
  <c r="AB1303" i="1" s="1"/>
  <c r="AO1311" i="1"/>
  <c r="AP1311" i="1" s="1"/>
  <c r="AB1311" i="1" s="1"/>
  <c r="AO1319" i="1"/>
  <c r="AP1319" i="1" s="1"/>
  <c r="AB1319" i="1" s="1"/>
  <c r="AO1327" i="1"/>
  <c r="AP1327" i="1" s="1"/>
  <c r="AB1327" i="1" s="1"/>
  <c r="AO1335" i="1"/>
  <c r="AP1335" i="1" s="1"/>
  <c r="AB1335" i="1" s="1"/>
  <c r="AO1343" i="1"/>
  <c r="AP1343" i="1" s="1"/>
  <c r="AB1343" i="1" s="1"/>
  <c r="AO1351" i="1"/>
  <c r="AP1351" i="1" s="1"/>
  <c r="AB1351" i="1" s="1"/>
  <c r="AO1359" i="1"/>
  <c r="AP1359" i="1" s="1"/>
  <c r="AB1359" i="1" s="1"/>
  <c r="AO1367" i="1"/>
  <c r="AP1367" i="1" s="1"/>
  <c r="AB1367" i="1" s="1"/>
  <c r="AO4" i="1"/>
  <c r="AP4" i="1" s="1"/>
  <c r="AB4" i="1" s="1"/>
  <c r="AO542" i="1"/>
  <c r="AP542" i="1" s="1"/>
  <c r="AB542" i="1" s="1"/>
  <c r="AO550" i="1"/>
  <c r="AP550" i="1" s="1"/>
  <c r="AB550" i="1" s="1"/>
  <c r="AO558" i="1"/>
  <c r="AP558" i="1" s="1"/>
  <c r="AB558" i="1" s="1"/>
  <c r="AO566" i="1"/>
  <c r="AP566" i="1" s="1"/>
  <c r="AB566" i="1" s="1"/>
  <c r="AO574" i="1"/>
  <c r="AP574" i="1" s="1"/>
  <c r="AB574" i="1" s="1"/>
  <c r="AO588" i="1"/>
  <c r="AP588" i="1" s="1"/>
  <c r="AB588" i="1" s="1"/>
  <c r="AO596" i="1"/>
  <c r="AP596" i="1" s="1"/>
  <c r="AB596" i="1" s="1"/>
  <c r="AO602" i="1"/>
  <c r="AP602" i="1" s="1"/>
  <c r="AB602" i="1" s="1"/>
  <c r="AO610" i="1"/>
  <c r="AP610" i="1" s="1"/>
  <c r="AB610" i="1" s="1"/>
  <c r="AO618" i="1"/>
  <c r="AP618" i="1" s="1"/>
  <c r="AB618" i="1" s="1"/>
  <c r="AO626" i="1"/>
  <c r="AP626" i="1" s="1"/>
  <c r="AB626" i="1" s="1"/>
  <c r="AO634" i="1"/>
  <c r="AP634" i="1" s="1"/>
  <c r="AB634" i="1" s="1"/>
  <c r="AO642" i="1"/>
  <c r="AP642" i="1" s="1"/>
  <c r="AB642" i="1" s="1"/>
  <c r="AO650" i="1"/>
  <c r="AP650" i="1" s="1"/>
  <c r="AB650" i="1" s="1"/>
  <c r="AO658" i="1"/>
  <c r="AP658" i="1" s="1"/>
  <c r="AB658" i="1" s="1"/>
  <c r="AO666" i="1"/>
  <c r="AP666" i="1" s="1"/>
  <c r="AB666" i="1" s="1"/>
  <c r="AO674" i="1"/>
  <c r="AP674" i="1" s="1"/>
  <c r="AB674" i="1" s="1"/>
  <c r="AO682" i="1"/>
  <c r="AP682" i="1" s="1"/>
  <c r="AB682" i="1" s="1"/>
  <c r="AO690" i="1"/>
  <c r="AP690" i="1" s="1"/>
  <c r="AB690" i="1" s="1"/>
  <c r="AO696" i="1"/>
  <c r="AP696" i="1" s="1"/>
  <c r="AB696" i="1" s="1"/>
  <c r="AO704" i="1"/>
  <c r="AP704" i="1" s="1"/>
  <c r="AB704" i="1" s="1"/>
  <c r="AO712" i="1"/>
  <c r="AP712" i="1" s="1"/>
  <c r="AB712" i="1" s="1"/>
  <c r="AO718" i="1"/>
  <c r="AP718" i="1" s="1"/>
  <c r="AB718" i="1" s="1"/>
  <c r="AO726" i="1"/>
  <c r="AP726" i="1" s="1"/>
  <c r="AB726" i="1" s="1"/>
  <c r="AO734" i="1"/>
  <c r="AP734" i="1" s="1"/>
  <c r="AB734" i="1" s="1"/>
  <c r="AO742" i="1"/>
  <c r="AP742" i="1" s="1"/>
  <c r="AB742" i="1" s="1"/>
  <c r="AO750" i="1"/>
  <c r="AP750" i="1" s="1"/>
  <c r="AB750" i="1" s="1"/>
  <c r="AO758" i="1"/>
  <c r="AP758" i="1" s="1"/>
  <c r="AB758" i="1" s="1"/>
  <c r="AO766" i="1"/>
  <c r="AP766" i="1" s="1"/>
  <c r="AB766" i="1" s="1"/>
  <c r="AO774" i="1"/>
  <c r="AP774" i="1" s="1"/>
  <c r="AB774" i="1" s="1"/>
  <c r="AO780" i="1"/>
  <c r="AP780" i="1" s="1"/>
  <c r="AB780" i="1" s="1"/>
  <c r="AO788" i="1"/>
  <c r="AP788" i="1" s="1"/>
  <c r="AB788" i="1" s="1"/>
  <c r="AO796" i="1"/>
  <c r="AP796" i="1" s="1"/>
  <c r="AB796" i="1" s="1"/>
  <c r="AO804" i="1"/>
  <c r="AP804" i="1" s="1"/>
  <c r="AB804" i="1" s="1"/>
  <c r="AO812" i="1"/>
  <c r="AP812" i="1" s="1"/>
  <c r="AB812" i="1" s="1"/>
  <c r="AO820" i="1"/>
  <c r="AP820" i="1" s="1"/>
  <c r="AB820" i="1" s="1"/>
  <c r="AO828" i="1"/>
  <c r="AP828" i="1" s="1"/>
  <c r="AB828" i="1" s="1"/>
  <c r="AO836" i="1"/>
  <c r="AP836" i="1" s="1"/>
  <c r="AB836" i="1" s="1"/>
  <c r="AO844" i="1"/>
  <c r="AP844" i="1" s="1"/>
  <c r="AB844" i="1" s="1"/>
  <c r="AO852" i="1"/>
  <c r="AP852" i="1" s="1"/>
  <c r="AB852" i="1" s="1"/>
  <c r="AO860" i="1"/>
  <c r="AP860" i="1" s="1"/>
  <c r="AB860" i="1" s="1"/>
  <c r="AO868" i="1"/>
  <c r="AP868" i="1" s="1"/>
  <c r="AB868" i="1" s="1"/>
  <c r="AO876" i="1"/>
  <c r="AP876" i="1" s="1"/>
  <c r="AB876" i="1" s="1"/>
  <c r="AO884" i="1"/>
  <c r="AP884" i="1" s="1"/>
  <c r="AB884" i="1" s="1"/>
  <c r="AO892" i="1"/>
  <c r="AP892" i="1" s="1"/>
  <c r="AB892" i="1" s="1"/>
  <c r="AO900" i="1"/>
  <c r="AP900" i="1" s="1"/>
  <c r="AB900" i="1" s="1"/>
  <c r="AO908" i="1"/>
  <c r="AP908" i="1" s="1"/>
  <c r="AB908" i="1" s="1"/>
  <c r="AO916" i="1"/>
  <c r="AP916" i="1" s="1"/>
  <c r="AB916" i="1" s="1"/>
  <c r="AO924" i="1"/>
  <c r="AP924" i="1" s="1"/>
  <c r="AB924" i="1" s="1"/>
  <c r="AO932" i="1"/>
  <c r="AP932" i="1" s="1"/>
  <c r="AB932" i="1" s="1"/>
  <c r="AO940" i="1"/>
  <c r="AP940" i="1" s="1"/>
  <c r="AB940" i="1" s="1"/>
  <c r="AO948" i="1"/>
  <c r="AP948" i="1" s="1"/>
  <c r="AB948" i="1" s="1"/>
  <c r="AO956" i="1"/>
  <c r="AP956" i="1" s="1"/>
  <c r="AB956" i="1" s="1"/>
  <c r="AO964" i="1"/>
  <c r="AP964" i="1" s="1"/>
  <c r="AB964" i="1" s="1"/>
  <c r="AO972" i="1"/>
  <c r="AP972" i="1" s="1"/>
  <c r="AB972" i="1" s="1"/>
  <c r="AO980" i="1"/>
  <c r="AP980" i="1" s="1"/>
  <c r="AB980" i="1" s="1"/>
  <c r="AO988" i="1"/>
  <c r="AP988" i="1" s="1"/>
  <c r="AB988" i="1" s="1"/>
  <c r="AO996" i="1"/>
  <c r="AP996" i="1" s="1"/>
  <c r="AB996" i="1" s="1"/>
  <c r="AO1004" i="1"/>
  <c r="AP1004" i="1" s="1"/>
  <c r="AB1004" i="1" s="1"/>
  <c r="AO1012" i="1"/>
  <c r="AP1012" i="1" s="1"/>
  <c r="AB1012" i="1" s="1"/>
  <c r="AO1020" i="1"/>
  <c r="AP1020" i="1" s="1"/>
  <c r="AB1020" i="1" s="1"/>
  <c r="AO1028" i="1"/>
  <c r="AP1028" i="1" s="1"/>
  <c r="AB1028" i="1" s="1"/>
  <c r="AO1036" i="1"/>
  <c r="AP1036" i="1" s="1"/>
  <c r="AB1036" i="1" s="1"/>
  <c r="AO1044" i="1"/>
  <c r="AP1044" i="1" s="1"/>
  <c r="AB1044" i="1" s="1"/>
  <c r="AO1052" i="1"/>
  <c r="AP1052" i="1" s="1"/>
  <c r="AB1052" i="1" s="1"/>
  <c r="AO1060" i="1"/>
  <c r="AP1060" i="1" s="1"/>
  <c r="AB1060" i="1" s="1"/>
  <c r="AO1068" i="1"/>
  <c r="AP1068" i="1" s="1"/>
  <c r="AB1068" i="1" s="1"/>
  <c r="AO1076" i="1"/>
  <c r="AP1076" i="1" s="1"/>
  <c r="AB1076" i="1" s="1"/>
  <c r="AO1084" i="1"/>
  <c r="AP1084" i="1" s="1"/>
  <c r="AB1084" i="1" s="1"/>
  <c r="AO1092" i="1"/>
  <c r="AP1092" i="1" s="1"/>
  <c r="AB1092" i="1" s="1"/>
  <c r="AO1100" i="1"/>
  <c r="AP1100" i="1" s="1"/>
  <c r="AB1100" i="1" s="1"/>
  <c r="AO1108" i="1"/>
  <c r="AP1108" i="1" s="1"/>
  <c r="AB1108" i="1" s="1"/>
  <c r="AO1116" i="1"/>
  <c r="AP1116" i="1" s="1"/>
  <c r="AB1116" i="1" s="1"/>
  <c r="AO1124" i="1"/>
  <c r="AP1124" i="1" s="1"/>
  <c r="AB1124" i="1" s="1"/>
  <c r="AO1132" i="1"/>
  <c r="AP1132" i="1" s="1"/>
  <c r="AB1132" i="1" s="1"/>
  <c r="AO1140" i="1"/>
  <c r="AP1140" i="1" s="1"/>
  <c r="AB1140" i="1" s="1"/>
  <c r="AO1148" i="1"/>
  <c r="AP1148" i="1" s="1"/>
  <c r="AB1148" i="1" s="1"/>
  <c r="AO1156" i="1"/>
  <c r="AP1156" i="1" s="1"/>
  <c r="AB1156" i="1" s="1"/>
  <c r="AO1164" i="1"/>
  <c r="AP1164" i="1" s="1"/>
  <c r="AB1164" i="1" s="1"/>
  <c r="AO1172" i="1"/>
  <c r="AP1172" i="1" s="1"/>
  <c r="AB1172" i="1" s="1"/>
  <c r="AO1180" i="1"/>
  <c r="AP1180" i="1" s="1"/>
  <c r="AB1180" i="1" s="1"/>
  <c r="AO1194" i="1"/>
  <c r="AP1194" i="1" s="1"/>
  <c r="AB1194" i="1" s="1"/>
  <c r="AO1202" i="1"/>
  <c r="AP1202" i="1" s="1"/>
  <c r="AB1202" i="1" s="1"/>
  <c r="AO1208" i="1"/>
  <c r="AP1208" i="1" s="1"/>
  <c r="AB1208" i="1" s="1"/>
  <c r="AO1216" i="1"/>
  <c r="AP1216" i="1" s="1"/>
  <c r="AB1216" i="1" s="1"/>
  <c r="AO1224" i="1"/>
  <c r="AP1224" i="1" s="1"/>
  <c r="AB1224" i="1" s="1"/>
  <c r="AO1232" i="1"/>
  <c r="AP1232" i="1" s="1"/>
  <c r="AB1232" i="1" s="1"/>
  <c r="AO1240" i="1"/>
  <c r="AP1240" i="1" s="1"/>
  <c r="AB1240" i="1" s="1"/>
  <c r="AO1248" i="1"/>
  <c r="AP1248" i="1" s="1"/>
  <c r="AB1248" i="1" s="1"/>
  <c r="AO1256" i="1"/>
  <c r="AP1256" i="1" s="1"/>
  <c r="AB1256" i="1" s="1"/>
  <c r="AO1264" i="1"/>
  <c r="AP1264" i="1" s="1"/>
  <c r="AB1264" i="1" s="1"/>
  <c r="AO1272" i="1"/>
  <c r="AP1272" i="1" s="1"/>
  <c r="AB1272" i="1" s="1"/>
  <c r="AO1280" i="1"/>
  <c r="AP1280" i="1" s="1"/>
  <c r="AB1280" i="1" s="1"/>
  <c r="AO1288" i="1"/>
  <c r="AP1288" i="1" s="1"/>
  <c r="AB1288" i="1" s="1"/>
  <c r="AO1296" i="1"/>
  <c r="AP1296" i="1" s="1"/>
  <c r="AB1296" i="1" s="1"/>
  <c r="AO1304" i="1"/>
  <c r="AP1304" i="1" s="1"/>
  <c r="AB1304" i="1" s="1"/>
  <c r="AO1312" i="1"/>
  <c r="AP1312" i="1" s="1"/>
  <c r="AB1312" i="1" s="1"/>
  <c r="AO1320" i="1"/>
  <c r="AP1320" i="1" s="1"/>
  <c r="AB1320" i="1" s="1"/>
  <c r="AO1328" i="1"/>
  <c r="AP1328" i="1" s="1"/>
  <c r="AB1328" i="1" s="1"/>
  <c r="AO1336" i="1"/>
  <c r="AP1336" i="1" s="1"/>
  <c r="AB1336" i="1" s="1"/>
  <c r="AO1344" i="1"/>
  <c r="AP1344" i="1" s="1"/>
  <c r="AB1344" i="1" s="1"/>
  <c r="AO1352" i="1"/>
  <c r="AP1352" i="1" s="1"/>
  <c r="AB1352" i="1" s="1"/>
  <c r="AO1360" i="1"/>
  <c r="AP1360" i="1" s="1"/>
  <c r="AB1360" i="1" s="1"/>
  <c r="E16" i="4"/>
  <c r="C17" i="4"/>
  <c r="E11" i="4"/>
  <c r="F13" i="4"/>
  <c r="E15" i="4"/>
  <c r="E18" i="4" s="1"/>
  <c r="F16" i="4"/>
  <c r="C16" i="4"/>
  <c r="D10" i="4"/>
  <c r="G13" i="4"/>
  <c r="E8" i="4"/>
  <c r="G16" i="4"/>
  <c r="C15" i="4"/>
  <c r="F7" i="4"/>
  <c r="F9" i="4" s="1"/>
  <c r="E10" i="4"/>
  <c r="F11" i="4"/>
  <c r="D14" i="4"/>
  <c r="G17" i="4"/>
  <c r="C8" i="4"/>
  <c r="C7" i="4" s="1"/>
  <c r="C14" i="4"/>
  <c r="D9" i="4"/>
  <c r="F10" i="4"/>
  <c r="E14" i="4"/>
  <c r="F8" i="4"/>
  <c r="F12" i="4" s="1"/>
  <c r="D17" i="4"/>
  <c r="C9" i="4"/>
  <c r="C13" i="4"/>
  <c r="D7" i="4"/>
  <c r="G10" i="4"/>
  <c r="G11" i="4"/>
  <c r="F14" i="4"/>
  <c r="E17" i="4"/>
  <c r="C10" i="4"/>
  <c r="D18" i="4"/>
  <c r="E9" i="4"/>
  <c r="D12" i="4"/>
  <c r="C11" i="4"/>
  <c r="G14" i="4"/>
  <c r="G8" i="4"/>
  <c r="G9" i="4" s="1"/>
  <c r="C18" i="4" l="1"/>
  <c r="E7" i="4"/>
  <c r="E12" i="4"/>
  <c r="G15" i="4"/>
  <c r="G18" i="4" s="1"/>
  <c r="F15" i="4"/>
  <c r="F18" i="4" s="1"/>
  <c r="G12" i="4"/>
  <c r="G7" i="4"/>
</calcChain>
</file>

<file path=xl/sharedStrings.xml><?xml version="1.0" encoding="utf-8"?>
<sst xmlns="http://schemas.openxmlformats.org/spreadsheetml/2006/main" count="17129" uniqueCount="98">
  <si>
    <t>Ful Name</t>
  </si>
  <si>
    <t>Address1</t>
  </si>
  <si>
    <t>Address2</t>
  </si>
  <si>
    <t>PKLoanID</t>
  </si>
  <si>
    <t>List</t>
  </si>
  <si>
    <t>funding_date</t>
  </si>
  <si>
    <t>appraised_value_amt</t>
  </si>
  <si>
    <t>loan_amt</t>
  </si>
  <si>
    <t>loan_type_desc</t>
  </si>
  <si>
    <t>monthly_pmt_amt</t>
  </si>
  <si>
    <t>current_balance_amt</t>
  </si>
  <si>
    <t>current_interest_rate</t>
  </si>
  <si>
    <t>age_since_originiation</t>
  </si>
  <si>
    <t>remaining_months</t>
  </si>
  <si>
    <t>current_monthly_int_pmt_amt</t>
  </si>
  <si>
    <t>Arm 2/28</t>
  </si>
  <si>
    <t>RC1-DM3a</t>
  </si>
  <si>
    <t>Fixed</t>
  </si>
  <si>
    <t>RC1-DM1a</t>
  </si>
  <si>
    <t>RC1-DM2a</t>
  </si>
  <si>
    <t>Arm 3/27</t>
  </si>
  <si>
    <t>Arm 5/25</t>
  </si>
  <si>
    <t>Added Lead</t>
  </si>
  <si>
    <t>New LoanType</t>
  </si>
  <si>
    <t>Cash Out Benefit</t>
  </si>
  <si>
    <t>New Loan Amt + UFMIP</t>
  </si>
  <si>
    <t>Par Interest Rate</t>
  </si>
  <si>
    <t>Monthly Payment + MIP</t>
  </si>
  <si>
    <t>Difference</t>
  </si>
  <si>
    <t>Rev Monthly Payment + MIP</t>
  </si>
  <si>
    <t xml:space="preserve"> Rev Difference</t>
  </si>
  <si>
    <t>Discount Points</t>
  </si>
  <si>
    <t>Additional Cost To EF</t>
  </si>
  <si>
    <t>FICO</t>
  </si>
  <si>
    <t>State</t>
  </si>
  <si>
    <t>TN</t>
  </si>
  <si>
    <t>VA</t>
  </si>
  <si>
    <t>NC</t>
  </si>
  <si>
    <t>SC</t>
  </si>
  <si>
    <t>Term</t>
  </si>
  <si>
    <t>Check</t>
  </si>
  <si>
    <t>1) Yes, FICO is available</t>
  </si>
  <si>
    <t>Revised Balance For Cash Out</t>
  </si>
  <si>
    <t>PPP</t>
  </si>
  <si>
    <t>Constraint</t>
  </si>
  <si>
    <t>Cash Benefit</t>
  </si>
  <si>
    <t>Term1</t>
  </si>
  <si>
    <t>Revised Monthly Payment @ Par</t>
  </si>
  <si>
    <t>Payment Difference</t>
  </si>
  <si>
    <t>Second Rate Condition</t>
  </si>
  <si>
    <t>Discounted Rate</t>
  </si>
  <si>
    <t>Pick a Loan Id to see possible scenarios that a Loan Officer can use to talk with a borrower.</t>
  </si>
  <si>
    <t>Select Loan Id</t>
  </si>
  <si>
    <t>Current</t>
  </si>
  <si>
    <t>Cash Out at Par</t>
  </si>
  <si>
    <t>Refi Without Cash Out @ Par</t>
  </si>
  <si>
    <t>Refi Without Cash Out @ Reduced Interest</t>
  </si>
  <si>
    <t>Appraised Value @ Current Origination</t>
  </si>
  <si>
    <t>Loan Amount including UFMIP if applicable</t>
  </si>
  <si>
    <t>Interest Rate</t>
  </si>
  <si>
    <t>Monthly Payment including MIP if applicable</t>
  </si>
  <si>
    <t>Difference Between Current Monthly Payment and Payment Proposed</t>
  </si>
  <si>
    <t>PPP Benefit if applicable</t>
  </si>
  <si>
    <t>Closing Cost Benefit</t>
  </si>
  <si>
    <t>Discount Points if applicable</t>
  </si>
  <si>
    <t>NA</t>
  </si>
  <si>
    <t>Discount Points Benefit (offered by EF)</t>
  </si>
  <si>
    <t>Total Benefit</t>
  </si>
  <si>
    <t>Name</t>
  </si>
  <si>
    <t>Address</t>
  </si>
  <si>
    <t>Current Loan Type</t>
  </si>
  <si>
    <t>Amortization Term</t>
  </si>
  <si>
    <t>Seller Loan Number</t>
  </si>
  <si>
    <t>borr_first</t>
  </si>
  <si>
    <t>borr_last</t>
  </si>
  <si>
    <t>prop_address</t>
  </si>
  <si>
    <t>prop_city</t>
  </si>
  <si>
    <t>property_state</t>
  </si>
  <si>
    <t>prop_zip</t>
  </si>
  <si>
    <t>Amortized Original Term</t>
  </si>
  <si>
    <t>Revised Par Rate</t>
  </si>
  <si>
    <t>LTV</t>
  </si>
  <si>
    <t>NCO Amount</t>
  </si>
  <si>
    <t>NCO Rate</t>
  </si>
  <si>
    <t>NCO MP</t>
  </si>
  <si>
    <t>NCO Diff</t>
  </si>
  <si>
    <t>Cash Out @ par with Reduced Amount</t>
  </si>
  <si>
    <t>30 Year Fixed</t>
  </si>
  <si>
    <t>Amort</t>
  </si>
  <si>
    <t>Balance Due</t>
  </si>
  <si>
    <t>Balance Due at the time of Current maturity</t>
  </si>
  <si>
    <t>Rate and discount points are pulled for a 30 day lock in period.</t>
  </si>
  <si>
    <t>FICO used for rates was the FICO reported at the time of current loan origination</t>
  </si>
  <si>
    <t>Refi</t>
  </si>
  <si>
    <t>AAA</t>
  </si>
  <si>
    <t>BBB</t>
  </si>
  <si>
    <t>XXX</t>
  </si>
  <si>
    <t>ZZZ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</si>
</sst>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165" formatCode="&quot;$&quot;#,##0"/>
    <numFmt numFmtId="166" formatCode="&quot;$&quot;#,##0.00"/>
    <numFmt numFmtId="169" formatCode="0.000"/>
    <numFmt numFmtId="170" formatCode="#,##0.000"/>
  </numFmts>
  <fonts count="10" x14ac:knownFonts="1">
    <font>
      <sz val="10"/>
      <name val="Arial"/>
    </font>
    <font>
      <sz val="8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b/>
      <sz val="12"/>
      <color indexed="9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sz val="12"/>
      <color indexed="9"/>
      <name val="Tahoma"/>
      <family val="2"/>
    </font>
    <font>
      <i/>
      <sz val="8"/>
      <name val="Tahoma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14" fontId="0" fillId="0" borderId="0" xfId="0" applyNumberFormat="1"/>
    <xf numFmtId="8" fontId="0" fillId="0" borderId="0" xfId="0" applyNumberFormat="1"/>
    <xf numFmtId="6" fontId="0" fillId="0" borderId="0" xfId="0" applyNumberFormat="1"/>
    <xf numFmtId="165" fontId="0" fillId="0" borderId="0" xfId="0" applyNumberFormat="1"/>
    <xf numFmtId="3" fontId="0" fillId="0" borderId="0" xfId="0" applyNumberFormat="1"/>
    <xf numFmtId="3" fontId="0" fillId="2" borderId="0" xfId="0" applyNumberFormat="1" applyFill="1"/>
    <xf numFmtId="166" fontId="0" fillId="0" borderId="0" xfId="0" applyNumberFormat="1"/>
    <xf numFmtId="1" fontId="0" fillId="0" borderId="0" xfId="0" applyNumberFormat="1"/>
    <xf numFmtId="38" fontId="0" fillId="0" borderId="0" xfId="0" applyNumberFormat="1"/>
    <xf numFmtId="16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wrapText="1"/>
    </xf>
    <xf numFmtId="0" fontId="2" fillId="0" borderId="0" xfId="0" applyFont="1"/>
    <xf numFmtId="0" fontId="3" fillId="0" borderId="0" xfId="0" applyFont="1"/>
    <xf numFmtId="0" fontId="4" fillId="3" borderId="1" xfId="0" applyFont="1" applyFill="1" applyBorder="1"/>
    <xf numFmtId="0" fontId="2" fillId="3" borderId="1" xfId="0" applyFont="1" applyFill="1" applyBorder="1"/>
    <xf numFmtId="0" fontId="3" fillId="4" borderId="1" xfId="0" applyFont="1" applyFill="1" applyBorder="1" applyAlignment="1">
      <alignment wrapText="1"/>
    </xf>
    <xf numFmtId="2" fontId="3" fillId="5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2" fontId="3" fillId="6" borderId="1" xfId="0" applyNumberFormat="1" applyFont="1" applyFill="1" applyBorder="1" applyAlignment="1">
      <alignment wrapText="1"/>
    </xf>
    <xf numFmtId="2" fontId="2" fillId="0" borderId="0" xfId="0" applyNumberFormat="1" applyFont="1" applyAlignment="1">
      <alignment wrapText="1"/>
    </xf>
    <xf numFmtId="2" fontId="5" fillId="7" borderId="2" xfId="0" applyNumberFormat="1" applyFont="1" applyFill="1" applyBorder="1" applyAlignment="1">
      <alignment wrapText="1"/>
    </xf>
    <xf numFmtId="2" fontId="5" fillId="7" borderId="2" xfId="0" applyNumberFormat="1" applyFont="1" applyFill="1" applyBorder="1" applyAlignment="1">
      <alignment horizontal="center" wrapText="1"/>
    </xf>
    <xf numFmtId="165" fontId="6" fillId="5" borderId="1" xfId="0" applyNumberFormat="1" applyFont="1" applyFill="1" applyBorder="1"/>
    <xf numFmtId="165" fontId="6" fillId="4" borderId="1" xfId="0" applyNumberFormat="1" applyFont="1" applyFill="1" applyBorder="1"/>
    <xf numFmtId="165" fontId="6" fillId="6" borderId="1" xfId="0" applyNumberFormat="1" applyFont="1" applyFill="1" applyBorder="1"/>
    <xf numFmtId="2" fontId="5" fillId="8" borderId="2" xfId="0" applyNumberFormat="1" applyFont="1" applyFill="1" applyBorder="1" applyAlignment="1">
      <alignment wrapText="1"/>
    </xf>
    <xf numFmtId="2" fontId="6" fillId="8" borderId="3" xfId="0" applyNumberFormat="1" applyFont="1" applyFill="1" applyBorder="1" applyAlignment="1">
      <alignment horizontal="center" wrapText="1"/>
    </xf>
    <xf numFmtId="165" fontId="6" fillId="4" borderId="1" xfId="0" applyNumberFormat="1" applyFont="1" applyFill="1" applyBorder="1" applyAlignment="1">
      <alignment wrapText="1"/>
    </xf>
    <xf numFmtId="165" fontId="6" fillId="6" borderId="1" xfId="0" applyNumberFormat="1" applyFont="1" applyFill="1" applyBorder="1" applyAlignment="1">
      <alignment wrapText="1"/>
    </xf>
    <xf numFmtId="0" fontId="5" fillId="8" borderId="4" xfId="0" applyFont="1" applyFill="1" applyBorder="1"/>
    <xf numFmtId="2" fontId="6" fillId="8" borderId="5" xfId="0" applyNumberFormat="1" applyFont="1" applyFill="1" applyBorder="1" applyAlignment="1">
      <alignment horizontal="center" wrapText="1"/>
    </xf>
    <xf numFmtId="10" fontId="6" fillId="5" borderId="1" xfId="0" applyNumberFormat="1" applyFont="1" applyFill="1" applyBorder="1"/>
    <xf numFmtId="10" fontId="6" fillId="4" borderId="1" xfId="0" applyNumberFormat="1" applyFont="1" applyFill="1" applyBorder="1" applyAlignment="1">
      <alignment wrapText="1"/>
    </xf>
    <xf numFmtId="10" fontId="6" fillId="6" borderId="1" xfId="0" applyNumberFormat="1" applyFont="1" applyFill="1" applyBorder="1" applyAlignment="1">
      <alignment wrapText="1"/>
    </xf>
    <xf numFmtId="169" fontId="6" fillId="5" borderId="1" xfId="0" applyNumberFormat="1" applyFont="1" applyFill="1" applyBorder="1"/>
    <xf numFmtId="169" fontId="6" fillId="4" borderId="1" xfId="0" applyNumberFormat="1" applyFont="1" applyFill="1" applyBorder="1" applyAlignment="1">
      <alignment wrapText="1"/>
    </xf>
    <xf numFmtId="169" fontId="6" fillId="6" borderId="1" xfId="0" applyNumberFormat="1" applyFont="1" applyFill="1" applyBorder="1" applyAlignment="1">
      <alignment wrapText="1"/>
    </xf>
    <xf numFmtId="170" fontId="6" fillId="4" borderId="1" xfId="0" applyNumberFormat="1" applyFont="1" applyFill="1" applyBorder="1" applyAlignment="1">
      <alignment wrapText="1"/>
    </xf>
    <xf numFmtId="170" fontId="6" fillId="6" borderId="1" xfId="0" applyNumberFormat="1" applyFont="1" applyFill="1" applyBorder="1" applyAlignment="1">
      <alignment wrapText="1"/>
    </xf>
    <xf numFmtId="0" fontId="5" fillId="9" borderId="4" xfId="0" applyFont="1" applyFill="1" applyBorder="1"/>
    <xf numFmtId="165" fontId="5" fillId="9" borderId="4" xfId="0" applyNumberFormat="1" applyFont="1" applyFill="1" applyBorder="1" applyAlignment="1">
      <alignment horizontal="center"/>
    </xf>
    <xf numFmtId="166" fontId="6" fillId="5" borderId="1" xfId="0" applyNumberFormat="1" applyFont="1" applyFill="1" applyBorder="1"/>
    <xf numFmtId="166" fontId="6" fillId="4" borderId="1" xfId="0" applyNumberFormat="1" applyFont="1" applyFill="1" applyBorder="1" applyAlignment="1">
      <alignment wrapText="1"/>
    </xf>
    <xf numFmtId="166" fontId="6" fillId="6" borderId="1" xfId="0" applyNumberFormat="1" applyFont="1" applyFill="1" applyBorder="1" applyAlignment="1">
      <alignment wrapText="1"/>
    </xf>
    <xf numFmtId="0" fontId="5" fillId="10" borderId="1" xfId="0" applyFont="1" applyFill="1" applyBorder="1"/>
    <xf numFmtId="1" fontId="5" fillId="10" borderId="1" xfId="0" applyNumberFormat="1" applyFont="1" applyFill="1" applyBorder="1" applyAlignment="1">
      <alignment horizontal="center" wrapText="1"/>
    </xf>
    <xf numFmtId="0" fontId="3" fillId="5" borderId="1" xfId="0" applyFont="1" applyFill="1" applyBorder="1" applyAlignment="1">
      <alignment wrapText="1"/>
    </xf>
    <xf numFmtId="165" fontId="3" fillId="5" borderId="1" xfId="0" applyNumberFormat="1" applyFont="1" applyFill="1" applyBorder="1" applyAlignment="1">
      <alignment horizontal="center"/>
    </xf>
    <xf numFmtId="0" fontId="4" fillId="11" borderId="1" xfId="0" applyFont="1" applyFill="1" applyBorder="1" applyAlignment="1">
      <alignment wrapText="1"/>
    </xf>
    <xf numFmtId="165" fontId="7" fillId="11" borderId="1" xfId="0" applyNumberFormat="1" applyFont="1" applyFill="1" applyBorder="1"/>
    <xf numFmtId="0" fontId="2" fillId="0" borderId="0" xfId="0" applyFont="1" applyAlignment="1">
      <alignment wrapText="1"/>
    </xf>
    <xf numFmtId="0" fontId="8" fillId="0" borderId="0" xfId="0" applyFont="1" applyAlignment="1"/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177800</xdr:colOff>
      <xdr:row>3</xdr:row>
      <xdr:rowOff>25400</xdr:rowOff>
    </xdr:from>
    <xdr:to>
      <xdr:col>5</xdr:col>
      <xdr:colOff>622300</xdr:colOff>
      <xdr:row>5</xdr:row>
      <xdr:rowOff>0</xdr:rowOff>
    </xdr:to>
    <xdr:sp macro="[0]!ratecheck" textlink="">
      <xdr:nvSpPr>
        <xdr:cNvPr id="1027" name="AutoShape 3">
          <a:extLst>
            <a:ext uri="{FF2B5EF4-FFF2-40B4-BE49-F238E27FC236}">
              <a16:creationId xmlns:a16="http://schemas.microsoft.com/office/drawing/2014/main" id="{A0D06569-D20B-7595-E1E6-D6C2E9FC3FFD}"/>
            </a:ext>
          </a:extLst>
        </xdr:cNvPr>
        <xdr:cNvSpPr>
          <a:spLocks noChangeArrowheads="1"/>
        </xdr:cNvSpPr>
      </xdr:nvSpPr>
      <xdr:spPr bwMode="auto">
        <a:xfrm>
          <a:off x="4165600" y="330200"/>
          <a:ext cx="1409700" cy="203200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18472F" mc:Ignorable="a14" a14:legacySpreadsheetColorIndex="57">
                <a:gamma/>
                <a:shade val="46275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9966" mc:Ignorable="a14" a14:legacySpreadsheetColorIndex="57"/>
            </a:gs>
            <a:gs pos="100000">
              <a:srgbClr xmlns:mc="http://schemas.openxmlformats.org/markup-compatibility/2006" xmlns:a14="http://schemas.microsoft.com/office/drawing/2010/main" val="18472F" mc:Ignorable="a14" a14:legacySpreadsheetColorIndex="57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Tahoma" pitchFamily="2" charset="0"/>
              <a:ea typeface="Tahoma" pitchFamily="2" charset="0"/>
              <a:cs typeface="Tahoma" pitchFamily="2" charset="0"/>
            </a:rPr>
            <a:t>Build Scenario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9B59-71CD-0943-BBB8-5E06ABE42FA9}">
  <sheetPr codeName="Sheet2"/>
  <dimension ref="B1:O43"/>
  <sheetViews>
    <sheetView showGridLines="0" workbookViewId="0">
      <selection activeCell="J17" sqref="J17"/>
    </sheetView>
  </sheetViews>
  <sheetFormatPr baseColWidth="10" defaultColWidth="0" defaultRowHeight="13" zeroHeight="1" x14ac:dyDescent="0.15"/>
  <cols>
    <col min="1" max="1" width="1.5" customWidth="1"/>
    <col min="2" max="2" width="25.6640625" style="13" customWidth="1"/>
    <col min="3" max="3" width="14.33203125" style="13" bestFit="1" customWidth="1"/>
    <col min="4" max="4" width="10.83203125" style="13" bestFit="1" customWidth="1"/>
    <col min="5" max="5" width="12.6640625" style="13" customWidth="1"/>
    <col min="6" max="6" width="10.6640625" style="13" customWidth="1"/>
    <col min="7" max="7" width="10.83203125" style="13" customWidth="1"/>
    <col min="8" max="8" width="1.5" style="13" customWidth="1"/>
    <col min="9" max="9" width="16.6640625" style="13" customWidth="1"/>
    <col min="10" max="10" width="29.5" style="13" customWidth="1"/>
  </cols>
  <sheetData>
    <row r="1" spans="2:15" ht="8.25" customHeight="1" x14ac:dyDescent="0.15"/>
    <row r="2" spans="2:15" x14ac:dyDescent="0.15">
      <c r="B2" s="14" t="s">
        <v>51</v>
      </c>
    </row>
    <row r="3" spans="2:15" ht="3.75" customHeight="1" x14ac:dyDescent="0.15"/>
    <row r="4" spans="2:15" ht="15" x14ac:dyDescent="0.15">
      <c r="B4" s="15" t="s">
        <v>52</v>
      </c>
      <c r="C4" s="15">
        <v>410513436</v>
      </c>
      <c r="D4" s="16"/>
      <c r="E4" s="16"/>
      <c r="F4" s="16"/>
      <c r="G4" s="16">
        <f>IF(ISERROR(VLOOKUP(C4,'Data Dump'!A2,1,FALSE)),1,0)</f>
        <v>0</v>
      </c>
    </row>
    <row r="5" spans="2:15" ht="3" customHeight="1" x14ac:dyDescent="0.15">
      <c r="B5" s="16"/>
      <c r="C5" s="16"/>
      <c r="D5" s="16"/>
      <c r="E5" s="16"/>
      <c r="F5" s="16"/>
      <c r="G5" s="16"/>
    </row>
    <row r="6" spans="2:15" ht="70" x14ac:dyDescent="0.15">
      <c r="B6" s="17"/>
      <c r="C6" s="18" t="s">
        <v>53</v>
      </c>
      <c r="D6" s="19" t="s">
        <v>54</v>
      </c>
      <c r="E6" s="20" t="s">
        <v>86</v>
      </c>
      <c r="F6" s="19" t="s">
        <v>55</v>
      </c>
      <c r="G6" s="20" t="s">
        <v>56</v>
      </c>
      <c r="H6" s="21"/>
      <c r="I6" s="22" t="s">
        <v>68</v>
      </c>
      <c r="J6" s="23" t="e">
        <f>VLOOKUP($C$4,'Borrower Details'!$A$1:$K$1493,9,FALSE)</f>
        <v>#N/A</v>
      </c>
      <c r="K6" s="12"/>
      <c r="L6" s="12"/>
      <c r="M6" s="12"/>
      <c r="N6" s="12"/>
      <c r="O6" s="12"/>
    </row>
    <row r="7" spans="2:15" ht="28" x14ac:dyDescent="0.15">
      <c r="B7" s="17" t="s">
        <v>57</v>
      </c>
      <c r="C7" s="24">
        <f>IF(G4=1,"",IF(C8="NA","NA",VLOOKUP($C$4,'Data Dump'!$A$1:$AI$1369,5,FALSE)))</f>
        <v>155000</v>
      </c>
      <c r="D7" s="25" t="str">
        <f>IF(G4=1,"",IF(D8="NA","NA",VLOOKUP($C$4,'Data Dump'!$A$1:$AI$1369,5,FALSE)))</f>
        <v>NA</v>
      </c>
      <c r="E7" s="26" t="str">
        <f>IF(G4=1,"",IF(E8="NA","NA",VLOOKUP($C$4,'Data Dump'!$A$1:$AI$1369,5,FALSE)))</f>
        <v>NA</v>
      </c>
      <c r="F7" s="25">
        <f>IF(G4=1,"",IF(F8="NA","NA",VLOOKUP($C$4,'Data Dump'!$A$1:$AI$1369,5,FALSE)))</f>
        <v>155000</v>
      </c>
      <c r="G7" s="26" t="str">
        <f>IF(G4=1,"",IF(G8="NA","NA",VLOOKUP($C$4,'Data Dump'!$A$1:$AI$1369,5,FALSE)))</f>
        <v>NA</v>
      </c>
      <c r="H7" s="21"/>
      <c r="I7" s="27" t="s">
        <v>69</v>
      </c>
      <c r="J7" s="28" t="e">
        <f>VLOOKUP($C$4,'Borrower Details'!$A$1:$K$1493,10,FALSE)</f>
        <v>#N/A</v>
      </c>
      <c r="K7" s="12"/>
      <c r="L7" s="12"/>
      <c r="M7" s="12"/>
      <c r="N7" s="12"/>
      <c r="O7" s="12"/>
    </row>
    <row r="8" spans="2:15" ht="28" x14ac:dyDescent="0.15">
      <c r="B8" s="17" t="s">
        <v>58</v>
      </c>
      <c r="C8" s="24">
        <f>IF(G4=1,"",VLOOKUP($C$4,'Data Dump'!$A$1:$AI$1369,9,FALSE))</f>
        <v>131172.41</v>
      </c>
      <c r="D8" s="29" t="str">
        <f>IF(G4=1,"",IF((VLOOKUP($C$4,'Data Dump'!$A$1:$AI$1369,15,FALSE))="Cash Out",VLOOKUP($C$4,'Data Dump'!$A$1:$AI$1369,17,FALSE),"NA"))</f>
        <v>NA</v>
      </c>
      <c r="E8" s="30" t="str">
        <f>IF(G4=1,"",IF(AND((VLOOKUP($C$4,'Data Dump'!$A$1:$AI$1369,15,FALSE))="Cash Out",(VLOOKUP($C$4,'Data Dump'!$A$1:$AI$1369,25,FALSE))&gt;10),VLOOKUP($C$4,'Data Dump'!$A$1:$AI$1369,24,FALSE),"NA"))</f>
        <v>NA</v>
      </c>
      <c r="F8" s="29">
        <f>IF(G4=1,"",VLOOKUP($C$4,'Data Dump'!$A$1:$AP$1369,39,FALSE))</f>
        <v>133139.99614999999</v>
      </c>
      <c r="G8" s="30" t="str">
        <f>IF(G4=1,"",IF(((VLOOKUP($C$4,'Data Dump'!$A$1:$AP$1369,28,FALSE))=1),VLOOKUP($C$4,'Data Dump'!$A$1:$AP$1369,39,FALSE),"NA"))</f>
        <v>NA</v>
      </c>
      <c r="I8" s="31"/>
      <c r="J8" s="32" t="e">
        <f>VLOOKUP($C$4,'Borrower Details'!$A$1:$K$1493,11,FALSE)</f>
        <v>#N/A</v>
      </c>
    </row>
    <row r="9" spans="2:15" ht="14" x14ac:dyDescent="0.15">
      <c r="B9" s="17" t="s">
        <v>81</v>
      </c>
      <c r="C9" s="33">
        <f>IF(G4=1,"",VLOOKUP($C$4,'Data Dump'!$A$1:$AI$1369,6,FALSE)/VLOOKUP($C$4,'Data Dump'!$A$1:$AI$1369,5,FALSE))</f>
        <v>0.85</v>
      </c>
      <c r="D9" s="34" t="str">
        <f>IF(G4=1,"",IF(D8="NA","NA",D8/D7))</f>
        <v>NA</v>
      </c>
      <c r="E9" s="35" t="str">
        <f>IF(G4=1,"",IF(E8="NA","NA",E8/E7))</f>
        <v>NA</v>
      </c>
      <c r="F9" s="34">
        <f>IF(G4=1,"",IF(F8="NA","NA",F8/F7))</f>
        <v>0.85896771709677411</v>
      </c>
      <c r="G9" s="35" t="str">
        <f>IF(G4=1,"",IF(G8="NA","NA",G8/G7))</f>
        <v>NA</v>
      </c>
      <c r="I9" s="31"/>
      <c r="J9" s="32"/>
    </row>
    <row r="10" spans="2:15" ht="14" x14ac:dyDescent="0.15">
      <c r="B10" s="17" t="s">
        <v>59</v>
      </c>
      <c r="C10" s="36">
        <f>IF(G4=1,"",(VLOOKUP($C$4,'Data Dump'!$A$1:$AI$1369,10,FALSE))*100)</f>
        <v>9.7000000000000011</v>
      </c>
      <c r="D10" s="37" t="str">
        <f>IF(G4=1,"",IF((VLOOKUP($C$4,'Data Dump'!$A$1:$AI$1369,15,FALSE))="Cash Out",VLOOKUP($C$4,'Data Dump'!$A$1:$AI$1369,20,FALSE),"NA"))</f>
        <v>NA</v>
      </c>
      <c r="E10" s="38" t="str">
        <f>IF(G4=1,"",IF(AND((VLOOKUP($C$4,'Data Dump'!$A$1:$AI$1369,15,FALSE))="Cash Out",(VLOOKUP($C$4,'Data Dump'!$A$1:$AI$1369,25,FALSE))&gt;10),VLOOKUP($C$4,'Data Dump'!$A$1:$AL$1369,38,FALSE),"NA"))</f>
        <v>NA</v>
      </c>
      <c r="F10" s="39">
        <f>IF(G4=1,"",VLOOKUP($C$4,'Data Dump'!$A$1:$AP$1369,40,FALSE))</f>
        <v>7.625</v>
      </c>
      <c r="G10" s="40" t="str">
        <f>IF(G4=1,"",IF(((VLOOKUP($C$4,'Data Dump'!$A$1:$AP$1369,28,FALSE))=1),VLOOKUP($C$4,'Data Dump'!$A$1:$AP$1369,29,FALSE),"NA"))</f>
        <v>NA</v>
      </c>
      <c r="I10" s="41" t="s">
        <v>70</v>
      </c>
      <c r="J10" s="42" t="e">
        <f>IF(J11="NA","NA",VLOOKUP($C$4,'All Data'!$A$1:$AI$1369,7,FALSE))</f>
        <v>#N/A</v>
      </c>
    </row>
    <row r="11" spans="2:15" ht="28" x14ac:dyDescent="0.15">
      <c r="B11" s="17" t="s">
        <v>60</v>
      </c>
      <c r="C11" s="43">
        <f>IF(G4=1,"",VLOOKUP($C$4,'Data Dump'!$A$1:$AI$1369,8,FALSE))</f>
        <v>1127.1099999999999</v>
      </c>
      <c r="D11" s="44" t="str">
        <f>IF(G4=1,"",IF((VLOOKUP($C$4,'Data Dump'!$A$1:$AI$1369,15,FALSE))="Cash Out",VLOOKUP($C$4,'Data Dump'!$A$1:$AI$1369,21,FALSE),"NA"))</f>
        <v>NA</v>
      </c>
      <c r="E11" s="45" t="str">
        <f>IF(G4=1,"",IF(AND((VLOOKUP($C$4,'Data Dump'!$A$1:$AI$1369,15,FALSE))="Cash Out",(VLOOKUP($C$4,'Data Dump'!$A$1:$AI$1369,25,FALSE))&gt;10),VLOOKUP($C$4,'Data Dump'!$A$1:$AI$1369,26,FALSE),"NA"))</f>
        <v>NA</v>
      </c>
      <c r="F11" s="44">
        <f>IF(G4=1,"",VLOOKUP($C$4,'Data Dump'!$A$1:$AP$1369,41,FALSE))</f>
        <v>997.83156504233693</v>
      </c>
      <c r="G11" s="45" t="str">
        <f>IF(G4=1,"",IF(((VLOOKUP($C$4,'Data Dump'!$A$1:$AP$1369,28,FALSE))=1),VLOOKUP($C$4,'Data Dump'!$A$1:$AP$1369,30,FALSE),"NA"))</f>
        <v>NA</v>
      </c>
      <c r="I11" s="46" t="s">
        <v>71</v>
      </c>
      <c r="J11" s="47" t="e">
        <f>VLOOKUP($C$4,'Borrower Details'!$A$1:$K$1493,8,FALSE)</f>
        <v>#N/A</v>
      </c>
    </row>
    <row r="12" spans="2:15" ht="42" x14ac:dyDescent="0.15">
      <c r="B12" s="17" t="s">
        <v>61</v>
      </c>
      <c r="C12" s="24">
        <f>IF(G4=1,"",0)</f>
        <v>0</v>
      </c>
      <c r="D12" s="44" t="str">
        <f>IF(G4=1,"",IF(D8="NA","NA",$C11-D11))</f>
        <v>NA</v>
      </c>
      <c r="E12" s="45" t="str">
        <f>IF(G4=1,"",IF(E8="NA","NA",$C11-E11))</f>
        <v>NA</v>
      </c>
      <c r="F12" s="44">
        <f>IF(G4=1,"",IF(F8="NA","NA",$C11-F11))</f>
        <v>129.27843495766297</v>
      </c>
      <c r="G12" s="45" t="str">
        <f>IF(G4=1,"",IF(G8="NA","NA",$C11-G11))</f>
        <v>NA</v>
      </c>
      <c r="I12" s="48" t="s">
        <v>90</v>
      </c>
      <c r="J12" s="49" t="e">
        <f>VLOOKUP($C$4,'All Data'!A1:AK1367,37,FALSE)</f>
        <v>#N/A</v>
      </c>
    </row>
    <row r="13" spans="2:15" ht="14" x14ac:dyDescent="0.15">
      <c r="B13" s="17" t="s">
        <v>24</v>
      </c>
      <c r="C13" s="24">
        <f>IF(G4=1,"",0)</f>
        <v>0</v>
      </c>
      <c r="D13" s="29" t="str">
        <f>IF(G4=1,"",IF((VLOOKUP($C$4,'Data Dump'!$A$1:$AI$1369,15,FALSE))="Cash Out",VLOOKUP($C$4,'Data Dump'!$A$1:$AI$1369,16,FALSE),"NA"))</f>
        <v>NA</v>
      </c>
      <c r="E13" s="30" t="str">
        <f>IF(G4=1,"",IF(AND((VLOOKUP($C$4,'Data Dump'!$A$1:$AI$1369,15,FALSE))="Cash Out",(VLOOKUP($C$4,'Data Dump'!$A$1:$AI$1369,25,FALSE))&gt;10),VLOOKUP($C$4,'Data Dump'!$A$1:$AI$1369,25,FALSE),"NA"))</f>
        <v>NA</v>
      </c>
      <c r="F13" s="29" t="str">
        <f>IF(G4=1,"","NA")</f>
        <v>NA</v>
      </c>
      <c r="G13" s="30" t="str">
        <f>IF(G4=1,"","NA")</f>
        <v>NA</v>
      </c>
      <c r="I13" s="14"/>
    </row>
    <row r="14" spans="2:15" ht="14" x14ac:dyDescent="0.15">
      <c r="B14" s="17" t="s">
        <v>62</v>
      </c>
      <c r="C14" s="24">
        <f>IF(G4=1,"",0)</f>
        <v>0</v>
      </c>
      <c r="D14" s="29" t="str">
        <f>IF(G4=1,"",IF((VLOOKUP($C$4,'Data Dump'!$A$1:$AI$1369,15,FALSE))="Cash Out",VLOOKUP($C$4,'Data Dump'!$A$1:$AI$1369,34,FALSE),"NA"))</f>
        <v>NA</v>
      </c>
      <c r="E14" s="30" t="str">
        <f>IF(G4=1,"",IF(AND((VLOOKUP($C$4,'Data Dump'!$A$1:$AI$1369,15,FALSE))="Cash Out",(VLOOKUP($C$4,'Data Dump'!$A$1:$AI$1369,25,FALSE))&gt;10),VLOOKUP($C$4,'Data Dump'!$A$1:$AI$1369,34,FALSE),"NA"))</f>
        <v>NA</v>
      </c>
      <c r="F14" s="29">
        <f>IF(G4=1,"",VLOOKUP($C$4,'Data Dump'!$A$1:$AP$1369,34,FALSE))</f>
        <v>6389.875</v>
      </c>
      <c r="G14" s="30" t="str">
        <f>IF(G4=1,"",IF(((VLOOKUP($C$4,'Data Dump'!$A$1:$AP$1369,28,FALSE))=1),VLOOKUP($C$4,'Data Dump'!$A$1:$AP$1369,34,FALSE),"NA"))</f>
        <v>NA</v>
      </c>
    </row>
    <row r="15" spans="2:15" ht="14" x14ac:dyDescent="0.15">
      <c r="B15" s="17" t="s">
        <v>63</v>
      </c>
      <c r="C15" s="24">
        <f>IF(G4=1,"",0)</f>
        <v>0</v>
      </c>
      <c r="D15" s="29" t="str">
        <f>IF(G4=1,"",IF(D8="NA","NA",D8*0.025))</f>
        <v>NA</v>
      </c>
      <c r="E15" s="30" t="str">
        <f>IF(G4=1,"",IF(E8="NA","NA",E8*0.025))</f>
        <v>NA</v>
      </c>
      <c r="F15" s="29">
        <f>IF(G4=1,"",IF(F8="NA","NA",F8*0.025))</f>
        <v>3328.4999037500002</v>
      </c>
      <c r="G15" s="30" t="str">
        <f>IF(G4=1,"",IF(G8="NA","NA",G8*0.025))</f>
        <v>NA</v>
      </c>
    </row>
    <row r="16" spans="2:15" ht="14" x14ac:dyDescent="0.15">
      <c r="B16" s="17" t="s">
        <v>64</v>
      </c>
      <c r="C16" s="24" t="str">
        <f>IF(G4=1,"","NA")</f>
        <v>NA</v>
      </c>
      <c r="D16" s="25" t="str">
        <f>IF(G4=1,"","NA")</f>
        <v>NA</v>
      </c>
      <c r="E16" s="26" t="str">
        <f>IF(G4=1,"","NA")</f>
        <v>NA</v>
      </c>
      <c r="F16" s="25" t="str">
        <f>IF(G4=1,"","NA")</f>
        <v>NA</v>
      </c>
      <c r="G16" s="40" t="str">
        <f>IF(G4=1,"",IF(((VLOOKUP($C$4,'Data Dump'!$A$1:$AP$1369,28,FALSE))=1),VLOOKUP($C$4,'Data Dump'!$A$1:$AP$1369,32,FALSE),"NA"))</f>
        <v>NA</v>
      </c>
    </row>
    <row r="17" spans="2:7" ht="28" x14ac:dyDescent="0.15">
      <c r="B17" s="17" t="s">
        <v>66</v>
      </c>
      <c r="C17" s="24" t="str">
        <f>IF(G4=1,"","NA")</f>
        <v>NA</v>
      </c>
      <c r="D17" s="25" t="str">
        <f>IF(G4=1,"","NA")</f>
        <v>NA</v>
      </c>
      <c r="E17" s="26" t="str">
        <f>IF(G4=1,"","NA")</f>
        <v>NA</v>
      </c>
      <c r="F17" s="25" t="str">
        <f>IF(G4=1,"","NA")</f>
        <v>NA</v>
      </c>
      <c r="G17" s="30" t="str">
        <f>IF(G4=1,"",IF(((VLOOKUP($C$4,'Data Dump'!$A$1:$AI$1369,28,FALSE))=1),VLOOKUP($C$4,'Data Dump'!$A$1:$AI$1369,33,FALSE),"NA"))</f>
        <v>NA</v>
      </c>
    </row>
    <row r="18" spans="2:7" ht="16" x14ac:dyDescent="0.15">
      <c r="B18" s="50" t="s">
        <v>67</v>
      </c>
      <c r="C18" s="51">
        <f>IF($G$4=1,"",SUM(C13:C17))</f>
        <v>0</v>
      </c>
      <c r="D18" s="51">
        <f>IF($G$4=1,"",SUM(D13:D17))</f>
        <v>0</v>
      </c>
      <c r="E18" s="51">
        <f>IF($G$4=1,"",SUM(E13:E17))</f>
        <v>0</v>
      </c>
      <c r="F18" s="51">
        <f>IF($G$4=1,"",SUM(F13:F17))</f>
        <v>9718.3749037500002</v>
      </c>
      <c r="G18" s="51">
        <f>IF($G$4=1,"",SUM(G13:G17))</f>
        <v>0</v>
      </c>
    </row>
    <row r="19" spans="2:7" ht="3.75" customHeight="1" x14ac:dyDescent="0.15">
      <c r="B19" s="52"/>
    </row>
    <row r="20" spans="2:7" x14ac:dyDescent="0.15">
      <c r="B20" s="53" t="s">
        <v>91</v>
      </c>
    </row>
    <row r="21" spans="2:7" x14ac:dyDescent="0.15">
      <c r="B21" s="53" t="s">
        <v>92</v>
      </c>
    </row>
    <row r="22" spans="2:7" hidden="1" x14ac:dyDescent="0.15">
      <c r="B22" s="52"/>
    </row>
    <row r="23" spans="2:7" hidden="1" x14ac:dyDescent="0.15">
      <c r="B23" s="52"/>
    </row>
    <row r="24" spans="2:7" hidden="1" x14ac:dyDescent="0.15">
      <c r="B24" s="52"/>
    </row>
    <row r="25" spans="2:7" hidden="1" x14ac:dyDescent="0.15">
      <c r="B25" s="52"/>
    </row>
    <row r="26" spans="2:7" hidden="1" x14ac:dyDescent="0.15">
      <c r="B26" s="52"/>
    </row>
    <row r="27" spans="2:7" hidden="1" x14ac:dyDescent="0.15">
      <c r="B27" s="52"/>
    </row>
    <row r="28" spans="2:7" hidden="1" x14ac:dyDescent="0.15">
      <c r="B28" s="52"/>
    </row>
    <row r="29" spans="2:7" hidden="1" x14ac:dyDescent="0.15">
      <c r="B29" s="52"/>
    </row>
    <row r="30" spans="2:7" hidden="1" x14ac:dyDescent="0.15">
      <c r="B30" s="52"/>
    </row>
    <row r="31" spans="2:7" hidden="1" x14ac:dyDescent="0.15">
      <c r="B31" s="52"/>
    </row>
    <row r="32" spans="2:7" hidden="1" x14ac:dyDescent="0.15">
      <c r="B32" s="52"/>
    </row>
    <row r="33" spans="2:2" hidden="1" x14ac:dyDescent="0.15">
      <c r="B33" s="52"/>
    </row>
    <row r="34" spans="2:2" hidden="1" x14ac:dyDescent="0.15">
      <c r="B34" s="52"/>
    </row>
    <row r="35" spans="2:2" hidden="1" x14ac:dyDescent="0.15">
      <c r="B35" s="52"/>
    </row>
    <row r="36" spans="2:2" hidden="1" x14ac:dyDescent="0.15">
      <c r="B36" s="52"/>
    </row>
    <row r="37" spans="2:2" hidden="1" x14ac:dyDescent="0.15">
      <c r="B37" s="52"/>
    </row>
    <row r="38" spans="2:2" hidden="1" x14ac:dyDescent="0.15">
      <c r="B38" s="52"/>
    </row>
    <row r="39" spans="2:2" hidden="1" x14ac:dyDescent="0.15">
      <c r="B39" s="52"/>
    </row>
    <row r="40" spans="2:2" hidden="1" x14ac:dyDescent="0.15">
      <c r="B40" s="52"/>
    </row>
    <row r="41" spans="2:2" hidden="1" x14ac:dyDescent="0.15">
      <c r="B41" s="52"/>
    </row>
    <row r="42" spans="2:2" hidden="1" x14ac:dyDescent="0.15">
      <c r="B42" s="52"/>
    </row>
    <row r="43" spans="2:2" hidden="1" x14ac:dyDescent="0.15">
      <c r="B43" s="52"/>
    </row>
  </sheetData>
  <protectedRanges>
    <protectedRange sqref="C4" name="Range1"/>
  </protectedRanges>
  <phoneticPr fontId="1" type="noConversion"/>
  <dataValidations count="1">
    <dataValidation type="list" allowBlank="1" showInputMessage="1" showErrorMessage="1" sqref="C4" xr:uid="{0F6B626F-0588-1C42-8D47-6A69653C04AC}">
      <formula1>Loan_Id</formula1>
    </dataValidation>
  </dataValidations>
  <pageMargins left="0.75" right="0.75" top="1" bottom="1" header="0.5" footer="0.5"/>
  <pageSetup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2CAA-D25C-7643-90C5-6F5D031BBEC8}">
  <sheetPr codeName="Sheet1"/>
  <dimension ref="A1:AP1367"/>
  <sheetViews>
    <sheetView topLeftCell="W1" workbookViewId="0">
      <selection activeCell="AI2" sqref="AI2"/>
    </sheetView>
  </sheetViews>
  <sheetFormatPr baseColWidth="10" defaultRowHeight="13" x14ac:dyDescent="0.15"/>
  <cols>
    <col min="1" max="1" width="10" bestFit="1" customWidth="1"/>
    <col min="2" max="2" width="8.83203125" customWidth="1"/>
    <col min="3" max="3" width="11.1640625" bestFit="1" customWidth="1"/>
    <col min="4" max="4" width="11.5" bestFit="1" customWidth="1"/>
    <col min="5" max="5" width="18.5" bestFit="1" customWidth="1"/>
    <col min="6" max="6" width="11.6640625" bestFit="1" customWidth="1"/>
    <col min="7" max="7" width="8.83203125" customWidth="1"/>
    <col min="8" max="8" width="16" bestFit="1" customWidth="1"/>
    <col min="9" max="9" width="18.5" bestFit="1" customWidth="1"/>
    <col min="10" max="10" width="18.33203125" bestFit="1" customWidth="1"/>
    <col min="11" max="13" width="8.83203125" customWidth="1"/>
    <col min="14" max="14" width="26.1640625" bestFit="1" customWidth="1"/>
    <col min="15" max="15" width="8.83203125" customWidth="1"/>
    <col min="16" max="16" width="15.33203125" bestFit="1" customWidth="1"/>
    <col min="17" max="17" width="15.5" customWidth="1"/>
    <col min="18" max="19" width="13.33203125" customWidth="1"/>
    <col min="20" max="20" width="10.6640625" customWidth="1"/>
    <col min="21" max="21" width="10.1640625" bestFit="1" customWidth="1"/>
    <col min="22" max="22" width="10.33203125" bestFit="1" customWidth="1"/>
    <col min="23" max="27" width="10.33203125" customWidth="1"/>
    <col min="28" max="30" width="8.83203125" customWidth="1"/>
    <col min="31" max="31" width="15.6640625" bestFit="1" customWidth="1"/>
    <col min="32" max="36" width="8.83203125" customWidth="1"/>
    <col min="37" max="37" width="11.1640625" bestFit="1" customWidth="1"/>
    <col min="38" max="38" width="8.83203125" customWidth="1"/>
    <col min="39" max="39" width="10.6640625" bestFit="1" customWidth="1"/>
    <col min="40" max="256" width="8.83203125" customWidth="1"/>
  </cols>
  <sheetData>
    <row r="1" spans="1:42" x14ac:dyDescent="0.15">
      <c r="A1" t="s">
        <v>3</v>
      </c>
      <c r="B1" t="s">
        <v>34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39</v>
      </c>
      <c r="N1" t="s">
        <v>14</v>
      </c>
      <c r="O1" t="s">
        <v>23</v>
      </c>
      <c r="P1" t="s">
        <v>24</v>
      </c>
      <c r="Q1" t="s">
        <v>25</v>
      </c>
      <c r="R1" t="s">
        <v>40</v>
      </c>
      <c r="S1" t="s">
        <v>33</v>
      </c>
      <c r="T1" t="s">
        <v>26</v>
      </c>
      <c r="U1" t="s">
        <v>27</v>
      </c>
      <c r="V1" t="s">
        <v>28</v>
      </c>
      <c r="W1" t="s">
        <v>44</v>
      </c>
      <c r="X1" t="s">
        <v>42</v>
      </c>
      <c r="Y1" t="s">
        <v>45</v>
      </c>
      <c r="Z1" t="s">
        <v>47</v>
      </c>
      <c r="AA1" s="7" t="s">
        <v>48</v>
      </c>
      <c r="AB1" t="s">
        <v>49</v>
      </c>
      <c r="AC1" t="s">
        <v>50</v>
      </c>
      <c r="AD1" t="s">
        <v>29</v>
      </c>
      <c r="AE1" t="s">
        <v>30</v>
      </c>
      <c r="AF1" t="s">
        <v>31</v>
      </c>
      <c r="AG1" t="s">
        <v>32</v>
      </c>
      <c r="AH1" t="s">
        <v>43</v>
      </c>
      <c r="AI1" t="s">
        <v>46</v>
      </c>
      <c r="AJ1" t="s">
        <v>88</v>
      </c>
      <c r="AK1" t="s">
        <v>89</v>
      </c>
      <c r="AL1" t="s">
        <v>80</v>
      </c>
      <c r="AM1" t="s">
        <v>82</v>
      </c>
      <c r="AN1" t="s">
        <v>83</v>
      </c>
      <c r="AO1" t="s">
        <v>84</v>
      </c>
      <c r="AP1" t="s">
        <v>85</v>
      </c>
    </row>
    <row r="2" spans="1:42" x14ac:dyDescent="0.15">
      <c r="A2" s="8">
        <v>410485486</v>
      </c>
      <c r="B2" t="s">
        <v>36</v>
      </c>
      <c r="C2" t="s">
        <v>18</v>
      </c>
      <c r="D2" s="1">
        <v>39295</v>
      </c>
      <c r="E2" s="2">
        <v>133500</v>
      </c>
      <c r="F2" s="2">
        <v>86750</v>
      </c>
      <c r="G2" t="s">
        <v>17</v>
      </c>
      <c r="H2" s="2">
        <v>688.67</v>
      </c>
      <c r="I2" s="2">
        <v>86294.12</v>
      </c>
      <c r="J2">
        <v>8.8499999999999995E-2</v>
      </c>
      <c r="K2">
        <v>9</v>
      </c>
      <c r="L2">
        <v>351</v>
      </c>
      <c r="M2" t="str">
        <f>(IF((L2+K2)&lt;180,"15 Year Fixed","30 Year Fixed"))</f>
        <v>30 Year Fixed</v>
      </c>
      <c r="N2" s="2">
        <v>636.41999999999996</v>
      </c>
      <c r="O2" t="str">
        <f t="shared" ref="O2:O65" si="0">IF((0.85*E2)&gt;(I2*1.015),"Cash Out","Refi")</f>
        <v>Cash Out</v>
      </c>
      <c r="P2" s="3">
        <f>IF((0.85*E2)&gt;(I2*1.015),((0.85*E2)/1.015)-(I2),0)</f>
        <v>25503.909556650266</v>
      </c>
      <c r="Q2" s="4">
        <v>113475</v>
      </c>
      <c r="R2" s="4" t="s">
        <v>41</v>
      </c>
      <c r="S2" s="5">
        <v>426</v>
      </c>
      <c r="T2">
        <v>7.625</v>
      </c>
      <c r="U2" s="7">
        <f t="shared" ref="U2:U65" si="1">(Q2*((T2/1200)/(1-(1+(T2/1200))^-AI2)))+((Q2*0.005)/12)</f>
        <v>850.4502036759236</v>
      </c>
      <c r="V2" s="2">
        <f>H2-U2</f>
        <v>-161.78020367592364</v>
      </c>
      <c r="W2" s="9">
        <f>IF(AND(O2="Cash Out",V2&lt;0),1,0)</f>
        <v>1</v>
      </c>
      <c r="X2" s="3">
        <v>91815</v>
      </c>
      <c r="Y2" s="3">
        <f>(X2/1.015)-(I2)</f>
        <v>4164.0080788177438</v>
      </c>
      <c r="Z2" s="7">
        <f>(X2*((AL2/1200)/(1-(1+(AL2/1200))^-AI2)))+((X2*0.005)/12)</f>
        <v>688.11707821550942</v>
      </c>
      <c r="AA2" s="2">
        <f t="shared" ref="AA2:AA65" si="2">H2-Z2</f>
        <v>0.55292178449053608</v>
      </c>
      <c r="AB2" s="8">
        <f>IF(I2=0,0,IF(AND(AH2&gt;0,(AP2/AO2)&lt;0.07),1,IF(AND(AH2=0,(AP2/AO2)&lt;0.1),1,0)))</f>
        <v>1</v>
      </c>
      <c r="AC2" s="10">
        <v>6.875</v>
      </c>
      <c r="AD2" s="7">
        <f>(X2*((AC2/1200)/(1-(1+(AC2/1200))^-AI2)))+((X2*0.005)/12)</f>
        <v>641.41544027617533</v>
      </c>
      <c r="AE2" s="2">
        <f>H2-AD2</f>
        <v>47.254559723824627</v>
      </c>
      <c r="AF2" s="10">
        <v>1.875</v>
      </c>
      <c r="AG2" s="3">
        <f>AF2*X2/100</f>
        <v>1721.53125</v>
      </c>
      <c r="AH2" s="7">
        <v>1735</v>
      </c>
      <c r="AI2">
        <f>IF(M2="30 Year Fixed",360,180)</f>
        <v>360</v>
      </c>
      <c r="AJ2" t="e">
        <f>VLOOKUP(A2,'Borrower Details'!$A$1:$H$1493,8,FALSE)</f>
        <v>#N/A</v>
      </c>
      <c r="AK2" s="4" t="e">
        <f>IF(AJ2&gt;360,PV((J2/12),AJ2-AI2,-H2),"NA")</f>
        <v>#N/A</v>
      </c>
      <c r="AL2" s="10">
        <v>7.625</v>
      </c>
      <c r="AM2" s="3">
        <f>I2*1.015</f>
        <v>87588.531799999982</v>
      </c>
      <c r="AN2">
        <v>7.625</v>
      </c>
      <c r="AO2" s="7">
        <f>(AM2*((AN2/1200)/(1-(1+(AN2/1200))^-AI2)))+((AM2*0.005)/12)</f>
        <v>656.44137218757521</v>
      </c>
      <c r="AP2" s="2">
        <f>H2-AO2</f>
        <v>32.228627812424747</v>
      </c>
    </row>
    <row r="3" spans="1:42" x14ac:dyDescent="0.15">
      <c r="A3" s="8">
        <v>1151756</v>
      </c>
      <c r="B3" t="s">
        <v>37</v>
      </c>
      <c r="C3" t="s">
        <v>19</v>
      </c>
      <c r="D3" s="1">
        <v>39150</v>
      </c>
      <c r="E3" s="2">
        <v>85000</v>
      </c>
      <c r="F3" s="2">
        <v>72250</v>
      </c>
      <c r="G3" t="s">
        <v>15</v>
      </c>
      <c r="H3" s="2">
        <v>589.16</v>
      </c>
      <c r="I3" s="2">
        <v>71729.31</v>
      </c>
      <c r="J3">
        <v>9.1499999999999998E-2</v>
      </c>
      <c r="K3">
        <v>13</v>
      </c>
      <c r="L3">
        <v>347</v>
      </c>
      <c r="M3" t="str">
        <f t="shared" ref="M3:M66" si="3">(IF((L3+K3)&lt;180,"15 Year Fixed","30 Year Fixed"))</f>
        <v>30 Year Fixed</v>
      </c>
      <c r="N3" s="2">
        <v>546.94000000000005</v>
      </c>
      <c r="O3" t="str">
        <f t="shared" si="0"/>
        <v>Refi</v>
      </c>
      <c r="P3" s="3">
        <f t="shared" ref="P3:P66" si="4">IF((0.85*E3)&gt;(I3*1.015),((0.85*E3)/1.015)-(I3),0)</f>
        <v>0</v>
      </c>
      <c r="Q3" s="4">
        <v>72805</v>
      </c>
      <c r="R3" s="4" t="s">
        <v>41</v>
      </c>
      <c r="S3" s="5">
        <v>451</v>
      </c>
      <c r="T3">
        <v>7.625</v>
      </c>
      <c r="U3" s="7">
        <f t="shared" si="1"/>
        <v>545.64465370015967</v>
      </c>
      <c r="V3" s="2">
        <f t="shared" ref="V3:V66" si="5">H3-U3</f>
        <v>43.515346299840303</v>
      </c>
      <c r="W3" s="9">
        <f t="shared" ref="W3:W66" si="6">IF(AND(O3="Cash Out",V3&lt;0),1,0)</f>
        <v>0</v>
      </c>
      <c r="X3" s="3">
        <v>72805</v>
      </c>
      <c r="Y3" s="3">
        <f t="shared" ref="Y3:Y66" si="7">(X3/1.015)-(I3)</f>
        <v>-0.24596059112809598</v>
      </c>
      <c r="Z3" s="7">
        <f t="shared" ref="Z3:Z66" si="8">(X3*((AL3/1200)/(1-(1+(AL3/1200))^-AI3)))+((X3*0.005)/12)</f>
        <v>545.64465370015967</v>
      </c>
      <c r="AA3" s="2">
        <f t="shared" si="2"/>
        <v>43.515346299840303</v>
      </c>
      <c r="AB3" s="8">
        <f t="shared" ref="AB3:AB66" si="9">IF(I3=0,0,IF(AND(AH3&gt;0,(AP3/AO3)&lt;0.07),1,IF(AND(AH3=0,(AP3/AO3)&lt;0.1),1,0)))</f>
        <v>1</v>
      </c>
      <c r="AC3" s="10">
        <v>6.75</v>
      </c>
      <c r="AD3" s="7">
        <f t="shared" ref="AD3:AD66" si="10">(X3*((AC3/1200)/(1-(1+(AC3/1200))^-AI3)))+((X3*0.005)/12)</f>
        <v>502.54726087315476</v>
      </c>
      <c r="AE3" s="2">
        <f t="shared" ref="AE3:AE66" si="11">H3-AD3</f>
        <v>86.612739126845213</v>
      </c>
      <c r="AF3" s="10">
        <v>2.375</v>
      </c>
      <c r="AG3" s="3">
        <f t="shared" ref="AG3:AG66" si="12">AF3*X3/100</f>
        <v>1729.1187500000001</v>
      </c>
      <c r="AH3" s="7">
        <v>0</v>
      </c>
      <c r="AI3">
        <f t="shared" ref="AI3:AI66" si="13">IF(M3="30 Year Fixed",360,180)</f>
        <v>360</v>
      </c>
      <c r="AJ3" t="e">
        <f>VLOOKUP(A3,'Borrower Details'!$A$1:$H$1493,8,FALSE)</f>
        <v>#N/A</v>
      </c>
      <c r="AK3" s="4" t="e">
        <f t="shared" ref="AK3:AK66" si="14">IF(AJ3&gt;360,PV((J3/12),AJ3-AI3,-H3),"NA")</f>
        <v>#N/A</v>
      </c>
      <c r="AL3" s="10">
        <v>7.625</v>
      </c>
      <c r="AM3" s="3">
        <f t="shared" ref="AM3:AM66" si="15">I3*1.015</f>
        <v>72805.249649999983</v>
      </c>
      <c r="AN3">
        <v>7.625</v>
      </c>
      <c r="AO3" s="7">
        <f t="shared" ref="AO3:AO66" si="16">(AM3*((AN3/1200)/(1-(1+(AN3/1200))^-AI3)))+((AM3*0.005)/12)</f>
        <v>545.64652472808064</v>
      </c>
      <c r="AP3" s="2">
        <f t="shared" ref="AP3:AP66" si="17">H3-AO3</f>
        <v>43.513475271919333</v>
      </c>
    </row>
    <row r="4" spans="1:42" x14ac:dyDescent="0.15">
      <c r="A4" s="8">
        <v>1180925</v>
      </c>
      <c r="B4" t="s">
        <v>37</v>
      </c>
      <c r="C4" t="s">
        <v>19</v>
      </c>
      <c r="D4" s="1">
        <v>39169</v>
      </c>
      <c r="E4" s="2">
        <v>126000</v>
      </c>
      <c r="F4" s="2">
        <v>107100</v>
      </c>
      <c r="G4" t="s">
        <v>17</v>
      </c>
      <c r="H4" s="2">
        <v>991.72</v>
      </c>
      <c r="I4" s="2">
        <v>106430.62</v>
      </c>
      <c r="J4">
        <v>0.1065</v>
      </c>
      <c r="K4">
        <v>13</v>
      </c>
      <c r="L4">
        <v>348</v>
      </c>
      <c r="M4" t="str">
        <f t="shared" si="3"/>
        <v>30 Year Fixed</v>
      </c>
      <c r="N4" s="2">
        <v>944.57</v>
      </c>
      <c r="O4" t="str">
        <f t="shared" si="0"/>
        <v>Refi</v>
      </c>
      <c r="P4" s="3">
        <f t="shared" si="4"/>
        <v>0</v>
      </c>
      <c r="Q4" s="4">
        <v>108027</v>
      </c>
      <c r="R4" s="4" t="s">
        <v>41</v>
      </c>
      <c r="S4" s="5">
        <v>461</v>
      </c>
      <c r="T4">
        <v>7.625</v>
      </c>
      <c r="U4" s="7">
        <f t="shared" si="1"/>
        <v>809.61960037452309</v>
      </c>
      <c r="V4" s="2">
        <f t="shared" si="5"/>
        <v>182.10039962547694</v>
      </c>
      <c r="W4" s="9">
        <f t="shared" si="6"/>
        <v>0</v>
      </c>
      <c r="X4" s="3">
        <v>108027</v>
      </c>
      <c r="Y4" s="3">
        <f t="shared" si="7"/>
        <v>-7.8128078806912526E-2</v>
      </c>
      <c r="Z4" s="7">
        <f t="shared" si="8"/>
        <v>809.61960037452309</v>
      </c>
      <c r="AA4" s="2">
        <f t="shared" si="2"/>
        <v>182.10039962547694</v>
      </c>
      <c r="AB4" s="8">
        <f t="shared" si="9"/>
        <v>0</v>
      </c>
      <c r="AC4" s="10">
        <v>7.625</v>
      </c>
      <c r="AD4" s="7">
        <f t="shared" si="10"/>
        <v>809.61960037452309</v>
      </c>
      <c r="AE4" s="2">
        <f t="shared" si="11"/>
        <v>182.10039962547694</v>
      </c>
      <c r="AF4" s="10">
        <v>0</v>
      </c>
      <c r="AG4" s="3">
        <f t="shared" si="12"/>
        <v>0</v>
      </c>
      <c r="AH4" s="7">
        <v>0</v>
      </c>
      <c r="AI4">
        <f t="shared" si="13"/>
        <v>360</v>
      </c>
      <c r="AJ4" t="e">
        <f>VLOOKUP(A4,'Borrower Details'!$A$1:$H$1493,8,FALSE)</f>
        <v>#N/A</v>
      </c>
      <c r="AK4" s="4" t="e">
        <f t="shared" si="14"/>
        <v>#N/A</v>
      </c>
      <c r="AL4" s="10">
        <v>7.625</v>
      </c>
      <c r="AM4" s="3">
        <f t="shared" si="15"/>
        <v>108027.07929999998</v>
      </c>
      <c r="AN4">
        <v>7.625</v>
      </c>
      <c r="AO4" s="7">
        <f t="shared" si="16"/>
        <v>809.62019469663039</v>
      </c>
      <c r="AP4" s="2">
        <f t="shared" si="17"/>
        <v>182.09980530336964</v>
      </c>
    </row>
    <row r="5" spans="1:42" x14ac:dyDescent="0.15">
      <c r="A5" s="8">
        <v>410707970</v>
      </c>
      <c r="B5" t="s">
        <v>38</v>
      </c>
      <c r="C5" t="s">
        <v>18</v>
      </c>
      <c r="D5" s="1">
        <v>39293</v>
      </c>
      <c r="E5" s="2">
        <v>72000</v>
      </c>
      <c r="F5" s="2">
        <v>64800</v>
      </c>
      <c r="G5" t="s">
        <v>17</v>
      </c>
      <c r="H5" s="2">
        <v>563.89</v>
      </c>
      <c r="I5" s="2">
        <v>64527.519999999997</v>
      </c>
      <c r="J5">
        <v>9.9000000000000005E-2</v>
      </c>
      <c r="K5">
        <v>9</v>
      </c>
      <c r="L5">
        <v>351</v>
      </c>
      <c r="M5" t="str">
        <f t="shared" si="3"/>
        <v>30 Year Fixed</v>
      </c>
      <c r="N5" s="2">
        <v>532.35</v>
      </c>
      <c r="O5" t="str">
        <f t="shared" si="0"/>
        <v>Refi</v>
      </c>
      <c r="P5" s="3">
        <f t="shared" si="4"/>
        <v>0</v>
      </c>
      <c r="Q5" s="4">
        <v>65495</v>
      </c>
      <c r="R5" s="4" t="s">
        <v>41</v>
      </c>
      <c r="S5" s="5">
        <v>475</v>
      </c>
      <c r="T5">
        <v>7.625</v>
      </c>
      <c r="U5" s="7">
        <f t="shared" si="1"/>
        <v>490.85909750830245</v>
      </c>
      <c r="V5" s="2">
        <f t="shared" si="5"/>
        <v>73.030902491697532</v>
      </c>
      <c r="W5" s="9">
        <f t="shared" si="6"/>
        <v>0</v>
      </c>
      <c r="X5" s="3">
        <v>65496</v>
      </c>
      <c r="Y5" s="3">
        <f t="shared" si="7"/>
        <v>0.55881773399596568</v>
      </c>
      <c r="Z5" s="7">
        <f t="shared" si="8"/>
        <v>490.86659211243267</v>
      </c>
      <c r="AA5" s="2">
        <f t="shared" si="2"/>
        <v>73.023407887567316</v>
      </c>
      <c r="AB5" s="8">
        <f t="shared" si="9"/>
        <v>0</v>
      </c>
      <c r="AC5" s="10">
        <v>7.625</v>
      </c>
      <c r="AD5" s="7">
        <f t="shared" si="10"/>
        <v>490.86659211243267</v>
      </c>
      <c r="AE5" s="2">
        <f t="shared" si="11"/>
        <v>73.023407887567316</v>
      </c>
      <c r="AF5" s="10">
        <v>0</v>
      </c>
      <c r="AG5" s="3">
        <f t="shared" si="12"/>
        <v>0</v>
      </c>
      <c r="AH5" s="7">
        <v>0</v>
      </c>
      <c r="AI5">
        <f t="shared" si="13"/>
        <v>360</v>
      </c>
      <c r="AJ5" t="e">
        <f>VLOOKUP(A5,'Borrower Details'!$A$1:$H$1493,8,FALSE)</f>
        <v>#N/A</v>
      </c>
      <c r="AK5" s="4" t="e">
        <f t="shared" si="14"/>
        <v>#N/A</v>
      </c>
      <c r="AL5" s="10">
        <v>7.625</v>
      </c>
      <c r="AM5" s="3">
        <f t="shared" si="15"/>
        <v>65495.432799999988</v>
      </c>
      <c r="AN5">
        <v>7.625</v>
      </c>
      <c r="AO5" s="7">
        <f t="shared" si="16"/>
        <v>490.86234117296988</v>
      </c>
      <c r="AP5" s="2">
        <f t="shared" si="17"/>
        <v>73.027658827030109</v>
      </c>
    </row>
    <row r="6" spans="1:42" x14ac:dyDescent="0.15">
      <c r="A6" s="8">
        <v>410608418</v>
      </c>
      <c r="B6" t="s">
        <v>36</v>
      </c>
      <c r="C6" t="s">
        <v>19</v>
      </c>
      <c r="D6" s="1">
        <v>39293</v>
      </c>
      <c r="E6" s="2">
        <v>459000</v>
      </c>
      <c r="F6" s="2">
        <v>436050</v>
      </c>
      <c r="G6" t="s">
        <v>15</v>
      </c>
      <c r="H6" s="2">
        <v>3651.41</v>
      </c>
      <c r="I6" s="2">
        <v>435455.79</v>
      </c>
      <c r="J6">
        <v>9.8500000000000004E-2</v>
      </c>
      <c r="K6">
        <v>9</v>
      </c>
      <c r="L6">
        <v>352</v>
      </c>
      <c r="M6" t="str">
        <f t="shared" si="3"/>
        <v>30 Year Fixed</v>
      </c>
      <c r="N6" s="2">
        <v>3574.37</v>
      </c>
      <c r="O6" t="str">
        <f t="shared" si="0"/>
        <v>Refi</v>
      </c>
      <c r="P6" s="3">
        <f t="shared" si="4"/>
        <v>0</v>
      </c>
      <c r="Q6" s="4">
        <v>441988</v>
      </c>
      <c r="R6" s="4" t="s">
        <v>41</v>
      </c>
      <c r="S6" s="5">
        <v>482</v>
      </c>
      <c r="T6">
        <v>7.625</v>
      </c>
      <c r="U6" s="7">
        <f t="shared" si="1"/>
        <v>3312.5250903045971</v>
      </c>
      <c r="V6" s="2">
        <f t="shared" si="5"/>
        <v>338.88490969540271</v>
      </c>
      <c r="W6" s="9">
        <f t="shared" si="6"/>
        <v>0</v>
      </c>
      <c r="X6" s="3">
        <v>441988</v>
      </c>
      <c r="Y6" s="3">
        <f t="shared" si="7"/>
        <v>0.36763546802103519</v>
      </c>
      <c r="Z6" s="7">
        <f t="shared" si="8"/>
        <v>3312.5250903045971</v>
      </c>
      <c r="AA6" s="2">
        <f t="shared" si="2"/>
        <v>338.88490969540271</v>
      </c>
      <c r="AB6" s="8">
        <f t="shared" si="9"/>
        <v>0</v>
      </c>
      <c r="AC6" s="10">
        <v>7.625</v>
      </c>
      <c r="AD6" s="7">
        <f t="shared" si="10"/>
        <v>3312.5250903045971</v>
      </c>
      <c r="AE6" s="2">
        <f t="shared" si="11"/>
        <v>338.88490969540271</v>
      </c>
      <c r="AF6" s="10">
        <v>0</v>
      </c>
      <c r="AG6" s="3">
        <f t="shared" si="12"/>
        <v>0</v>
      </c>
      <c r="AH6" s="7">
        <v>8721</v>
      </c>
      <c r="AI6">
        <f t="shared" si="13"/>
        <v>360</v>
      </c>
      <c r="AJ6" t="e">
        <f>VLOOKUP(A6,'Borrower Details'!$A$1:$H$1493,8,FALSE)</f>
        <v>#N/A</v>
      </c>
      <c r="AK6" s="4" t="e">
        <f t="shared" si="14"/>
        <v>#N/A</v>
      </c>
      <c r="AL6" s="10">
        <v>7.625</v>
      </c>
      <c r="AM6" s="3">
        <f t="shared" si="15"/>
        <v>441987.62684999994</v>
      </c>
      <c r="AN6">
        <v>7.625</v>
      </c>
      <c r="AO6" s="7">
        <f t="shared" si="16"/>
        <v>3312.5222936930654</v>
      </c>
      <c r="AP6" s="2">
        <f t="shared" si="17"/>
        <v>338.88770630693443</v>
      </c>
    </row>
    <row r="7" spans="1:42" x14ac:dyDescent="0.15">
      <c r="A7" s="8">
        <v>410624183</v>
      </c>
      <c r="B7" t="s">
        <v>37</v>
      </c>
      <c r="C7" t="s">
        <v>18</v>
      </c>
      <c r="D7" s="1">
        <v>39293</v>
      </c>
      <c r="E7" s="2">
        <v>385000</v>
      </c>
      <c r="F7" s="2">
        <v>289000</v>
      </c>
      <c r="G7" t="s">
        <v>20</v>
      </c>
      <c r="H7" s="2">
        <v>2304.6</v>
      </c>
      <c r="I7" s="2">
        <v>287505.56</v>
      </c>
      <c r="J7">
        <v>8.8999999999999996E-2</v>
      </c>
      <c r="K7">
        <v>9</v>
      </c>
      <c r="L7">
        <v>351</v>
      </c>
      <c r="M7" t="str">
        <f t="shared" si="3"/>
        <v>30 Year Fixed</v>
      </c>
      <c r="N7" s="2">
        <v>2132.33</v>
      </c>
      <c r="O7" t="str">
        <f t="shared" si="0"/>
        <v>Cash Out</v>
      </c>
      <c r="P7" s="3">
        <f t="shared" si="4"/>
        <v>34908.233103448292</v>
      </c>
      <c r="Q7" s="4">
        <v>308700</v>
      </c>
      <c r="R7" s="4" t="s">
        <v>41</v>
      </c>
      <c r="S7" s="5">
        <v>484</v>
      </c>
      <c r="T7">
        <v>7.625</v>
      </c>
      <c r="U7" s="7">
        <f t="shared" si="1"/>
        <v>2313.5842949967628</v>
      </c>
      <c r="V7" s="2">
        <f t="shared" si="5"/>
        <v>-8.9842949967628556</v>
      </c>
      <c r="W7" s="9">
        <f t="shared" si="6"/>
        <v>1</v>
      </c>
      <c r="X7" s="3">
        <v>307430</v>
      </c>
      <c r="Y7" s="3">
        <f t="shared" si="7"/>
        <v>15381.13950738922</v>
      </c>
      <c r="Z7" s="7">
        <f t="shared" si="8"/>
        <v>2304.0661477513918</v>
      </c>
      <c r="AA7" s="2">
        <f t="shared" si="2"/>
        <v>0.53385224860812741</v>
      </c>
      <c r="AB7" s="8">
        <f t="shared" si="9"/>
        <v>1</v>
      </c>
      <c r="AC7" s="10">
        <v>6.875</v>
      </c>
      <c r="AD7" s="7">
        <f t="shared" si="10"/>
        <v>2147.6920852159733</v>
      </c>
      <c r="AE7" s="2">
        <f t="shared" si="11"/>
        <v>156.90791478402662</v>
      </c>
      <c r="AF7" s="10">
        <v>1.75</v>
      </c>
      <c r="AG7" s="3">
        <f t="shared" si="12"/>
        <v>5380.0249999999996</v>
      </c>
      <c r="AH7" s="7">
        <v>2890</v>
      </c>
      <c r="AI7">
        <f t="shared" si="13"/>
        <v>360</v>
      </c>
      <c r="AJ7" t="e">
        <f>VLOOKUP(A7,'Borrower Details'!$A$1:$H$1493,8,FALSE)</f>
        <v>#N/A</v>
      </c>
      <c r="AK7" s="4" t="e">
        <f t="shared" si="14"/>
        <v>#N/A</v>
      </c>
      <c r="AL7" s="10">
        <v>7.625</v>
      </c>
      <c r="AM7" s="3">
        <f t="shared" si="15"/>
        <v>291818.14339999994</v>
      </c>
      <c r="AN7">
        <v>7.625</v>
      </c>
      <c r="AO7" s="7">
        <f t="shared" si="16"/>
        <v>2187.0614627967379</v>
      </c>
      <c r="AP7" s="2">
        <f t="shared" si="17"/>
        <v>117.53853720326197</v>
      </c>
    </row>
    <row r="8" spans="1:42" x14ac:dyDescent="0.15">
      <c r="A8" s="8">
        <v>1166170</v>
      </c>
      <c r="B8" t="s">
        <v>36</v>
      </c>
      <c r="C8" t="s">
        <v>18</v>
      </c>
      <c r="D8" s="1">
        <v>39162</v>
      </c>
      <c r="E8" s="2">
        <v>154000</v>
      </c>
      <c r="F8" s="2">
        <v>113600</v>
      </c>
      <c r="G8" t="s">
        <v>20</v>
      </c>
      <c r="H8" s="2">
        <v>825.51</v>
      </c>
      <c r="I8" s="2">
        <v>113445.57</v>
      </c>
      <c r="J8">
        <v>8.5999999999999993E-2</v>
      </c>
      <c r="K8">
        <v>13</v>
      </c>
      <c r="L8">
        <v>347</v>
      </c>
      <c r="M8" t="str">
        <f t="shared" si="3"/>
        <v>30 Year Fixed</v>
      </c>
      <c r="N8" s="2">
        <v>813.03</v>
      </c>
      <c r="O8" t="str">
        <f t="shared" si="0"/>
        <v>Cash Out</v>
      </c>
      <c r="P8" s="3">
        <f t="shared" si="4"/>
        <v>15519.947241379312</v>
      </c>
      <c r="Q8" s="4">
        <v>130900</v>
      </c>
      <c r="R8" s="4" t="s">
        <v>41</v>
      </c>
      <c r="S8" s="5">
        <v>487</v>
      </c>
      <c r="T8">
        <v>7.625</v>
      </c>
      <c r="U8" s="7">
        <f t="shared" si="1"/>
        <v>981.04368064488563</v>
      </c>
      <c r="V8" s="2">
        <f t="shared" si="5"/>
        <v>-155.53368064488564</v>
      </c>
      <c r="W8" s="9">
        <f t="shared" si="6"/>
        <v>1</v>
      </c>
      <c r="X8" s="3">
        <v>115148</v>
      </c>
      <c r="Y8" s="3">
        <f t="shared" si="7"/>
        <v>0.73541871921042912</v>
      </c>
      <c r="Z8" s="7">
        <f t="shared" si="8"/>
        <v>862.98867638577008</v>
      </c>
      <c r="AA8" s="2">
        <f t="shared" si="2"/>
        <v>-37.478676385770086</v>
      </c>
      <c r="AB8" s="8">
        <f t="shared" si="9"/>
        <v>1</v>
      </c>
      <c r="AC8" s="10">
        <v>6.875</v>
      </c>
      <c r="AD8" s="7">
        <f t="shared" si="10"/>
        <v>804.41872370441683</v>
      </c>
      <c r="AE8" s="2">
        <f t="shared" si="11"/>
        <v>21.091276295583157</v>
      </c>
      <c r="AF8" s="10">
        <v>1.75</v>
      </c>
      <c r="AG8" s="3">
        <f t="shared" si="12"/>
        <v>2015.09</v>
      </c>
      <c r="AH8" s="7">
        <v>2272</v>
      </c>
      <c r="AI8">
        <f t="shared" si="13"/>
        <v>360</v>
      </c>
      <c r="AJ8" t="e">
        <f>VLOOKUP(A8,'Borrower Details'!$A$1:$H$1493,8,FALSE)</f>
        <v>#N/A</v>
      </c>
      <c r="AK8" s="4" t="e">
        <f t="shared" si="14"/>
        <v>#N/A</v>
      </c>
      <c r="AL8" s="10">
        <v>7.625</v>
      </c>
      <c r="AM8" s="3">
        <f t="shared" si="15"/>
        <v>115147.25354999999</v>
      </c>
      <c r="AN8">
        <v>7.625</v>
      </c>
      <c r="AO8" s="7">
        <f t="shared" si="16"/>
        <v>862.98308203851695</v>
      </c>
      <c r="AP8" s="2">
        <f t="shared" si="17"/>
        <v>-37.473082038516964</v>
      </c>
    </row>
    <row r="9" spans="1:42" x14ac:dyDescent="0.15">
      <c r="A9" s="8">
        <v>410863435</v>
      </c>
      <c r="B9" t="s">
        <v>36</v>
      </c>
      <c r="C9" t="s">
        <v>16</v>
      </c>
      <c r="D9" s="1">
        <v>39325</v>
      </c>
      <c r="E9" s="2">
        <v>95000</v>
      </c>
      <c r="F9" s="2">
        <v>90125</v>
      </c>
      <c r="G9" t="s">
        <v>20</v>
      </c>
      <c r="H9" s="2">
        <v>996.97</v>
      </c>
      <c r="I9" s="2">
        <v>89975.91</v>
      </c>
      <c r="J9">
        <v>0.13</v>
      </c>
      <c r="K9">
        <v>8</v>
      </c>
      <c r="L9">
        <v>353</v>
      </c>
      <c r="M9" t="str">
        <f t="shared" si="3"/>
        <v>30 Year Fixed</v>
      </c>
      <c r="N9" s="2">
        <v>974.74</v>
      </c>
      <c r="O9" t="str">
        <f t="shared" si="0"/>
        <v>Refi</v>
      </c>
      <c r="P9" s="3">
        <f t="shared" si="4"/>
        <v>0</v>
      </c>
      <c r="Q9" s="4">
        <v>91326</v>
      </c>
      <c r="R9" s="4" t="s">
        <v>41</v>
      </c>
      <c r="S9" s="5">
        <v>487</v>
      </c>
      <c r="T9">
        <v>7.625</v>
      </c>
      <c r="U9" s="7">
        <f t="shared" si="1"/>
        <v>684.45221679583528</v>
      </c>
      <c r="V9" s="2">
        <f t="shared" si="5"/>
        <v>312.51778320416474</v>
      </c>
      <c r="W9" s="9">
        <f t="shared" si="6"/>
        <v>0</v>
      </c>
      <c r="X9" s="3">
        <v>91326</v>
      </c>
      <c r="Y9" s="3">
        <f t="shared" si="7"/>
        <v>0.44467980296758469</v>
      </c>
      <c r="Z9" s="7">
        <f t="shared" si="8"/>
        <v>684.45221679583528</v>
      </c>
      <c r="AA9" s="2">
        <f t="shared" si="2"/>
        <v>312.51778320416474</v>
      </c>
      <c r="AB9" s="8">
        <f t="shared" si="9"/>
        <v>0</v>
      </c>
      <c r="AC9" s="10">
        <v>7.625</v>
      </c>
      <c r="AD9" s="7">
        <f t="shared" si="10"/>
        <v>684.45221679583528</v>
      </c>
      <c r="AE9" s="2">
        <f t="shared" si="11"/>
        <v>312.51778320416474</v>
      </c>
      <c r="AF9" s="10">
        <v>0</v>
      </c>
      <c r="AG9" s="3">
        <f t="shared" si="12"/>
        <v>0</v>
      </c>
      <c r="AH9" s="7">
        <v>1802.5</v>
      </c>
      <c r="AI9">
        <f t="shared" si="13"/>
        <v>360</v>
      </c>
      <c r="AJ9" t="e">
        <f>VLOOKUP(A9,'Borrower Details'!$A$1:$H$1493,8,FALSE)</f>
        <v>#N/A</v>
      </c>
      <c r="AK9" s="4" t="e">
        <f t="shared" si="14"/>
        <v>#N/A</v>
      </c>
      <c r="AL9" s="10">
        <v>7.625</v>
      </c>
      <c r="AM9" s="3">
        <f t="shared" si="15"/>
        <v>91325.548649999997</v>
      </c>
      <c r="AN9">
        <v>7.625</v>
      </c>
      <c r="AO9" s="7">
        <f t="shared" si="16"/>
        <v>684.44883410626107</v>
      </c>
      <c r="AP9" s="2">
        <f t="shared" si="17"/>
        <v>312.52116589373895</v>
      </c>
    </row>
    <row r="10" spans="1:42" x14ac:dyDescent="0.15">
      <c r="A10" s="8">
        <v>1155611</v>
      </c>
      <c r="B10" t="s">
        <v>37</v>
      </c>
      <c r="C10" t="s">
        <v>19</v>
      </c>
      <c r="D10" s="1">
        <v>39143</v>
      </c>
      <c r="E10" s="2">
        <v>88000</v>
      </c>
      <c r="F10" s="2">
        <v>56550</v>
      </c>
      <c r="G10" t="s">
        <v>15</v>
      </c>
      <c r="H10" s="2">
        <v>463.18</v>
      </c>
      <c r="I10" s="2">
        <v>56146.57</v>
      </c>
      <c r="J10">
        <v>9.1999999999999998E-2</v>
      </c>
      <c r="K10">
        <v>13</v>
      </c>
      <c r="L10">
        <v>347</v>
      </c>
      <c r="M10" t="str">
        <f t="shared" si="3"/>
        <v>30 Year Fixed</v>
      </c>
      <c r="N10" s="2">
        <v>430.46</v>
      </c>
      <c r="O10" t="str">
        <f t="shared" si="0"/>
        <v>Cash Out</v>
      </c>
      <c r="P10" s="3">
        <f t="shared" si="4"/>
        <v>17548.011280788189</v>
      </c>
      <c r="Q10" s="4">
        <v>74800</v>
      </c>
      <c r="R10" s="4" t="s">
        <v>41</v>
      </c>
      <c r="S10" s="5">
        <v>491</v>
      </c>
      <c r="T10">
        <v>7.625</v>
      </c>
      <c r="U10" s="7">
        <f t="shared" si="1"/>
        <v>560.59638893993463</v>
      </c>
      <c r="V10" s="2">
        <f t="shared" si="5"/>
        <v>-97.41638893993462</v>
      </c>
      <c r="W10" s="9">
        <f t="shared" si="6"/>
        <v>1</v>
      </c>
      <c r="X10" s="3">
        <v>61730</v>
      </c>
      <c r="Y10" s="3">
        <f t="shared" si="7"/>
        <v>4671.1639901477902</v>
      </c>
      <c r="Z10" s="7">
        <f t="shared" si="8"/>
        <v>462.6419129580504</v>
      </c>
      <c r="AA10" s="2">
        <f t="shared" si="2"/>
        <v>0.5380870419496091</v>
      </c>
      <c r="AB10" s="8">
        <f t="shared" si="9"/>
        <v>1</v>
      </c>
      <c r="AC10" s="10">
        <v>6.75</v>
      </c>
      <c r="AD10" s="7">
        <f t="shared" si="10"/>
        <v>426.10043834489176</v>
      </c>
      <c r="AE10" s="2">
        <f t="shared" si="11"/>
        <v>37.07956165510825</v>
      </c>
      <c r="AF10" s="10">
        <v>2.375</v>
      </c>
      <c r="AG10" s="3">
        <f t="shared" si="12"/>
        <v>1466.0875000000001</v>
      </c>
      <c r="AH10" s="7">
        <v>0</v>
      </c>
      <c r="AI10">
        <f t="shared" si="13"/>
        <v>360</v>
      </c>
      <c r="AJ10" t="e">
        <f>VLOOKUP(A10,'Borrower Details'!$A$1:$H$1493,8,FALSE)</f>
        <v>#N/A</v>
      </c>
      <c r="AK10" s="4" t="e">
        <f t="shared" si="14"/>
        <v>#N/A</v>
      </c>
      <c r="AL10" s="10">
        <v>7.625</v>
      </c>
      <c r="AM10" s="3">
        <f t="shared" si="15"/>
        <v>56988.768549999993</v>
      </c>
      <c r="AN10">
        <v>7.625</v>
      </c>
      <c r="AO10" s="7">
        <f t="shared" si="16"/>
        <v>427.10826015058444</v>
      </c>
      <c r="AP10" s="2">
        <f t="shared" si="17"/>
        <v>36.071739849415565</v>
      </c>
    </row>
    <row r="11" spans="1:42" x14ac:dyDescent="0.15">
      <c r="A11" s="8">
        <v>410832059</v>
      </c>
      <c r="B11" t="s">
        <v>36</v>
      </c>
      <c r="C11" t="s">
        <v>18</v>
      </c>
      <c r="D11" s="1">
        <v>39331</v>
      </c>
      <c r="E11" s="2">
        <v>175000</v>
      </c>
      <c r="F11" s="2">
        <v>127500</v>
      </c>
      <c r="G11" t="s">
        <v>17</v>
      </c>
      <c r="H11" s="2">
        <v>1013.03</v>
      </c>
      <c r="I11" s="2">
        <v>127347.64</v>
      </c>
      <c r="J11">
        <v>9.2999999999999999E-2</v>
      </c>
      <c r="K11">
        <v>7</v>
      </c>
      <c r="L11">
        <v>354</v>
      </c>
      <c r="M11" t="str">
        <f t="shared" si="3"/>
        <v>30 Year Fixed</v>
      </c>
      <c r="N11" s="2">
        <v>986.94</v>
      </c>
      <c r="O11" t="str">
        <f t="shared" si="0"/>
        <v>Cash Out</v>
      </c>
      <c r="P11" s="3">
        <f t="shared" si="4"/>
        <v>19204.084137931044</v>
      </c>
      <c r="Q11" s="4">
        <v>148750</v>
      </c>
      <c r="R11" s="4" t="s">
        <v>41</v>
      </c>
      <c r="S11" s="5">
        <v>495</v>
      </c>
      <c r="T11">
        <v>7.625</v>
      </c>
      <c r="U11" s="7">
        <f t="shared" si="1"/>
        <v>1114.8223643691883</v>
      </c>
      <c r="V11" s="2">
        <f t="shared" si="5"/>
        <v>-101.79236436918836</v>
      </c>
      <c r="W11" s="9">
        <f t="shared" si="6"/>
        <v>1</v>
      </c>
      <c r="X11" s="3">
        <v>135100</v>
      </c>
      <c r="Y11" s="3">
        <f t="shared" si="7"/>
        <v>5755.8082758620876</v>
      </c>
      <c r="Z11" s="7">
        <f t="shared" si="8"/>
        <v>1012.5210179917804</v>
      </c>
      <c r="AA11" s="2">
        <f t="shared" si="2"/>
        <v>0.50898200821961836</v>
      </c>
      <c r="AB11" s="8">
        <f t="shared" si="9"/>
        <v>1</v>
      </c>
      <c r="AC11" s="10">
        <v>6.875</v>
      </c>
      <c r="AD11" s="7">
        <f t="shared" si="10"/>
        <v>943.80249394228917</v>
      </c>
      <c r="AE11" s="2">
        <f t="shared" si="11"/>
        <v>69.227506057710798</v>
      </c>
      <c r="AF11" s="10">
        <v>1.75</v>
      </c>
      <c r="AG11" s="3">
        <f t="shared" si="12"/>
        <v>2364.25</v>
      </c>
      <c r="AH11" s="7">
        <v>2550</v>
      </c>
      <c r="AI11">
        <f t="shared" si="13"/>
        <v>360</v>
      </c>
      <c r="AJ11" t="e">
        <f>VLOOKUP(A11,'Borrower Details'!$A$1:$H$1493,8,FALSE)</f>
        <v>#N/A</v>
      </c>
      <c r="AK11" s="4" t="e">
        <f t="shared" si="14"/>
        <v>#N/A</v>
      </c>
      <c r="AL11" s="10">
        <v>7.625</v>
      </c>
      <c r="AM11" s="3">
        <f t="shared" si="15"/>
        <v>129257.85459999999</v>
      </c>
      <c r="AN11">
        <v>7.625</v>
      </c>
      <c r="AO11" s="7">
        <f t="shared" si="16"/>
        <v>968.73645094763538</v>
      </c>
      <c r="AP11" s="2">
        <f t="shared" si="17"/>
        <v>44.293549052364597</v>
      </c>
    </row>
    <row r="12" spans="1:42" x14ac:dyDescent="0.15">
      <c r="A12" s="8">
        <v>411152713</v>
      </c>
      <c r="B12" t="s">
        <v>38</v>
      </c>
      <c r="C12" t="s">
        <v>18</v>
      </c>
      <c r="D12" s="1">
        <v>39433</v>
      </c>
      <c r="E12" s="2">
        <v>235000</v>
      </c>
      <c r="F12" s="2">
        <v>211500</v>
      </c>
      <c r="G12" t="s">
        <v>17</v>
      </c>
      <c r="H12" s="2">
        <v>1840.46</v>
      </c>
      <c r="I12" s="2">
        <v>211210.88</v>
      </c>
      <c r="J12">
        <v>9.9000000000000005E-2</v>
      </c>
      <c r="K12">
        <v>4</v>
      </c>
      <c r="L12">
        <v>357</v>
      </c>
      <c r="M12" t="str">
        <f t="shared" si="3"/>
        <v>30 Year Fixed</v>
      </c>
      <c r="N12" s="2">
        <v>1742.49</v>
      </c>
      <c r="O12" t="str">
        <f t="shared" si="0"/>
        <v>Refi</v>
      </c>
      <c r="P12" s="3">
        <f t="shared" si="4"/>
        <v>0</v>
      </c>
      <c r="Q12" s="4">
        <v>214379</v>
      </c>
      <c r="R12" s="4" t="s">
        <v>41</v>
      </c>
      <c r="S12" s="5">
        <v>495</v>
      </c>
      <c r="T12">
        <v>7.625</v>
      </c>
      <c r="U12" s="7">
        <f t="shared" si="1"/>
        <v>1606.6857388309393</v>
      </c>
      <c r="V12" s="2">
        <f t="shared" si="5"/>
        <v>233.77426116906076</v>
      </c>
      <c r="W12" s="9">
        <f t="shared" si="6"/>
        <v>0</v>
      </c>
      <c r="X12" s="3">
        <v>214379</v>
      </c>
      <c r="Y12" s="3">
        <f t="shared" si="7"/>
        <v>-4.2561576352454722E-2</v>
      </c>
      <c r="Z12" s="7">
        <f t="shared" si="8"/>
        <v>1606.6857388309393</v>
      </c>
      <c r="AA12" s="2">
        <f t="shared" si="2"/>
        <v>233.77426116906076</v>
      </c>
      <c r="AB12" s="8">
        <f t="shared" si="9"/>
        <v>0</v>
      </c>
      <c r="AC12" s="10">
        <v>7.625</v>
      </c>
      <c r="AD12" s="7">
        <f t="shared" si="10"/>
        <v>1606.6857388309393</v>
      </c>
      <c r="AE12" s="2">
        <f t="shared" si="11"/>
        <v>233.77426116906076</v>
      </c>
      <c r="AF12" s="10">
        <v>0</v>
      </c>
      <c r="AG12" s="3">
        <f t="shared" si="12"/>
        <v>0</v>
      </c>
      <c r="AH12" s="7">
        <v>2115</v>
      </c>
      <c r="AI12">
        <f t="shared" si="13"/>
        <v>360</v>
      </c>
      <c r="AJ12" t="e">
        <f>VLOOKUP(A12,'Borrower Details'!$A$1:$H$1493,8,FALSE)</f>
        <v>#N/A</v>
      </c>
      <c r="AK12" s="4" t="e">
        <f t="shared" si="14"/>
        <v>#N/A</v>
      </c>
      <c r="AL12" s="10">
        <v>7.625</v>
      </c>
      <c r="AM12" s="3">
        <f t="shared" si="15"/>
        <v>214379.04319999999</v>
      </c>
      <c r="AN12">
        <v>7.625</v>
      </c>
      <c r="AO12" s="7">
        <f t="shared" si="16"/>
        <v>1606.6860625978375</v>
      </c>
      <c r="AP12" s="2">
        <f t="shared" si="17"/>
        <v>233.77393740216257</v>
      </c>
    </row>
    <row r="13" spans="1:42" x14ac:dyDescent="0.15">
      <c r="A13" s="8">
        <v>411177546</v>
      </c>
      <c r="B13" t="s">
        <v>37</v>
      </c>
      <c r="C13" t="s">
        <v>18</v>
      </c>
      <c r="D13" s="1">
        <v>39435</v>
      </c>
      <c r="E13" s="2">
        <v>130000</v>
      </c>
      <c r="F13" s="2">
        <v>110500</v>
      </c>
      <c r="G13" t="s">
        <v>17</v>
      </c>
      <c r="H13" s="2">
        <v>1140.8800000000001</v>
      </c>
      <c r="I13" s="2">
        <v>110405.22</v>
      </c>
      <c r="J13">
        <v>0.1205</v>
      </c>
      <c r="K13">
        <v>4</v>
      </c>
      <c r="L13">
        <v>357</v>
      </c>
      <c r="M13" t="str">
        <f t="shared" si="3"/>
        <v>30 Year Fixed</v>
      </c>
      <c r="N13" s="2">
        <v>1108.6500000000001</v>
      </c>
      <c r="O13" t="str">
        <f t="shared" si="0"/>
        <v>Refi</v>
      </c>
      <c r="P13" s="3">
        <f t="shared" si="4"/>
        <v>0</v>
      </c>
      <c r="Q13" s="4">
        <v>112061</v>
      </c>
      <c r="R13" s="4" t="s">
        <v>41</v>
      </c>
      <c r="S13" s="5">
        <v>499</v>
      </c>
      <c r="T13">
        <v>7.625</v>
      </c>
      <c r="U13" s="7">
        <f t="shared" si="1"/>
        <v>839.85283343580249</v>
      </c>
      <c r="V13" s="2">
        <f t="shared" si="5"/>
        <v>301.02716656419761</v>
      </c>
      <c r="W13" s="9">
        <f t="shared" si="6"/>
        <v>0</v>
      </c>
      <c r="X13" s="3">
        <v>112061</v>
      </c>
      <c r="Y13" s="3">
        <f t="shared" si="7"/>
        <v>-0.29389162560983095</v>
      </c>
      <c r="Z13" s="7">
        <f t="shared" si="8"/>
        <v>839.85283343580249</v>
      </c>
      <c r="AA13" s="2">
        <f t="shared" si="2"/>
        <v>301.02716656419761</v>
      </c>
      <c r="AB13" s="8">
        <f t="shared" si="9"/>
        <v>0</v>
      </c>
      <c r="AC13" s="10">
        <v>7.625</v>
      </c>
      <c r="AD13" s="7">
        <f t="shared" si="10"/>
        <v>839.85283343580249</v>
      </c>
      <c r="AE13" s="2">
        <f t="shared" si="11"/>
        <v>301.02716656419761</v>
      </c>
      <c r="AF13" s="10">
        <v>0</v>
      </c>
      <c r="AG13" s="3">
        <f t="shared" si="12"/>
        <v>0</v>
      </c>
      <c r="AH13" s="7">
        <v>0</v>
      </c>
      <c r="AI13">
        <f t="shared" si="13"/>
        <v>360</v>
      </c>
      <c r="AJ13" t="e">
        <f>VLOOKUP(A13,'Borrower Details'!$A$1:$H$1493,8,FALSE)</f>
        <v>#N/A</v>
      </c>
      <c r="AK13" s="4" t="e">
        <f t="shared" si="14"/>
        <v>#N/A</v>
      </c>
      <c r="AL13" s="10">
        <v>7.625</v>
      </c>
      <c r="AM13" s="3">
        <f t="shared" si="15"/>
        <v>112061.29829999999</v>
      </c>
      <c r="AN13">
        <v>7.625</v>
      </c>
      <c r="AO13" s="7">
        <f t="shared" si="16"/>
        <v>839.85506907621448</v>
      </c>
      <c r="AP13" s="2">
        <f t="shared" si="17"/>
        <v>301.02493092378563</v>
      </c>
    </row>
    <row r="14" spans="1:42" x14ac:dyDescent="0.15">
      <c r="A14" s="8">
        <v>410420533</v>
      </c>
      <c r="B14" t="s">
        <v>36</v>
      </c>
      <c r="C14" t="s">
        <v>18</v>
      </c>
      <c r="D14" s="1">
        <v>39246</v>
      </c>
      <c r="E14" s="2">
        <v>171000</v>
      </c>
      <c r="F14" s="2">
        <v>124000</v>
      </c>
      <c r="G14" t="s">
        <v>15</v>
      </c>
      <c r="H14" s="2">
        <v>931.58</v>
      </c>
      <c r="I14" s="2">
        <v>123268.38</v>
      </c>
      <c r="J14">
        <v>8.2500000000000004E-2</v>
      </c>
      <c r="K14">
        <v>10</v>
      </c>
      <c r="L14">
        <v>351</v>
      </c>
      <c r="M14" t="str">
        <f t="shared" si="3"/>
        <v>30 Year Fixed</v>
      </c>
      <c r="N14" s="2">
        <v>847.47</v>
      </c>
      <c r="O14" t="str">
        <f t="shared" si="0"/>
        <v>Cash Out</v>
      </c>
      <c r="P14" s="3">
        <f t="shared" si="4"/>
        <v>19933.590443349764</v>
      </c>
      <c r="Q14" s="4">
        <v>145350</v>
      </c>
      <c r="R14" s="4" t="s">
        <v>41</v>
      </c>
      <c r="S14" s="5">
        <v>499</v>
      </c>
      <c r="T14">
        <v>7.625</v>
      </c>
      <c r="U14" s="7">
        <f t="shared" si="1"/>
        <v>1089.340710326464</v>
      </c>
      <c r="V14" s="2">
        <f t="shared" si="5"/>
        <v>-157.76071032646394</v>
      </c>
      <c r="W14" s="9">
        <f t="shared" si="6"/>
        <v>1</v>
      </c>
      <c r="X14" s="3">
        <v>125117</v>
      </c>
      <c r="Y14" s="3">
        <f t="shared" si="7"/>
        <v>-0.39970443349739071</v>
      </c>
      <c r="Z14" s="7">
        <f t="shared" si="8"/>
        <v>937.70238495986371</v>
      </c>
      <c r="AA14" s="2">
        <f t="shared" si="2"/>
        <v>-6.1223849598636662</v>
      </c>
      <c r="AB14" s="8">
        <f t="shared" si="9"/>
        <v>1</v>
      </c>
      <c r="AC14" s="10">
        <v>6.875</v>
      </c>
      <c r="AD14" s="7">
        <f t="shared" si="10"/>
        <v>874.06170713972904</v>
      </c>
      <c r="AE14" s="2">
        <f t="shared" si="11"/>
        <v>57.518292860271004</v>
      </c>
      <c r="AF14" s="10">
        <v>1.75</v>
      </c>
      <c r="AG14" s="3">
        <f t="shared" si="12"/>
        <v>2189.5475000000001</v>
      </c>
      <c r="AH14" s="7">
        <v>2480</v>
      </c>
      <c r="AI14">
        <f t="shared" si="13"/>
        <v>360</v>
      </c>
      <c r="AJ14" t="e">
        <f>VLOOKUP(A14,'Borrower Details'!$A$1:$H$1493,8,FALSE)</f>
        <v>#N/A</v>
      </c>
      <c r="AK14" s="4" t="e">
        <f t="shared" si="14"/>
        <v>#N/A</v>
      </c>
      <c r="AL14" s="10">
        <v>7.625</v>
      </c>
      <c r="AM14" s="3">
        <f t="shared" si="15"/>
        <v>125117.40569999999</v>
      </c>
      <c r="AN14">
        <v>7.625</v>
      </c>
      <c r="AO14" s="7">
        <f t="shared" si="16"/>
        <v>937.70542552075926</v>
      </c>
      <c r="AP14" s="2">
        <f t="shared" si="17"/>
        <v>-6.1254255207592223</v>
      </c>
    </row>
    <row r="15" spans="1:42" x14ac:dyDescent="0.15">
      <c r="A15" s="8">
        <v>410467021</v>
      </c>
      <c r="B15" t="s">
        <v>37</v>
      </c>
      <c r="C15" t="s">
        <v>19</v>
      </c>
      <c r="D15" s="1">
        <v>39248</v>
      </c>
      <c r="E15" s="2">
        <v>145000</v>
      </c>
      <c r="F15" s="2">
        <v>137655</v>
      </c>
      <c r="G15" t="s">
        <v>17</v>
      </c>
      <c r="H15" s="2">
        <v>1316.34</v>
      </c>
      <c r="I15" s="2">
        <v>137520.82999999999</v>
      </c>
      <c r="J15">
        <v>0.1135</v>
      </c>
      <c r="K15">
        <v>10</v>
      </c>
      <c r="L15">
        <v>351</v>
      </c>
      <c r="M15" t="str">
        <f t="shared" si="3"/>
        <v>30 Year Fixed</v>
      </c>
      <c r="N15" s="2">
        <v>1300.72</v>
      </c>
      <c r="O15" t="str">
        <f t="shared" si="0"/>
        <v>Refi</v>
      </c>
      <c r="P15" s="3">
        <f t="shared" si="4"/>
        <v>0</v>
      </c>
      <c r="Q15" s="4">
        <v>139584</v>
      </c>
      <c r="R15" s="4" t="s">
        <v>41</v>
      </c>
      <c r="S15" s="5">
        <v>502</v>
      </c>
      <c r="T15">
        <v>7.625</v>
      </c>
      <c r="U15" s="7">
        <f t="shared" si="1"/>
        <v>1046.1268229116556</v>
      </c>
      <c r="V15" s="2">
        <f t="shared" si="5"/>
        <v>270.21317708834431</v>
      </c>
      <c r="W15" s="9">
        <f t="shared" si="6"/>
        <v>0</v>
      </c>
      <c r="X15" s="3">
        <v>139584</v>
      </c>
      <c r="Y15" s="3">
        <f t="shared" si="7"/>
        <v>0.35226600986788981</v>
      </c>
      <c r="Z15" s="7">
        <f t="shared" si="8"/>
        <v>1046.1268229116556</v>
      </c>
      <c r="AA15" s="2">
        <f t="shared" si="2"/>
        <v>270.21317708834431</v>
      </c>
      <c r="AB15" s="8">
        <f t="shared" si="9"/>
        <v>0</v>
      </c>
      <c r="AC15" s="10">
        <v>7.625</v>
      </c>
      <c r="AD15" s="7">
        <f t="shared" si="10"/>
        <v>1046.1268229116556</v>
      </c>
      <c r="AE15" s="2">
        <f t="shared" si="11"/>
        <v>270.21317708834431</v>
      </c>
      <c r="AF15" s="10">
        <v>0</v>
      </c>
      <c r="AG15" s="3">
        <f t="shared" si="12"/>
        <v>0</v>
      </c>
      <c r="AH15" s="7">
        <v>0</v>
      </c>
      <c r="AI15">
        <f t="shared" si="13"/>
        <v>360</v>
      </c>
      <c r="AJ15" t="e">
        <f>VLOOKUP(A15,'Borrower Details'!$A$1:$H$1493,8,FALSE)</f>
        <v>#N/A</v>
      </c>
      <c r="AK15" s="4" t="e">
        <f t="shared" si="14"/>
        <v>#N/A</v>
      </c>
      <c r="AL15" s="10">
        <v>7.625</v>
      </c>
      <c r="AM15" s="3">
        <f t="shared" si="15"/>
        <v>139583.64244999998</v>
      </c>
      <c r="AN15">
        <v>7.625</v>
      </c>
      <c r="AO15" s="7">
        <f t="shared" si="16"/>
        <v>1046.1241432159488</v>
      </c>
      <c r="AP15" s="2">
        <f t="shared" si="17"/>
        <v>270.21585678405108</v>
      </c>
    </row>
    <row r="16" spans="1:42" x14ac:dyDescent="0.15">
      <c r="A16" s="8">
        <v>410001051</v>
      </c>
      <c r="B16" t="s">
        <v>36</v>
      </c>
      <c r="C16" t="s">
        <v>18</v>
      </c>
      <c r="D16" s="1">
        <v>39192</v>
      </c>
      <c r="E16" s="2">
        <v>113500</v>
      </c>
      <c r="F16" s="2">
        <v>96475</v>
      </c>
      <c r="G16" t="s">
        <v>17</v>
      </c>
      <c r="H16" s="2">
        <v>852.65</v>
      </c>
      <c r="I16" s="2">
        <v>96417.89</v>
      </c>
      <c r="J16">
        <v>0.1055</v>
      </c>
      <c r="K16">
        <v>12</v>
      </c>
      <c r="L16">
        <v>348</v>
      </c>
      <c r="M16" t="str">
        <f t="shared" si="3"/>
        <v>30 Year Fixed</v>
      </c>
      <c r="N16" s="2">
        <v>847.67</v>
      </c>
      <c r="O16" t="str">
        <f t="shared" si="0"/>
        <v>Refi</v>
      </c>
      <c r="P16" s="3">
        <f t="shared" si="4"/>
        <v>0</v>
      </c>
      <c r="Q16" s="4">
        <v>97864</v>
      </c>
      <c r="R16" s="4" t="s">
        <v>41</v>
      </c>
      <c r="S16" s="5">
        <v>506</v>
      </c>
      <c r="T16">
        <v>7.625</v>
      </c>
      <c r="U16" s="7">
        <f t="shared" si="1"/>
        <v>733.45193859916799</v>
      </c>
      <c r="V16" s="2">
        <f t="shared" si="5"/>
        <v>119.19806140083199</v>
      </c>
      <c r="W16" s="9">
        <f t="shared" si="6"/>
        <v>0</v>
      </c>
      <c r="X16" s="3">
        <v>97864</v>
      </c>
      <c r="Y16" s="3">
        <f t="shared" si="7"/>
        <v>-0.15600985220225994</v>
      </c>
      <c r="Z16" s="7">
        <f t="shared" si="8"/>
        <v>733.45193859916799</v>
      </c>
      <c r="AA16" s="2">
        <f t="shared" si="2"/>
        <v>119.19806140083199</v>
      </c>
      <c r="AB16" s="8">
        <f t="shared" si="9"/>
        <v>0</v>
      </c>
      <c r="AC16" s="10">
        <v>7.625</v>
      </c>
      <c r="AD16" s="7">
        <f t="shared" si="10"/>
        <v>733.45193859916799</v>
      </c>
      <c r="AE16" s="2">
        <f t="shared" si="11"/>
        <v>119.19806140083199</v>
      </c>
      <c r="AF16" s="10">
        <v>0</v>
      </c>
      <c r="AG16" s="3">
        <f t="shared" si="12"/>
        <v>0</v>
      </c>
      <c r="AH16" s="7">
        <v>1929.5</v>
      </c>
      <c r="AI16">
        <f t="shared" si="13"/>
        <v>360</v>
      </c>
      <c r="AJ16" t="e">
        <f>VLOOKUP(A16,'Borrower Details'!$A$1:$H$1493,8,FALSE)</f>
        <v>#N/A</v>
      </c>
      <c r="AK16" s="4" t="e">
        <f t="shared" si="14"/>
        <v>#N/A</v>
      </c>
      <c r="AL16" s="10">
        <v>7.625</v>
      </c>
      <c r="AM16" s="3">
        <f t="shared" si="15"/>
        <v>97864.158349999983</v>
      </c>
      <c r="AN16">
        <v>7.625</v>
      </c>
      <c r="AO16" s="7">
        <f t="shared" si="16"/>
        <v>733.45312536973199</v>
      </c>
      <c r="AP16" s="2">
        <f t="shared" si="17"/>
        <v>119.19687463026798</v>
      </c>
    </row>
    <row r="17" spans="1:42" x14ac:dyDescent="0.15">
      <c r="A17" s="8">
        <v>410225452</v>
      </c>
      <c r="B17" t="s">
        <v>36</v>
      </c>
      <c r="C17" t="s">
        <v>18</v>
      </c>
      <c r="D17" s="1">
        <v>39237</v>
      </c>
      <c r="E17" s="2">
        <v>300000</v>
      </c>
      <c r="F17" s="2">
        <v>82000</v>
      </c>
      <c r="G17" t="s">
        <v>17</v>
      </c>
      <c r="H17" s="2">
        <v>704.51</v>
      </c>
      <c r="I17" s="2">
        <v>81644.259999999995</v>
      </c>
      <c r="J17">
        <v>9.7500000000000003E-2</v>
      </c>
      <c r="K17">
        <v>10</v>
      </c>
      <c r="L17">
        <v>351</v>
      </c>
      <c r="M17" t="str">
        <f t="shared" si="3"/>
        <v>30 Year Fixed</v>
      </c>
      <c r="N17" s="2">
        <v>663.36</v>
      </c>
      <c r="O17" t="str">
        <f t="shared" si="0"/>
        <v>Cash Out</v>
      </c>
      <c r="P17" s="3">
        <f t="shared" si="4"/>
        <v>169587.26709359611</v>
      </c>
      <c r="Q17" s="4">
        <v>98750</v>
      </c>
      <c r="R17" s="4" t="s">
        <v>41</v>
      </c>
      <c r="S17" s="5">
        <v>507</v>
      </c>
      <c r="T17">
        <v>7.625</v>
      </c>
      <c r="U17" s="7">
        <f t="shared" si="1"/>
        <v>740.09215785853678</v>
      </c>
      <c r="V17" s="2">
        <f t="shared" si="5"/>
        <v>-35.582157858536789</v>
      </c>
      <c r="W17" s="9">
        <f t="shared" si="6"/>
        <v>1</v>
      </c>
      <c r="X17" s="3">
        <v>93930</v>
      </c>
      <c r="Y17" s="3">
        <f t="shared" si="7"/>
        <v>10897.611921182281</v>
      </c>
      <c r="Z17" s="7">
        <f t="shared" si="8"/>
        <v>703.96816595091002</v>
      </c>
      <c r="AA17" s="2">
        <f t="shared" si="2"/>
        <v>0.5418340490899709</v>
      </c>
      <c r="AB17" s="8">
        <f t="shared" si="9"/>
        <v>0</v>
      </c>
      <c r="AC17" s="10">
        <v>7.625</v>
      </c>
      <c r="AD17" s="7">
        <f t="shared" si="10"/>
        <v>703.96816595091002</v>
      </c>
      <c r="AE17" s="2">
        <f t="shared" si="11"/>
        <v>0.5418340490899709</v>
      </c>
      <c r="AF17" s="10">
        <v>0</v>
      </c>
      <c r="AG17" s="3">
        <f t="shared" si="12"/>
        <v>0</v>
      </c>
      <c r="AH17" s="7">
        <v>1640</v>
      </c>
      <c r="AI17">
        <f t="shared" si="13"/>
        <v>360</v>
      </c>
      <c r="AJ17" t="e">
        <f>VLOOKUP(A17,'Borrower Details'!$A$1:$H$1493,8,FALSE)</f>
        <v>#N/A</v>
      </c>
      <c r="AK17" s="4" t="e">
        <f t="shared" si="14"/>
        <v>#N/A</v>
      </c>
      <c r="AL17" s="10">
        <v>7.625</v>
      </c>
      <c r="AM17" s="3">
        <f t="shared" si="15"/>
        <v>82868.92389999998</v>
      </c>
      <c r="AN17">
        <v>7.625</v>
      </c>
      <c r="AO17" s="7">
        <f t="shared" si="16"/>
        <v>621.06977932724919</v>
      </c>
      <c r="AP17" s="2">
        <f t="shared" si="17"/>
        <v>83.440220672750797</v>
      </c>
    </row>
    <row r="18" spans="1:42" x14ac:dyDescent="0.15">
      <c r="A18" s="8">
        <v>410869440</v>
      </c>
      <c r="B18" t="s">
        <v>37</v>
      </c>
      <c r="C18" t="s">
        <v>16</v>
      </c>
      <c r="D18" s="1">
        <v>39335</v>
      </c>
      <c r="E18" s="2">
        <v>105000</v>
      </c>
      <c r="F18" s="2">
        <v>89250</v>
      </c>
      <c r="G18" t="s">
        <v>17</v>
      </c>
      <c r="H18" s="2">
        <v>956.54</v>
      </c>
      <c r="I18" s="2">
        <v>88970.27</v>
      </c>
      <c r="J18">
        <v>0.1225</v>
      </c>
      <c r="K18">
        <v>7</v>
      </c>
      <c r="L18">
        <v>294</v>
      </c>
      <c r="M18" t="str">
        <f t="shared" si="3"/>
        <v>30 Year Fixed</v>
      </c>
      <c r="N18" s="2">
        <v>908.24</v>
      </c>
      <c r="O18" t="str">
        <f t="shared" si="0"/>
        <v>Refi</v>
      </c>
      <c r="P18" s="3">
        <f t="shared" si="4"/>
        <v>0</v>
      </c>
      <c r="Q18" s="4">
        <v>90305</v>
      </c>
      <c r="R18" s="4" t="s">
        <v>41</v>
      </c>
      <c r="S18" s="5">
        <v>511</v>
      </c>
      <c r="T18">
        <v>7.625</v>
      </c>
      <c r="U18" s="7">
        <f t="shared" si="1"/>
        <v>676.80022597888774</v>
      </c>
      <c r="V18" s="2">
        <f t="shared" si="5"/>
        <v>279.73977402111223</v>
      </c>
      <c r="W18" s="9">
        <f t="shared" si="6"/>
        <v>0</v>
      </c>
      <c r="X18" s="3">
        <v>90305</v>
      </c>
      <c r="Y18" s="3">
        <f t="shared" si="7"/>
        <v>0.17334975370613392</v>
      </c>
      <c r="Z18" s="7">
        <f t="shared" si="8"/>
        <v>676.80022597888774</v>
      </c>
      <c r="AA18" s="2">
        <f t="shared" si="2"/>
        <v>279.73977402111223</v>
      </c>
      <c r="AB18" s="8">
        <f t="shared" si="9"/>
        <v>0</v>
      </c>
      <c r="AC18" s="10">
        <v>7.625</v>
      </c>
      <c r="AD18" s="7">
        <f t="shared" si="10"/>
        <v>676.80022597888774</v>
      </c>
      <c r="AE18" s="2">
        <f t="shared" si="11"/>
        <v>279.73977402111223</v>
      </c>
      <c r="AF18" s="10">
        <v>0</v>
      </c>
      <c r="AG18" s="3">
        <f t="shared" si="12"/>
        <v>0</v>
      </c>
      <c r="AH18" s="7">
        <v>0</v>
      </c>
      <c r="AI18">
        <f t="shared" si="13"/>
        <v>360</v>
      </c>
      <c r="AJ18" t="e">
        <f>VLOOKUP(A18,'Borrower Details'!$A$1:$H$1493,8,FALSE)</f>
        <v>#N/A</v>
      </c>
      <c r="AK18" s="4" t="e">
        <f t="shared" si="14"/>
        <v>#N/A</v>
      </c>
      <c r="AL18" s="10">
        <v>7.625</v>
      </c>
      <c r="AM18" s="3">
        <f t="shared" si="15"/>
        <v>90304.824049999996</v>
      </c>
      <c r="AN18">
        <v>7.625</v>
      </c>
      <c r="AO18" s="7">
        <f t="shared" si="16"/>
        <v>676.798907303291</v>
      </c>
      <c r="AP18" s="2">
        <f t="shared" si="17"/>
        <v>279.74109269670896</v>
      </c>
    </row>
    <row r="19" spans="1:42" x14ac:dyDescent="0.15">
      <c r="A19" s="8">
        <v>1173315</v>
      </c>
      <c r="B19" t="s">
        <v>37</v>
      </c>
      <c r="C19" t="s">
        <v>19</v>
      </c>
      <c r="D19" s="1">
        <v>39182</v>
      </c>
      <c r="E19" s="2">
        <v>260000</v>
      </c>
      <c r="F19" s="2">
        <v>234000</v>
      </c>
      <c r="G19" t="s">
        <v>15</v>
      </c>
      <c r="H19" s="2">
        <v>1530</v>
      </c>
      <c r="I19" s="2">
        <v>233585.09</v>
      </c>
      <c r="J19">
        <v>7.6749999999999999E-2</v>
      </c>
      <c r="K19">
        <v>12</v>
      </c>
      <c r="L19">
        <v>348</v>
      </c>
      <c r="M19" t="str">
        <f t="shared" si="3"/>
        <v>30 Year Fixed</v>
      </c>
      <c r="N19" s="2">
        <v>1493.97</v>
      </c>
      <c r="O19" t="str">
        <f t="shared" si="0"/>
        <v>Refi</v>
      </c>
      <c r="P19" s="3">
        <f t="shared" si="4"/>
        <v>0</v>
      </c>
      <c r="Q19" s="4">
        <v>237089</v>
      </c>
      <c r="R19" s="4" t="s">
        <v>41</v>
      </c>
      <c r="S19" s="5">
        <v>515</v>
      </c>
      <c r="T19">
        <v>7.625</v>
      </c>
      <c r="U19" s="7">
        <f t="shared" si="1"/>
        <v>1776.8881986280774</v>
      </c>
      <c r="V19" s="2">
        <f t="shared" si="5"/>
        <v>-246.88819862807736</v>
      </c>
      <c r="W19" s="9">
        <f t="shared" si="6"/>
        <v>0</v>
      </c>
      <c r="X19" s="3">
        <v>237089</v>
      </c>
      <c r="Y19" s="3">
        <f t="shared" si="7"/>
        <v>0.13167487687314861</v>
      </c>
      <c r="Z19" s="7">
        <f t="shared" si="8"/>
        <v>1776.8881986280774</v>
      </c>
      <c r="AA19" s="2">
        <f t="shared" si="2"/>
        <v>-246.88819862807736</v>
      </c>
      <c r="AB19" s="8">
        <f t="shared" si="9"/>
        <v>1</v>
      </c>
      <c r="AC19" s="10">
        <v>6.875</v>
      </c>
      <c r="AD19" s="7">
        <f t="shared" si="10"/>
        <v>1656.2930383884782</v>
      </c>
      <c r="AE19" s="2">
        <f t="shared" si="11"/>
        <v>-126.29303838847818</v>
      </c>
      <c r="AF19" s="10">
        <v>1.75</v>
      </c>
      <c r="AG19" s="3">
        <f t="shared" si="12"/>
        <v>4149.0574999999999</v>
      </c>
      <c r="AH19" s="7">
        <v>2340</v>
      </c>
      <c r="AI19">
        <f t="shared" si="13"/>
        <v>360</v>
      </c>
      <c r="AJ19" t="e">
        <f>VLOOKUP(A19,'Borrower Details'!$A$1:$H$1493,8,FALSE)</f>
        <v>#N/A</v>
      </c>
      <c r="AK19" s="4" t="e">
        <f t="shared" si="14"/>
        <v>#N/A</v>
      </c>
      <c r="AL19" s="10">
        <v>7.625</v>
      </c>
      <c r="AM19" s="3">
        <f t="shared" si="15"/>
        <v>237088.86634999997</v>
      </c>
      <c r="AN19">
        <v>7.625</v>
      </c>
      <c r="AO19" s="7">
        <f t="shared" si="16"/>
        <v>1776.8871969742349</v>
      </c>
      <c r="AP19" s="2">
        <f t="shared" si="17"/>
        <v>-246.88719697423494</v>
      </c>
    </row>
    <row r="20" spans="1:42" x14ac:dyDescent="0.15">
      <c r="A20" s="8">
        <v>410368336</v>
      </c>
      <c r="B20" t="s">
        <v>37</v>
      </c>
      <c r="C20" t="s">
        <v>19</v>
      </c>
      <c r="D20" s="1">
        <v>39248</v>
      </c>
      <c r="E20" s="2">
        <v>139000</v>
      </c>
      <c r="F20" s="2">
        <v>106840</v>
      </c>
      <c r="G20" t="s">
        <v>15</v>
      </c>
      <c r="H20" s="2">
        <v>829.1</v>
      </c>
      <c r="I20" s="2">
        <v>106108.57</v>
      </c>
      <c r="J20">
        <v>8.5999999999999993E-2</v>
      </c>
      <c r="K20">
        <v>10</v>
      </c>
      <c r="L20">
        <v>349</v>
      </c>
      <c r="M20" t="str">
        <f t="shared" si="3"/>
        <v>30 Year Fixed</v>
      </c>
      <c r="N20" s="2">
        <v>760.94</v>
      </c>
      <c r="O20" t="str">
        <f t="shared" si="0"/>
        <v>Cash Out</v>
      </c>
      <c r="P20" s="3">
        <f t="shared" si="4"/>
        <v>10295.370886699515</v>
      </c>
      <c r="Q20" s="4">
        <v>113370</v>
      </c>
      <c r="R20" s="4" t="s">
        <v>41</v>
      </c>
      <c r="S20" s="5">
        <v>515</v>
      </c>
      <c r="T20">
        <v>7.625</v>
      </c>
      <c r="U20" s="7">
        <f t="shared" si="1"/>
        <v>849.6632702422512</v>
      </c>
      <c r="V20" s="2">
        <f t="shared" si="5"/>
        <v>-20.563270242251178</v>
      </c>
      <c r="W20" s="9">
        <f t="shared" si="6"/>
        <v>1</v>
      </c>
      <c r="X20" s="3">
        <v>110550</v>
      </c>
      <c r="Y20" s="3">
        <f t="shared" si="7"/>
        <v>2807.6861576354713</v>
      </c>
      <c r="Z20" s="7">
        <f t="shared" si="8"/>
        <v>828.52848659505048</v>
      </c>
      <c r="AA20" s="2">
        <f t="shared" si="2"/>
        <v>0.57151340494954184</v>
      </c>
      <c r="AB20" s="8">
        <f t="shared" si="9"/>
        <v>1</v>
      </c>
      <c r="AC20" s="10">
        <v>6.625</v>
      </c>
      <c r="AD20" s="7">
        <f t="shared" si="10"/>
        <v>753.92626746854262</v>
      </c>
      <c r="AE20" s="2">
        <f t="shared" si="11"/>
        <v>75.173732531457404</v>
      </c>
      <c r="AF20" s="10">
        <v>2.875</v>
      </c>
      <c r="AG20" s="3">
        <f t="shared" si="12"/>
        <v>3178.3125</v>
      </c>
      <c r="AH20" s="7">
        <v>0</v>
      </c>
      <c r="AI20">
        <f t="shared" si="13"/>
        <v>360</v>
      </c>
      <c r="AJ20" t="e">
        <f>VLOOKUP(A20,'Borrower Details'!$A$1:$H$1493,8,FALSE)</f>
        <v>#N/A</v>
      </c>
      <c r="AK20" s="4" t="e">
        <f t="shared" si="14"/>
        <v>#N/A</v>
      </c>
      <c r="AL20" s="10">
        <v>7.625</v>
      </c>
      <c r="AM20" s="3">
        <f t="shared" si="15"/>
        <v>107700.19855</v>
      </c>
      <c r="AN20">
        <v>7.625</v>
      </c>
      <c r="AO20" s="7">
        <f t="shared" si="16"/>
        <v>807.17035287759347</v>
      </c>
      <c r="AP20" s="2">
        <f t="shared" si="17"/>
        <v>21.92964712240655</v>
      </c>
    </row>
    <row r="21" spans="1:42" x14ac:dyDescent="0.15">
      <c r="A21" s="8">
        <v>410056287</v>
      </c>
      <c r="B21" t="s">
        <v>36</v>
      </c>
      <c r="C21" t="s">
        <v>19</v>
      </c>
      <c r="D21" s="1">
        <v>39211</v>
      </c>
      <c r="E21" s="2">
        <v>215000</v>
      </c>
      <c r="F21" s="2">
        <v>139750</v>
      </c>
      <c r="G21" t="s">
        <v>17</v>
      </c>
      <c r="H21" s="2">
        <v>937.23</v>
      </c>
      <c r="I21" s="2">
        <v>139554.07</v>
      </c>
      <c r="J21">
        <v>7.8899999999999998E-2</v>
      </c>
      <c r="K21">
        <v>11</v>
      </c>
      <c r="L21">
        <v>350</v>
      </c>
      <c r="M21" t="str">
        <f t="shared" si="3"/>
        <v>30 Year Fixed</v>
      </c>
      <c r="N21" s="2">
        <v>917.57</v>
      </c>
      <c r="O21" t="str">
        <f t="shared" si="0"/>
        <v>Cash Out</v>
      </c>
      <c r="P21" s="3">
        <f t="shared" si="4"/>
        <v>40495.191083743848</v>
      </c>
      <c r="Q21" s="4">
        <v>182750</v>
      </c>
      <c r="R21" s="4" t="s">
        <v>41</v>
      </c>
      <c r="S21" s="5">
        <v>517</v>
      </c>
      <c r="T21">
        <v>7.625</v>
      </c>
      <c r="U21" s="7">
        <f t="shared" si="1"/>
        <v>1369.6389047964312</v>
      </c>
      <c r="V21" s="2">
        <f t="shared" si="5"/>
        <v>-432.40890479643122</v>
      </c>
      <c r="W21" s="9">
        <f t="shared" si="6"/>
        <v>1</v>
      </c>
      <c r="X21" s="3">
        <v>141647</v>
      </c>
      <c r="Y21" s="3">
        <f t="shared" si="7"/>
        <v>-0.37541871919529513</v>
      </c>
      <c r="Z21" s="7">
        <f t="shared" si="8"/>
        <v>1061.588191232285</v>
      </c>
      <c r="AA21" s="2">
        <f t="shared" si="2"/>
        <v>-124.35819123228498</v>
      </c>
      <c r="AB21" s="8">
        <f t="shared" si="9"/>
        <v>1</v>
      </c>
      <c r="AC21" s="10">
        <v>6.875</v>
      </c>
      <c r="AD21" s="7">
        <f t="shared" si="10"/>
        <v>989.53954004029197</v>
      </c>
      <c r="AE21" s="2">
        <f t="shared" si="11"/>
        <v>-52.309540040291949</v>
      </c>
      <c r="AF21" s="10">
        <v>1.75</v>
      </c>
      <c r="AG21" s="3">
        <f t="shared" si="12"/>
        <v>2478.8225000000002</v>
      </c>
      <c r="AH21" s="7">
        <v>2795</v>
      </c>
      <c r="AI21">
        <f t="shared" si="13"/>
        <v>360</v>
      </c>
      <c r="AJ21" t="e">
        <f>VLOOKUP(A21,'Borrower Details'!$A$1:$H$1493,8,FALSE)</f>
        <v>#N/A</v>
      </c>
      <c r="AK21" s="4" t="e">
        <f t="shared" si="14"/>
        <v>#N/A</v>
      </c>
      <c r="AL21" s="10">
        <v>7.625</v>
      </c>
      <c r="AM21" s="3">
        <f t="shared" si="15"/>
        <v>141647.38105</v>
      </c>
      <c r="AN21">
        <v>7.625</v>
      </c>
      <c r="AO21" s="7">
        <f t="shared" si="16"/>
        <v>1061.591047051189</v>
      </c>
      <c r="AP21" s="2">
        <f t="shared" si="17"/>
        <v>-124.36104705118896</v>
      </c>
    </row>
    <row r="22" spans="1:42" x14ac:dyDescent="0.15">
      <c r="A22" s="8">
        <v>410583652</v>
      </c>
      <c r="B22" t="s">
        <v>36</v>
      </c>
      <c r="C22" t="s">
        <v>19</v>
      </c>
      <c r="D22" s="1">
        <v>39268</v>
      </c>
      <c r="E22" s="2">
        <v>235000</v>
      </c>
      <c r="F22" s="2">
        <v>152750</v>
      </c>
      <c r="G22" t="s">
        <v>17</v>
      </c>
      <c r="H22" s="2">
        <v>859.22</v>
      </c>
      <c r="I22" s="2">
        <v>152750</v>
      </c>
      <c r="J22">
        <v>6.7500000000000004E-2</v>
      </c>
      <c r="K22">
        <v>9</v>
      </c>
      <c r="L22">
        <v>352</v>
      </c>
      <c r="M22" t="str">
        <f t="shared" si="3"/>
        <v>30 Year Fixed</v>
      </c>
      <c r="N22" s="2">
        <v>859.22</v>
      </c>
      <c r="O22" t="str">
        <f t="shared" si="0"/>
        <v>Cash Out</v>
      </c>
      <c r="P22" s="3">
        <f t="shared" si="4"/>
        <v>44048.029556650261</v>
      </c>
      <c r="Q22" s="4">
        <v>144220</v>
      </c>
      <c r="R22" s="4" t="s">
        <v>41</v>
      </c>
      <c r="S22" s="5">
        <v>517</v>
      </c>
      <c r="T22">
        <v>7.625</v>
      </c>
      <c r="U22" s="7">
        <f t="shared" si="1"/>
        <v>1080.8718076593232</v>
      </c>
      <c r="V22" s="2">
        <f t="shared" si="5"/>
        <v>-221.65180765932314</v>
      </c>
      <c r="W22" s="9">
        <f t="shared" si="6"/>
        <v>1</v>
      </c>
      <c r="X22" s="3">
        <v>155041</v>
      </c>
      <c r="Y22" s="3">
        <f t="shared" si="7"/>
        <v>-0.246305418695556</v>
      </c>
      <c r="Z22" s="7">
        <f t="shared" si="8"/>
        <v>1161.9709189523585</v>
      </c>
      <c r="AA22" s="2">
        <f t="shared" si="2"/>
        <v>-302.75091895235846</v>
      </c>
      <c r="AB22" s="8">
        <f t="shared" si="9"/>
        <v>1</v>
      </c>
      <c r="AC22" s="10">
        <v>6.875</v>
      </c>
      <c r="AD22" s="7">
        <f t="shared" si="10"/>
        <v>1083.1094186773239</v>
      </c>
      <c r="AE22" s="2">
        <f t="shared" si="11"/>
        <v>-223.88941867732387</v>
      </c>
      <c r="AF22" s="10">
        <v>1.75</v>
      </c>
      <c r="AG22" s="3">
        <f t="shared" si="12"/>
        <v>2713.2175000000002</v>
      </c>
      <c r="AH22" s="7">
        <v>3055</v>
      </c>
      <c r="AI22">
        <f t="shared" si="13"/>
        <v>360</v>
      </c>
      <c r="AJ22" t="e">
        <f>VLOOKUP(A22,'Borrower Details'!$A$1:$H$1493,8,FALSE)</f>
        <v>#N/A</v>
      </c>
      <c r="AK22" s="4" t="e">
        <f t="shared" si="14"/>
        <v>#N/A</v>
      </c>
      <c r="AL22" s="10">
        <v>7.625</v>
      </c>
      <c r="AM22" s="3">
        <f t="shared" si="15"/>
        <v>155041.24999999997</v>
      </c>
      <c r="AN22">
        <v>7.625</v>
      </c>
      <c r="AO22" s="7">
        <f t="shared" si="16"/>
        <v>1161.9727926033909</v>
      </c>
      <c r="AP22" s="2">
        <f t="shared" si="17"/>
        <v>-302.75279260339084</v>
      </c>
    </row>
    <row r="23" spans="1:42" x14ac:dyDescent="0.15">
      <c r="A23" s="8">
        <v>1142873</v>
      </c>
      <c r="B23" t="s">
        <v>37</v>
      </c>
      <c r="C23" t="s">
        <v>18</v>
      </c>
      <c r="D23" s="1">
        <v>39143</v>
      </c>
      <c r="E23" s="2">
        <v>122000</v>
      </c>
      <c r="F23" s="2">
        <v>115900</v>
      </c>
      <c r="G23" t="s">
        <v>15</v>
      </c>
      <c r="H23" s="2">
        <v>925.71</v>
      </c>
      <c r="I23" s="2">
        <v>115788.62</v>
      </c>
      <c r="J23">
        <v>9.5000000000000001E-2</v>
      </c>
      <c r="K23">
        <v>13</v>
      </c>
      <c r="L23">
        <v>347</v>
      </c>
      <c r="M23" t="str">
        <f t="shared" si="3"/>
        <v>30 Year Fixed</v>
      </c>
      <c r="N23" s="2">
        <v>916.66</v>
      </c>
      <c r="O23" t="str">
        <f t="shared" si="0"/>
        <v>Refi</v>
      </c>
      <c r="P23" s="3">
        <f t="shared" si="4"/>
        <v>0</v>
      </c>
      <c r="Q23" s="4">
        <v>117525</v>
      </c>
      <c r="R23" s="4" t="s">
        <v>41</v>
      </c>
      <c r="S23" s="5">
        <v>525</v>
      </c>
      <c r="T23">
        <v>7.625</v>
      </c>
      <c r="U23" s="7">
        <f t="shared" si="1"/>
        <v>880.80335040328646</v>
      </c>
      <c r="V23" s="2">
        <f t="shared" si="5"/>
        <v>44.906649596713578</v>
      </c>
      <c r="W23" s="9">
        <f t="shared" si="6"/>
        <v>0</v>
      </c>
      <c r="X23" s="3">
        <v>117526</v>
      </c>
      <c r="Y23" s="3">
        <f t="shared" si="7"/>
        <v>0.54256157636700664</v>
      </c>
      <c r="Z23" s="7">
        <f t="shared" si="8"/>
        <v>880.81084500741656</v>
      </c>
      <c r="AA23" s="2">
        <f t="shared" si="2"/>
        <v>44.899154992583476</v>
      </c>
      <c r="AB23" s="8">
        <f t="shared" si="9"/>
        <v>1</v>
      </c>
      <c r="AC23" s="10">
        <v>6.625</v>
      </c>
      <c r="AD23" s="7">
        <f t="shared" si="10"/>
        <v>801.50102677980942</v>
      </c>
      <c r="AE23" s="2">
        <f t="shared" si="11"/>
        <v>124.20897322019061</v>
      </c>
      <c r="AF23" s="10">
        <v>2.875</v>
      </c>
      <c r="AG23" s="3">
        <f t="shared" si="12"/>
        <v>3378.8724999999999</v>
      </c>
      <c r="AH23" s="7">
        <v>0</v>
      </c>
      <c r="AI23">
        <f t="shared" si="13"/>
        <v>360</v>
      </c>
      <c r="AJ23" t="e">
        <f>VLOOKUP(A23,'Borrower Details'!$A$1:$H$1493,8,FALSE)</f>
        <v>#N/A</v>
      </c>
      <c r="AK23" s="4" t="e">
        <f t="shared" si="14"/>
        <v>#N/A</v>
      </c>
      <c r="AL23" s="10">
        <v>7.625</v>
      </c>
      <c r="AM23" s="3">
        <f t="shared" si="15"/>
        <v>117525.44929999998</v>
      </c>
      <c r="AN23">
        <v>7.625</v>
      </c>
      <c r="AO23" s="7">
        <f t="shared" si="16"/>
        <v>880.80671772892197</v>
      </c>
      <c r="AP23" s="2">
        <f t="shared" si="17"/>
        <v>44.903282271078069</v>
      </c>
    </row>
    <row r="24" spans="1:42" x14ac:dyDescent="0.15">
      <c r="A24" s="8">
        <v>410001168</v>
      </c>
      <c r="B24" t="s">
        <v>36</v>
      </c>
      <c r="C24" t="s">
        <v>18</v>
      </c>
      <c r="D24" s="1">
        <v>39237</v>
      </c>
      <c r="E24" s="2">
        <v>123000</v>
      </c>
      <c r="F24" s="2">
        <v>98400</v>
      </c>
      <c r="G24" t="s">
        <v>15</v>
      </c>
      <c r="H24" s="2">
        <v>789.9</v>
      </c>
      <c r="I24" s="2">
        <v>98322.16</v>
      </c>
      <c r="J24">
        <v>9.5500000000000002E-2</v>
      </c>
      <c r="K24">
        <v>11</v>
      </c>
      <c r="L24">
        <v>349</v>
      </c>
      <c r="M24" t="str">
        <f t="shared" si="3"/>
        <v>30 Year Fixed</v>
      </c>
      <c r="N24" s="2">
        <v>782.48</v>
      </c>
      <c r="O24" t="str">
        <f t="shared" si="0"/>
        <v>Cash Out</v>
      </c>
      <c r="P24" s="3">
        <f t="shared" si="4"/>
        <v>4682.7661083743878</v>
      </c>
      <c r="Q24" s="4">
        <v>104550</v>
      </c>
      <c r="R24" s="4" t="s">
        <v>41</v>
      </c>
      <c r="S24" s="5">
        <v>526</v>
      </c>
      <c r="T24">
        <v>7.625</v>
      </c>
      <c r="U24" s="7">
        <f t="shared" si="1"/>
        <v>783.56086181377236</v>
      </c>
      <c r="V24" s="2">
        <f t="shared" si="5"/>
        <v>6.3391381862276148</v>
      </c>
      <c r="W24" s="9">
        <f t="shared" si="6"/>
        <v>0</v>
      </c>
      <c r="X24" s="3">
        <v>104550</v>
      </c>
      <c r="Y24" s="3">
        <f t="shared" si="7"/>
        <v>4682.7661083743878</v>
      </c>
      <c r="Z24" s="7">
        <f t="shared" si="8"/>
        <v>783.56086181377236</v>
      </c>
      <c r="AA24" s="2">
        <f t="shared" si="2"/>
        <v>6.3391381862276148</v>
      </c>
      <c r="AB24" s="8">
        <f t="shared" si="9"/>
        <v>1</v>
      </c>
      <c r="AC24" s="10">
        <v>6.875</v>
      </c>
      <c r="AD24" s="7">
        <f t="shared" si="10"/>
        <v>730.38157469775228</v>
      </c>
      <c r="AE24" s="2">
        <f t="shared" si="11"/>
        <v>59.518425302247692</v>
      </c>
      <c r="AF24" s="10">
        <v>2</v>
      </c>
      <c r="AG24" s="3">
        <f t="shared" si="12"/>
        <v>2091</v>
      </c>
      <c r="AH24" s="7">
        <v>1968</v>
      </c>
      <c r="AI24">
        <f t="shared" si="13"/>
        <v>360</v>
      </c>
      <c r="AJ24" t="e">
        <f>VLOOKUP(A24,'Borrower Details'!$A$1:$H$1493,8,FALSE)</f>
        <v>#N/A</v>
      </c>
      <c r="AK24" s="4" t="e">
        <f t="shared" si="14"/>
        <v>#N/A</v>
      </c>
      <c r="AL24" s="10">
        <v>7.625</v>
      </c>
      <c r="AM24" s="3">
        <f t="shared" si="15"/>
        <v>99796.992399999988</v>
      </c>
      <c r="AN24">
        <v>7.625</v>
      </c>
      <c r="AO24" s="7">
        <f t="shared" si="16"/>
        <v>747.93895142387828</v>
      </c>
      <c r="AP24" s="2">
        <f t="shared" si="17"/>
        <v>41.961048576121698</v>
      </c>
    </row>
    <row r="25" spans="1:42" x14ac:dyDescent="0.15">
      <c r="A25" s="8">
        <v>410525315</v>
      </c>
      <c r="B25" t="s">
        <v>37</v>
      </c>
      <c r="C25" t="s">
        <v>18</v>
      </c>
      <c r="D25" s="1">
        <v>39265</v>
      </c>
      <c r="E25" s="2">
        <v>130000</v>
      </c>
      <c r="F25" s="2">
        <v>123500</v>
      </c>
      <c r="G25" t="s">
        <v>17</v>
      </c>
      <c r="H25" s="2">
        <v>1120.49</v>
      </c>
      <c r="I25" s="2">
        <v>123086.36</v>
      </c>
      <c r="J25">
        <v>0.104</v>
      </c>
      <c r="K25">
        <v>10</v>
      </c>
      <c r="L25">
        <v>352</v>
      </c>
      <c r="M25" t="str">
        <f t="shared" si="3"/>
        <v>30 Year Fixed</v>
      </c>
      <c r="N25" s="2">
        <v>1066.75</v>
      </c>
      <c r="O25" t="str">
        <f t="shared" si="0"/>
        <v>Refi</v>
      </c>
      <c r="P25" s="3">
        <f t="shared" si="4"/>
        <v>0</v>
      </c>
      <c r="Q25" s="4">
        <v>124933</v>
      </c>
      <c r="R25" s="4" t="s">
        <v>41</v>
      </c>
      <c r="S25" s="5">
        <v>526</v>
      </c>
      <c r="T25">
        <v>7.625</v>
      </c>
      <c r="U25" s="7">
        <f t="shared" si="1"/>
        <v>936.32337779990462</v>
      </c>
      <c r="V25" s="2">
        <f t="shared" si="5"/>
        <v>184.16662220009539</v>
      </c>
      <c r="W25" s="9">
        <f t="shared" si="6"/>
        <v>0</v>
      </c>
      <c r="X25" s="3">
        <v>124933</v>
      </c>
      <c r="Y25" s="3">
        <f t="shared" si="7"/>
        <v>0.33950738917337731</v>
      </c>
      <c r="Z25" s="7">
        <f t="shared" si="8"/>
        <v>936.32337779990462</v>
      </c>
      <c r="AA25" s="2">
        <f t="shared" si="2"/>
        <v>184.16662220009539</v>
      </c>
      <c r="AB25" s="8">
        <f t="shared" si="9"/>
        <v>0</v>
      </c>
      <c r="AC25" s="10">
        <v>7.625</v>
      </c>
      <c r="AD25" s="7">
        <f t="shared" si="10"/>
        <v>936.32337779990462</v>
      </c>
      <c r="AE25" s="2">
        <f t="shared" si="11"/>
        <v>184.16662220009539</v>
      </c>
      <c r="AF25" s="10">
        <v>0</v>
      </c>
      <c r="AG25" s="3">
        <f t="shared" si="12"/>
        <v>0</v>
      </c>
      <c r="AH25" s="7">
        <v>0</v>
      </c>
      <c r="AI25">
        <f t="shared" si="13"/>
        <v>360</v>
      </c>
      <c r="AJ25" t="e">
        <f>VLOOKUP(A25,'Borrower Details'!$A$1:$H$1493,8,FALSE)</f>
        <v>#N/A</v>
      </c>
      <c r="AK25" s="4" t="e">
        <f t="shared" si="14"/>
        <v>#N/A</v>
      </c>
      <c r="AL25" s="10">
        <v>7.625</v>
      </c>
      <c r="AM25" s="3">
        <f t="shared" si="15"/>
        <v>124932.65539999999</v>
      </c>
      <c r="AN25">
        <v>7.625</v>
      </c>
      <c r="AO25" s="7">
        <f t="shared" si="16"/>
        <v>936.32079515932116</v>
      </c>
      <c r="AP25" s="2">
        <f t="shared" si="17"/>
        <v>184.16920484067884</v>
      </c>
    </row>
    <row r="26" spans="1:42" x14ac:dyDescent="0.15">
      <c r="A26" s="8">
        <v>410626857</v>
      </c>
      <c r="B26" t="s">
        <v>36</v>
      </c>
      <c r="C26" t="s">
        <v>18</v>
      </c>
      <c r="D26" s="1">
        <v>39280</v>
      </c>
      <c r="E26" s="2">
        <v>236000</v>
      </c>
      <c r="F26" s="2">
        <v>200600</v>
      </c>
      <c r="G26" t="s">
        <v>20</v>
      </c>
      <c r="H26" s="2">
        <v>1547.2</v>
      </c>
      <c r="I26" s="2">
        <v>200200.46</v>
      </c>
      <c r="J26">
        <v>8.9990000000000001E-2</v>
      </c>
      <c r="K26">
        <v>9</v>
      </c>
      <c r="L26">
        <v>351</v>
      </c>
      <c r="M26" t="str">
        <f t="shared" si="3"/>
        <v>30 Year Fixed</v>
      </c>
      <c r="N26" s="2">
        <v>1501.34</v>
      </c>
      <c r="O26" t="str">
        <f t="shared" si="0"/>
        <v>Refi</v>
      </c>
      <c r="P26" s="3">
        <f t="shared" si="4"/>
        <v>0</v>
      </c>
      <c r="Q26" s="4">
        <v>203203</v>
      </c>
      <c r="R26" s="4" t="s">
        <v>41</v>
      </c>
      <c r="S26" s="5">
        <v>528</v>
      </c>
      <c r="T26">
        <v>7.625</v>
      </c>
      <c r="U26" s="7">
        <f t="shared" si="1"/>
        <v>1522.9260430716786</v>
      </c>
      <c r="V26" s="2">
        <f t="shared" si="5"/>
        <v>24.273956928321468</v>
      </c>
      <c r="W26" s="9">
        <f t="shared" si="6"/>
        <v>0</v>
      </c>
      <c r="X26" s="3">
        <v>203203</v>
      </c>
      <c r="Y26" s="3">
        <f t="shared" si="7"/>
        <v>-0.4599999999627471</v>
      </c>
      <c r="Z26" s="7">
        <f t="shared" si="8"/>
        <v>1522.9260430716786</v>
      </c>
      <c r="AA26" s="2">
        <f t="shared" si="2"/>
        <v>24.273956928321468</v>
      </c>
      <c r="AB26" s="8">
        <f t="shared" si="9"/>
        <v>1</v>
      </c>
      <c r="AC26" s="10">
        <v>6.875</v>
      </c>
      <c r="AD26" s="7">
        <f t="shared" si="10"/>
        <v>1419.5669739197263</v>
      </c>
      <c r="AE26" s="2">
        <f t="shared" si="11"/>
        <v>127.63302608027379</v>
      </c>
      <c r="AF26" s="10">
        <v>1.75</v>
      </c>
      <c r="AG26" s="3">
        <f t="shared" si="12"/>
        <v>3556.0524999999998</v>
      </c>
      <c r="AH26" s="7">
        <v>4012</v>
      </c>
      <c r="AI26">
        <f t="shared" si="13"/>
        <v>360</v>
      </c>
      <c r="AJ26" t="e">
        <f>VLOOKUP(A26,'Borrower Details'!$A$1:$H$1493,8,FALSE)</f>
        <v>#N/A</v>
      </c>
      <c r="AK26" s="4" t="e">
        <f t="shared" si="14"/>
        <v>#N/A</v>
      </c>
      <c r="AL26" s="10">
        <v>7.625</v>
      </c>
      <c r="AM26" s="3">
        <f t="shared" si="15"/>
        <v>203203.46689999997</v>
      </c>
      <c r="AN26">
        <v>7.625</v>
      </c>
      <c r="AO26" s="7">
        <f t="shared" si="16"/>
        <v>1522.9295423023466</v>
      </c>
      <c r="AP26" s="2">
        <f t="shared" si="17"/>
        <v>24.270457697653455</v>
      </c>
    </row>
    <row r="27" spans="1:42" x14ac:dyDescent="0.15">
      <c r="A27" s="8">
        <v>1175227</v>
      </c>
      <c r="B27" t="s">
        <v>36</v>
      </c>
      <c r="C27" t="s">
        <v>18</v>
      </c>
      <c r="D27" s="1">
        <v>39176</v>
      </c>
      <c r="E27" s="2">
        <v>164000</v>
      </c>
      <c r="F27" s="2">
        <v>131200</v>
      </c>
      <c r="G27" t="s">
        <v>15</v>
      </c>
      <c r="H27" s="2">
        <v>970.82</v>
      </c>
      <c r="I27" s="2">
        <v>130769.54</v>
      </c>
      <c r="J27">
        <v>8.5900000000000004E-2</v>
      </c>
      <c r="K27">
        <v>13</v>
      </c>
      <c r="L27">
        <v>347</v>
      </c>
      <c r="M27" t="str">
        <f t="shared" si="3"/>
        <v>30 Year Fixed</v>
      </c>
      <c r="N27" s="2">
        <v>936.09</v>
      </c>
      <c r="O27" t="str">
        <f t="shared" si="0"/>
        <v>Cash Out</v>
      </c>
      <c r="P27" s="3">
        <f t="shared" si="4"/>
        <v>6570.3614778325282</v>
      </c>
      <c r="Q27" s="4">
        <v>139400</v>
      </c>
      <c r="R27" s="4" t="s">
        <v>41</v>
      </c>
      <c r="S27" s="5">
        <v>529</v>
      </c>
      <c r="T27">
        <v>7.625</v>
      </c>
      <c r="U27" s="7">
        <f t="shared" si="1"/>
        <v>1044.7478157516964</v>
      </c>
      <c r="V27" s="2">
        <f t="shared" si="5"/>
        <v>-73.927815751696357</v>
      </c>
      <c r="W27" s="9">
        <f t="shared" si="6"/>
        <v>1</v>
      </c>
      <c r="X27" s="3">
        <v>132732</v>
      </c>
      <c r="Y27" s="3">
        <f t="shared" si="7"/>
        <v>0.9033497537166113</v>
      </c>
      <c r="Z27" s="7">
        <f t="shared" si="8"/>
        <v>994.77379541143591</v>
      </c>
      <c r="AA27" s="2">
        <f t="shared" si="2"/>
        <v>-23.953795411435863</v>
      </c>
      <c r="AB27" s="8">
        <f t="shared" si="9"/>
        <v>1</v>
      </c>
      <c r="AC27" s="10">
        <v>6.875</v>
      </c>
      <c r="AD27" s="7">
        <f t="shared" si="10"/>
        <v>927.25975296778631</v>
      </c>
      <c r="AE27" s="2">
        <f t="shared" si="11"/>
        <v>43.560247032213738</v>
      </c>
      <c r="AF27" s="10">
        <v>1.75</v>
      </c>
      <c r="AG27" s="3">
        <f t="shared" si="12"/>
        <v>2322.81</v>
      </c>
      <c r="AH27" s="7">
        <v>2624</v>
      </c>
      <c r="AI27">
        <f t="shared" si="13"/>
        <v>360</v>
      </c>
      <c r="AJ27" t="e">
        <f>VLOOKUP(A27,'Borrower Details'!$A$1:$H$1493,8,FALSE)</f>
        <v>#N/A</v>
      </c>
      <c r="AK27" s="4" t="e">
        <f t="shared" si="14"/>
        <v>#N/A</v>
      </c>
      <c r="AL27" s="10">
        <v>7.625</v>
      </c>
      <c r="AM27" s="3">
        <f t="shared" si="15"/>
        <v>132731.08309999999</v>
      </c>
      <c r="AN27">
        <v>7.625</v>
      </c>
      <c r="AO27" s="7">
        <f t="shared" si="16"/>
        <v>994.76692360890888</v>
      </c>
      <c r="AP27" s="2">
        <f t="shared" si="17"/>
        <v>-23.946923608908833</v>
      </c>
    </row>
    <row r="28" spans="1:42" x14ac:dyDescent="0.15">
      <c r="A28" s="8">
        <v>410527931</v>
      </c>
      <c r="B28" t="s">
        <v>36</v>
      </c>
      <c r="C28" t="s">
        <v>18</v>
      </c>
      <c r="D28" s="1">
        <v>39272</v>
      </c>
      <c r="E28" s="2">
        <v>281000</v>
      </c>
      <c r="F28" s="2">
        <v>266950</v>
      </c>
      <c r="G28" t="s">
        <v>15</v>
      </c>
      <c r="H28" s="2">
        <v>2254.41</v>
      </c>
      <c r="I28" s="2">
        <v>265742.67</v>
      </c>
      <c r="J28">
        <v>9.5500000000000002E-2</v>
      </c>
      <c r="K28">
        <v>9</v>
      </c>
      <c r="L28">
        <v>351</v>
      </c>
      <c r="M28" t="str">
        <f t="shared" si="3"/>
        <v>30 Year Fixed</v>
      </c>
      <c r="N28" s="2">
        <v>2114.87</v>
      </c>
      <c r="O28" t="str">
        <f t="shared" si="0"/>
        <v>Refi</v>
      </c>
      <c r="P28" s="3">
        <f t="shared" si="4"/>
        <v>0</v>
      </c>
      <c r="Q28" s="4">
        <v>269729</v>
      </c>
      <c r="R28" s="4" t="s">
        <v>41</v>
      </c>
      <c r="S28" s="5">
        <v>530</v>
      </c>
      <c r="T28">
        <v>7.625</v>
      </c>
      <c r="U28" s="7">
        <f t="shared" si="1"/>
        <v>2021.5120774382306</v>
      </c>
      <c r="V28" s="2">
        <f t="shared" si="5"/>
        <v>232.89792256176929</v>
      </c>
      <c r="W28" s="9">
        <f t="shared" si="6"/>
        <v>0</v>
      </c>
      <c r="X28" s="3">
        <v>269729</v>
      </c>
      <c r="Y28" s="3">
        <f t="shared" si="7"/>
        <v>0.18714285717578605</v>
      </c>
      <c r="Z28" s="7">
        <f t="shared" si="8"/>
        <v>2021.5120774382306</v>
      </c>
      <c r="AA28" s="2">
        <f t="shared" si="2"/>
        <v>232.89792256176929</v>
      </c>
      <c r="AB28" s="8">
        <f t="shared" si="9"/>
        <v>0</v>
      </c>
      <c r="AC28" s="10">
        <v>7.625</v>
      </c>
      <c r="AD28" s="7">
        <f t="shared" si="10"/>
        <v>2021.5120774382306</v>
      </c>
      <c r="AE28" s="2">
        <f t="shared" si="11"/>
        <v>232.89792256176929</v>
      </c>
      <c r="AF28" s="10">
        <v>0</v>
      </c>
      <c r="AG28" s="3">
        <f t="shared" si="12"/>
        <v>0</v>
      </c>
      <c r="AH28" s="7">
        <v>5339</v>
      </c>
      <c r="AI28">
        <f t="shared" si="13"/>
        <v>360</v>
      </c>
      <c r="AJ28" t="e">
        <f>VLOOKUP(A28,'Borrower Details'!$A$1:$H$1493,8,FALSE)</f>
        <v>#N/A</v>
      </c>
      <c r="AK28" s="4" t="e">
        <f t="shared" si="14"/>
        <v>#N/A</v>
      </c>
      <c r="AL28" s="10">
        <v>7.625</v>
      </c>
      <c r="AM28" s="3">
        <f t="shared" si="15"/>
        <v>269728.81004999997</v>
      </c>
      <c r="AN28">
        <v>7.625</v>
      </c>
      <c r="AO28" s="7">
        <f t="shared" si="16"/>
        <v>2021.5106538381758</v>
      </c>
      <c r="AP28" s="2">
        <f t="shared" si="17"/>
        <v>232.89934616182404</v>
      </c>
    </row>
    <row r="29" spans="1:42" x14ac:dyDescent="0.15">
      <c r="A29" s="8">
        <v>410891816</v>
      </c>
      <c r="B29" t="s">
        <v>36</v>
      </c>
      <c r="C29" t="s">
        <v>16</v>
      </c>
      <c r="D29" s="1">
        <v>39356</v>
      </c>
      <c r="E29" s="2">
        <v>228000</v>
      </c>
      <c r="F29" s="2">
        <v>182400</v>
      </c>
      <c r="G29" t="s">
        <v>17</v>
      </c>
      <c r="H29" s="2">
        <v>1876.33</v>
      </c>
      <c r="I29" s="2">
        <v>182311.8</v>
      </c>
      <c r="J29">
        <v>0.1225</v>
      </c>
      <c r="K29">
        <v>7</v>
      </c>
      <c r="L29">
        <v>354</v>
      </c>
      <c r="M29" t="str">
        <f t="shared" si="3"/>
        <v>30 Year Fixed</v>
      </c>
      <c r="N29" s="2">
        <v>1861.1</v>
      </c>
      <c r="O29" t="str">
        <f t="shared" si="0"/>
        <v>Cash Out</v>
      </c>
      <c r="P29" s="3">
        <f t="shared" si="4"/>
        <v>8624.1605911330262</v>
      </c>
      <c r="Q29" s="4">
        <v>193800</v>
      </c>
      <c r="R29" s="4" t="s">
        <v>41</v>
      </c>
      <c r="S29" s="5">
        <v>536</v>
      </c>
      <c r="T29">
        <v>7.625</v>
      </c>
      <c r="U29" s="7">
        <f t="shared" si="1"/>
        <v>1452.4542804352852</v>
      </c>
      <c r="V29" s="2">
        <f t="shared" si="5"/>
        <v>423.8757195647147</v>
      </c>
      <c r="W29" s="9">
        <f t="shared" si="6"/>
        <v>0</v>
      </c>
      <c r="X29" s="3">
        <v>193800</v>
      </c>
      <c r="Y29" s="3">
        <f t="shared" si="7"/>
        <v>8624.1605911330262</v>
      </c>
      <c r="Z29" s="7">
        <f t="shared" si="8"/>
        <v>1452.4542804352852</v>
      </c>
      <c r="AA29" s="2">
        <f t="shared" si="2"/>
        <v>423.8757195647147</v>
      </c>
      <c r="AB29" s="8">
        <f t="shared" si="9"/>
        <v>0</v>
      </c>
      <c r="AC29" s="10">
        <v>7.625</v>
      </c>
      <c r="AD29" s="7">
        <f t="shared" si="10"/>
        <v>1452.4542804352852</v>
      </c>
      <c r="AE29" s="2">
        <f t="shared" si="11"/>
        <v>423.8757195647147</v>
      </c>
      <c r="AF29" s="10">
        <v>0</v>
      </c>
      <c r="AG29" s="3">
        <f t="shared" si="12"/>
        <v>0</v>
      </c>
      <c r="AH29" s="7">
        <v>3648</v>
      </c>
      <c r="AI29">
        <f t="shared" si="13"/>
        <v>360</v>
      </c>
      <c r="AJ29" t="e">
        <f>VLOOKUP(A29,'Borrower Details'!$A$1:$H$1493,8,FALSE)</f>
        <v>#N/A</v>
      </c>
      <c r="AK29" s="4" t="e">
        <f t="shared" si="14"/>
        <v>#N/A</v>
      </c>
      <c r="AL29" s="10">
        <v>7.625</v>
      </c>
      <c r="AM29" s="3">
        <f t="shared" si="15"/>
        <v>185046.47699999998</v>
      </c>
      <c r="AN29">
        <v>7.625</v>
      </c>
      <c r="AO29" s="7">
        <f t="shared" si="16"/>
        <v>1386.8500908055703</v>
      </c>
      <c r="AP29" s="2">
        <f t="shared" si="17"/>
        <v>489.47990919442964</v>
      </c>
    </row>
    <row r="30" spans="1:42" x14ac:dyDescent="0.15">
      <c r="A30" s="8">
        <v>411226004</v>
      </c>
      <c r="B30" t="s">
        <v>36</v>
      </c>
      <c r="C30" t="s">
        <v>16</v>
      </c>
      <c r="D30" s="1">
        <v>39471</v>
      </c>
      <c r="E30" s="2">
        <v>120000</v>
      </c>
      <c r="F30" s="2">
        <v>96000</v>
      </c>
      <c r="G30" t="s">
        <v>17</v>
      </c>
      <c r="H30" s="2">
        <v>914.24</v>
      </c>
      <c r="I30" s="2">
        <v>95896.34</v>
      </c>
      <c r="J30">
        <v>0.11</v>
      </c>
      <c r="K30">
        <v>3</v>
      </c>
      <c r="L30">
        <v>357</v>
      </c>
      <c r="M30" t="str">
        <f t="shared" si="3"/>
        <v>30 Year Fixed</v>
      </c>
      <c r="N30" s="2">
        <v>879.05</v>
      </c>
      <c r="O30" t="str">
        <f t="shared" si="0"/>
        <v>Cash Out</v>
      </c>
      <c r="P30" s="3">
        <f t="shared" si="4"/>
        <v>4596.2708374384383</v>
      </c>
      <c r="Q30" s="4">
        <v>102000</v>
      </c>
      <c r="R30" s="4" t="s">
        <v>41</v>
      </c>
      <c r="S30" s="5">
        <v>538</v>
      </c>
      <c r="T30">
        <v>7.625</v>
      </c>
      <c r="U30" s="7">
        <f t="shared" si="1"/>
        <v>764.44962128172915</v>
      </c>
      <c r="V30" s="2">
        <f t="shared" si="5"/>
        <v>149.79037871827086</v>
      </c>
      <c r="W30" s="9">
        <f t="shared" si="6"/>
        <v>0</v>
      </c>
      <c r="X30" s="3">
        <v>102000</v>
      </c>
      <c r="Y30" s="3">
        <f t="shared" si="7"/>
        <v>4596.2708374384383</v>
      </c>
      <c r="Z30" s="7">
        <f t="shared" si="8"/>
        <v>764.44962128172915</v>
      </c>
      <c r="AA30" s="2">
        <f t="shared" si="2"/>
        <v>149.79037871827086</v>
      </c>
      <c r="AB30" s="8">
        <f t="shared" si="9"/>
        <v>0</v>
      </c>
      <c r="AC30" s="10">
        <v>7.625</v>
      </c>
      <c r="AD30" s="7">
        <f t="shared" si="10"/>
        <v>764.44962128172915</v>
      </c>
      <c r="AE30" s="2">
        <f t="shared" si="11"/>
        <v>149.79037871827086</v>
      </c>
      <c r="AF30" s="10">
        <v>0</v>
      </c>
      <c r="AG30" s="3">
        <f t="shared" si="12"/>
        <v>0</v>
      </c>
      <c r="AH30" s="7">
        <v>1920</v>
      </c>
      <c r="AI30">
        <f t="shared" si="13"/>
        <v>360</v>
      </c>
      <c r="AJ30" t="e">
        <f>VLOOKUP(A30,'Borrower Details'!$A$1:$H$1493,8,FALSE)</f>
        <v>#N/A</v>
      </c>
      <c r="AK30" s="4" t="e">
        <f t="shared" si="14"/>
        <v>#N/A</v>
      </c>
      <c r="AL30" s="10">
        <v>7.625</v>
      </c>
      <c r="AM30" s="3">
        <f t="shared" si="15"/>
        <v>97334.785099999994</v>
      </c>
      <c r="AN30">
        <v>7.625</v>
      </c>
      <c r="AO30" s="7">
        <f t="shared" si="16"/>
        <v>729.48568242385772</v>
      </c>
      <c r="AP30" s="2">
        <f t="shared" si="17"/>
        <v>184.75431757614228</v>
      </c>
    </row>
    <row r="31" spans="1:42" x14ac:dyDescent="0.15">
      <c r="A31" s="8">
        <v>411200769</v>
      </c>
      <c r="B31" t="s">
        <v>36</v>
      </c>
      <c r="C31" t="s">
        <v>18</v>
      </c>
      <c r="D31" s="1">
        <v>39450</v>
      </c>
      <c r="E31" s="2">
        <v>171000</v>
      </c>
      <c r="F31" s="2">
        <v>145350</v>
      </c>
      <c r="G31" t="s">
        <v>20</v>
      </c>
      <c r="H31" s="2">
        <v>1389.7</v>
      </c>
      <c r="I31" s="2">
        <v>145194.76999999999</v>
      </c>
      <c r="J31">
        <v>0.1105</v>
      </c>
      <c r="K31">
        <v>3</v>
      </c>
      <c r="L31">
        <v>357</v>
      </c>
      <c r="M31" t="str">
        <f t="shared" si="3"/>
        <v>30 Year Fixed</v>
      </c>
      <c r="N31" s="2">
        <v>1337</v>
      </c>
      <c r="O31" t="str">
        <f t="shared" si="0"/>
        <v>Refi</v>
      </c>
      <c r="P31" s="3">
        <f t="shared" si="4"/>
        <v>0</v>
      </c>
      <c r="Q31" s="4">
        <v>147373</v>
      </c>
      <c r="R31" s="4" t="s">
        <v>41</v>
      </c>
      <c r="S31" s="5">
        <v>538</v>
      </c>
      <c r="T31">
        <v>7.625</v>
      </c>
      <c r="U31" s="7">
        <f t="shared" si="1"/>
        <v>1104.502294481885</v>
      </c>
      <c r="V31" s="2">
        <f t="shared" si="5"/>
        <v>285.19770551811507</v>
      </c>
      <c r="W31" s="9">
        <f t="shared" si="6"/>
        <v>0</v>
      </c>
      <c r="X31" s="3">
        <v>147373</v>
      </c>
      <c r="Y31" s="3">
        <f t="shared" si="7"/>
        <v>0.30389162563369609</v>
      </c>
      <c r="Z31" s="7">
        <f t="shared" si="8"/>
        <v>1104.502294481885</v>
      </c>
      <c r="AA31" s="2">
        <f t="shared" si="2"/>
        <v>285.19770551811507</v>
      </c>
      <c r="AB31" s="8">
        <f t="shared" si="9"/>
        <v>0</v>
      </c>
      <c r="AC31" s="10">
        <v>7.625</v>
      </c>
      <c r="AD31" s="7">
        <f t="shared" si="10"/>
        <v>1104.502294481885</v>
      </c>
      <c r="AE31" s="2">
        <f t="shared" si="11"/>
        <v>285.19770551811507</v>
      </c>
      <c r="AF31" s="10">
        <v>0</v>
      </c>
      <c r="AG31" s="3">
        <f t="shared" si="12"/>
        <v>0</v>
      </c>
      <c r="AH31" s="7">
        <v>2907</v>
      </c>
      <c r="AI31">
        <f t="shared" si="13"/>
        <v>360</v>
      </c>
      <c r="AJ31" t="e">
        <f>VLOOKUP(A31,'Borrower Details'!$A$1:$H$1493,8,FALSE)</f>
        <v>#N/A</v>
      </c>
      <c r="AK31" s="4" t="e">
        <f t="shared" si="14"/>
        <v>#N/A</v>
      </c>
      <c r="AL31" s="10">
        <v>7.625</v>
      </c>
      <c r="AM31" s="3">
        <f t="shared" si="15"/>
        <v>147372.69154999999</v>
      </c>
      <c r="AN31">
        <v>7.625</v>
      </c>
      <c r="AO31" s="7">
        <f t="shared" si="16"/>
        <v>1104.4999827712409</v>
      </c>
      <c r="AP31" s="2">
        <f t="shared" si="17"/>
        <v>285.20001722875918</v>
      </c>
    </row>
    <row r="32" spans="1:42" x14ac:dyDescent="0.15">
      <c r="A32" s="8">
        <v>410818439</v>
      </c>
      <c r="B32" t="s">
        <v>37</v>
      </c>
      <c r="C32" t="s">
        <v>16</v>
      </c>
      <c r="D32" s="1">
        <v>39325</v>
      </c>
      <c r="E32" s="2">
        <v>235000</v>
      </c>
      <c r="F32" s="2">
        <v>223250</v>
      </c>
      <c r="G32" t="s">
        <v>17</v>
      </c>
      <c r="H32" s="2">
        <v>2100.8000000000002</v>
      </c>
      <c r="I32" s="2">
        <v>222570.82</v>
      </c>
      <c r="J32">
        <v>0.1085</v>
      </c>
      <c r="K32">
        <v>8</v>
      </c>
      <c r="L32">
        <v>352</v>
      </c>
      <c r="M32" t="str">
        <f t="shared" si="3"/>
        <v>30 Year Fixed</v>
      </c>
      <c r="N32" s="2">
        <v>2012.41</v>
      </c>
      <c r="O32" t="str">
        <f t="shared" si="0"/>
        <v>Refi</v>
      </c>
      <c r="P32" s="3">
        <f t="shared" si="4"/>
        <v>0</v>
      </c>
      <c r="Q32" s="4">
        <v>225909</v>
      </c>
      <c r="R32" s="4" t="s">
        <v>41</v>
      </c>
      <c r="S32" s="5">
        <v>539</v>
      </c>
      <c r="T32">
        <v>7.625</v>
      </c>
      <c r="U32" s="7">
        <f t="shared" si="1"/>
        <v>1693.0985244522956</v>
      </c>
      <c r="V32" s="2">
        <f t="shared" si="5"/>
        <v>407.7014755477046</v>
      </c>
      <c r="W32" s="9">
        <f t="shared" si="6"/>
        <v>0</v>
      </c>
      <c r="X32" s="3">
        <v>225910</v>
      </c>
      <c r="Y32" s="3">
        <f t="shared" si="7"/>
        <v>0.60857142857275903</v>
      </c>
      <c r="Z32" s="7">
        <f t="shared" si="8"/>
        <v>1693.1060190564256</v>
      </c>
      <c r="AA32" s="2">
        <f t="shared" si="2"/>
        <v>407.69398094357462</v>
      </c>
      <c r="AB32" s="8">
        <f t="shared" si="9"/>
        <v>0</v>
      </c>
      <c r="AC32" s="10">
        <v>7.625</v>
      </c>
      <c r="AD32" s="7">
        <f t="shared" si="10"/>
        <v>1693.1060190564256</v>
      </c>
      <c r="AE32" s="2">
        <f t="shared" si="11"/>
        <v>407.69398094357462</v>
      </c>
      <c r="AF32" s="10">
        <v>0</v>
      </c>
      <c r="AG32" s="3">
        <f t="shared" si="12"/>
        <v>0</v>
      </c>
      <c r="AH32" s="7">
        <v>2232.5</v>
      </c>
      <c r="AI32">
        <f t="shared" si="13"/>
        <v>360</v>
      </c>
      <c r="AJ32" t="e">
        <f>VLOOKUP(A32,'Borrower Details'!$A$1:$H$1493,8,FALSE)</f>
        <v>#N/A</v>
      </c>
      <c r="AK32" s="4" t="e">
        <f t="shared" si="14"/>
        <v>#N/A</v>
      </c>
      <c r="AL32" s="10">
        <v>7.625</v>
      </c>
      <c r="AM32" s="3">
        <f t="shared" si="15"/>
        <v>225909.3823</v>
      </c>
      <c r="AN32">
        <v>7.625</v>
      </c>
      <c r="AO32" s="7">
        <f t="shared" si="16"/>
        <v>1693.1013896394543</v>
      </c>
      <c r="AP32" s="2">
        <f t="shared" si="17"/>
        <v>407.6986103605459</v>
      </c>
    </row>
    <row r="33" spans="1:42" x14ac:dyDescent="0.15">
      <c r="A33" s="8">
        <v>411287063</v>
      </c>
      <c r="B33" t="s">
        <v>36</v>
      </c>
      <c r="C33" t="s">
        <v>18</v>
      </c>
      <c r="D33" s="1">
        <v>39497</v>
      </c>
      <c r="E33" s="2">
        <v>161000</v>
      </c>
      <c r="F33" s="2">
        <v>120000</v>
      </c>
      <c r="G33" t="s">
        <v>17</v>
      </c>
      <c r="H33" s="2">
        <v>974.2</v>
      </c>
      <c r="I33" s="2">
        <v>119871.11</v>
      </c>
      <c r="J33">
        <v>9.0999999999999998E-2</v>
      </c>
      <c r="K33">
        <v>2</v>
      </c>
      <c r="L33">
        <v>358</v>
      </c>
      <c r="M33" t="str">
        <f t="shared" si="3"/>
        <v>30 Year Fixed</v>
      </c>
      <c r="N33" s="2">
        <v>909.02</v>
      </c>
      <c r="O33" t="str">
        <f t="shared" si="0"/>
        <v>Cash Out</v>
      </c>
      <c r="P33" s="3">
        <f t="shared" si="4"/>
        <v>14956.47620689655</v>
      </c>
      <c r="Q33" s="4">
        <v>136850</v>
      </c>
      <c r="R33" s="4" t="s">
        <v>41</v>
      </c>
      <c r="S33" s="5">
        <v>545</v>
      </c>
      <c r="T33">
        <v>7.625</v>
      </c>
      <c r="U33" s="7">
        <f t="shared" si="1"/>
        <v>1025.6365752196532</v>
      </c>
      <c r="V33" s="2">
        <f t="shared" si="5"/>
        <v>-51.43657521965315</v>
      </c>
      <c r="W33" s="9">
        <f t="shared" si="6"/>
        <v>1</v>
      </c>
      <c r="X33" s="3">
        <v>129920</v>
      </c>
      <c r="Y33" s="3">
        <f t="shared" si="7"/>
        <v>8128.890000000014</v>
      </c>
      <c r="Z33" s="7">
        <f t="shared" si="8"/>
        <v>973.69896859727692</v>
      </c>
      <c r="AA33" s="2">
        <f t="shared" si="2"/>
        <v>0.50103140272312885</v>
      </c>
      <c r="AB33" s="8">
        <f t="shared" si="9"/>
        <v>1</v>
      </c>
      <c r="AC33" s="10">
        <v>6.875</v>
      </c>
      <c r="AD33" s="7">
        <f t="shared" si="10"/>
        <v>907.61524806056411</v>
      </c>
      <c r="AE33" s="2">
        <f t="shared" si="11"/>
        <v>66.584751939435932</v>
      </c>
      <c r="AF33" s="10">
        <v>1</v>
      </c>
      <c r="AG33" s="3">
        <f t="shared" si="12"/>
        <v>1299.2</v>
      </c>
      <c r="AH33" s="7">
        <v>2400</v>
      </c>
      <c r="AI33">
        <f t="shared" si="13"/>
        <v>360</v>
      </c>
      <c r="AJ33" t="e">
        <f>VLOOKUP(A33,'Borrower Details'!$A$1:$H$1493,8,FALSE)</f>
        <v>#N/A</v>
      </c>
      <c r="AK33" s="4" t="e">
        <f t="shared" si="14"/>
        <v>#N/A</v>
      </c>
      <c r="AL33" s="10">
        <v>7.625</v>
      </c>
      <c r="AM33" s="3">
        <f t="shared" si="15"/>
        <v>121669.17664999999</v>
      </c>
      <c r="AN33">
        <v>7.625</v>
      </c>
      <c r="AO33" s="7">
        <f t="shared" si="16"/>
        <v>911.86231384070879</v>
      </c>
      <c r="AP33" s="2">
        <f t="shared" si="17"/>
        <v>62.337686159291252</v>
      </c>
    </row>
    <row r="34" spans="1:42" x14ac:dyDescent="0.15">
      <c r="A34" s="8">
        <v>411118649</v>
      </c>
      <c r="B34" t="s">
        <v>37</v>
      </c>
      <c r="C34" t="s">
        <v>18</v>
      </c>
      <c r="D34" s="1">
        <v>39421</v>
      </c>
      <c r="E34" s="2">
        <v>125000</v>
      </c>
      <c r="F34" s="2">
        <v>93750</v>
      </c>
      <c r="G34" t="s">
        <v>17</v>
      </c>
      <c r="H34" s="2">
        <v>866.55</v>
      </c>
      <c r="I34" s="2">
        <v>93693.58</v>
      </c>
      <c r="J34">
        <v>0.1095</v>
      </c>
      <c r="K34">
        <v>4</v>
      </c>
      <c r="L34">
        <v>355</v>
      </c>
      <c r="M34" t="str">
        <f t="shared" si="3"/>
        <v>30 Year Fixed</v>
      </c>
      <c r="N34" s="2">
        <v>854.95</v>
      </c>
      <c r="O34" t="str">
        <f t="shared" si="0"/>
        <v>Cash Out</v>
      </c>
      <c r="P34" s="3">
        <f t="shared" si="4"/>
        <v>10986.222955665027</v>
      </c>
      <c r="Q34" s="4">
        <v>106250</v>
      </c>
      <c r="R34" s="4" t="s">
        <v>41</v>
      </c>
      <c r="S34" s="5">
        <v>546</v>
      </c>
      <c r="T34">
        <v>7.625</v>
      </c>
      <c r="U34" s="7">
        <f t="shared" si="1"/>
        <v>796.30168883513454</v>
      </c>
      <c r="V34" s="2">
        <f t="shared" si="5"/>
        <v>70.248311164865413</v>
      </c>
      <c r="W34" s="9">
        <f t="shared" si="6"/>
        <v>0</v>
      </c>
      <c r="X34" s="3">
        <v>106250</v>
      </c>
      <c r="Y34" s="3">
        <f t="shared" si="7"/>
        <v>10986.222955665027</v>
      </c>
      <c r="Z34" s="7">
        <f t="shared" si="8"/>
        <v>796.30168883513454</v>
      </c>
      <c r="AA34" s="2">
        <f t="shared" si="2"/>
        <v>70.248311164865413</v>
      </c>
      <c r="AB34" s="8">
        <f t="shared" si="9"/>
        <v>0</v>
      </c>
      <c r="AC34" s="10">
        <v>7.625</v>
      </c>
      <c r="AD34" s="7">
        <f t="shared" si="10"/>
        <v>796.30168883513454</v>
      </c>
      <c r="AE34" s="2">
        <f t="shared" si="11"/>
        <v>70.248311164865413</v>
      </c>
      <c r="AF34" s="10">
        <v>0</v>
      </c>
      <c r="AG34" s="3">
        <f t="shared" si="12"/>
        <v>0</v>
      </c>
      <c r="AH34" s="7">
        <v>0</v>
      </c>
      <c r="AI34">
        <f t="shared" si="13"/>
        <v>360</v>
      </c>
      <c r="AJ34" t="e">
        <f>VLOOKUP(A34,'Borrower Details'!$A$1:$H$1493,8,FALSE)</f>
        <v>#N/A</v>
      </c>
      <c r="AK34" s="4" t="e">
        <f t="shared" si="14"/>
        <v>#N/A</v>
      </c>
      <c r="AL34" s="10">
        <v>7.625</v>
      </c>
      <c r="AM34" s="3">
        <f t="shared" si="15"/>
        <v>95098.983699999997</v>
      </c>
      <c r="AN34">
        <v>7.625</v>
      </c>
      <c r="AO34" s="7">
        <f t="shared" si="16"/>
        <v>712.72923601708169</v>
      </c>
      <c r="AP34" s="2">
        <f t="shared" si="17"/>
        <v>153.82076398291827</v>
      </c>
    </row>
    <row r="35" spans="1:42" x14ac:dyDescent="0.15">
      <c r="A35" s="8">
        <v>410672430</v>
      </c>
      <c r="B35" t="s">
        <v>36</v>
      </c>
      <c r="C35" t="s">
        <v>19</v>
      </c>
      <c r="D35" s="1">
        <v>39293</v>
      </c>
      <c r="E35" s="2">
        <v>134000</v>
      </c>
      <c r="F35" s="2">
        <v>100000</v>
      </c>
      <c r="G35" t="s">
        <v>17</v>
      </c>
      <c r="H35" s="2">
        <v>717.92</v>
      </c>
      <c r="I35" s="2">
        <v>99756.89</v>
      </c>
      <c r="J35">
        <v>8.3000000000000004E-2</v>
      </c>
      <c r="K35">
        <v>9</v>
      </c>
      <c r="L35">
        <v>351</v>
      </c>
      <c r="M35" t="str">
        <f t="shared" si="3"/>
        <v>30 Year Fixed</v>
      </c>
      <c r="N35" s="2">
        <v>689.99</v>
      </c>
      <c r="O35" t="str">
        <f t="shared" si="0"/>
        <v>Cash Out</v>
      </c>
      <c r="P35" s="3">
        <f t="shared" si="4"/>
        <v>12459.858768472914</v>
      </c>
      <c r="Q35" s="4">
        <v>113900</v>
      </c>
      <c r="R35" s="4" t="s">
        <v>41</v>
      </c>
      <c r="S35" s="5">
        <v>551</v>
      </c>
      <c r="T35">
        <v>7.625</v>
      </c>
      <c r="U35" s="7">
        <f t="shared" si="1"/>
        <v>853.63541043126418</v>
      </c>
      <c r="V35" s="2">
        <f t="shared" si="5"/>
        <v>-135.71541043126422</v>
      </c>
      <c r="W35" s="9">
        <f t="shared" si="6"/>
        <v>1</v>
      </c>
      <c r="X35" s="3">
        <v>101253</v>
      </c>
      <c r="Y35" s="3">
        <f t="shared" si="7"/>
        <v>-0.23975369456456974</v>
      </c>
      <c r="Z35" s="7">
        <f t="shared" si="8"/>
        <v>758.85115199645998</v>
      </c>
      <c r="AA35" s="2">
        <f t="shared" si="2"/>
        <v>-40.931151996460017</v>
      </c>
      <c r="AB35" s="8">
        <f t="shared" si="9"/>
        <v>1</v>
      </c>
      <c r="AC35" s="10">
        <v>6.875</v>
      </c>
      <c r="AD35" s="7">
        <f t="shared" si="10"/>
        <v>707.34888171087061</v>
      </c>
      <c r="AE35" s="2">
        <f t="shared" si="11"/>
        <v>10.571118289129345</v>
      </c>
      <c r="AF35" s="10">
        <v>1</v>
      </c>
      <c r="AG35" s="3">
        <f t="shared" si="12"/>
        <v>1012.53</v>
      </c>
      <c r="AH35" s="7">
        <v>2000</v>
      </c>
      <c r="AI35">
        <f t="shared" si="13"/>
        <v>360</v>
      </c>
      <c r="AJ35" t="e">
        <f>VLOOKUP(A35,'Borrower Details'!$A$1:$H$1493,8,FALSE)</f>
        <v>#N/A</v>
      </c>
      <c r="AK35" s="4" t="e">
        <f t="shared" si="14"/>
        <v>#N/A</v>
      </c>
      <c r="AL35" s="10">
        <v>7.625</v>
      </c>
      <c r="AM35" s="3">
        <f t="shared" si="15"/>
        <v>101253.24334999999</v>
      </c>
      <c r="AN35">
        <v>7.625</v>
      </c>
      <c r="AO35" s="7">
        <f t="shared" si="16"/>
        <v>758.85297580837505</v>
      </c>
      <c r="AP35" s="2">
        <f t="shared" si="17"/>
        <v>-40.93297580837509</v>
      </c>
    </row>
    <row r="36" spans="1:42" x14ac:dyDescent="0.15">
      <c r="A36" s="8">
        <v>410610463</v>
      </c>
      <c r="B36" t="s">
        <v>37</v>
      </c>
      <c r="C36" t="s">
        <v>18</v>
      </c>
      <c r="D36" s="1">
        <v>39290</v>
      </c>
      <c r="E36" s="2">
        <v>250000</v>
      </c>
      <c r="F36" s="2">
        <v>237500</v>
      </c>
      <c r="G36" t="s">
        <v>15</v>
      </c>
      <c r="H36" s="2">
        <v>1909.28</v>
      </c>
      <c r="I36" s="2">
        <v>236294.25</v>
      </c>
      <c r="J36">
        <v>8.9899999999999994E-2</v>
      </c>
      <c r="K36">
        <v>9</v>
      </c>
      <c r="L36">
        <v>351</v>
      </c>
      <c r="M36" t="str">
        <f t="shared" si="3"/>
        <v>30 Year Fixed</v>
      </c>
      <c r="N36" s="2">
        <v>1770.24</v>
      </c>
      <c r="O36" t="str">
        <f t="shared" si="0"/>
        <v>Refi</v>
      </c>
      <c r="P36" s="3">
        <f t="shared" si="4"/>
        <v>0</v>
      </c>
      <c r="Q36" s="4">
        <v>239839</v>
      </c>
      <c r="R36" s="4" t="s">
        <v>41</v>
      </c>
      <c r="S36" s="5">
        <v>554</v>
      </c>
      <c r="T36">
        <v>7.625</v>
      </c>
      <c r="U36" s="7">
        <f t="shared" si="1"/>
        <v>1797.498359986163</v>
      </c>
      <c r="V36" s="2">
        <f t="shared" si="5"/>
        <v>111.78164001383698</v>
      </c>
      <c r="W36" s="9">
        <f t="shared" si="6"/>
        <v>0</v>
      </c>
      <c r="X36" s="3">
        <v>239839</v>
      </c>
      <c r="Y36" s="3">
        <f t="shared" si="7"/>
        <v>0.33128078820300288</v>
      </c>
      <c r="Z36" s="7">
        <f t="shared" si="8"/>
        <v>1797.498359986163</v>
      </c>
      <c r="AA36" s="2">
        <f t="shared" si="2"/>
        <v>111.78164001383698</v>
      </c>
      <c r="AB36" s="8">
        <f t="shared" si="9"/>
        <v>1</v>
      </c>
      <c r="AC36" s="10">
        <v>6.875</v>
      </c>
      <c r="AD36" s="7">
        <f t="shared" si="10"/>
        <v>1675.5044140978882</v>
      </c>
      <c r="AE36" s="2">
        <f t="shared" si="11"/>
        <v>233.77558590211174</v>
      </c>
      <c r="AF36" s="10">
        <v>1</v>
      </c>
      <c r="AG36" s="3">
        <f t="shared" si="12"/>
        <v>2398.39</v>
      </c>
      <c r="AH36" s="7">
        <v>2375</v>
      </c>
      <c r="AI36">
        <f t="shared" si="13"/>
        <v>360</v>
      </c>
      <c r="AJ36" t="e">
        <f>VLOOKUP(A36,'Borrower Details'!$A$1:$H$1493,8,FALSE)</f>
        <v>#N/A</v>
      </c>
      <c r="AK36" s="4" t="e">
        <f t="shared" si="14"/>
        <v>#N/A</v>
      </c>
      <c r="AL36" s="10">
        <v>7.625</v>
      </c>
      <c r="AM36" s="3">
        <f t="shared" si="15"/>
        <v>239838.66374999998</v>
      </c>
      <c r="AN36">
        <v>7.625</v>
      </c>
      <c r="AO36" s="7">
        <f t="shared" si="16"/>
        <v>1797.4958399255243</v>
      </c>
      <c r="AP36" s="2">
        <f t="shared" si="17"/>
        <v>111.78416007447572</v>
      </c>
    </row>
    <row r="37" spans="1:42" x14ac:dyDescent="0.15">
      <c r="A37" s="8">
        <v>410606784</v>
      </c>
      <c r="B37" t="s">
        <v>36</v>
      </c>
      <c r="C37" t="s">
        <v>19</v>
      </c>
      <c r="D37" s="1">
        <v>39279</v>
      </c>
      <c r="E37" s="2">
        <v>162000</v>
      </c>
      <c r="F37" s="2">
        <v>137700</v>
      </c>
      <c r="G37" t="s">
        <v>17</v>
      </c>
      <c r="H37" s="2">
        <v>1157.8599999999999</v>
      </c>
      <c r="I37" s="2">
        <v>137070.51</v>
      </c>
      <c r="J37">
        <v>9.5000000000000001E-2</v>
      </c>
      <c r="K37">
        <v>9</v>
      </c>
      <c r="L37">
        <v>351</v>
      </c>
      <c r="M37" t="str">
        <f t="shared" si="3"/>
        <v>30 Year Fixed</v>
      </c>
      <c r="N37" s="2">
        <v>1085.1400000000001</v>
      </c>
      <c r="O37" t="str">
        <f t="shared" si="0"/>
        <v>Refi</v>
      </c>
      <c r="P37" s="3">
        <f t="shared" si="4"/>
        <v>0</v>
      </c>
      <c r="Q37" s="4">
        <v>139127</v>
      </c>
      <c r="R37" s="4" t="s">
        <v>41</v>
      </c>
      <c r="S37" s="5">
        <v>556</v>
      </c>
      <c r="T37">
        <v>7.625</v>
      </c>
      <c r="U37" s="7">
        <f t="shared" si="1"/>
        <v>1042.7017888241483</v>
      </c>
      <c r="V37" s="2">
        <f t="shared" si="5"/>
        <v>115.15821117585165</v>
      </c>
      <c r="W37" s="9">
        <f t="shared" si="6"/>
        <v>0</v>
      </c>
      <c r="X37" s="3">
        <v>139127</v>
      </c>
      <c r="Y37" s="3">
        <f t="shared" si="7"/>
        <v>0.4259605911502149</v>
      </c>
      <c r="Z37" s="7">
        <f t="shared" si="8"/>
        <v>1042.7017888241483</v>
      </c>
      <c r="AA37" s="2">
        <f t="shared" si="2"/>
        <v>115.15821117585165</v>
      </c>
      <c r="AB37" s="8">
        <f t="shared" si="9"/>
        <v>0</v>
      </c>
      <c r="AC37" s="10">
        <v>7.625</v>
      </c>
      <c r="AD37" s="7">
        <f t="shared" si="10"/>
        <v>1042.7017888241483</v>
      </c>
      <c r="AE37" s="2">
        <f t="shared" si="11"/>
        <v>115.15821117585165</v>
      </c>
      <c r="AF37" s="10">
        <v>0</v>
      </c>
      <c r="AG37" s="3">
        <f t="shared" si="12"/>
        <v>0</v>
      </c>
      <c r="AH37" s="7">
        <v>2754</v>
      </c>
      <c r="AI37">
        <f t="shared" si="13"/>
        <v>360</v>
      </c>
      <c r="AJ37" t="e">
        <f>VLOOKUP(A37,'Borrower Details'!$A$1:$H$1493,8,FALSE)</f>
        <v>#N/A</v>
      </c>
      <c r="AK37" s="4" t="e">
        <f t="shared" si="14"/>
        <v>#N/A</v>
      </c>
      <c r="AL37" s="10">
        <v>7.625</v>
      </c>
      <c r="AM37" s="3">
        <f t="shared" si="15"/>
        <v>139126.56764999998</v>
      </c>
      <c r="AN37">
        <v>7.625</v>
      </c>
      <c r="AO37" s="7">
        <f t="shared" si="16"/>
        <v>1042.6985485320524</v>
      </c>
      <c r="AP37" s="2">
        <f t="shared" si="17"/>
        <v>115.16145146794747</v>
      </c>
    </row>
    <row r="38" spans="1:42" x14ac:dyDescent="0.15">
      <c r="A38" s="8">
        <v>410235840</v>
      </c>
      <c r="B38" t="s">
        <v>38</v>
      </c>
      <c r="C38" t="s">
        <v>18</v>
      </c>
      <c r="D38" s="1">
        <v>39220</v>
      </c>
      <c r="E38" s="2">
        <v>132000</v>
      </c>
      <c r="F38" s="2">
        <v>118800</v>
      </c>
      <c r="G38" t="s">
        <v>15</v>
      </c>
      <c r="H38" s="2">
        <v>1016.14</v>
      </c>
      <c r="I38" s="2">
        <v>118727.23</v>
      </c>
      <c r="J38">
        <v>0.10199999999999999</v>
      </c>
      <c r="K38">
        <v>11</v>
      </c>
      <c r="L38">
        <v>349</v>
      </c>
      <c r="M38" t="str">
        <f t="shared" si="3"/>
        <v>30 Year Fixed</v>
      </c>
      <c r="N38" s="2">
        <v>1009.18</v>
      </c>
      <c r="O38" t="str">
        <f t="shared" si="0"/>
        <v>Refi</v>
      </c>
      <c r="P38" s="3">
        <f t="shared" si="4"/>
        <v>0</v>
      </c>
      <c r="Q38" s="4">
        <v>120508</v>
      </c>
      <c r="R38" s="4" t="s">
        <v>41</v>
      </c>
      <c r="S38" s="5">
        <v>557</v>
      </c>
      <c r="T38">
        <v>7.625</v>
      </c>
      <c r="U38" s="7">
        <f t="shared" si="1"/>
        <v>903.15975452371197</v>
      </c>
      <c r="V38" s="2">
        <f t="shared" si="5"/>
        <v>112.98024547628802</v>
      </c>
      <c r="W38" s="9">
        <f t="shared" si="6"/>
        <v>0</v>
      </c>
      <c r="X38" s="3">
        <v>120508</v>
      </c>
      <c r="Y38" s="3">
        <f t="shared" si="7"/>
        <v>-0.13640394086542074</v>
      </c>
      <c r="Z38" s="7">
        <f t="shared" si="8"/>
        <v>903.15975452371197</v>
      </c>
      <c r="AA38" s="2">
        <f t="shared" si="2"/>
        <v>112.98024547628802</v>
      </c>
      <c r="AB38" s="8">
        <f t="shared" si="9"/>
        <v>0</v>
      </c>
      <c r="AC38" s="10">
        <v>7.625</v>
      </c>
      <c r="AD38" s="7">
        <f t="shared" si="10"/>
        <v>903.15975452371197</v>
      </c>
      <c r="AE38" s="2">
        <f t="shared" si="11"/>
        <v>112.98024547628802</v>
      </c>
      <c r="AF38" s="10">
        <v>0</v>
      </c>
      <c r="AG38" s="3">
        <f t="shared" si="12"/>
        <v>0</v>
      </c>
      <c r="AH38" s="7">
        <v>0</v>
      </c>
      <c r="AI38">
        <f t="shared" si="13"/>
        <v>360</v>
      </c>
      <c r="AJ38" t="e">
        <f>VLOOKUP(A38,'Borrower Details'!$A$1:$H$1493,8,FALSE)</f>
        <v>#N/A</v>
      </c>
      <c r="AK38" s="4" t="e">
        <f t="shared" si="14"/>
        <v>#N/A</v>
      </c>
      <c r="AL38" s="10">
        <v>7.625</v>
      </c>
      <c r="AM38" s="3">
        <f t="shared" si="15"/>
        <v>120508.13844999998</v>
      </c>
      <c r="AN38">
        <v>7.625</v>
      </c>
      <c r="AO38" s="7">
        <f t="shared" si="16"/>
        <v>903.1607921516536</v>
      </c>
      <c r="AP38" s="2">
        <f t="shared" si="17"/>
        <v>112.97920784834639</v>
      </c>
    </row>
    <row r="39" spans="1:42" x14ac:dyDescent="0.15">
      <c r="A39" s="8">
        <v>411176910</v>
      </c>
      <c r="B39" t="s">
        <v>36</v>
      </c>
      <c r="C39" t="s">
        <v>18</v>
      </c>
      <c r="D39" s="1">
        <v>39443</v>
      </c>
      <c r="E39" s="2">
        <v>157500</v>
      </c>
      <c r="F39" s="2">
        <v>109000</v>
      </c>
      <c r="G39" t="s">
        <v>20</v>
      </c>
      <c r="H39" s="2">
        <v>955.75</v>
      </c>
      <c r="I39" s="2">
        <v>108754.33</v>
      </c>
      <c r="J39">
        <v>9.9900000000000003E-2</v>
      </c>
      <c r="K39">
        <v>4</v>
      </c>
      <c r="L39">
        <v>355</v>
      </c>
      <c r="M39" t="str">
        <f t="shared" si="3"/>
        <v>30 Year Fixed</v>
      </c>
      <c r="N39" s="2">
        <v>905.8</v>
      </c>
      <c r="O39" t="str">
        <f t="shared" si="0"/>
        <v>Cash Out</v>
      </c>
      <c r="P39" s="3">
        <f t="shared" si="4"/>
        <v>23142.22172413794</v>
      </c>
      <c r="Q39" s="4">
        <v>133875</v>
      </c>
      <c r="R39" s="4" t="s">
        <v>41</v>
      </c>
      <c r="S39" s="5">
        <v>557</v>
      </c>
      <c r="T39">
        <v>7.625</v>
      </c>
      <c r="U39" s="7">
        <f t="shared" si="1"/>
        <v>1003.3401279322695</v>
      </c>
      <c r="V39" s="2">
        <f t="shared" si="5"/>
        <v>-47.590127932269525</v>
      </c>
      <c r="W39" s="9">
        <f t="shared" si="6"/>
        <v>1</v>
      </c>
      <c r="X39" s="3">
        <v>127455</v>
      </c>
      <c r="Y39" s="3">
        <f t="shared" si="7"/>
        <v>16817.098571428578</v>
      </c>
      <c r="Z39" s="7">
        <f t="shared" si="8"/>
        <v>955.22476941630191</v>
      </c>
      <c r="AA39" s="2">
        <f t="shared" si="2"/>
        <v>0.5252305836980895</v>
      </c>
      <c r="AB39" s="8">
        <f t="shared" si="9"/>
        <v>0</v>
      </c>
      <c r="AC39" s="10">
        <v>7.625</v>
      </c>
      <c r="AD39" s="7">
        <f t="shared" si="10"/>
        <v>955.22476941630191</v>
      </c>
      <c r="AE39" s="2">
        <f t="shared" si="11"/>
        <v>0.5252305836980895</v>
      </c>
      <c r="AF39" s="10">
        <v>0</v>
      </c>
      <c r="AG39" s="3">
        <f t="shared" si="12"/>
        <v>0</v>
      </c>
      <c r="AH39" s="7">
        <v>2180</v>
      </c>
      <c r="AI39">
        <f t="shared" si="13"/>
        <v>360</v>
      </c>
      <c r="AJ39" t="e">
        <f>VLOOKUP(A39,'Borrower Details'!$A$1:$H$1493,8,FALSE)</f>
        <v>#N/A</v>
      </c>
      <c r="AK39" s="4" t="e">
        <f t="shared" si="14"/>
        <v>#N/A</v>
      </c>
      <c r="AL39" s="10">
        <v>7.625</v>
      </c>
      <c r="AM39" s="3">
        <f t="shared" si="15"/>
        <v>110385.64494999999</v>
      </c>
      <c r="AN39">
        <v>7.625</v>
      </c>
      <c r="AO39" s="7">
        <f t="shared" si="16"/>
        <v>827.29671055849906</v>
      </c>
      <c r="AP39" s="2">
        <f t="shared" si="17"/>
        <v>128.45328944150094</v>
      </c>
    </row>
    <row r="40" spans="1:42" x14ac:dyDescent="0.15">
      <c r="A40" s="8">
        <v>1187337</v>
      </c>
      <c r="B40" t="s">
        <v>36</v>
      </c>
      <c r="C40" t="s">
        <v>18</v>
      </c>
      <c r="D40" s="1">
        <v>39211</v>
      </c>
      <c r="E40" s="2">
        <v>208000</v>
      </c>
      <c r="F40" s="2">
        <v>140000</v>
      </c>
      <c r="G40" t="s">
        <v>15</v>
      </c>
      <c r="H40" s="2">
        <v>1061.6400000000001</v>
      </c>
      <c r="I40" s="2">
        <v>138909.22</v>
      </c>
      <c r="J40">
        <v>8.3500000000000005E-2</v>
      </c>
      <c r="K40">
        <v>11</v>
      </c>
      <c r="L40">
        <v>348</v>
      </c>
      <c r="M40" t="str">
        <f t="shared" si="3"/>
        <v>30 Year Fixed</v>
      </c>
      <c r="N40" s="2">
        <v>967.23</v>
      </c>
      <c r="O40" t="str">
        <f t="shared" si="0"/>
        <v>Cash Out</v>
      </c>
      <c r="P40" s="3">
        <f t="shared" si="4"/>
        <v>35277.972118226608</v>
      </c>
      <c r="Q40" s="4">
        <v>176800</v>
      </c>
      <c r="R40" s="4" t="s">
        <v>41</v>
      </c>
      <c r="S40" s="5">
        <v>559</v>
      </c>
      <c r="T40">
        <v>7.625</v>
      </c>
      <c r="U40" s="7">
        <f t="shared" si="1"/>
        <v>1325.0460102216639</v>
      </c>
      <c r="V40" s="2">
        <f t="shared" si="5"/>
        <v>-263.40601022166379</v>
      </c>
      <c r="W40" s="9">
        <f t="shared" si="6"/>
        <v>1</v>
      </c>
      <c r="X40" s="3">
        <v>141580</v>
      </c>
      <c r="Y40" s="3">
        <f t="shared" si="7"/>
        <v>578.46472906405688</v>
      </c>
      <c r="Z40" s="7">
        <f t="shared" si="8"/>
        <v>1061.0860527555608</v>
      </c>
      <c r="AA40" s="2">
        <f t="shared" si="2"/>
        <v>0.55394724443931409</v>
      </c>
      <c r="AB40" s="8">
        <f t="shared" si="9"/>
        <v>1</v>
      </c>
      <c r="AC40" s="10">
        <v>6.875</v>
      </c>
      <c r="AD40" s="7">
        <f t="shared" si="10"/>
        <v>989.07148106846262</v>
      </c>
      <c r="AE40" s="2">
        <f t="shared" si="11"/>
        <v>72.568518931537483</v>
      </c>
      <c r="AF40" s="10">
        <v>1</v>
      </c>
      <c r="AG40" s="3">
        <f t="shared" si="12"/>
        <v>1415.8</v>
      </c>
      <c r="AH40" s="7">
        <v>2800</v>
      </c>
      <c r="AI40">
        <f t="shared" si="13"/>
        <v>360</v>
      </c>
      <c r="AJ40" t="e">
        <f>VLOOKUP(A40,'Borrower Details'!$A$1:$H$1493,8,FALSE)</f>
        <v>#N/A</v>
      </c>
      <c r="AK40" s="4" t="e">
        <f t="shared" si="14"/>
        <v>#N/A</v>
      </c>
      <c r="AL40" s="10">
        <v>7.625</v>
      </c>
      <c r="AM40" s="3">
        <f t="shared" si="15"/>
        <v>140992.85829999999</v>
      </c>
      <c r="AN40">
        <v>7.625</v>
      </c>
      <c r="AO40" s="7">
        <f t="shared" si="16"/>
        <v>1056.6856581457205</v>
      </c>
      <c r="AP40" s="2">
        <f t="shared" si="17"/>
        <v>4.9543418542796189</v>
      </c>
    </row>
    <row r="41" spans="1:42" x14ac:dyDescent="0.15">
      <c r="A41" s="8">
        <v>410229728</v>
      </c>
      <c r="B41" t="s">
        <v>36</v>
      </c>
      <c r="C41" t="s">
        <v>18</v>
      </c>
      <c r="D41" s="1">
        <v>39217</v>
      </c>
      <c r="E41" s="2">
        <v>176000</v>
      </c>
      <c r="F41" s="2">
        <v>132000</v>
      </c>
      <c r="G41" t="s">
        <v>17</v>
      </c>
      <c r="H41" s="2">
        <v>982.78</v>
      </c>
      <c r="I41" s="2">
        <v>131635.5</v>
      </c>
      <c r="J41">
        <v>8.6499999999999994E-2</v>
      </c>
      <c r="K41">
        <v>11</v>
      </c>
      <c r="L41">
        <v>349</v>
      </c>
      <c r="M41" t="str">
        <f t="shared" si="3"/>
        <v>30 Year Fixed</v>
      </c>
      <c r="N41" s="2">
        <v>948.87</v>
      </c>
      <c r="O41" t="str">
        <f t="shared" si="0"/>
        <v>Cash Out</v>
      </c>
      <c r="P41" s="3">
        <f t="shared" si="4"/>
        <v>15753.662561576377</v>
      </c>
      <c r="Q41" s="4">
        <v>149600</v>
      </c>
      <c r="R41" s="4" t="s">
        <v>41</v>
      </c>
      <c r="S41" s="5">
        <v>560</v>
      </c>
      <c r="T41">
        <v>7.625</v>
      </c>
      <c r="U41" s="7">
        <f t="shared" si="1"/>
        <v>1121.1927778798693</v>
      </c>
      <c r="V41" s="2">
        <f t="shared" si="5"/>
        <v>-138.41277787986928</v>
      </c>
      <c r="W41" s="9">
        <f t="shared" si="6"/>
        <v>1</v>
      </c>
      <c r="X41" s="3">
        <v>133611</v>
      </c>
      <c r="Y41" s="3">
        <f t="shared" si="7"/>
        <v>0.95320197046385147</v>
      </c>
      <c r="Z41" s="7">
        <f t="shared" si="8"/>
        <v>1001.3615524418932</v>
      </c>
      <c r="AA41" s="2">
        <f t="shared" si="2"/>
        <v>-18.581552441893223</v>
      </c>
      <c r="AB41" s="8">
        <f t="shared" si="9"/>
        <v>1</v>
      </c>
      <c r="AC41" s="10">
        <v>6.875</v>
      </c>
      <c r="AD41" s="7">
        <f t="shared" si="10"/>
        <v>933.40040723999414</v>
      </c>
      <c r="AE41" s="2">
        <f t="shared" si="11"/>
        <v>49.379592760005835</v>
      </c>
      <c r="AF41" s="10">
        <v>1</v>
      </c>
      <c r="AG41" s="3">
        <f t="shared" si="12"/>
        <v>1336.11</v>
      </c>
      <c r="AH41" s="7">
        <v>2640</v>
      </c>
      <c r="AI41">
        <f t="shared" si="13"/>
        <v>360</v>
      </c>
      <c r="AJ41" t="e">
        <f>VLOOKUP(A41,'Borrower Details'!$A$1:$H$1493,8,FALSE)</f>
        <v>#N/A</v>
      </c>
      <c r="AK41" s="4" t="e">
        <f t="shared" si="14"/>
        <v>#N/A</v>
      </c>
      <c r="AL41" s="10">
        <v>7.625</v>
      </c>
      <c r="AM41" s="3">
        <f t="shared" si="15"/>
        <v>133610.0325</v>
      </c>
      <c r="AN41">
        <v>7.625</v>
      </c>
      <c r="AO41" s="7">
        <f t="shared" si="16"/>
        <v>1001.3543014123973</v>
      </c>
      <c r="AP41" s="2">
        <f t="shared" si="17"/>
        <v>-18.57430141239729</v>
      </c>
    </row>
    <row r="42" spans="1:42" x14ac:dyDescent="0.15">
      <c r="A42" s="8">
        <v>1147587</v>
      </c>
      <c r="B42" t="s">
        <v>36</v>
      </c>
      <c r="C42" t="s">
        <v>18</v>
      </c>
      <c r="D42" s="1">
        <v>39141</v>
      </c>
      <c r="E42" s="2">
        <v>277500</v>
      </c>
      <c r="F42" s="2">
        <v>249500</v>
      </c>
      <c r="G42" t="s">
        <v>15</v>
      </c>
      <c r="H42" s="2">
        <v>1907.61</v>
      </c>
      <c r="I42" s="2">
        <v>249194.55</v>
      </c>
      <c r="J42">
        <v>9.0749999999999997E-2</v>
      </c>
      <c r="K42">
        <v>14</v>
      </c>
      <c r="L42">
        <v>346</v>
      </c>
      <c r="M42" t="str">
        <f t="shared" si="3"/>
        <v>30 Year Fixed</v>
      </c>
      <c r="N42" s="2">
        <v>1884.53</v>
      </c>
      <c r="O42" t="str">
        <f t="shared" si="0"/>
        <v>Refi</v>
      </c>
      <c r="P42" s="3">
        <f t="shared" si="4"/>
        <v>0</v>
      </c>
      <c r="Q42" s="4">
        <v>252932</v>
      </c>
      <c r="R42" s="4" t="s">
        <v>41</v>
      </c>
      <c r="S42" s="5">
        <v>561</v>
      </c>
      <c r="T42">
        <v>7.625</v>
      </c>
      <c r="U42" s="7">
        <f t="shared" si="1"/>
        <v>1895.6252118630423</v>
      </c>
      <c r="V42" s="2">
        <f t="shared" si="5"/>
        <v>11.984788136957604</v>
      </c>
      <c r="W42" s="9">
        <f t="shared" si="6"/>
        <v>0</v>
      </c>
      <c r="X42" s="3">
        <v>252933</v>
      </c>
      <c r="Y42" s="3">
        <f t="shared" si="7"/>
        <v>0.52389162566396408</v>
      </c>
      <c r="Z42" s="7">
        <f t="shared" si="8"/>
        <v>1895.6327064671725</v>
      </c>
      <c r="AA42" s="2">
        <f t="shared" si="2"/>
        <v>11.977293532827389</v>
      </c>
      <c r="AB42" s="8">
        <f t="shared" si="9"/>
        <v>1</v>
      </c>
      <c r="AC42" s="10">
        <v>6.875</v>
      </c>
      <c r="AD42" s="7">
        <f t="shared" si="10"/>
        <v>1766.9785062938938</v>
      </c>
      <c r="AE42" s="2">
        <f t="shared" si="11"/>
        <v>140.63149370610608</v>
      </c>
      <c r="AF42" s="10">
        <v>1</v>
      </c>
      <c r="AG42" s="3">
        <f t="shared" si="12"/>
        <v>2529.33</v>
      </c>
      <c r="AH42" s="7">
        <v>4990</v>
      </c>
      <c r="AI42">
        <f t="shared" si="13"/>
        <v>360</v>
      </c>
      <c r="AJ42" t="e">
        <f>VLOOKUP(A42,'Borrower Details'!$A$1:$H$1493,8,FALSE)</f>
        <v>#N/A</v>
      </c>
      <c r="AK42" s="4" t="e">
        <f t="shared" si="14"/>
        <v>#N/A</v>
      </c>
      <c r="AL42" s="10">
        <v>7.625</v>
      </c>
      <c r="AM42" s="3">
        <f t="shared" si="15"/>
        <v>252932.46824999998</v>
      </c>
      <c r="AN42">
        <v>7.625</v>
      </c>
      <c r="AO42" s="7">
        <f t="shared" si="16"/>
        <v>1895.6287212114262</v>
      </c>
      <c r="AP42" s="2">
        <f t="shared" si="17"/>
        <v>11.981278788573718</v>
      </c>
    </row>
    <row r="43" spans="1:42" x14ac:dyDescent="0.15">
      <c r="A43" s="8">
        <v>1156141</v>
      </c>
      <c r="B43" t="s">
        <v>37</v>
      </c>
      <c r="C43" t="s">
        <v>18</v>
      </c>
      <c r="D43" s="1">
        <v>39167</v>
      </c>
      <c r="E43" s="2">
        <v>170000</v>
      </c>
      <c r="F43" s="2">
        <v>144500</v>
      </c>
      <c r="G43" t="s">
        <v>15</v>
      </c>
      <c r="H43" s="2">
        <v>1136.79</v>
      </c>
      <c r="I43" s="2">
        <v>143038.31</v>
      </c>
      <c r="J43">
        <v>8.7499999999999994E-2</v>
      </c>
      <c r="K43">
        <v>13</v>
      </c>
      <c r="L43">
        <v>347</v>
      </c>
      <c r="M43" t="str">
        <f t="shared" si="3"/>
        <v>30 Year Fixed</v>
      </c>
      <c r="N43" s="2">
        <v>1042.99</v>
      </c>
      <c r="O43" t="str">
        <f t="shared" si="0"/>
        <v>Refi</v>
      </c>
      <c r="P43" s="3">
        <f t="shared" si="4"/>
        <v>0</v>
      </c>
      <c r="Q43" s="4">
        <v>145184</v>
      </c>
      <c r="R43" s="4" t="s">
        <v>41</v>
      </c>
      <c r="S43" s="5">
        <v>561</v>
      </c>
      <c r="T43">
        <v>7.625</v>
      </c>
      <c r="U43" s="7">
        <f t="shared" si="1"/>
        <v>1088.0966060408487</v>
      </c>
      <c r="V43" s="2">
        <f t="shared" si="5"/>
        <v>48.693393959151308</v>
      </c>
      <c r="W43" s="9">
        <f t="shared" si="6"/>
        <v>0</v>
      </c>
      <c r="X43" s="3">
        <v>145184</v>
      </c>
      <c r="Y43" s="3">
        <f t="shared" si="7"/>
        <v>0.11364532020525075</v>
      </c>
      <c r="Z43" s="7">
        <f t="shared" si="8"/>
        <v>1088.0966060408487</v>
      </c>
      <c r="AA43" s="2">
        <f t="shared" si="2"/>
        <v>48.693393959151308</v>
      </c>
      <c r="AB43" s="8">
        <f t="shared" si="9"/>
        <v>1</v>
      </c>
      <c r="AC43" s="10">
        <v>6.5</v>
      </c>
      <c r="AD43" s="7">
        <f t="shared" si="10"/>
        <v>978.15497256136109</v>
      </c>
      <c r="AE43" s="2">
        <f t="shared" si="11"/>
        <v>158.63502743863887</v>
      </c>
      <c r="AF43" s="10">
        <v>2.375</v>
      </c>
      <c r="AG43" s="3">
        <f t="shared" si="12"/>
        <v>3448.12</v>
      </c>
      <c r="AH43" s="7">
        <v>0</v>
      </c>
      <c r="AI43">
        <f t="shared" si="13"/>
        <v>360</v>
      </c>
      <c r="AJ43" t="e">
        <f>VLOOKUP(A43,'Borrower Details'!$A$1:$H$1493,8,FALSE)</f>
        <v>#N/A</v>
      </c>
      <c r="AK43" s="4" t="e">
        <f t="shared" si="14"/>
        <v>#N/A</v>
      </c>
      <c r="AL43" s="10">
        <v>7.625</v>
      </c>
      <c r="AM43" s="3">
        <f t="shared" si="15"/>
        <v>145183.88464999999</v>
      </c>
      <c r="AN43">
        <v>7.625</v>
      </c>
      <c r="AO43" s="7">
        <f t="shared" si="16"/>
        <v>1088.0957415382622</v>
      </c>
      <c r="AP43" s="2">
        <f t="shared" si="17"/>
        <v>48.694258461737718</v>
      </c>
    </row>
    <row r="44" spans="1:42" x14ac:dyDescent="0.15">
      <c r="A44" s="8">
        <v>410388276</v>
      </c>
      <c r="B44" t="s">
        <v>36</v>
      </c>
      <c r="C44" t="s">
        <v>18</v>
      </c>
      <c r="D44" s="1">
        <v>39246</v>
      </c>
      <c r="E44" s="2">
        <v>348000</v>
      </c>
      <c r="F44" s="2">
        <v>295800</v>
      </c>
      <c r="G44" t="s">
        <v>15</v>
      </c>
      <c r="H44" s="2">
        <v>2487.25</v>
      </c>
      <c r="I44" s="2">
        <v>294292.06</v>
      </c>
      <c r="J44">
        <v>9.5000000000000001E-2</v>
      </c>
      <c r="K44">
        <v>10</v>
      </c>
      <c r="L44">
        <v>350</v>
      </c>
      <c r="M44" t="str">
        <f t="shared" si="3"/>
        <v>30 Year Fixed</v>
      </c>
      <c r="N44" s="2">
        <v>2329.81</v>
      </c>
      <c r="O44" t="str">
        <f t="shared" si="0"/>
        <v>Refi</v>
      </c>
      <c r="P44" s="3">
        <f t="shared" si="4"/>
        <v>0</v>
      </c>
      <c r="Q44" s="4">
        <v>298706</v>
      </c>
      <c r="R44" s="4" t="s">
        <v>41</v>
      </c>
      <c r="S44" s="5">
        <v>564</v>
      </c>
      <c r="T44">
        <v>7.625</v>
      </c>
      <c r="U44" s="7">
        <f t="shared" si="1"/>
        <v>2238.6832213194139</v>
      </c>
      <c r="V44" s="2">
        <f t="shared" si="5"/>
        <v>248.56677868058614</v>
      </c>
      <c r="W44" s="9">
        <f t="shared" si="6"/>
        <v>0</v>
      </c>
      <c r="X44" s="3">
        <v>298706</v>
      </c>
      <c r="Y44" s="3">
        <f t="shared" si="7"/>
        <v>-0.43438423640327528</v>
      </c>
      <c r="Z44" s="7">
        <f t="shared" si="8"/>
        <v>2238.6832213194139</v>
      </c>
      <c r="AA44" s="2">
        <f t="shared" si="2"/>
        <v>248.56677868058614</v>
      </c>
      <c r="AB44" s="8">
        <f t="shared" si="9"/>
        <v>0</v>
      </c>
      <c r="AC44" s="10">
        <v>7.625</v>
      </c>
      <c r="AD44" s="7">
        <f t="shared" si="10"/>
        <v>2238.6832213194139</v>
      </c>
      <c r="AE44" s="2">
        <f t="shared" si="11"/>
        <v>248.56677868058614</v>
      </c>
      <c r="AF44" s="10">
        <v>0</v>
      </c>
      <c r="AG44" s="3">
        <f t="shared" si="12"/>
        <v>0</v>
      </c>
      <c r="AH44" s="7">
        <v>5916</v>
      </c>
      <c r="AI44">
        <f t="shared" si="13"/>
        <v>360</v>
      </c>
      <c r="AJ44" t="e">
        <f>VLOOKUP(A44,'Borrower Details'!$A$1:$H$1493,8,FALSE)</f>
        <v>#N/A</v>
      </c>
      <c r="AK44" s="4" t="e">
        <f t="shared" si="14"/>
        <v>#N/A</v>
      </c>
      <c r="AL44" s="10">
        <v>7.625</v>
      </c>
      <c r="AM44" s="3">
        <f t="shared" si="15"/>
        <v>298706.44089999999</v>
      </c>
      <c r="AN44">
        <v>7.625</v>
      </c>
      <c r="AO44" s="7">
        <f t="shared" si="16"/>
        <v>2238.6865256903743</v>
      </c>
      <c r="AP44" s="2">
        <f t="shared" si="17"/>
        <v>248.56347430962569</v>
      </c>
    </row>
    <row r="45" spans="1:42" x14ac:dyDescent="0.15">
      <c r="A45" s="8">
        <v>410369722</v>
      </c>
      <c r="B45" t="s">
        <v>36</v>
      </c>
      <c r="C45" t="s">
        <v>18</v>
      </c>
      <c r="D45" s="1">
        <v>39255</v>
      </c>
      <c r="E45" s="2">
        <v>215000</v>
      </c>
      <c r="F45" s="2">
        <v>172000</v>
      </c>
      <c r="G45" t="s">
        <v>15</v>
      </c>
      <c r="H45" s="2">
        <v>1311.5</v>
      </c>
      <c r="I45" s="2">
        <v>172000</v>
      </c>
      <c r="J45">
        <v>9.1499999999999998E-2</v>
      </c>
      <c r="K45">
        <v>10</v>
      </c>
      <c r="L45">
        <v>350</v>
      </c>
      <c r="M45" t="str">
        <f t="shared" si="3"/>
        <v>30 Year Fixed</v>
      </c>
      <c r="N45" s="2">
        <v>1311.5</v>
      </c>
      <c r="O45" t="str">
        <f t="shared" si="0"/>
        <v>Cash Out</v>
      </c>
      <c r="P45" s="3">
        <f t="shared" si="4"/>
        <v>8049.2610837438551</v>
      </c>
      <c r="Q45" s="4">
        <v>182750</v>
      </c>
      <c r="R45" s="4" t="s">
        <v>41</v>
      </c>
      <c r="S45" s="5">
        <v>570</v>
      </c>
      <c r="T45">
        <v>7.625</v>
      </c>
      <c r="U45" s="7">
        <f t="shared" si="1"/>
        <v>1369.6389047964312</v>
      </c>
      <c r="V45" s="2">
        <f t="shared" si="5"/>
        <v>-58.138904796431234</v>
      </c>
      <c r="W45" s="9">
        <f t="shared" si="6"/>
        <v>1</v>
      </c>
      <c r="X45" s="3">
        <v>174920</v>
      </c>
      <c r="Y45" s="3">
        <f t="shared" si="7"/>
        <v>334.975369458145</v>
      </c>
      <c r="Z45" s="7">
        <f t="shared" si="8"/>
        <v>1310.9561544568635</v>
      </c>
      <c r="AA45" s="2">
        <f t="shared" si="2"/>
        <v>0.54384554313651279</v>
      </c>
      <c r="AB45" s="8">
        <f t="shared" si="9"/>
        <v>1</v>
      </c>
      <c r="AC45" s="10">
        <v>6.875</v>
      </c>
      <c r="AD45" s="7">
        <f t="shared" si="10"/>
        <v>1221.9832142145465</v>
      </c>
      <c r="AE45" s="2">
        <f t="shared" si="11"/>
        <v>89.516785785453521</v>
      </c>
      <c r="AF45" s="10">
        <v>1</v>
      </c>
      <c r="AG45" s="3">
        <f t="shared" si="12"/>
        <v>1749.2</v>
      </c>
      <c r="AH45" s="7">
        <v>3440</v>
      </c>
      <c r="AI45">
        <f t="shared" si="13"/>
        <v>360</v>
      </c>
      <c r="AJ45" t="e">
        <f>VLOOKUP(A45,'Borrower Details'!$A$1:$H$1493,8,FALSE)</f>
        <v>#N/A</v>
      </c>
      <c r="AK45" s="4" t="e">
        <f t="shared" si="14"/>
        <v>#N/A</v>
      </c>
      <c r="AL45" s="10">
        <v>7.625</v>
      </c>
      <c r="AM45" s="3">
        <f t="shared" si="15"/>
        <v>174579.99999999997</v>
      </c>
      <c r="AN45">
        <v>7.625</v>
      </c>
      <c r="AO45" s="7">
        <f t="shared" si="16"/>
        <v>1308.4079890525907</v>
      </c>
      <c r="AP45" s="2">
        <f t="shared" si="17"/>
        <v>3.0920109474093351</v>
      </c>
    </row>
    <row r="46" spans="1:42" x14ac:dyDescent="0.15">
      <c r="A46" s="8">
        <v>411254402</v>
      </c>
      <c r="B46" t="s">
        <v>38</v>
      </c>
      <c r="C46" t="s">
        <v>18</v>
      </c>
      <c r="D46" s="1">
        <v>39469</v>
      </c>
      <c r="E46" s="2">
        <v>130000</v>
      </c>
      <c r="F46" s="2">
        <v>110500</v>
      </c>
      <c r="G46" t="s">
        <v>17</v>
      </c>
      <c r="H46" s="2">
        <v>1047.73</v>
      </c>
      <c r="I46" s="2">
        <v>110379.27</v>
      </c>
      <c r="J46">
        <v>0.10945000000000001</v>
      </c>
      <c r="K46">
        <v>3</v>
      </c>
      <c r="L46">
        <v>357</v>
      </c>
      <c r="M46" t="str">
        <f t="shared" si="3"/>
        <v>30 Year Fixed</v>
      </c>
      <c r="N46" s="2">
        <v>1006.75</v>
      </c>
      <c r="O46" t="str">
        <f t="shared" si="0"/>
        <v>Refi</v>
      </c>
      <c r="P46" s="3">
        <f t="shared" si="4"/>
        <v>0</v>
      </c>
      <c r="Q46" s="4">
        <v>112035</v>
      </c>
      <c r="R46" s="4" t="s">
        <v>41</v>
      </c>
      <c r="S46" s="5">
        <v>570</v>
      </c>
      <c r="T46">
        <v>7.625</v>
      </c>
      <c r="U46" s="7">
        <f t="shared" si="1"/>
        <v>839.65797372841689</v>
      </c>
      <c r="V46" s="2">
        <f t="shared" si="5"/>
        <v>208.07202627158313</v>
      </c>
      <c r="W46" s="9">
        <f t="shared" si="6"/>
        <v>0</v>
      </c>
      <c r="X46" s="3">
        <v>112035</v>
      </c>
      <c r="Y46" s="3">
        <f t="shared" si="7"/>
        <v>4.0344827590161003E-2</v>
      </c>
      <c r="Z46" s="7">
        <f t="shared" si="8"/>
        <v>839.65797372841689</v>
      </c>
      <c r="AA46" s="2">
        <f t="shared" si="2"/>
        <v>208.07202627158313</v>
      </c>
      <c r="AB46" s="8">
        <f t="shared" si="9"/>
        <v>0</v>
      </c>
      <c r="AC46" s="10">
        <v>7.625</v>
      </c>
      <c r="AD46" s="7">
        <f t="shared" si="10"/>
        <v>839.65797372841689</v>
      </c>
      <c r="AE46" s="2">
        <f t="shared" si="11"/>
        <v>208.07202627158313</v>
      </c>
      <c r="AF46" s="10">
        <v>0</v>
      </c>
      <c r="AG46" s="3">
        <f t="shared" si="12"/>
        <v>0</v>
      </c>
      <c r="AH46" s="7">
        <v>0</v>
      </c>
      <c r="AI46">
        <f t="shared" si="13"/>
        <v>360</v>
      </c>
      <c r="AJ46" t="e">
        <f>VLOOKUP(A46,'Borrower Details'!$A$1:$H$1493,8,FALSE)</f>
        <v>#N/A</v>
      </c>
      <c r="AK46" s="4" t="e">
        <f t="shared" si="14"/>
        <v>#N/A</v>
      </c>
      <c r="AL46" s="10">
        <v>7.625</v>
      </c>
      <c r="AM46" s="3">
        <f t="shared" si="15"/>
        <v>112034.95904999999</v>
      </c>
      <c r="AN46">
        <v>7.625</v>
      </c>
      <c r="AO46" s="7">
        <f t="shared" si="16"/>
        <v>839.65766682437766</v>
      </c>
      <c r="AP46" s="2">
        <f t="shared" si="17"/>
        <v>208.07233317562236</v>
      </c>
    </row>
    <row r="47" spans="1:42" x14ac:dyDescent="0.15">
      <c r="A47" s="8">
        <v>1181584</v>
      </c>
      <c r="B47" t="s">
        <v>36</v>
      </c>
      <c r="C47" t="s">
        <v>18</v>
      </c>
      <c r="D47" s="1">
        <v>39171</v>
      </c>
      <c r="E47" s="2">
        <v>192500</v>
      </c>
      <c r="F47" s="2">
        <v>163625</v>
      </c>
      <c r="G47" t="s">
        <v>17</v>
      </c>
      <c r="H47" s="2">
        <v>1199.49</v>
      </c>
      <c r="I47" s="2">
        <v>162136.19</v>
      </c>
      <c r="J47">
        <v>7.9899999999999999E-2</v>
      </c>
      <c r="K47">
        <v>13</v>
      </c>
      <c r="L47">
        <v>347</v>
      </c>
      <c r="M47" t="str">
        <f t="shared" si="3"/>
        <v>30 Year Fixed</v>
      </c>
      <c r="N47" s="2">
        <v>1079.56</v>
      </c>
      <c r="O47" t="str">
        <f t="shared" si="0"/>
        <v>Refi</v>
      </c>
      <c r="P47" s="3">
        <f t="shared" si="4"/>
        <v>0</v>
      </c>
      <c r="Q47" s="4">
        <v>164568</v>
      </c>
      <c r="R47" s="4" t="s">
        <v>41</v>
      </c>
      <c r="S47" s="5">
        <v>576</v>
      </c>
      <c r="T47">
        <v>7.625</v>
      </c>
      <c r="U47" s="7">
        <f t="shared" si="1"/>
        <v>1233.3720125008979</v>
      </c>
      <c r="V47" s="2">
        <f t="shared" si="5"/>
        <v>-33.882012500897872</v>
      </c>
      <c r="W47" s="9">
        <f t="shared" si="6"/>
        <v>0</v>
      </c>
      <c r="X47" s="3">
        <v>164568</v>
      </c>
      <c r="Y47" s="3">
        <f t="shared" si="7"/>
        <v>-0.2294088669877965</v>
      </c>
      <c r="Z47" s="7">
        <f t="shared" si="8"/>
        <v>1233.3720125008979</v>
      </c>
      <c r="AA47" s="2">
        <f t="shared" si="2"/>
        <v>-33.882012500897872</v>
      </c>
      <c r="AB47" s="8">
        <f t="shared" si="9"/>
        <v>1</v>
      </c>
      <c r="AC47" s="10">
        <v>6.875</v>
      </c>
      <c r="AD47" s="7">
        <f t="shared" si="10"/>
        <v>1149.6646100895236</v>
      </c>
      <c r="AE47" s="2">
        <f t="shared" si="11"/>
        <v>49.82538991047636</v>
      </c>
      <c r="AF47" s="10">
        <v>1</v>
      </c>
      <c r="AG47" s="3">
        <f t="shared" si="12"/>
        <v>1645.68</v>
      </c>
      <c r="AH47" s="7">
        <v>3272.5</v>
      </c>
      <c r="AI47">
        <f t="shared" si="13"/>
        <v>360</v>
      </c>
      <c r="AJ47" t="e">
        <f>VLOOKUP(A47,'Borrower Details'!$A$1:$H$1493,8,FALSE)</f>
        <v>#N/A</v>
      </c>
      <c r="AK47" s="4" t="e">
        <f t="shared" si="14"/>
        <v>#N/A</v>
      </c>
      <c r="AL47" s="10">
        <v>7.625</v>
      </c>
      <c r="AM47" s="3">
        <f t="shared" si="15"/>
        <v>164568.23285</v>
      </c>
      <c r="AN47">
        <v>7.625</v>
      </c>
      <c r="AO47" s="7">
        <f t="shared" si="16"/>
        <v>1233.3737576194699</v>
      </c>
      <c r="AP47" s="2">
        <f t="shared" si="17"/>
        <v>-33.883757619469861</v>
      </c>
    </row>
    <row r="48" spans="1:42" x14ac:dyDescent="0.15">
      <c r="A48" s="8">
        <v>410612378</v>
      </c>
      <c r="B48" t="s">
        <v>35</v>
      </c>
      <c r="C48" t="s">
        <v>16</v>
      </c>
      <c r="D48" s="1">
        <v>39281</v>
      </c>
      <c r="E48" s="2">
        <v>119000</v>
      </c>
      <c r="F48" s="2">
        <v>106000</v>
      </c>
      <c r="G48" t="s">
        <v>17</v>
      </c>
      <c r="H48" s="2">
        <v>748.99</v>
      </c>
      <c r="I48" s="2">
        <v>105731.13</v>
      </c>
      <c r="J48">
        <v>8.1500000000000003E-2</v>
      </c>
      <c r="K48">
        <v>9</v>
      </c>
      <c r="L48">
        <v>351</v>
      </c>
      <c r="M48" t="str">
        <f t="shared" si="3"/>
        <v>30 Year Fixed</v>
      </c>
      <c r="N48" s="2">
        <v>718.09</v>
      </c>
      <c r="O48" t="str">
        <f t="shared" si="0"/>
        <v>Refi</v>
      </c>
      <c r="P48" s="3">
        <f t="shared" si="4"/>
        <v>0</v>
      </c>
      <c r="Q48" s="4">
        <v>107317</v>
      </c>
      <c r="R48" s="4" t="s">
        <v>41</v>
      </c>
      <c r="S48" s="5">
        <v>576</v>
      </c>
      <c r="T48">
        <v>7.625</v>
      </c>
      <c r="U48" s="7">
        <f t="shared" si="1"/>
        <v>804.29843144207177</v>
      </c>
      <c r="V48" s="2">
        <f t="shared" si="5"/>
        <v>-55.308431442071765</v>
      </c>
      <c r="W48" s="9">
        <f t="shared" si="6"/>
        <v>0</v>
      </c>
      <c r="X48" s="3">
        <v>107317</v>
      </c>
      <c r="Y48" s="3">
        <f t="shared" si="7"/>
        <v>-9.5517241366906092E-2</v>
      </c>
      <c r="Z48" s="7">
        <f t="shared" si="8"/>
        <v>804.29843144207177</v>
      </c>
      <c r="AA48" s="2">
        <f t="shared" si="2"/>
        <v>-55.308431442071765</v>
      </c>
      <c r="AB48" s="8">
        <f t="shared" si="9"/>
        <v>1</v>
      </c>
      <c r="AC48" s="10">
        <v>6.875</v>
      </c>
      <c r="AD48" s="7">
        <f t="shared" si="10"/>
        <v>749.71171163882047</v>
      </c>
      <c r="AE48" s="2">
        <f t="shared" si="11"/>
        <v>-0.72171163882046585</v>
      </c>
      <c r="AF48" s="10">
        <v>1</v>
      </c>
      <c r="AG48" s="3">
        <f t="shared" si="12"/>
        <v>1073.17</v>
      </c>
      <c r="AH48" s="7">
        <v>4319.5</v>
      </c>
      <c r="AI48">
        <f t="shared" si="13"/>
        <v>360</v>
      </c>
      <c r="AJ48" t="e">
        <f>VLOOKUP(A48,'Borrower Details'!$A$1:$H$1493,8,FALSE)</f>
        <v>#N/A</v>
      </c>
      <c r="AK48" s="4" t="e">
        <f t="shared" si="14"/>
        <v>#N/A</v>
      </c>
      <c r="AL48" s="10">
        <v>7.625</v>
      </c>
      <c r="AM48" s="3">
        <f t="shared" si="15"/>
        <v>107317.09694999999</v>
      </c>
      <c r="AN48">
        <v>7.625</v>
      </c>
      <c r="AO48" s="7">
        <f t="shared" si="16"/>
        <v>804.29915804394216</v>
      </c>
      <c r="AP48" s="2">
        <f t="shared" si="17"/>
        <v>-55.309158043942148</v>
      </c>
    </row>
    <row r="49" spans="1:42" x14ac:dyDescent="0.15">
      <c r="A49" s="8">
        <v>1152775</v>
      </c>
      <c r="B49" t="s">
        <v>35</v>
      </c>
      <c r="C49" t="s">
        <v>16</v>
      </c>
      <c r="D49" s="1">
        <v>39154</v>
      </c>
      <c r="E49" s="2">
        <v>173000</v>
      </c>
      <c r="F49" s="2">
        <v>147050</v>
      </c>
      <c r="G49" t="s">
        <v>17</v>
      </c>
      <c r="H49" s="2">
        <v>1156.8499999999999</v>
      </c>
      <c r="I49" s="2">
        <v>145900.63</v>
      </c>
      <c r="J49">
        <v>8.7499999999999994E-2</v>
      </c>
      <c r="K49">
        <v>13</v>
      </c>
      <c r="L49">
        <v>347</v>
      </c>
      <c r="M49" t="str">
        <f t="shared" si="3"/>
        <v>30 Year Fixed</v>
      </c>
      <c r="N49" s="2">
        <v>1063.8599999999999</v>
      </c>
      <c r="O49" t="str">
        <f t="shared" si="0"/>
        <v>Refi</v>
      </c>
      <c r="P49" s="3">
        <f t="shared" si="4"/>
        <v>0</v>
      </c>
      <c r="Q49" s="4">
        <v>148089</v>
      </c>
      <c r="R49" s="4" t="s">
        <v>41</v>
      </c>
      <c r="S49" s="5">
        <v>577</v>
      </c>
      <c r="T49">
        <v>7.625</v>
      </c>
      <c r="U49" s="7">
        <f t="shared" si="1"/>
        <v>1109.8684310391175</v>
      </c>
      <c r="V49" s="2">
        <f t="shared" si="5"/>
        <v>46.981568960882441</v>
      </c>
      <c r="W49" s="9">
        <f t="shared" si="6"/>
        <v>0</v>
      </c>
      <c r="X49" s="3">
        <v>148090</v>
      </c>
      <c r="Y49" s="3">
        <f t="shared" si="7"/>
        <v>0.84783251231419854</v>
      </c>
      <c r="Z49" s="7">
        <f t="shared" si="8"/>
        <v>1109.8759256432477</v>
      </c>
      <c r="AA49" s="2">
        <f t="shared" si="2"/>
        <v>46.974074356752226</v>
      </c>
      <c r="AB49" s="8">
        <f t="shared" si="9"/>
        <v>1</v>
      </c>
      <c r="AC49" s="10">
        <v>6.875</v>
      </c>
      <c r="AD49" s="7">
        <f t="shared" si="10"/>
        <v>1034.5500468387388</v>
      </c>
      <c r="AE49" s="2">
        <f t="shared" si="11"/>
        <v>122.2999531612611</v>
      </c>
      <c r="AF49" s="10">
        <v>1</v>
      </c>
      <c r="AG49" s="3">
        <f t="shared" si="12"/>
        <v>1480.9</v>
      </c>
      <c r="AH49" s="7">
        <v>6433.4375</v>
      </c>
      <c r="AI49">
        <f t="shared" si="13"/>
        <v>360</v>
      </c>
      <c r="AJ49" t="e">
        <f>VLOOKUP(A49,'Borrower Details'!$A$1:$H$1493,8,FALSE)</f>
        <v>#N/A</v>
      </c>
      <c r="AK49" s="4" t="e">
        <f t="shared" si="14"/>
        <v>#N/A</v>
      </c>
      <c r="AL49" s="10">
        <v>7.625</v>
      </c>
      <c r="AM49" s="3">
        <f t="shared" si="15"/>
        <v>148089.13944999999</v>
      </c>
      <c r="AN49">
        <v>7.625</v>
      </c>
      <c r="AO49" s="7">
        <f t="shared" si="16"/>
        <v>1109.8694761616634</v>
      </c>
      <c r="AP49" s="2">
        <f t="shared" si="17"/>
        <v>46.980523838336467</v>
      </c>
    </row>
    <row r="50" spans="1:42" x14ac:dyDescent="0.15">
      <c r="A50" s="8">
        <v>1178846</v>
      </c>
      <c r="B50" t="s">
        <v>37</v>
      </c>
      <c r="C50" t="s">
        <v>19</v>
      </c>
      <c r="D50" s="1">
        <v>39177</v>
      </c>
      <c r="E50" s="2">
        <v>156500</v>
      </c>
      <c r="F50" s="2">
        <v>148200</v>
      </c>
      <c r="G50" t="s">
        <v>20</v>
      </c>
      <c r="H50" s="2">
        <v>1291.69</v>
      </c>
      <c r="I50" s="2">
        <v>148063.91</v>
      </c>
      <c r="J50">
        <v>0.104</v>
      </c>
      <c r="K50">
        <v>13</v>
      </c>
      <c r="L50">
        <v>347</v>
      </c>
      <c r="M50" t="str">
        <f t="shared" si="3"/>
        <v>30 Year Fixed</v>
      </c>
      <c r="N50" s="2">
        <v>1283.22</v>
      </c>
      <c r="O50" t="str">
        <f t="shared" si="0"/>
        <v>Refi</v>
      </c>
      <c r="P50" s="3">
        <f t="shared" si="4"/>
        <v>0</v>
      </c>
      <c r="Q50" s="4">
        <v>150285</v>
      </c>
      <c r="R50" s="4" t="s">
        <v>41</v>
      </c>
      <c r="S50" s="5">
        <v>578</v>
      </c>
      <c r="T50">
        <v>7.625</v>
      </c>
      <c r="U50" s="7">
        <f t="shared" si="1"/>
        <v>1126.3265817090653</v>
      </c>
      <c r="V50" s="2">
        <f t="shared" si="5"/>
        <v>165.36341829093476</v>
      </c>
      <c r="W50" s="9">
        <f t="shared" si="6"/>
        <v>0</v>
      </c>
      <c r="X50" s="3">
        <v>150285</v>
      </c>
      <c r="Y50" s="3">
        <f t="shared" si="7"/>
        <v>0.12940886701107956</v>
      </c>
      <c r="Z50" s="7">
        <f t="shared" si="8"/>
        <v>1126.3265817090653</v>
      </c>
      <c r="AA50" s="2">
        <f t="shared" si="2"/>
        <v>165.36341829093476</v>
      </c>
      <c r="AB50" s="8">
        <f t="shared" si="9"/>
        <v>0</v>
      </c>
      <c r="AC50" s="10">
        <v>7.625</v>
      </c>
      <c r="AD50" s="7">
        <f t="shared" si="10"/>
        <v>1126.3265817090653</v>
      </c>
      <c r="AE50" s="2">
        <f t="shared" si="11"/>
        <v>165.36341829093476</v>
      </c>
      <c r="AF50" s="10">
        <v>0</v>
      </c>
      <c r="AG50" s="3">
        <f t="shared" si="12"/>
        <v>0</v>
      </c>
      <c r="AH50" s="7">
        <v>0</v>
      </c>
      <c r="AI50">
        <f t="shared" si="13"/>
        <v>360</v>
      </c>
      <c r="AJ50" t="e">
        <f>VLOOKUP(A50,'Borrower Details'!$A$1:$H$1493,8,FALSE)</f>
        <v>#N/A</v>
      </c>
      <c r="AK50" s="4" t="e">
        <f t="shared" si="14"/>
        <v>#N/A</v>
      </c>
      <c r="AL50" s="10">
        <v>7.625</v>
      </c>
      <c r="AM50" s="3">
        <f t="shared" si="15"/>
        <v>150284.86864999999</v>
      </c>
      <c r="AN50">
        <v>7.625</v>
      </c>
      <c r="AO50" s="7">
        <f t="shared" si="16"/>
        <v>1126.3255972928127</v>
      </c>
      <c r="AP50" s="2">
        <f t="shared" si="17"/>
        <v>165.36440270718731</v>
      </c>
    </row>
    <row r="51" spans="1:42" x14ac:dyDescent="0.15">
      <c r="A51" s="8">
        <v>410535892</v>
      </c>
      <c r="B51" t="s">
        <v>36</v>
      </c>
      <c r="C51" t="s">
        <v>18</v>
      </c>
      <c r="D51" s="1">
        <v>39274</v>
      </c>
      <c r="E51" s="2">
        <v>228000</v>
      </c>
      <c r="F51" s="2">
        <v>192000</v>
      </c>
      <c r="G51" t="s">
        <v>17</v>
      </c>
      <c r="H51" s="2">
        <v>1444.17</v>
      </c>
      <c r="I51" s="2">
        <v>191537.49</v>
      </c>
      <c r="J51">
        <v>8.7499999999999994E-2</v>
      </c>
      <c r="K51">
        <v>9</v>
      </c>
      <c r="L51">
        <v>350</v>
      </c>
      <c r="M51" t="str">
        <f t="shared" si="3"/>
        <v>30 Year Fixed</v>
      </c>
      <c r="N51" s="2">
        <v>1396.97</v>
      </c>
      <c r="O51" t="str">
        <f t="shared" si="0"/>
        <v>Refi</v>
      </c>
      <c r="P51" s="3">
        <f t="shared" si="4"/>
        <v>0</v>
      </c>
      <c r="Q51" s="4">
        <v>194411</v>
      </c>
      <c r="R51" s="4" t="s">
        <v>41</v>
      </c>
      <c r="S51" s="5">
        <v>579</v>
      </c>
      <c r="T51">
        <v>7.625</v>
      </c>
      <c r="U51" s="7">
        <f t="shared" si="1"/>
        <v>1457.0334835588455</v>
      </c>
      <c r="V51" s="2">
        <f t="shared" si="5"/>
        <v>-12.863483558845473</v>
      </c>
      <c r="W51" s="9">
        <f t="shared" si="6"/>
        <v>0</v>
      </c>
      <c r="X51" s="3">
        <v>194410</v>
      </c>
      <c r="Y51" s="3">
        <f t="shared" si="7"/>
        <v>-0.54418719207751565</v>
      </c>
      <c r="Z51" s="7">
        <f t="shared" si="8"/>
        <v>1457.0259889547151</v>
      </c>
      <c r="AA51" s="2">
        <f t="shared" si="2"/>
        <v>-12.855988954715031</v>
      </c>
      <c r="AB51" s="8">
        <f t="shared" si="9"/>
        <v>1</v>
      </c>
      <c r="AC51" s="10">
        <v>6.875</v>
      </c>
      <c r="AD51" s="7">
        <f t="shared" si="10"/>
        <v>1358.1394733332379</v>
      </c>
      <c r="AE51" s="2">
        <f t="shared" si="11"/>
        <v>86.030526666762171</v>
      </c>
      <c r="AF51" s="10">
        <v>1</v>
      </c>
      <c r="AG51" s="3">
        <f t="shared" si="12"/>
        <v>1944.1</v>
      </c>
      <c r="AH51" s="7">
        <v>3840</v>
      </c>
      <c r="AI51">
        <f t="shared" si="13"/>
        <v>360</v>
      </c>
      <c r="AJ51" t="e">
        <f>VLOOKUP(A51,'Borrower Details'!$A$1:$H$1493,8,FALSE)</f>
        <v>#N/A</v>
      </c>
      <c r="AK51" s="4" t="e">
        <f t="shared" si="14"/>
        <v>#N/A</v>
      </c>
      <c r="AL51" s="10">
        <v>7.625</v>
      </c>
      <c r="AM51" s="3">
        <f t="shared" si="15"/>
        <v>194410.55234999998</v>
      </c>
      <c r="AN51">
        <v>7.625</v>
      </c>
      <c r="AO51" s="7">
        <f t="shared" si="16"/>
        <v>1457.0301285993066</v>
      </c>
      <c r="AP51" s="2">
        <f t="shared" si="17"/>
        <v>-12.860128599306563</v>
      </c>
    </row>
    <row r="52" spans="1:42" x14ac:dyDescent="0.15">
      <c r="A52" s="8">
        <v>410148076</v>
      </c>
      <c r="B52" t="s">
        <v>37</v>
      </c>
      <c r="C52" t="s">
        <v>18</v>
      </c>
      <c r="D52" s="1">
        <v>39224</v>
      </c>
      <c r="E52" s="2">
        <v>152000</v>
      </c>
      <c r="F52" s="2">
        <v>127500</v>
      </c>
      <c r="G52" t="s">
        <v>20</v>
      </c>
      <c r="H52" s="2">
        <v>966.85</v>
      </c>
      <c r="I52" s="2">
        <v>126592.58</v>
      </c>
      <c r="J52">
        <v>8.3500000000000005E-2</v>
      </c>
      <c r="K52">
        <v>11</v>
      </c>
      <c r="L52">
        <v>349</v>
      </c>
      <c r="M52" t="str">
        <f t="shared" si="3"/>
        <v>30 Year Fixed</v>
      </c>
      <c r="N52" s="2">
        <v>880.87</v>
      </c>
      <c r="O52" t="str">
        <f t="shared" si="0"/>
        <v>Cash Out</v>
      </c>
      <c r="P52" s="3">
        <f t="shared" si="4"/>
        <v>698.06039408867946</v>
      </c>
      <c r="Q52" s="4">
        <v>129200</v>
      </c>
      <c r="R52" s="4" t="s">
        <v>41</v>
      </c>
      <c r="S52" s="5">
        <v>581</v>
      </c>
      <c r="T52">
        <v>7.375</v>
      </c>
      <c r="U52" s="7">
        <f t="shared" si="1"/>
        <v>946.18562402909379</v>
      </c>
      <c r="V52" s="2">
        <f t="shared" si="5"/>
        <v>20.664375970906235</v>
      </c>
      <c r="W52" s="9">
        <f t="shared" si="6"/>
        <v>0</v>
      </c>
      <c r="X52" s="3">
        <v>129200</v>
      </c>
      <c r="Y52" s="3">
        <f t="shared" si="7"/>
        <v>698.06039408867946</v>
      </c>
      <c r="Z52" s="7">
        <f t="shared" si="8"/>
        <v>946.18562402909379</v>
      </c>
      <c r="AA52" s="2">
        <f t="shared" si="2"/>
        <v>20.664375970906235</v>
      </c>
      <c r="AB52" s="8">
        <f t="shared" si="9"/>
        <v>1</v>
      </c>
      <c r="AC52" s="10">
        <v>6.375</v>
      </c>
      <c r="AD52" s="7">
        <f t="shared" si="10"/>
        <v>859.87324262058189</v>
      </c>
      <c r="AE52" s="2">
        <f t="shared" si="11"/>
        <v>106.97675737941813</v>
      </c>
      <c r="AF52" s="10">
        <v>2.625</v>
      </c>
      <c r="AG52" s="3">
        <f t="shared" si="12"/>
        <v>3391.5</v>
      </c>
      <c r="AH52" s="7">
        <v>0</v>
      </c>
      <c r="AI52">
        <f t="shared" si="13"/>
        <v>360</v>
      </c>
      <c r="AJ52" t="e">
        <f>VLOOKUP(A52,'Borrower Details'!$A$1:$H$1493,8,FALSE)</f>
        <v>#N/A</v>
      </c>
      <c r="AK52" s="4" t="e">
        <f t="shared" si="14"/>
        <v>#N/A</v>
      </c>
      <c r="AL52" s="10">
        <v>7.375</v>
      </c>
      <c r="AM52" s="3">
        <f t="shared" si="15"/>
        <v>128491.46869999998</v>
      </c>
      <c r="AN52">
        <v>7.375</v>
      </c>
      <c r="AO52" s="7">
        <f t="shared" si="16"/>
        <v>940.99675305204528</v>
      </c>
      <c r="AP52" s="2">
        <f t="shared" si="17"/>
        <v>25.853246947954744</v>
      </c>
    </row>
    <row r="53" spans="1:42" x14ac:dyDescent="0.15">
      <c r="A53" s="8">
        <v>410142459</v>
      </c>
      <c r="B53" t="s">
        <v>37</v>
      </c>
      <c r="C53" t="s">
        <v>19</v>
      </c>
      <c r="D53" s="1">
        <v>39223</v>
      </c>
      <c r="E53" s="2">
        <v>112500</v>
      </c>
      <c r="F53" s="2">
        <v>101250</v>
      </c>
      <c r="G53" t="s">
        <v>15</v>
      </c>
      <c r="H53" s="2">
        <v>884.06</v>
      </c>
      <c r="I53" s="2">
        <v>100728.69</v>
      </c>
      <c r="J53">
        <v>9.9400000000000002E-2</v>
      </c>
      <c r="K53">
        <v>11</v>
      </c>
      <c r="L53">
        <v>349</v>
      </c>
      <c r="M53" t="str">
        <f t="shared" si="3"/>
        <v>30 Year Fixed</v>
      </c>
      <c r="N53" s="2">
        <v>834.37</v>
      </c>
      <c r="O53" t="str">
        <f t="shared" si="0"/>
        <v>Refi</v>
      </c>
      <c r="P53" s="3">
        <f t="shared" si="4"/>
        <v>0</v>
      </c>
      <c r="Q53" s="4">
        <v>102240</v>
      </c>
      <c r="R53" s="4" t="s">
        <v>41</v>
      </c>
      <c r="S53" s="5">
        <v>599</v>
      </c>
      <c r="T53">
        <v>7.375</v>
      </c>
      <c r="U53" s="7">
        <f t="shared" si="1"/>
        <v>748.74627090351817</v>
      </c>
      <c r="V53" s="2">
        <f t="shared" si="5"/>
        <v>135.31372909648178</v>
      </c>
      <c r="W53" s="9">
        <f t="shared" si="6"/>
        <v>0</v>
      </c>
      <c r="X53" s="3">
        <v>102240</v>
      </c>
      <c r="Y53" s="3">
        <f t="shared" si="7"/>
        <v>0.3740394088672474</v>
      </c>
      <c r="Z53" s="7">
        <f t="shared" si="8"/>
        <v>748.74627090351817</v>
      </c>
      <c r="AA53" s="2">
        <f t="shared" si="2"/>
        <v>135.31372909648178</v>
      </c>
      <c r="AB53" s="8">
        <f t="shared" si="9"/>
        <v>0</v>
      </c>
      <c r="AC53" s="10">
        <v>7.375</v>
      </c>
      <c r="AD53" s="7">
        <f t="shared" si="10"/>
        <v>748.74627090351817</v>
      </c>
      <c r="AE53" s="2">
        <f t="shared" si="11"/>
        <v>135.31372909648178</v>
      </c>
      <c r="AF53" s="10">
        <v>0</v>
      </c>
      <c r="AG53" s="3">
        <f t="shared" si="12"/>
        <v>0</v>
      </c>
      <c r="AH53" s="7">
        <v>0</v>
      </c>
      <c r="AI53">
        <f t="shared" si="13"/>
        <v>360</v>
      </c>
      <c r="AJ53" t="e">
        <f>VLOOKUP(A53,'Borrower Details'!$A$1:$H$1493,8,FALSE)</f>
        <v>#N/A</v>
      </c>
      <c r="AK53" s="4" t="e">
        <f t="shared" si="14"/>
        <v>#N/A</v>
      </c>
      <c r="AL53" s="10">
        <v>7.375</v>
      </c>
      <c r="AM53" s="3">
        <f t="shared" si="15"/>
        <v>102239.62035</v>
      </c>
      <c r="AN53">
        <v>7.375</v>
      </c>
      <c r="AO53" s="7">
        <f t="shared" si="16"/>
        <v>748.74349056782034</v>
      </c>
      <c r="AP53" s="2">
        <f t="shared" si="17"/>
        <v>135.3165094321796</v>
      </c>
    </row>
    <row r="54" spans="1:42" x14ac:dyDescent="0.15">
      <c r="A54" s="8">
        <v>410098909</v>
      </c>
      <c r="B54" t="s">
        <v>37</v>
      </c>
      <c r="C54" t="s">
        <v>19</v>
      </c>
      <c r="D54" s="1">
        <v>39202</v>
      </c>
      <c r="E54" s="2">
        <v>163000</v>
      </c>
      <c r="F54" s="2">
        <v>154850</v>
      </c>
      <c r="G54" t="s">
        <v>15</v>
      </c>
      <c r="H54" s="2">
        <v>1236.8</v>
      </c>
      <c r="I54" s="2">
        <v>154713.31</v>
      </c>
      <c r="J54">
        <v>9.5000000000000001E-2</v>
      </c>
      <c r="K54">
        <v>12</v>
      </c>
      <c r="L54">
        <v>348</v>
      </c>
      <c r="M54" t="str">
        <f t="shared" si="3"/>
        <v>30 Year Fixed</v>
      </c>
      <c r="N54" s="2">
        <v>1224.81</v>
      </c>
      <c r="O54" t="str">
        <f t="shared" si="0"/>
        <v>Refi</v>
      </c>
      <c r="P54" s="3">
        <f t="shared" si="4"/>
        <v>0</v>
      </c>
      <c r="Q54" s="4">
        <v>157034</v>
      </c>
      <c r="R54" s="4" t="s">
        <v>41</v>
      </c>
      <c r="S54" s="5">
        <v>601</v>
      </c>
      <c r="T54">
        <v>6.875</v>
      </c>
      <c r="U54" s="7">
        <f t="shared" si="1"/>
        <v>1097.0324266005437</v>
      </c>
      <c r="V54" s="2">
        <f t="shared" si="5"/>
        <v>139.7675733994563</v>
      </c>
      <c r="W54" s="9">
        <f t="shared" si="6"/>
        <v>0</v>
      </c>
      <c r="X54" s="3">
        <v>157034</v>
      </c>
      <c r="Y54" s="3">
        <f t="shared" si="7"/>
        <v>-9.5073891570791602E-3</v>
      </c>
      <c r="Z54" s="7">
        <f t="shared" si="8"/>
        <v>1097.0324266005437</v>
      </c>
      <c r="AA54" s="2">
        <f t="shared" si="2"/>
        <v>139.7675733994563</v>
      </c>
      <c r="AB54" s="8">
        <f t="shared" si="9"/>
        <v>0</v>
      </c>
      <c r="AC54" s="10">
        <v>6.875</v>
      </c>
      <c r="AD54" s="7">
        <f t="shared" si="10"/>
        <v>1097.0324266005437</v>
      </c>
      <c r="AE54" s="2">
        <f t="shared" si="11"/>
        <v>139.7675733994563</v>
      </c>
      <c r="AF54" s="10">
        <v>0</v>
      </c>
      <c r="AG54" s="3">
        <f t="shared" si="12"/>
        <v>0</v>
      </c>
      <c r="AH54" s="7">
        <v>1548.5</v>
      </c>
      <c r="AI54">
        <f t="shared" si="13"/>
        <v>360</v>
      </c>
      <c r="AJ54" t="e">
        <f>VLOOKUP(A54,'Borrower Details'!$A$1:$H$1493,8,FALSE)</f>
        <v>#N/A</v>
      </c>
      <c r="AK54" s="4" t="e">
        <f t="shared" si="14"/>
        <v>#N/A</v>
      </c>
      <c r="AL54" s="10">
        <v>6.875</v>
      </c>
      <c r="AM54" s="3">
        <f t="shared" si="15"/>
        <v>157034.00964999999</v>
      </c>
      <c r="AN54">
        <v>6.875</v>
      </c>
      <c r="AO54" s="7">
        <f t="shared" si="16"/>
        <v>1097.0324940150074</v>
      </c>
      <c r="AP54" s="2">
        <f t="shared" si="17"/>
        <v>139.76750598499257</v>
      </c>
    </row>
    <row r="55" spans="1:42" x14ac:dyDescent="0.15">
      <c r="A55" s="8">
        <v>1156265</v>
      </c>
      <c r="B55" t="s">
        <v>36</v>
      </c>
      <c r="C55" t="s">
        <v>18</v>
      </c>
      <c r="D55" s="1">
        <v>39171</v>
      </c>
      <c r="E55" s="2">
        <v>115000</v>
      </c>
      <c r="F55" s="2">
        <v>97750</v>
      </c>
      <c r="G55" t="s">
        <v>17</v>
      </c>
      <c r="H55" s="2">
        <v>835.52</v>
      </c>
      <c r="I55" s="2">
        <v>97119.57</v>
      </c>
      <c r="J55">
        <v>9.69E-2</v>
      </c>
      <c r="K55">
        <v>13</v>
      </c>
      <c r="L55">
        <v>347</v>
      </c>
      <c r="M55" t="str">
        <f t="shared" si="3"/>
        <v>30 Year Fixed</v>
      </c>
      <c r="N55" s="2">
        <v>784.24</v>
      </c>
      <c r="O55" t="str">
        <f t="shared" si="0"/>
        <v>Refi</v>
      </c>
      <c r="P55" s="3">
        <f t="shared" si="4"/>
        <v>0</v>
      </c>
      <c r="Q55" s="4">
        <v>98576</v>
      </c>
      <c r="R55" s="4" t="s">
        <v>41</v>
      </c>
      <c r="S55" s="5">
        <v>601</v>
      </c>
      <c r="T55">
        <v>7</v>
      </c>
      <c r="U55" s="7">
        <f t="shared" si="1"/>
        <v>696.90192098116449</v>
      </c>
      <c r="V55" s="2">
        <f t="shared" si="5"/>
        <v>138.61807901883549</v>
      </c>
      <c r="W55" s="9">
        <f t="shared" si="6"/>
        <v>0</v>
      </c>
      <c r="X55" s="3">
        <v>98577</v>
      </c>
      <c r="Y55" s="3">
        <f t="shared" si="7"/>
        <v>0.62704433497856371</v>
      </c>
      <c r="Z55" s="7">
        <f t="shared" si="8"/>
        <v>696.90899067278292</v>
      </c>
      <c r="AA55" s="2">
        <f t="shared" si="2"/>
        <v>138.61100932721706</v>
      </c>
      <c r="AB55" s="8">
        <f t="shared" si="9"/>
        <v>0</v>
      </c>
      <c r="AC55" s="10">
        <v>7</v>
      </c>
      <c r="AD55" s="7">
        <f t="shared" si="10"/>
        <v>696.90899067278292</v>
      </c>
      <c r="AE55" s="2">
        <f t="shared" si="11"/>
        <v>138.61100932721706</v>
      </c>
      <c r="AF55" s="10">
        <v>0</v>
      </c>
      <c r="AG55" s="3">
        <f t="shared" si="12"/>
        <v>0</v>
      </c>
      <c r="AH55" s="7">
        <v>1955</v>
      </c>
      <c r="AI55">
        <f t="shared" si="13"/>
        <v>360</v>
      </c>
      <c r="AJ55" t="e">
        <f>VLOOKUP(A55,'Borrower Details'!$A$1:$H$1493,8,FALSE)</f>
        <v>#N/A</v>
      </c>
      <c r="AK55" s="4" t="e">
        <f t="shared" si="14"/>
        <v>#N/A</v>
      </c>
      <c r="AL55" s="10">
        <v>7</v>
      </c>
      <c r="AM55" s="3">
        <f t="shared" si="15"/>
        <v>98576.363549999995</v>
      </c>
      <c r="AN55">
        <v>7</v>
      </c>
      <c r="AO55" s="7">
        <f t="shared" si="16"/>
        <v>696.90449116755235</v>
      </c>
      <c r="AP55" s="2">
        <f t="shared" si="17"/>
        <v>138.61550883244763</v>
      </c>
    </row>
    <row r="56" spans="1:42" x14ac:dyDescent="0.15">
      <c r="A56" s="8">
        <v>410021042</v>
      </c>
      <c r="B56" t="s">
        <v>36</v>
      </c>
      <c r="C56" t="s">
        <v>18</v>
      </c>
      <c r="D56" s="1">
        <v>39204</v>
      </c>
      <c r="E56" s="2">
        <v>212000</v>
      </c>
      <c r="F56" s="2">
        <v>190800</v>
      </c>
      <c r="G56" t="s">
        <v>15</v>
      </c>
      <c r="H56" s="2">
        <v>1521.52</v>
      </c>
      <c r="I56" s="2">
        <v>189584.99</v>
      </c>
      <c r="J56">
        <v>8.8999999999999996E-2</v>
      </c>
      <c r="K56">
        <v>11</v>
      </c>
      <c r="L56">
        <v>349</v>
      </c>
      <c r="M56" t="str">
        <f t="shared" si="3"/>
        <v>30 Year Fixed</v>
      </c>
      <c r="N56" s="2">
        <v>1406.09</v>
      </c>
      <c r="O56" t="str">
        <f t="shared" si="0"/>
        <v>Refi</v>
      </c>
      <c r="P56" s="3">
        <f t="shared" si="4"/>
        <v>0</v>
      </c>
      <c r="Q56" s="4">
        <v>192429</v>
      </c>
      <c r="R56" s="4" t="s">
        <v>41</v>
      </c>
      <c r="S56" s="5">
        <v>602</v>
      </c>
      <c r="T56">
        <v>6.875</v>
      </c>
      <c r="U56" s="7">
        <f t="shared" si="1"/>
        <v>1344.3002968676594</v>
      </c>
      <c r="V56" s="2">
        <f t="shared" si="5"/>
        <v>177.21970313234056</v>
      </c>
      <c r="W56" s="9">
        <f t="shared" si="6"/>
        <v>0</v>
      </c>
      <c r="X56" s="3">
        <v>192429</v>
      </c>
      <c r="Y56" s="3">
        <f t="shared" si="7"/>
        <v>0.23167487687896937</v>
      </c>
      <c r="Z56" s="7">
        <f t="shared" si="8"/>
        <v>1344.3002968676594</v>
      </c>
      <c r="AA56" s="2">
        <f t="shared" si="2"/>
        <v>177.21970313234056</v>
      </c>
      <c r="AB56" s="8">
        <f t="shared" si="9"/>
        <v>0</v>
      </c>
      <c r="AC56" s="10">
        <v>6.875</v>
      </c>
      <c r="AD56" s="7">
        <f t="shared" si="10"/>
        <v>1344.3002968676594</v>
      </c>
      <c r="AE56" s="2">
        <f t="shared" si="11"/>
        <v>177.21970313234056</v>
      </c>
      <c r="AF56" s="10">
        <v>0</v>
      </c>
      <c r="AG56" s="3">
        <f t="shared" si="12"/>
        <v>0</v>
      </c>
      <c r="AH56" s="7">
        <v>3816</v>
      </c>
      <c r="AI56">
        <f t="shared" si="13"/>
        <v>360</v>
      </c>
      <c r="AJ56" t="e">
        <f>VLOOKUP(A56,'Borrower Details'!$A$1:$H$1493,8,FALSE)</f>
        <v>#N/A</v>
      </c>
      <c r="AK56" s="4" t="e">
        <f t="shared" si="14"/>
        <v>#N/A</v>
      </c>
      <c r="AL56" s="10">
        <v>6.875</v>
      </c>
      <c r="AM56" s="3">
        <f t="shared" si="15"/>
        <v>192428.76484999998</v>
      </c>
      <c r="AN56">
        <v>6.875</v>
      </c>
      <c r="AO56" s="7">
        <f t="shared" si="16"/>
        <v>1344.2986541203873</v>
      </c>
      <c r="AP56" s="2">
        <f t="shared" si="17"/>
        <v>177.22134587961273</v>
      </c>
    </row>
    <row r="57" spans="1:42" x14ac:dyDescent="0.15">
      <c r="A57" s="8">
        <v>410160998</v>
      </c>
      <c r="B57" t="s">
        <v>35</v>
      </c>
      <c r="C57" t="s">
        <v>16</v>
      </c>
      <c r="D57" s="1">
        <v>39213</v>
      </c>
      <c r="E57" s="2">
        <v>135000</v>
      </c>
      <c r="F57" s="2">
        <v>121500</v>
      </c>
      <c r="G57" t="s">
        <v>17</v>
      </c>
      <c r="H57" s="2">
        <v>1066.4000000000001</v>
      </c>
      <c r="I57" s="2">
        <v>121433.27</v>
      </c>
      <c r="J57">
        <v>0.10475</v>
      </c>
      <c r="K57">
        <v>11</v>
      </c>
      <c r="L57">
        <v>349</v>
      </c>
      <c r="M57" t="str">
        <f t="shared" si="3"/>
        <v>30 Year Fixed</v>
      </c>
      <c r="N57" s="2">
        <v>1060.01</v>
      </c>
      <c r="O57" t="str">
        <f t="shared" si="0"/>
        <v>Refi</v>
      </c>
      <c r="P57" s="3">
        <f t="shared" si="4"/>
        <v>0</v>
      </c>
      <c r="Q57" s="4">
        <v>123255</v>
      </c>
      <c r="R57" s="4" t="s">
        <v>41</v>
      </c>
      <c r="S57" s="5">
        <v>603</v>
      </c>
      <c r="T57">
        <v>6.875</v>
      </c>
      <c r="U57" s="7">
        <f t="shared" si="1"/>
        <v>861.05385929575766</v>
      </c>
      <c r="V57" s="2">
        <f t="shared" si="5"/>
        <v>205.34614070424243</v>
      </c>
      <c r="W57" s="9">
        <f t="shared" si="6"/>
        <v>0</v>
      </c>
      <c r="X57" s="3">
        <v>123255</v>
      </c>
      <c r="Y57" s="3">
        <f t="shared" si="7"/>
        <v>0.22753694582206663</v>
      </c>
      <c r="Z57" s="7">
        <f t="shared" si="8"/>
        <v>861.05385929575766</v>
      </c>
      <c r="AA57" s="2">
        <f t="shared" si="2"/>
        <v>205.34614070424243</v>
      </c>
      <c r="AB57" s="8">
        <f t="shared" si="9"/>
        <v>0</v>
      </c>
      <c r="AC57" s="10">
        <v>6.875</v>
      </c>
      <c r="AD57" s="7">
        <f t="shared" si="10"/>
        <v>861.05385929575766</v>
      </c>
      <c r="AE57" s="2">
        <f t="shared" si="11"/>
        <v>205.34614070424243</v>
      </c>
      <c r="AF57" s="10">
        <v>0</v>
      </c>
      <c r="AG57" s="3">
        <f t="shared" si="12"/>
        <v>0</v>
      </c>
      <c r="AH57" s="7">
        <v>6363.5625</v>
      </c>
      <c r="AI57">
        <f t="shared" si="13"/>
        <v>360</v>
      </c>
      <c r="AJ57" t="e">
        <f>VLOOKUP(A57,'Borrower Details'!$A$1:$H$1493,8,FALSE)</f>
        <v>#N/A</v>
      </c>
      <c r="AK57" s="4" t="e">
        <f t="shared" si="14"/>
        <v>#N/A</v>
      </c>
      <c r="AL57" s="10">
        <v>6.875</v>
      </c>
      <c r="AM57" s="3">
        <f t="shared" si="15"/>
        <v>123254.76904999999</v>
      </c>
      <c r="AN57">
        <v>6.875</v>
      </c>
      <c r="AO57" s="7">
        <f t="shared" si="16"/>
        <v>861.05224588949568</v>
      </c>
      <c r="AP57" s="2">
        <f t="shared" si="17"/>
        <v>205.34775411050441</v>
      </c>
    </row>
    <row r="58" spans="1:42" x14ac:dyDescent="0.15">
      <c r="A58" s="8">
        <v>1184001</v>
      </c>
      <c r="B58" t="s">
        <v>36</v>
      </c>
      <c r="C58" t="s">
        <v>18</v>
      </c>
      <c r="D58" s="1">
        <v>39182</v>
      </c>
      <c r="E58" s="2">
        <v>260000</v>
      </c>
      <c r="F58" s="2">
        <v>242000</v>
      </c>
      <c r="G58" t="s">
        <v>15</v>
      </c>
      <c r="H58" s="2">
        <v>1885.35</v>
      </c>
      <c r="I58" s="2">
        <v>241317.1</v>
      </c>
      <c r="J58">
        <v>9.0999999999999998E-2</v>
      </c>
      <c r="K58">
        <v>12</v>
      </c>
      <c r="L58">
        <v>347</v>
      </c>
      <c r="M58" t="str">
        <f t="shared" si="3"/>
        <v>30 Year Fixed</v>
      </c>
      <c r="N58" s="2">
        <v>1829.99</v>
      </c>
      <c r="O58" t="str">
        <f t="shared" si="0"/>
        <v>Refi</v>
      </c>
      <c r="P58" s="3">
        <f t="shared" si="4"/>
        <v>0</v>
      </c>
      <c r="Q58" s="4">
        <v>244937</v>
      </c>
      <c r="R58" s="4" t="s">
        <v>41</v>
      </c>
      <c r="S58" s="5">
        <v>603</v>
      </c>
      <c r="T58">
        <v>6.875</v>
      </c>
      <c r="U58" s="7">
        <f t="shared" si="1"/>
        <v>1711.1188116857327</v>
      </c>
      <c r="V58" s="2">
        <f t="shared" si="5"/>
        <v>174.23118831426723</v>
      </c>
      <c r="W58" s="9">
        <f t="shared" si="6"/>
        <v>0</v>
      </c>
      <c r="X58" s="3">
        <v>244937</v>
      </c>
      <c r="Y58" s="3">
        <f t="shared" si="7"/>
        <v>0.14137931037112139</v>
      </c>
      <c r="Z58" s="7">
        <f t="shared" si="8"/>
        <v>1711.1188116857327</v>
      </c>
      <c r="AA58" s="2">
        <f t="shared" si="2"/>
        <v>174.23118831426723</v>
      </c>
      <c r="AB58" s="8">
        <f t="shared" si="9"/>
        <v>0</v>
      </c>
      <c r="AC58" s="10">
        <v>6.875</v>
      </c>
      <c r="AD58" s="7">
        <f t="shared" si="10"/>
        <v>1711.1188116857327</v>
      </c>
      <c r="AE58" s="2">
        <f t="shared" si="11"/>
        <v>174.23118831426723</v>
      </c>
      <c r="AF58" s="10">
        <v>0</v>
      </c>
      <c r="AG58" s="3">
        <f t="shared" si="12"/>
        <v>0</v>
      </c>
      <c r="AH58" s="7">
        <v>4840</v>
      </c>
      <c r="AI58">
        <f t="shared" si="13"/>
        <v>360</v>
      </c>
      <c r="AJ58" t="e">
        <f>VLOOKUP(A58,'Borrower Details'!$A$1:$H$1493,8,FALSE)</f>
        <v>#N/A</v>
      </c>
      <c r="AK58" s="4" t="e">
        <f t="shared" si="14"/>
        <v>#N/A</v>
      </c>
      <c r="AL58" s="10">
        <v>6.875</v>
      </c>
      <c r="AM58" s="3">
        <f t="shared" si="15"/>
        <v>244936.85649999999</v>
      </c>
      <c r="AN58">
        <v>6.875</v>
      </c>
      <c r="AO58" s="7">
        <f t="shared" si="16"/>
        <v>1711.1178092012185</v>
      </c>
      <c r="AP58" s="2">
        <f t="shared" si="17"/>
        <v>174.2321907987814</v>
      </c>
    </row>
    <row r="59" spans="1:42" x14ac:dyDescent="0.15">
      <c r="A59" s="8">
        <v>411202559</v>
      </c>
      <c r="B59" t="s">
        <v>37</v>
      </c>
      <c r="C59" t="s">
        <v>18</v>
      </c>
      <c r="D59" s="1">
        <v>39462</v>
      </c>
      <c r="E59" s="2">
        <v>162000</v>
      </c>
      <c r="F59" s="2">
        <v>137700</v>
      </c>
      <c r="G59" t="s">
        <v>17</v>
      </c>
      <c r="H59" s="2">
        <v>1337.43</v>
      </c>
      <c r="I59" s="2">
        <v>137559.21</v>
      </c>
      <c r="J59">
        <v>0.1125</v>
      </c>
      <c r="K59">
        <v>3</v>
      </c>
      <c r="L59">
        <v>357</v>
      </c>
      <c r="M59" t="str">
        <f t="shared" si="3"/>
        <v>30 Year Fixed</v>
      </c>
      <c r="N59" s="2">
        <v>1289.6199999999999</v>
      </c>
      <c r="O59" t="str">
        <f t="shared" si="0"/>
        <v>Refi</v>
      </c>
      <c r="P59" s="3">
        <f t="shared" si="4"/>
        <v>0</v>
      </c>
      <c r="Q59" s="4">
        <v>139623</v>
      </c>
      <c r="R59" s="4" t="s">
        <v>41</v>
      </c>
      <c r="S59" s="5">
        <v>604</v>
      </c>
      <c r="T59">
        <v>6.875</v>
      </c>
      <c r="U59" s="7">
        <f t="shared" si="1"/>
        <v>975.39996751816614</v>
      </c>
      <c r="V59" s="2">
        <f t="shared" si="5"/>
        <v>362.03003248183393</v>
      </c>
      <c r="W59" s="9">
        <f t="shared" si="6"/>
        <v>0</v>
      </c>
      <c r="X59" s="3">
        <v>139623</v>
      </c>
      <c r="Y59" s="3">
        <f t="shared" si="7"/>
        <v>0.39591133006615564</v>
      </c>
      <c r="Z59" s="7">
        <f t="shared" si="8"/>
        <v>975.39996751816614</v>
      </c>
      <c r="AA59" s="2">
        <f t="shared" si="2"/>
        <v>362.03003248183393</v>
      </c>
      <c r="AB59" s="8">
        <f t="shared" si="9"/>
        <v>0</v>
      </c>
      <c r="AC59" s="10">
        <v>6.875</v>
      </c>
      <c r="AD59" s="7">
        <f t="shared" si="10"/>
        <v>975.39996751816614</v>
      </c>
      <c r="AE59" s="2">
        <f t="shared" si="11"/>
        <v>362.03003248183393</v>
      </c>
      <c r="AF59" s="10">
        <v>0</v>
      </c>
      <c r="AG59" s="3">
        <f t="shared" si="12"/>
        <v>0</v>
      </c>
      <c r="AH59" s="7">
        <v>0</v>
      </c>
      <c r="AI59">
        <f t="shared" si="13"/>
        <v>360</v>
      </c>
      <c r="AJ59" t="e">
        <f>VLOOKUP(A59,'Borrower Details'!$A$1:$H$1493,8,FALSE)</f>
        <v>#N/A</v>
      </c>
      <c r="AK59" s="4" t="e">
        <f t="shared" si="14"/>
        <v>#N/A</v>
      </c>
      <c r="AL59" s="10">
        <v>6.875</v>
      </c>
      <c r="AM59" s="3">
        <f t="shared" si="15"/>
        <v>139622.59814999998</v>
      </c>
      <c r="AN59">
        <v>6.875</v>
      </c>
      <c r="AO59" s="7">
        <f t="shared" si="16"/>
        <v>975.3971602122283</v>
      </c>
      <c r="AP59" s="2">
        <f t="shared" si="17"/>
        <v>362.03283978777176</v>
      </c>
    </row>
    <row r="60" spans="1:42" x14ac:dyDescent="0.15">
      <c r="A60" s="8">
        <v>410142855</v>
      </c>
      <c r="B60" t="s">
        <v>36</v>
      </c>
      <c r="C60" t="s">
        <v>18</v>
      </c>
      <c r="D60" s="1">
        <v>39197</v>
      </c>
      <c r="E60" s="2">
        <v>335000</v>
      </c>
      <c r="F60" s="2">
        <v>304000</v>
      </c>
      <c r="G60" t="s">
        <v>15</v>
      </c>
      <c r="H60" s="2">
        <v>2088.9</v>
      </c>
      <c r="I60" s="2">
        <v>303500.39</v>
      </c>
      <c r="J60">
        <v>8.1000000000000003E-2</v>
      </c>
      <c r="K60">
        <v>12</v>
      </c>
      <c r="L60">
        <v>347</v>
      </c>
      <c r="M60" t="str">
        <f t="shared" si="3"/>
        <v>30 Year Fixed</v>
      </c>
      <c r="N60" s="2">
        <v>2048.9</v>
      </c>
      <c r="O60" t="str">
        <f t="shared" si="0"/>
        <v>Refi</v>
      </c>
      <c r="P60" s="3">
        <f t="shared" si="4"/>
        <v>0</v>
      </c>
      <c r="Q60" s="4">
        <v>308053</v>
      </c>
      <c r="R60" s="4" t="s">
        <v>41</v>
      </c>
      <c r="S60" s="5">
        <v>606</v>
      </c>
      <c r="T60">
        <v>6.875</v>
      </c>
      <c r="U60" s="7">
        <f t="shared" si="1"/>
        <v>2152.0443350585051</v>
      </c>
      <c r="V60" s="2">
        <f t="shared" si="5"/>
        <v>-63.144335058505021</v>
      </c>
      <c r="W60" s="9">
        <f t="shared" si="6"/>
        <v>0</v>
      </c>
      <c r="X60" s="3">
        <v>308052</v>
      </c>
      <c r="Y60" s="3">
        <f t="shared" si="7"/>
        <v>-0.88261083740508184</v>
      </c>
      <c r="Z60" s="7">
        <f t="shared" si="8"/>
        <v>2152.0373491037012</v>
      </c>
      <c r="AA60" s="2">
        <f t="shared" si="2"/>
        <v>-63.137349103701126</v>
      </c>
      <c r="AB60" s="8">
        <f t="shared" si="9"/>
        <v>1</v>
      </c>
      <c r="AC60" s="10">
        <v>6.25</v>
      </c>
      <c r="AD60" s="7">
        <f t="shared" si="10"/>
        <v>2025.0841502575138</v>
      </c>
      <c r="AE60" s="2">
        <f t="shared" si="11"/>
        <v>63.815849742486307</v>
      </c>
      <c r="AF60" s="10">
        <v>2.5</v>
      </c>
      <c r="AG60" s="3">
        <f t="shared" si="12"/>
        <v>7701.3</v>
      </c>
      <c r="AH60" s="7">
        <v>6080</v>
      </c>
      <c r="AI60">
        <f t="shared" si="13"/>
        <v>360</v>
      </c>
      <c r="AJ60" t="e">
        <f>VLOOKUP(A60,'Borrower Details'!$A$1:$H$1493,8,FALSE)</f>
        <v>#N/A</v>
      </c>
      <c r="AK60" s="4" t="e">
        <f t="shared" si="14"/>
        <v>#N/A</v>
      </c>
      <c r="AL60" s="10">
        <v>6.875</v>
      </c>
      <c r="AM60" s="3">
        <f t="shared" si="15"/>
        <v>308052.89584999997</v>
      </c>
      <c r="AN60">
        <v>6.875</v>
      </c>
      <c r="AO60" s="7">
        <f t="shared" si="16"/>
        <v>2152.043607471312</v>
      </c>
      <c r="AP60" s="2">
        <f t="shared" si="17"/>
        <v>-63.143607471311952</v>
      </c>
    </row>
    <row r="61" spans="1:42" x14ac:dyDescent="0.15">
      <c r="A61" s="8">
        <v>1155241</v>
      </c>
      <c r="B61" t="s">
        <v>36</v>
      </c>
      <c r="C61" t="s">
        <v>18</v>
      </c>
      <c r="D61" s="1">
        <v>39141</v>
      </c>
      <c r="E61" s="2">
        <v>408000</v>
      </c>
      <c r="F61" s="2">
        <v>325000</v>
      </c>
      <c r="G61" t="s">
        <v>17</v>
      </c>
      <c r="H61" s="2">
        <v>2140.46</v>
      </c>
      <c r="I61" s="2">
        <v>321050.58</v>
      </c>
      <c r="J61">
        <v>6.9000000000000006E-2</v>
      </c>
      <c r="K61">
        <v>14</v>
      </c>
      <c r="L61">
        <v>346</v>
      </c>
      <c r="M61" t="str">
        <f t="shared" si="3"/>
        <v>30 Year Fixed</v>
      </c>
      <c r="N61" s="2">
        <v>1846.04</v>
      </c>
      <c r="O61" t="str">
        <f t="shared" si="0"/>
        <v>Cash Out</v>
      </c>
      <c r="P61" s="3">
        <f t="shared" si="4"/>
        <v>20624.29684729065</v>
      </c>
      <c r="Q61" s="4">
        <v>346800</v>
      </c>
      <c r="R61" s="4" t="s">
        <v>41</v>
      </c>
      <c r="S61" s="5">
        <v>607</v>
      </c>
      <c r="T61">
        <v>6.875</v>
      </c>
      <c r="U61" s="7">
        <f t="shared" si="1"/>
        <v>2422.7291258266905</v>
      </c>
      <c r="V61" s="2">
        <f t="shared" si="5"/>
        <v>-282.26912582669047</v>
      </c>
      <c r="W61" s="9">
        <f t="shared" si="6"/>
        <v>1</v>
      </c>
      <c r="X61" s="3">
        <v>325867</v>
      </c>
      <c r="Y61" s="3">
        <f t="shared" si="7"/>
        <v>0.65152709360700101</v>
      </c>
      <c r="Z61" s="7">
        <f t="shared" si="8"/>
        <v>2276.4921339266612</v>
      </c>
      <c r="AA61" s="2">
        <f t="shared" si="2"/>
        <v>-136.03213392666112</v>
      </c>
      <c r="AB61" s="8">
        <f t="shared" si="9"/>
        <v>1</v>
      </c>
      <c r="AC61" s="10">
        <v>6.25</v>
      </c>
      <c r="AD61" s="7">
        <f t="shared" si="10"/>
        <v>2142.1970861801428</v>
      </c>
      <c r="AE61" s="2">
        <f t="shared" si="11"/>
        <v>-1.7370861801427964</v>
      </c>
      <c r="AF61" s="10">
        <v>2.5</v>
      </c>
      <c r="AG61" s="3">
        <f t="shared" si="12"/>
        <v>8146.6750000000002</v>
      </c>
      <c r="AH61" s="7">
        <v>6500</v>
      </c>
      <c r="AI61">
        <f t="shared" si="13"/>
        <v>360</v>
      </c>
      <c r="AJ61" t="e">
        <f>VLOOKUP(A61,'Borrower Details'!$A$1:$H$1493,8,FALSE)</f>
        <v>#N/A</v>
      </c>
      <c r="AK61" s="4" t="e">
        <f t="shared" si="14"/>
        <v>#N/A</v>
      </c>
      <c r="AL61" s="10">
        <v>6.875</v>
      </c>
      <c r="AM61" s="3">
        <f t="shared" si="15"/>
        <v>325866.33869999996</v>
      </c>
      <c r="AN61">
        <v>6.875</v>
      </c>
      <c r="AO61" s="7">
        <f t="shared" si="16"/>
        <v>2276.48751411475</v>
      </c>
      <c r="AP61" s="2">
        <f t="shared" si="17"/>
        <v>-136.02751411474992</v>
      </c>
    </row>
    <row r="62" spans="1:42" x14ac:dyDescent="0.15">
      <c r="A62" s="8">
        <v>1163080</v>
      </c>
      <c r="B62" t="s">
        <v>36</v>
      </c>
      <c r="C62" t="s">
        <v>18</v>
      </c>
      <c r="D62" s="1">
        <v>39161</v>
      </c>
      <c r="E62" s="2">
        <v>85000</v>
      </c>
      <c r="F62" s="2">
        <v>71750</v>
      </c>
      <c r="G62" t="s">
        <v>15</v>
      </c>
      <c r="H62" s="2">
        <v>532.82000000000005</v>
      </c>
      <c r="I62" s="2">
        <v>71666.87</v>
      </c>
      <c r="J62">
        <v>8.7999999999999995E-2</v>
      </c>
      <c r="K62">
        <v>13</v>
      </c>
      <c r="L62">
        <v>348</v>
      </c>
      <c r="M62" t="str">
        <f t="shared" si="3"/>
        <v>30 Year Fixed</v>
      </c>
      <c r="N62" s="2">
        <v>525.55999999999995</v>
      </c>
      <c r="O62" t="str">
        <f t="shared" si="0"/>
        <v>Refi</v>
      </c>
      <c r="P62" s="3">
        <f t="shared" si="4"/>
        <v>0</v>
      </c>
      <c r="Q62" s="4">
        <v>72742</v>
      </c>
      <c r="R62" s="4" t="s">
        <v>41</v>
      </c>
      <c r="S62" s="5">
        <v>610</v>
      </c>
      <c r="T62">
        <v>7</v>
      </c>
      <c r="U62" s="7">
        <f t="shared" si="1"/>
        <v>514.26350770990769</v>
      </c>
      <c r="V62" s="2">
        <f t="shared" si="5"/>
        <v>18.556492290092365</v>
      </c>
      <c r="W62" s="9">
        <f t="shared" si="6"/>
        <v>0</v>
      </c>
      <c r="X62" s="3">
        <v>72742</v>
      </c>
      <c r="Y62" s="3">
        <f t="shared" si="7"/>
        <v>0.12507389164238703</v>
      </c>
      <c r="Z62" s="7">
        <f t="shared" si="8"/>
        <v>514.26350770990769</v>
      </c>
      <c r="AA62" s="2">
        <f t="shared" si="2"/>
        <v>18.556492290092365</v>
      </c>
      <c r="AB62" s="8">
        <f t="shared" si="9"/>
        <v>1</v>
      </c>
      <c r="AC62" s="10">
        <v>6.25</v>
      </c>
      <c r="AD62" s="7">
        <f t="shared" si="10"/>
        <v>478.19417260083384</v>
      </c>
      <c r="AE62" s="2">
        <f t="shared" si="11"/>
        <v>54.625827399166212</v>
      </c>
      <c r="AF62" s="10">
        <v>2.75</v>
      </c>
      <c r="AG62" s="3">
        <f t="shared" si="12"/>
        <v>2000.405</v>
      </c>
      <c r="AH62" s="7">
        <v>1435</v>
      </c>
      <c r="AI62">
        <f t="shared" si="13"/>
        <v>360</v>
      </c>
      <c r="AJ62" t="e">
        <f>VLOOKUP(A62,'Borrower Details'!$A$1:$H$1493,8,FALSE)</f>
        <v>#N/A</v>
      </c>
      <c r="AK62" s="4" t="e">
        <f t="shared" si="14"/>
        <v>#N/A</v>
      </c>
      <c r="AL62" s="10">
        <v>7</v>
      </c>
      <c r="AM62" s="3">
        <f t="shared" si="15"/>
        <v>72741.873049999995</v>
      </c>
      <c r="AN62">
        <v>7</v>
      </c>
      <c r="AO62" s="7">
        <f t="shared" si="16"/>
        <v>514.26261021255664</v>
      </c>
      <c r="AP62" s="2">
        <f t="shared" si="17"/>
        <v>18.557389787443412</v>
      </c>
    </row>
    <row r="63" spans="1:42" x14ac:dyDescent="0.15">
      <c r="A63" s="8">
        <v>410002133</v>
      </c>
      <c r="B63" t="s">
        <v>37</v>
      </c>
      <c r="C63" t="s">
        <v>19</v>
      </c>
      <c r="D63" s="1">
        <v>39185</v>
      </c>
      <c r="E63" s="2">
        <v>193500</v>
      </c>
      <c r="F63" s="2">
        <v>174150</v>
      </c>
      <c r="G63" t="s">
        <v>17</v>
      </c>
      <c r="H63" s="2">
        <v>1259.69</v>
      </c>
      <c r="I63" s="2">
        <v>172651.34</v>
      </c>
      <c r="J63">
        <v>7.85E-2</v>
      </c>
      <c r="K63">
        <v>12</v>
      </c>
      <c r="L63">
        <v>348</v>
      </c>
      <c r="M63" t="str">
        <f t="shared" si="3"/>
        <v>30 Year Fixed</v>
      </c>
      <c r="N63" s="2">
        <v>1129.43</v>
      </c>
      <c r="O63" t="str">
        <f t="shared" si="0"/>
        <v>Refi</v>
      </c>
      <c r="P63" s="3">
        <f t="shared" si="4"/>
        <v>0</v>
      </c>
      <c r="Q63" s="4">
        <v>175241</v>
      </c>
      <c r="R63" s="4" t="s">
        <v>41</v>
      </c>
      <c r="S63" s="5">
        <v>611</v>
      </c>
      <c r="T63">
        <v>6.875</v>
      </c>
      <c r="U63" s="7">
        <f t="shared" si="1"/>
        <v>1224.2257057064448</v>
      </c>
      <c r="V63" s="2">
        <f t="shared" si="5"/>
        <v>35.464294293555213</v>
      </c>
      <c r="W63" s="9">
        <f t="shared" si="6"/>
        <v>0</v>
      </c>
      <c r="X63" s="3">
        <v>175241</v>
      </c>
      <c r="Y63" s="3">
        <f t="shared" si="7"/>
        <v>-0.10847290637320839</v>
      </c>
      <c r="Z63" s="7">
        <f t="shared" si="8"/>
        <v>1224.2257057064448</v>
      </c>
      <c r="AA63" s="2">
        <f t="shared" si="2"/>
        <v>35.464294293555213</v>
      </c>
      <c r="AB63" s="8">
        <f t="shared" si="9"/>
        <v>1</v>
      </c>
      <c r="AC63" s="10">
        <v>6.25</v>
      </c>
      <c r="AD63" s="7">
        <f t="shared" si="10"/>
        <v>1152.0060625325498</v>
      </c>
      <c r="AE63" s="2">
        <f t="shared" si="11"/>
        <v>107.68393746745028</v>
      </c>
      <c r="AF63" s="10">
        <v>2.5</v>
      </c>
      <c r="AG63" s="3">
        <f t="shared" si="12"/>
        <v>4381.0249999999996</v>
      </c>
      <c r="AH63" s="7">
        <v>1741.5</v>
      </c>
      <c r="AI63">
        <f t="shared" si="13"/>
        <v>360</v>
      </c>
      <c r="AJ63" t="e">
        <f>VLOOKUP(A63,'Borrower Details'!$A$1:$H$1493,8,FALSE)</f>
        <v>#N/A</v>
      </c>
      <c r="AK63" s="4" t="e">
        <f t="shared" si="14"/>
        <v>#N/A</v>
      </c>
      <c r="AL63" s="10">
        <v>6.875</v>
      </c>
      <c r="AM63" s="3">
        <f t="shared" si="15"/>
        <v>175241.11009999999</v>
      </c>
      <c r="AN63">
        <v>6.875</v>
      </c>
      <c r="AO63" s="7">
        <f t="shared" si="16"/>
        <v>1224.2264748600685</v>
      </c>
      <c r="AP63" s="2">
        <f t="shared" si="17"/>
        <v>35.463525139931562</v>
      </c>
    </row>
    <row r="64" spans="1:42" x14ac:dyDescent="0.15">
      <c r="A64" s="8">
        <v>410159248</v>
      </c>
      <c r="B64" t="s">
        <v>37</v>
      </c>
      <c r="C64" t="s">
        <v>18</v>
      </c>
      <c r="D64" s="1">
        <v>39211</v>
      </c>
      <c r="E64" s="2">
        <v>200000</v>
      </c>
      <c r="F64" s="2">
        <v>160000</v>
      </c>
      <c r="G64" t="s">
        <v>17</v>
      </c>
      <c r="H64" s="2">
        <v>1168.46</v>
      </c>
      <c r="I64" s="2">
        <v>158766.04999999999</v>
      </c>
      <c r="J64">
        <v>7.9500000000000001E-2</v>
      </c>
      <c r="K64">
        <v>11</v>
      </c>
      <c r="L64">
        <v>349</v>
      </c>
      <c r="M64" t="str">
        <f t="shared" si="3"/>
        <v>30 Year Fixed</v>
      </c>
      <c r="N64" s="2">
        <v>1051.83</v>
      </c>
      <c r="O64" t="str">
        <f t="shared" si="0"/>
        <v>Cash Out</v>
      </c>
      <c r="P64" s="3">
        <f t="shared" si="4"/>
        <v>8721.6347290640697</v>
      </c>
      <c r="Q64" s="4">
        <v>170000</v>
      </c>
      <c r="R64" s="4" t="s">
        <v>41</v>
      </c>
      <c r="S64" s="5">
        <v>612</v>
      </c>
      <c r="T64">
        <v>6.875</v>
      </c>
      <c r="U64" s="7">
        <f t="shared" si="1"/>
        <v>1187.612316581711</v>
      </c>
      <c r="V64" s="2">
        <f t="shared" si="5"/>
        <v>-19.15231658171092</v>
      </c>
      <c r="W64" s="9">
        <f t="shared" si="6"/>
        <v>1</v>
      </c>
      <c r="X64" s="3">
        <v>167180</v>
      </c>
      <c r="Y64" s="3">
        <f t="shared" si="7"/>
        <v>5943.309605911345</v>
      </c>
      <c r="Z64" s="7">
        <f t="shared" si="8"/>
        <v>1167.9119240360615</v>
      </c>
      <c r="AA64" s="2">
        <f t="shared" si="2"/>
        <v>0.54807596393857239</v>
      </c>
      <c r="AB64" s="8">
        <f t="shared" si="9"/>
        <v>1</v>
      </c>
      <c r="AC64" s="10">
        <v>6.25</v>
      </c>
      <c r="AD64" s="7">
        <f t="shared" si="10"/>
        <v>1099.014349006178</v>
      </c>
      <c r="AE64" s="2">
        <f t="shared" si="11"/>
        <v>69.445650993822028</v>
      </c>
      <c r="AF64" s="10">
        <v>2.5</v>
      </c>
      <c r="AG64" s="3">
        <f t="shared" si="12"/>
        <v>4179.5</v>
      </c>
      <c r="AH64" s="7">
        <v>1600</v>
      </c>
      <c r="AI64">
        <f t="shared" si="13"/>
        <v>360</v>
      </c>
      <c r="AJ64" t="e">
        <f>VLOOKUP(A64,'Borrower Details'!$A$1:$H$1493,8,FALSE)</f>
        <v>#N/A</v>
      </c>
      <c r="AK64" s="4" t="e">
        <f t="shared" si="14"/>
        <v>#N/A</v>
      </c>
      <c r="AL64" s="10">
        <v>6.875</v>
      </c>
      <c r="AM64" s="3">
        <f t="shared" si="15"/>
        <v>161147.54074999999</v>
      </c>
      <c r="AN64">
        <v>6.875</v>
      </c>
      <c r="AO64" s="7">
        <f t="shared" si="16"/>
        <v>1125.7694363620774</v>
      </c>
      <c r="AP64" s="2">
        <f t="shared" si="17"/>
        <v>42.690563637922651</v>
      </c>
    </row>
    <row r="65" spans="1:42" x14ac:dyDescent="0.15">
      <c r="A65" s="8">
        <v>411031842</v>
      </c>
      <c r="B65" t="s">
        <v>37</v>
      </c>
      <c r="C65" t="s">
        <v>18</v>
      </c>
      <c r="D65" s="1">
        <v>39384</v>
      </c>
      <c r="E65" s="2">
        <v>120000</v>
      </c>
      <c r="F65" s="2">
        <v>96000</v>
      </c>
      <c r="G65" t="s">
        <v>17</v>
      </c>
      <c r="H65" s="2">
        <v>800.14</v>
      </c>
      <c r="I65" s="2">
        <v>95900.3</v>
      </c>
      <c r="J65">
        <v>9.8000000000000004E-2</v>
      </c>
      <c r="K65">
        <v>6</v>
      </c>
      <c r="L65">
        <v>354</v>
      </c>
      <c r="M65" t="str">
        <f t="shared" si="3"/>
        <v>30 Year Fixed</v>
      </c>
      <c r="N65" s="2">
        <v>783.19</v>
      </c>
      <c r="O65" t="str">
        <f t="shared" si="0"/>
        <v>Cash Out</v>
      </c>
      <c r="P65" s="3">
        <f t="shared" si="4"/>
        <v>4592.3108374384319</v>
      </c>
      <c r="Q65" s="4">
        <v>102000</v>
      </c>
      <c r="R65" s="4" t="s">
        <v>41</v>
      </c>
      <c r="S65" s="5">
        <v>616</v>
      </c>
      <c r="T65">
        <v>6.875</v>
      </c>
      <c r="U65" s="7">
        <f t="shared" si="1"/>
        <v>712.56738994902662</v>
      </c>
      <c r="V65" s="2">
        <f t="shared" si="5"/>
        <v>87.572610050973367</v>
      </c>
      <c r="W65" s="9">
        <f t="shared" si="6"/>
        <v>0</v>
      </c>
      <c r="X65" s="3">
        <v>102000</v>
      </c>
      <c r="Y65" s="3">
        <f t="shared" si="7"/>
        <v>4592.3108374384319</v>
      </c>
      <c r="Z65" s="7">
        <f t="shared" si="8"/>
        <v>712.56738994902662</v>
      </c>
      <c r="AA65" s="2">
        <f t="shared" si="2"/>
        <v>87.572610050973367</v>
      </c>
      <c r="AB65" s="8">
        <f t="shared" si="9"/>
        <v>0</v>
      </c>
      <c r="AC65" s="10">
        <v>7</v>
      </c>
      <c r="AD65" s="7">
        <f t="shared" si="10"/>
        <v>721.10854508276634</v>
      </c>
      <c r="AE65" s="2">
        <f t="shared" si="11"/>
        <v>79.031454917233646</v>
      </c>
      <c r="AF65" s="10">
        <v>0</v>
      </c>
      <c r="AG65" s="3">
        <f t="shared" si="12"/>
        <v>0</v>
      </c>
      <c r="AH65" s="7">
        <v>0</v>
      </c>
      <c r="AI65">
        <f t="shared" si="13"/>
        <v>360</v>
      </c>
      <c r="AJ65" t="e">
        <f>VLOOKUP(A65,'Borrower Details'!$A$1:$H$1493,8,FALSE)</f>
        <v>#N/A</v>
      </c>
      <c r="AK65" s="4" t="e">
        <f t="shared" si="14"/>
        <v>#N/A</v>
      </c>
      <c r="AL65" s="10">
        <v>6.875</v>
      </c>
      <c r="AM65" s="3">
        <f t="shared" si="15"/>
        <v>97338.804499999998</v>
      </c>
      <c r="AN65">
        <v>7</v>
      </c>
      <c r="AO65" s="7">
        <f t="shared" si="16"/>
        <v>688.15533032441988</v>
      </c>
      <c r="AP65" s="2">
        <f t="shared" si="17"/>
        <v>111.98466967558011</v>
      </c>
    </row>
    <row r="66" spans="1:42" x14ac:dyDescent="0.15">
      <c r="A66" s="8">
        <v>410810691</v>
      </c>
      <c r="B66" t="s">
        <v>36</v>
      </c>
      <c r="C66" t="s">
        <v>18</v>
      </c>
      <c r="D66" s="1">
        <v>39350</v>
      </c>
      <c r="E66" s="2">
        <v>204000</v>
      </c>
      <c r="F66" s="2">
        <v>163200</v>
      </c>
      <c r="G66" t="s">
        <v>17</v>
      </c>
      <c r="H66" s="2">
        <v>1408.14</v>
      </c>
      <c r="I66" s="2">
        <v>162659.51</v>
      </c>
      <c r="J66">
        <v>9.8000000000000004E-2</v>
      </c>
      <c r="K66">
        <v>7</v>
      </c>
      <c r="L66">
        <v>353</v>
      </c>
      <c r="M66" t="str">
        <f t="shared" si="3"/>
        <v>30 Year Fixed</v>
      </c>
      <c r="N66" s="2">
        <v>1328.39</v>
      </c>
      <c r="O66" t="str">
        <f t="shared" ref="O66:O129" si="18">IF((0.85*E66)&gt;(I66*1.015),"Cash Out","Refi")</f>
        <v>Cash Out</v>
      </c>
      <c r="P66" s="3">
        <f t="shared" si="4"/>
        <v>8177.9284236453241</v>
      </c>
      <c r="Q66" s="4">
        <v>173400</v>
      </c>
      <c r="R66" s="4" t="s">
        <v>41</v>
      </c>
      <c r="S66" s="5">
        <v>618</v>
      </c>
      <c r="T66">
        <v>6.875</v>
      </c>
      <c r="U66" s="7">
        <f t="shared" ref="U66:U129" si="19">(Q66*((T66/1200)/(1-(1+(T66/1200))^-AI66)))+((Q66*0.005)/12)</f>
        <v>1211.3645629133453</v>
      </c>
      <c r="V66" s="2">
        <f t="shared" si="5"/>
        <v>196.77543708665485</v>
      </c>
      <c r="W66" s="9">
        <f t="shared" si="6"/>
        <v>0</v>
      </c>
      <c r="X66" s="3">
        <v>173400</v>
      </c>
      <c r="Y66" s="3">
        <f t="shared" si="7"/>
        <v>8177.9284236453241</v>
      </c>
      <c r="Z66" s="7">
        <f t="shared" si="8"/>
        <v>1211.3645629133453</v>
      </c>
      <c r="AA66" s="2">
        <f t="shared" ref="AA66:AA129" si="20">H66-Z66</f>
        <v>196.77543708665485</v>
      </c>
      <c r="AB66" s="8">
        <f t="shared" si="9"/>
        <v>0</v>
      </c>
      <c r="AC66" s="10">
        <v>6.875</v>
      </c>
      <c r="AD66" s="7">
        <f t="shared" si="10"/>
        <v>1211.3645629133453</v>
      </c>
      <c r="AE66" s="2">
        <f t="shared" si="11"/>
        <v>196.77543708665485</v>
      </c>
      <c r="AF66" s="10">
        <v>0</v>
      </c>
      <c r="AG66" s="3">
        <f t="shared" si="12"/>
        <v>0</v>
      </c>
      <c r="AH66" s="7">
        <v>3264</v>
      </c>
      <c r="AI66">
        <f t="shared" si="13"/>
        <v>360</v>
      </c>
      <c r="AJ66" t="e">
        <f>VLOOKUP(A66,'Borrower Details'!$A$1:$H$1493,8,FALSE)</f>
        <v>#N/A</v>
      </c>
      <c r="AK66" s="4" t="e">
        <f t="shared" si="14"/>
        <v>#N/A</v>
      </c>
      <c r="AL66" s="10">
        <v>6.875</v>
      </c>
      <c r="AM66" s="3">
        <f t="shared" si="15"/>
        <v>165099.40265</v>
      </c>
      <c r="AN66">
        <v>6.875</v>
      </c>
      <c r="AO66" s="7">
        <f t="shared" si="16"/>
        <v>1153.3769649848423</v>
      </c>
      <c r="AP66" s="2">
        <f t="shared" si="17"/>
        <v>254.76303501515781</v>
      </c>
    </row>
    <row r="67" spans="1:42" x14ac:dyDescent="0.15">
      <c r="A67" s="8">
        <v>410232094</v>
      </c>
      <c r="B67" t="s">
        <v>36</v>
      </c>
      <c r="C67" t="s">
        <v>18</v>
      </c>
      <c r="D67" s="1">
        <v>39300</v>
      </c>
      <c r="E67" s="2">
        <v>327000</v>
      </c>
      <c r="F67" s="2">
        <v>245250</v>
      </c>
      <c r="G67" t="s">
        <v>15</v>
      </c>
      <c r="H67" s="2">
        <v>1791.02</v>
      </c>
      <c r="I67" s="2">
        <v>243888.84</v>
      </c>
      <c r="J67">
        <v>7.9500000000000001E-2</v>
      </c>
      <c r="K67">
        <v>8</v>
      </c>
      <c r="L67">
        <v>352</v>
      </c>
      <c r="M67" t="str">
        <f t="shared" ref="M67:M130" si="21">(IF((L67+K67)&lt;180,"15 Year Fixed","30 Year Fixed"))</f>
        <v>30 Year Fixed</v>
      </c>
      <c r="N67" s="2">
        <v>1615.76</v>
      </c>
      <c r="O67" t="str">
        <f t="shared" si="18"/>
        <v>Cash Out</v>
      </c>
      <c r="P67" s="3">
        <f t="shared" ref="P67:P130" si="22">IF((0.85*E67)&gt;(I67*1.015),((0.85*E67)/1.015)-(I67),0)</f>
        <v>29953.524532019714</v>
      </c>
      <c r="Q67" s="4">
        <v>277950</v>
      </c>
      <c r="R67" s="4" t="s">
        <v>41</v>
      </c>
      <c r="S67" s="5">
        <v>622</v>
      </c>
      <c r="T67">
        <v>6.75</v>
      </c>
      <c r="U67" s="7">
        <f t="shared" si="19"/>
        <v>1918.5909094113504</v>
      </c>
      <c r="V67" s="2">
        <f t="shared" ref="V67:V130" si="23">H67-U67</f>
        <v>-127.57090941135039</v>
      </c>
      <c r="W67" s="9">
        <f t="shared" ref="W67:W130" si="24">IF(AND(O67="Cash Out",V67&lt;0),1,0)</f>
        <v>1</v>
      </c>
      <c r="X67" s="3">
        <v>259390</v>
      </c>
      <c r="Y67" s="3">
        <f t="shared" ref="Y67:Y130" si="25">(X67/1.015)-(I67)</f>
        <v>11667.810246305453</v>
      </c>
      <c r="Z67" s="7">
        <f t="shared" ref="Z67:Z130" si="26">(X67*((AL67/1200)/(1-(1+(AL67/1200))^-AI67)))+((X67*0.005)/12)</f>
        <v>1790.4777693549565</v>
      </c>
      <c r="AA67" s="2">
        <f t="shared" si="20"/>
        <v>0.5422306450434462</v>
      </c>
      <c r="AB67" s="8">
        <f t="shared" ref="AB67:AB130" si="27">IF(I67=0,0,IF(AND(AH67&gt;0,(AP67/AO67)&lt;0.07),1,IF(AND(AH67=0,(AP67/AO67)&lt;0.1),1,0)))</f>
        <v>1</v>
      </c>
      <c r="AC67" s="10">
        <v>6.125</v>
      </c>
      <c r="AD67" s="7">
        <f t="shared" ref="AD67:AD130" si="28">(X67*((AC67/1200)/(1-(1+(AC67/1200))^-AI67)))+((X67*0.005)/12)</f>
        <v>1684.1601452850175</v>
      </c>
      <c r="AE67" s="2">
        <f t="shared" ref="AE67:AE130" si="29">H67-AD67</f>
        <v>106.85985471498248</v>
      </c>
      <c r="AF67" s="10">
        <v>3</v>
      </c>
      <c r="AG67" s="3">
        <f t="shared" ref="AG67:AG130" si="30">AF67*X67/100</f>
        <v>7781.7</v>
      </c>
      <c r="AH67" s="7">
        <v>4905</v>
      </c>
      <c r="AI67">
        <f t="shared" ref="AI67:AI130" si="31">IF(M67="30 Year Fixed",360,180)</f>
        <v>360</v>
      </c>
      <c r="AJ67" t="e">
        <f>VLOOKUP(A67,'Borrower Details'!$A$1:$H$1493,8,FALSE)</f>
        <v>#N/A</v>
      </c>
      <c r="AK67" s="4" t="e">
        <f t="shared" ref="AK67:AK130" si="32">IF(AJ67&gt;360,PV((J67/12),AJ67-AI67,-H67),"NA")</f>
        <v>#N/A</v>
      </c>
      <c r="AL67" s="10">
        <v>6.75</v>
      </c>
      <c r="AM67" s="3">
        <f t="shared" ref="AM67:AM130" si="33">I67*1.015</f>
        <v>247547.17259999996</v>
      </c>
      <c r="AN67">
        <v>6.75</v>
      </c>
      <c r="AO67" s="7">
        <f t="shared" ref="AO67:AO130" si="34">(AM67*((AN67/1200)/(1-(1+(AN67/1200))^-AI67)))+((AM67*0.005)/12)</f>
        <v>1708.7309048420307</v>
      </c>
      <c r="AP67" s="2">
        <f t="shared" ref="AP67:AP130" si="35">H67-AO67</f>
        <v>82.289095157969314</v>
      </c>
    </row>
    <row r="68" spans="1:42" x14ac:dyDescent="0.15">
      <c r="A68" s="8">
        <v>410377246</v>
      </c>
      <c r="B68" t="s">
        <v>38</v>
      </c>
      <c r="C68" t="s">
        <v>19</v>
      </c>
      <c r="D68" s="1">
        <v>39252</v>
      </c>
      <c r="E68" s="2">
        <v>165000</v>
      </c>
      <c r="F68" s="2">
        <v>132000</v>
      </c>
      <c r="G68" t="s">
        <v>20</v>
      </c>
      <c r="H68" s="2">
        <v>1043.17</v>
      </c>
      <c r="I68" s="2">
        <v>131223</v>
      </c>
      <c r="J68">
        <v>8.7999999999999995E-2</v>
      </c>
      <c r="K68">
        <v>10</v>
      </c>
      <c r="L68">
        <v>350</v>
      </c>
      <c r="M68" t="str">
        <f t="shared" si="21"/>
        <v>30 Year Fixed</v>
      </c>
      <c r="N68" s="2">
        <v>962.3</v>
      </c>
      <c r="O68" t="str">
        <f t="shared" si="18"/>
        <v>Cash Out</v>
      </c>
      <c r="P68" s="3">
        <f t="shared" si="22"/>
        <v>6954.3399014778552</v>
      </c>
      <c r="Q68" s="4">
        <v>140250</v>
      </c>
      <c r="R68" s="4" t="s">
        <v>41</v>
      </c>
      <c r="S68" s="5">
        <v>625</v>
      </c>
      <c r="T68">
        <v>6.75</v>
      </c>
      <c r="U68" s="7">
        <f t="shared" si="19"/>
        <v>968.09633043691986</v>
      </c>
      <c r="V68" s="2">
        <f t="shared" si="23"/>
        <v>75.073669563080216</v>
      </c>
      <c r="W68" s="9">
        <f t="shared" si="24"/>
        <v>0</v>
      </c>
      <c r="X68" s="3">
        <v>140250</v>
      </c>
      <c r="Y68" s="3">
        <f t="shared" si="25"/>
        <v>6954.3399014778552</v>
      </c>
      <c r="Z68" s="7">
        <f t="shared" si="26"/>
        <v>968.09633043691986</v>
      </c>
      <c r="AA68" s="2">
        <f t="shared" si="20"/>
        <v>75.073669563080216</v>
      </c>
      <c r="AB68" s="8">
        <f t="shared" si="27"/>
        <v>0</v>
      </c>
      <c r="AC68" s="10">
        <v>6.75</v>
      </c>
      <c r="AD68" s="7">
        <f t="shared" si="28"/>
        <v>968.09633043691986</v>
      </c>
      <c r="AE68" s="2">
        <f t="shared" si="29"/>
        <v>75.073669563080216</v>
      </c>
      <c r="AF68" s="10">
        <v>0</v>
      </c>
      <c r="AG68" s="3">
        <f t="shared" si="30"/>
        <v>0</v>
      </c>
      <c r="AH68" s="7">
        <v>0</v>
      </c>
      <c r="AI68">
        <f t="shared" si="31"/>
        <v>360</v>
      </c>
      <c r="AJ68" t="e">
        <f>VLOOKUP(A68,'Borrower Details'!$A$1:$H$1493,8,FALSE)</f>
        <v>#N/A</v>
      </c>
      <c r="AK68" s="4" t="e">
        <f t="shared" si="32"/>
        <v>#N/A</v>
      </c>
      <c r="AL68" s="10">
        <v>6.75</v>
      </c>
      <c r="AM68" s="3">
        <f t="shared" si="33"/>
        <v>133191.345</v>
      </c>
      <c r="AN68">
        <v>6.75</v>
      </c>
      <c r="AO68" s="7">
        <f t="shared" si="34"/>
        <v>919.37292221360292</v>
      </c>
      <c r="AP68" s="2">
        <f t="shared" si="35"/>
        <v>123.79707778639715</v>
      </c>
    </row>
    <row r="69" spans="1:42" x14ac:dyDescent="0.15">
      <c r="A69" s="8">
        <v>1141750</v>
      </c>
      <c r="B69" t="s">
        <v>36</v>
      </c>
      <c r="C69" t="s">
        <v>18</v>
      </c>
      <c r="D69" s="1">
        <v>39140</v>
      </c>
      <c r="E69" s="2">
        <v>258000</v>
      </c>
      <c r="F69" s="2">
        <v>160000</v>
      </c>
      <c r="G69" t="s">
        <v>15</v>
      </c>
      <c r="H69" s="2">
        <v>1063.4100000000001</v>
      </c>
      <c r="I69" s="2">
        <v>158010.57</v>
      </c>
      <c r="J69">
        <v>6.9900000000000004E-2</v>
      </c>
      <c r="K69">
        <v>14</v>
      </c>
      <c r="L69">
        <v>346</v>
      </c>
      <c r="M69" t="str">
        <f t="shared" si="21"/>
        <v>30 Year Fixed</v>
      </c>
      <c r="N69" s="2">
        <v>920.41</v>
      </c>
      <c r="O69" t="str">
        <f t="shared" si="18"/>
        <v>Cash Out</v>
      </c>
      <c r="P69" s="3">
        <f t="shared" si="22"/>
        <v>58048.543300492631</v>
      </c>
      <c r="Q69" s="4">
        <v>219300</v>
      </c>
      <c r="R69" s="4" t="s">
        <v>41</v>
      </c>
      <c r="S69" s="5">
        <v>626</v>
      </c>
      <c r="T69">
        <v>6.75</v>
      </c>
      <c r="U69" s="7">
        <f t="shared" si="19"/>
        <v>1513.7506257740929</v>
      </c>
      <c r="V69" s="2">
        <f t="shared" si="23"/>
        <v>-450.34062577409281</v>
      </c>
      <c r="W69" s="9">
        <f t="shared" si="24"/>
        <v>1</v>
      </c>
      <c r="X69" s="3">
        <v>160381</v>
      </c>
      <c r="Y69" s="3">
        <f t="shared" si="25"/>
        <v>0.26743842364521697</v>
      </c>
      <c r="Z69" s="7">
        <f t="shared" si="26"/>
        <v>1107.0535299237335</v>
      </c>
      <c r="AA69" s="2">
        <f t="shared" si="20"/>
        <v>-43.643529923733468</v>
      </c>
      <c r="AB69" s="8">
        <f t="shared" si="27"/>
        <v>1</v>
      </c>
      <c r="AC69" s="10">
        <v>6.125</v>
      </c>
      <c r="AD69" s="7">
        <f t="shared" si="28"/>
        <v>1041.3172761515725</v>
      </c>
      <c r="AE69" s="2">
        <f t="shared" si="29"/>
        <v>22.092723848427568</v>
      </c>
      <c r="AF69" s="10">
        <v>3</v>
      </c>
      <c r="AG69" s="3">
        <f t="shared" si="30"/>
        <v>4811.43</v>
      </c>
      <c r="AH69" s="7">
        <v>3200</v>
      </c>
      <c r="AI69">
        <f t="shared" si="31"/>
        <v>360</v>
      </c>
      <c r="AJ69" t="e">
        <f>VLOOKUP(A69,'Borrower Details'!$A$1:$H$1493,8,FALSE)</f>
        <v>#N/A</v>
      </c>
      <c r="AK69" s="4" t="e">
        <f t="shared" si="32"/>
        <v>#N/A</v>
      </c>
      <c r="AL69" s="10">
        <v>6.75</v>
      </c>
      <c r="AM69" s="3">
        <f t="shared" si="33"/>
        <v>160380.72855</v>
      </c>
      <c r="AN69">
        <v>6.75</v>
      </c>
      <c r="AO69" s="7">
        <f t="shared" si="34"/>
        <v>1107.0516562000339</v>
      </c>
      <c r="AP69" s="2">
        <f t="shared" si="35"/>
        <v>-43.641656200033822</v>
      </c>
    </row>
    <row r="70" spans="1:42" x14ac:dyDescent="0.15">
      <c r="A70" s="8">
        <v>410654289</v>
      </c>
      <c r="B70" t="s">
        <v>38</v>
      </c>
      <c r="C70" t="s">
        <v>18</v>
      </c>
      <c r="D70" s="1">
        <v>39294</v>
      </c>
      <c r="E70" s="2">
        <v>118000</v>
      </c>
      <c r="F70" s="2">
        <v>106200</v>
      </c>
      <c r="G70" t="s">
        <v>17</v>
      </c>
      <c r="H70" s="2">
        <v>896.87</v>
      </c>
      <c r="I70" s="2">
        <v>105689.48</v>
      </c>
      <c r="J70">
        <v>9.5500000000000002E-2</v>
      </c>
      <c r="K70">
        <v>9</v>
      </c>
      <c r="L70">
        <v>351</v>
      </c>
      <c r="M70" t="str">
        <f t="shared" si="21"/>
        <v>30 Year Fixed</v>
      </c>
      <c r="N70" s="2">
        <v>841.11</v>
      </c>
      <c r="O70" t="str">
        <f t="shared" si="18"/>
        <v>Refi</v>
      </c>
      <c r="P70" s="3">
        <f t="shared" si="22"/>
        <v>0</v>
      </c>
      <c r="Q70" s="4">
        <v>107275</v>
      </c>
      <c r="R70" s="4" t="s">
        <v>41</v>
      </c>
      <c r="S70" s="5">
        <v>627</v>
      </c>
      <c r="T70">
        <v>6.75</v>
      </c>
      <c r="U70" s="7">
        <f t="shared" si="19"/>
        <v>740.48152476021801</v>
      </c>
      <c r="V70" s="2">
        <f t="shared" si="23"/>
        <v>156.388475239782</v>
      </c>
      <c r="W70" s="9">
        <f t="shared" si="24"/>
        <v>0</v>
      </c>
      <c r="X70" s="3">
        <v>107275</v>
      </c>
      <c r="Y70" s="3">
        <f t="shared" si="25"/>
        <v>0.17517241380119231</v>
      </c>
      <c r="Z70" s="7">
        <f t="shared" si="26"/>
        <v>740.48152476021801</v>
      </c>
      <c r="AA70" s="2">
        <f t="shared" si="20"/>
        <v>156.388475239782</v>
      </c>
      <c r="AB70" s="8">
        <f t="shared" si="27"/>
        <v>0</v>
      </c>
      <c r="AC70" s="10">
        <v>6.75</v>
      </c>
      <c r="AD70" s="7">
        <f t="shared" si="28"/>
        <v>740.48152476021801</v>
      </c>
      <c r="AE70" s="2">
        <f t="shared" si="29"/>
        <v>156.388475239782</v>
      </c>
      <c r="AF70" s="10">
        <v>0</v>
      </c>
      <c r="AG70" s="3">
        <f t="shared" si="30"/>
        <v>0</v>
      </c>
      <c r="AH70" s="7">
        <v>0</v>
      </c>
      <c r="AI70">
        <f t="shared" si="31"/>
        <v>360</v>
      </c>
      <c r="AJ70" t="e">
        <f>VLOOKUP(A70,'Borrower Details'!$A$1:$H$1493,8,FALSE)</f>
        <v>#N/A</v>
      </c>
      <c r="AK70" s="4" t="e">
        <f t="shared" si="32"/>
        <v>#N/A</v>
      </c>
      <c r="AL70" s="10">
        <v>6.75</v>
      </c>
      <c r="AM70" s="3">
        <f t="shared" si="33"/>
        <v>107274.82219999998</v>
      </c>
      <c r="AN70">
        <v>6.75</v>
      </c>
      <c r="AO70" s="7">
        <f t="shared" si="34"/>
        <v>740.48029746946884</v>
      </c>
      <c r="AP70" s="2">
        <f t="shared" si="35"/>
        <v>156.38970253053117</v>
      </c>
    </row>
    <row r="71" spans="1:42" x14ac:dyDescent="0.15">
      <c r="A71" s="8">
        <v>410375216</v>
      </c>
      <c r="B71" t="s">
        <v>36</v>
      </c>
      <c r="C71" t="s">
        <v>19</v>
      </c>
      <c r="D71" s="1">
        <v>39245</v>
      </c>
      <c r="E71" s="2">
        <v>159000</v>
      </c>
      <c r="F71" s="2">
        <v>105000</v>
      </c>
      <c r="G71" t="s">
        <v>17</v>
      </c>
      <c r="H71" s="2">
        <v>726.15</v>
      </c>
      <c r="I71" s="2">
        <v>104708.27</v>
      </c>
      <c r="J71">
        <v>7.9500000000000001E-2</v>
      </c>
      <c r="K71">
        <v>10</v>
      </c>
      <c r="L71">
        <v>351</v>
      </c>
      <c r="M71" t="str">
        <f t="shared" si="21"/>
        <v>30 Year Fixed</v>
      </c>
      <c r="N71" s="2">
        <v>693.69</v>
      </c>
      <c r="O71" t="str">
        <f t="shared" si="18"/>
        <v>Cash Out</v>
      </c>
      <c r="P71" s="3">
        <f t="shared" si="22"/>
        <v>28444.439359605909</v>
      </c>
      <c r="Q71" s="4">
        <v>135150</v>
      </c>
      <c r="R71" s="4" t="s">
        <v>41</v>
      </c>
      <c r="S71" s="5">
        <v>629</v>
      </c>
      <c r="T71">
        <v>6.75</v>
      </c>
      <c r="U71" s="7">
        <f t="shared" si="19"/>
        <v>932.89282751194094</v>
      </c>
      <c r="V71" s="2">
        <f t="shared" si="23"/>
        <v>-206.74282751194096</v>
      </c>
      <c r="W71" s="9">
        <f t="shared" si="24"/>
        <v>1</v>
      </c>
      <c r="X71" s="3">
        <v>106279</v>
      </c>
      <c r="Y71" s="3">
        <f t="shared" si="25"/>
        <v>0.10438423645973671</v>
      </c>
      <c r="Z71" s="7">
        <f t="shared" si="26"/>
        <v>733.60648771839863</v>
      </c>
      <c r="AA71" s="2">
        <f t="shared" si="20"/>
        <v>-7.4564877183986482</v>
      </c>
      <c r="AB71" s="8">
        <f t="shared" si="27"/>
        <v>1</v>
      </c>
      <c r="AC71" s="10">
        <v>6.125</v>
      </c>
      <c r="AD71" s="7">
        <f t="shared" si="28"/>
        <v>690.04532202762778</v>
      </c>
      <c r="AE71" s="2">
        <f t="shared" si="29"/>
        <v>36.104677972372201</v>
      </c>
      <c r="AF71" s="10">
        <v>3</v>
      </c>
      <c r="AG71" s="3">
        <f t="shared" si="30"/>
        <v>3188.37</v>
      </c>
      <c r="AH71" s="7">
        <v>2100</v>
      </c>
      <c r="AI71">
        <f t="shared" si="31"/>
        <v>360</v>
      </c>
      <c r="AJ71" t="e">
        <f>VLOOKUP(A71,'Borrower Details'!$A$1:$H$1493,8,FALSE)</f>
        <v>#N/A</v>
      </c>
      <c r="AK71" s="4" t="e">
        <f t="shared" si="32"/>
        <v>#N/A</v>
      </c>
      <c r="AL71" s="10">
        <v>6.75</v>
      </c>
      <c r="AM71" s="3">
        <f t="shared" si="33"/>
        <v>106278.89404999999</v>
      </c>
      <c r="AN71">
        <v>6.75</v>
      </c>
      <c r="AO71" s="7">
        <f t="shared" si="34"/>
        <v>733.60575638288185</v>
      </c>
      <c r="AP71" s="2">
        <f t="shared" si="35"/>
        <v>-7.4557563828818729</v>
      </c>
    </row>
    <row r="72" spans="1:42" x14ac:dyDescent="0.15">
      <c r="A72" s="8">
        <v>410306062</v>
      </c>
      <c r="B72" t="s">
        <v>37</v>
      </c>
      <c r="C72" t="s">
        <v>19</v>
      </c>
      <c r="D72" s="1">
        <v>39233</v>
      </c>
      <c r="E72" s="2">
        <v>118000</v>
      </c>
      <c r="F72" s="2">
        <v>112100</v>
      </c>
      <c r="G72" t="s">
        <v>17</v>
      </c>
      <c r="H72" s="2">
        <v>1110.1199999999999</v>
      </c>
      <c r="I72" s="2">
        <v>111455.09</v>
      </c>
      <c r="J72">
        <v>0.115</v>
      </c>
      <c r="K72">
        <v>11</v>
      </c>
      <c r="L72">
        <v>349</v>
      </c>
      <c r="M72" t="str">
        <f t="shared" si="21"/>
        <v>30 Year Fixed</v>
      </c>
      <c r="N72" s="2">
        <v>1068.1099999999999</v>
      </c>
      <c r="O72" t="str">
        <f t="shared" si="18"/>
        <v>Refi</v>
      </c>
      <c r="P72" s="3">
        <f t="shared" si="22"/>
        <v>0</v>
      </c>
      <c r="Q72" s="4">
        <v>113127</v>
      </c>
      <c r="R72" s="4" t="s">
        <v>41</v>
      </c>
      <c r="S72" s="5">
        <v>630</v>
      </c>
      <c r="T72">
        <v>6.75</v>
      </c>
      <c r="U72" s="7">
        <f t="shared" si="19"/>
        <v>780.8758187047232</v>
      </c>
      <c r="V72" s="2">
        <f t="shared" si="23"/>
        <v>329.24418129527669</v>
      </c>
      <c r="W72" s="9">
        <f t="shared" si="24"/>
        <v>0</v>
      </c>
      <c r="X72" s="3">
        <v>113127</v>
      </c>
      <c r="Y72" s="3">
        <f t="shared" si="25"/>
        <v>8.241379311948549E-2</v>
      </c>
      <c r="Z72" s="7">
        <f t="shared" si="26"/>
        <v>780.8758187047232</v>
      </c>
      <c r="AA72" s="2">
        <f t="shared" si="20"/>
        <v>329.24418129527669</v>
      </c>
      <c r="AB72" s="8">
        <f t="shared" si="27"/>
        <v>0</v>
      </c>
      <c r="AC72" s="10">
        <v>6.75</v>
      </c>
      <c r="AD72" s="7">
        <f t="shared" si="28"/>
        <v>780.8758187047232</v>
      </c>
      <c r="AE72" s="2">
        <f t="shared" si="29"/>
        <v>329.24418129527669</v>
      </c>
      <c r="AF72" s="10">
        <v>0</v>
      </c>
      <c r="AG72" s="3">
        <f t="shared" si="30"/>
        <v>0</v>
      </c>
      <c r="AH72" s="7">
        <v>0</v>
      </c>
      <c r="AI72">
        <f t="shared" si="31"/>
        <v>360</v>
      </c>
      <c r="AJ72" t="e">
        <f>VLOOKUP(A72,'Borrower Details'!$A$1:$H$1493,8,FALSE)</f>
        <v>#N/A</v>
      </c>
      <c r="AK72" s="4" t="e">
        <f t="shared" si="32"/>
        <v>#N/A</v>
      </c>
      <c r="AL72" s="10">
        <v>6.75</v>
      </c>
      <c r="AM72" s="3">
        <f t="shared" si="33"/>
        <v>113126.91634999998</v>
      </c>
      <c r="AN72">
        <v>6.75</v>
      </c>
      <c r="AO72" s="7">
        <f t="shared" si="34"/>
        <v>780.87524129824874</v>
      </c>
      <c r="AP72" s="2">
        <f t="shared" si="35"/>
        <v>329.24475870175115</v>
      </c>
    </row>
    <row r="73" spans="1:42" x14ac:dyDescent="0.15">
      <c r="A73" s="8">
        <v>410701296</v>
      </c>
      <c r="B73" t="s">
        <v>36</v>
      </c>
      <c r="C73" t="s">
        <v>19</v>
      </c>
      <c r="D73" s="1">
        <v>39294</v>
      </c>
      <c r="E73" s="2">
        <v>160000</v>
      </c>
      <c r="F73" s="2">
        <v>152000</v>
      </c>
      <c r="G73" t="s">
        <v>17</v>
      </c>
      <c r="H73" s="2">
        <v>1332.79</v>
      </c>
      <c r="I73" s="2">
        <v>151372.89000000001</v>
      </c>
      <c r="J73">
        <v>9.9900000000000003E-2</v>
      </c>
      <c r="K73">
        <v>9</v>
      </c>
      <c r="L73">
        <v>351</v>
      </c>
      <c r="M73" t="str">
        <f t="shared" si="21"/>
        <v>30 Year Fixed</v>
      </c>
      <c r="N73" s="2">
        <v>1260.18</v>
      </c>
      <c r="O73" t="str">
        <f t="shared" si="18"/>
        <v>Refi</v>
      </c>
      <c r="P73" s="3">
        <f t="shared" si="22"/>
        <v>0</v>
      </c>
      <c r="Q73" s="4">
        <v>153643</v>
      </c>
      <c r="R73" s="4" t="s">
        <v>41</v>
      </c>
      <c r="S73" s="5">
        <v>632</v>
      </c>
      <c r="T73">
        <v>6.75</v>
      </c>
      <c r="U73" s="7">
        <f t="shared" si="19"/>
        <v>1060.5434901769675</v>
      </c>
      <c r="V73" s="2">
        <f t="shared" si="23"/>
        <v>272.24650982303251</v>
      </c>
      <c r="W73" s="9">
        <f t="shared" si="24"/>
        <v>0</v>
      </c>
      <c r="X73" s="3">
        <v>153644</v>
      </c>
      <c r="Y73" s="3">
        <f t="shared" si="25"/>
        <v>0.50901477833394893</v>
      </c>
      <c r="Z73" s="7">
        <f t="shared" si="26"/>
        <v>1060.5503928245998</v>
      </c>
      <c r="AA73" s="2">
        <f t="shared" si="20"/>
        <v>272.23960717540012</v>
      </c>
      <c r="AB73" s="8">
        <f t="shared" si="27"/>
        <v>0</v>
      </c>
      <c r="AC73" s="10">
        <v>6.75</v>
      </c>
      <c r="AD73" s="7">
        <f t="shared" si="28"/>
        <v>1060.5503928245998</v>
      </c>
      <c r="AE73" s="2">
        <f t="shared" si="29"/>
        <v>272.23960717540012</v>
      </c>
      <c r="AF73" s="10">
        <v>0</v>
      </c>
      <c r="AG73" s="3">
        <f t="shared" si="30"/>
        <v>0</v>
      </c>
      <c r="AH73" s="7">
        <v>3040</v>
      </c>
      <c r="AI73">
        <f t="shared" si="31"/>
        <v>360</v>
      </c>
      <c r="AJ73" t="e">
        <f>VLOOKUP(A73,'Borrower Details'!$A$1:$H$1493,8,FALSE)</f>
        <v>#N/A</v>
      </c>
      <c r="AK73" s="4" t="e">
        <f t="shared" si="32"/>
        <v>#N/A</v>
      </c>
      <c r="AL73" s="10">
        <v>6.75</v>
      </c>
      <c r="AM73" s="3">
        <f t="shared" si="33"/>
        <v>153643.48334999999</v>
      </c>
      <c r="AN73">
        <v>6.75</v>
      </c>
      <c r="AO73" s="7">
        <f t="shared" si="34"/>
        <v>1060.5468265717004</v>
      </c>
      <c r="AP73" s="2">
        <f t="shared" si="35"/>
        <v>272.24317342829954</v>
      </c>
    </row>
    <row r="74" spans="1:42" x14ac:dyDescent="0.15">
      <c r="A74" s="8">
        <v>410213029</v>
      </c>
      <c r="B74" t="s">
        <v>36</v>
      </c>
      <c r="C74" t="s">
        <v>19</v>
      </c>
      <c r="D74" s="1">
        <v>39223</v>
      </c>
      <c r="E74" s="2">
        <v>170000</v>
      </c>
      <c r="F74" s="2">
        <v>153000</v>
      </c>
      <c r="G74" t="s">
        <v>15</v>
      </c>
      <c r="H74" s="2">
        <v>1275.3599999999999</v>
      </c>
      <c r="I74" s="2">
        <v>152116.51</v>
      </c>
      <c r="J74">
        <v>9.4E-2</v>
      </c>
      <c r="K74">
        <v>11</v>
      </c>
      <c r="L74">
        <v>349</v>
      </c>
      <c r="M74" t="str">
        <f t="shared" si="21"/>
        <v>30 Year Fixed</v>
      </c>
      <c r="N74" s="2">
        <v>1191.58</v>
      </c>
      <c r="O74" t="str">
        <f t="shared" si="18"/>
        <v>Refi</v>
      </c>
      <c r="P74" s="3">
        <f t="shared" si="22"/>
        <v>0</v>
      </c>
      <c r="Q74" s="4">
        <v>154398</v>
      </c>
      <c r="R74" s="4" t="s">
        <v>41</v>
      </c>
      <c r="S74" s="5">
        <v>632</v>
      </c>
      <c r="T74">
        <v>6.75</v>
      </c>
      <c r="U74" s="7">
        <f t="shared" si="19"/>
        <v>1065.7549891393908</v>
      </c>
      <c r="V74" s="2">
        <f t="shared" si="23"/>
        <v>209.60501086060913</v>
      </c>
      <c r="W74" s="9">
        <f t="shared" si="24"/>
        <v>0</v>
      </c>
      <c r="X74" s="3">
        <v>154399</v>
      </c>
      <c r="Y74" s="3">
        <f t="shared" si="25"/>
        <v>0.7313793103385251</v>
      </c>
      <c r="Z74" s="7">
        <f t="shared" si="26"/>
        <v>1065.7618917870232</v>
      </c>
      <c r="AA74" s="2">
        <f t="shared" si="20"/>
        <v>209.59810821297674</v>
      </c>
      <c r="AB74" s="8">
        <f t="shared" si="27"/>
        <v>0</v>
      </c>
      <c r="AC74" s="10">
        <v>6.75</v>
      </c>
      <c r="AD74" s="7">
        <f t="shared" si="28"/>
        <v>1065.7618917870232</v>
      </c>
      <c r="AE74" s="2">
        <f t="shared" si="29"/>
        <v>209.59810821297674</v>
      </c>
      <c r="AF74" s="10">
        <v>0</v>
      </c>
      <c r="AG74" s="3">
        <f t="shared" si="30"/>
        <v>0</v>
      </c>
      <c r="AH74" s="7">
        <v>3060</v>
      </c>
      <c r="AI74">
        <f t="shared" si="31"/>
        <v>360</v>
      </c>
      <c r="AJ74" t="e">
        <f>VLOOKUP(A74,'Borrower Details'!$A$1:$H$1493,8,FALSE)</f>
        <v>#N/A</v>
      </c>
      <c r="AK74" s="4" t="e">
        <f t="shared" si="32"/>
        <v>#N/A</v>
      </c>
      <c r="AL74" s="10">
        <v>6.75</v>
      </c>
      <c r="AM74" s="3">
        <f t="shared" si="33"/>
        <v>154398.25764999999</v>
      </c>
      <c r="AN74">
        <v>6.75</v>
      </c>
      <c r="AO74" s="7">
        <f t="shared" si="34"/>
        <v>1065.7567676065532</v>
      </c>
      <c r="AP74" s="2">
        <f t="shared" si="35"/>
        <v>209.60323239344666</v>
      </c>
    </row>
    <row r="75" spans="1:42" x14ac:dyDescent="0.15">
      <c r="A75" s="8">
        <v>411291388</v>
      </c>
      <c r="B75" t="s">
        <v>37</v>
      </c>
      <c r="C75" t="s">
        <v>18</v>
      </c>
      <c r="D75" s="1">
        <v>39491</v>
      </c>
      <c r="E75" s="2">
        <v>282000</v>
      </c>
      <c r="F75" s="2">
        <v>225600</v>
      </c>
      <c r="G75" t="s">
        <v>17</v>
      </c>
      <c r="H75" s="2">
        <v>1921.71</v>
      </c>
      <c r="I75" s="2">
        <v>225274.87</v>
      </c>
      <c r="J75">
        <v>9.6500000000000002E-2</v>
      </c>
      <c r="K75">
        <v>2</v>
      </c>
      <c r="L75">
        <v>357</v>
      </c>
      <c r="M75" t="str">
        <f t="shared" si="21"/>
        <v>30 Year Fixed</v>
      </c>
      <c r="N75" s="2">
        <v>1812.46</v>
      </c>
      <c r="O75" t="str">
        <f t="shared" si="18"/>
        <v>Cash Out</v>
      </c>
      <c r="P75" s="3">
        <f t="shared" si="22"/>
        <v>10882.765467980324</v>
      </c>
      <c r="Q75" s="4">
        <v>239700</v>
      </c>
      <c r="R75" s="4" t="s">
        <v>41</v>
      </c>
      <c r="S75" s="5">
        <v>637</v>
      </c>
      <c r="T75">
        <v>6.75</v>
      </c>
      <c r="U75" s="7">
        <f t="shared" si="19"/>
        <v>1654.5646374740086</v>
      </c>
      <c r="V75" s="2">
        <f t="shared" si="23"/>
        <v>267.14536252599146</v>
      </c>
      <c r="W75" s="9">
        <f t="shared" si="24"/>
        <v>0</v>
      </c>
      <c r="X75" s="3">
        <v>239700</v>
      </c>
      <c r="Y75" s="3">
        <f t="shared" si="25"/>
        <v>10882.765467980324</v>
      </c>
      <c r="Z75" s="7">
        <f t="shared" si="26"/>
        <v>1654.5646374740086</v>
      </c>
      <c r="AA75" s="2">
        <f t="shared" si="20"/>
        <v>267.14536252599146</v>
      </c>
      <c r="AB75" s="8">
        <f t="shared" si="27"/>
        <v>0</v>
      </c>
      <c r="AC75" s="10">
        <v>6.75</v>
      </c>
      <c r="AD75" s="7">
        <f t="shared" si="28"/>
        <v>1654.5646374740086</v>
      </c>
      <c r="AE75" s="2">
        <f t="shared" si="29"/>
        <v>267.14536252599146</v>
      </c>
      <c r="AF75" s="10">
        <v>0</v>
      </c>
      <c r="AG75" s="3">
        <f t="shared" si="30"/>
        <v>0</v>
      </c>
      <c r="AH75" s="7">
        <v>0</v>
      </c>
      <c r="AI75">
        <f t="shared" si="31"/>
        <v>360</v>
      </c>
      <c r="AJ75" t="e">
        <f>VLOOKUP(A75,'Borrower Details'!$A$1:$H$1493,8,FALSE)</f>
        <v>#N/A</v>
      </c>
      <c r="AK75" s="4" t="e">
        <f t="shared" si="32"/>
        <v>#N/A</v>
      </c>
      <c r="AL75" s="10">
        <v>6.75</v>
      </c>
      <c r="AM75" s="3">
        <f t="shared" si="33"/>
        <v>228653.99304999996</v>
      </c>
      <c r="AN75">
        <v>6.75</v>
      </c>
      <c r="AO75" s="7">
        <f t="shared" si="34"/>
        <v>1578.3179437536824</v>
      </c>
      <c r="AP75" s="2">
        <f t="shared" si="35"/>
        <v>343.39205624631768</v>
      </c>
    </row>
    <row r="76" spans="1:42" x14ac:dyDescent="0.15">
      <c r="A76" s="8">
        <v>1178015</v>
      </c>
      <c r="B76" t="s">
        <v>36</v>
      </c>
      <c r="C76" t="s">
        <v>18</v>
      </c>
      <c r="D76" s="1">
        <v>39174</v>
      </c>
      <c r="E76" s="2">
        <v>139000</v>
      </c>
      <c r="F76" s="2">
        <v>132050</v>
      </c>
      <c r="G76" t="s">
        <v>15</v>
      </c>
      <c r="H76" s="2">
        <v>1044.07</v>
      </c>
      <c r="I76" s="2">
        <v>131928.73000000001</v>
      </c>
      <c r="J76">
        <v>9.4E-2</v>
      </c>
      <c r="K76">
        <v>12</v>
      </c>
      <c r="L76">
        <v>348</v>
      </c>
      <c r="M76" t="str">
        <f t="shared" si="21"/>
        <v>30 Year Fixed</v>
      </c>
      <c r="N76" s="2">
        <v>1033.44</v>
      </c>
      <c r="O76" t="str">
        <f t="shared" si="18"/>
        <v>Refi</v>
      </c>
      <c r="P76" s="3">
        <f t="shared" si="22"/>
        <v>0</v>
      </c>
      <c r="Q76" s="4">
        <v>133908</v>
      </c>
      <c r="R76" s="4" t="s">
        <v>41</v>
      </c>
      <c r="S76" s="5">
        <v>638</v>
      </c>
      <c r="T76">
        <v>6.75</v>
      </c>
      <c r="U76" s="7">
        <f t="shared" si="19"/>
        <v>924.31973915256367</v>
      </c>
      <c r="V76" s="2">
        <f t="shared" si="23"/>
        <v>119.75026084743627</v>
      </c>
      <c r="W76" s="9">
        <f t="shared" si="24"/>
        <v>0</v>
      </c>
      <c r="X76" s="3">
        <v>133908</v>
      </c>
      <c r="Y76" s="3">
        <f t="shared" si="25"/>
        <v>0.33403940885909833</v>
      </c>
      <c r="Z76" s="7">
        <f t="shared" si="26"/>
        <v>924.31973915256367</v>
      </c>
      <c r="AA76" s="2">
        <f t="shared" si="20"/>
        <v>119.75026084743627</v>
      </c>
      <c r="AB76" s="8">
        <f t="shared" si="27"/>
        <v>0</v>
      </c>
      <c r="AC76" s="10">
        <v>6.75</v>
      </c>
      <c r="AD76" s="7">
        <f t="shared" si="28"/>
        <v>924.31973915256367</v>
      </c>
      <c r="AE76" s="2">
        <f t="shared" si="29"/>
        <v>119.75026084743627</v>
      </c>
      <c r="AF76" s="10">
        <v>0</v>
      </c>
      <c r="AG76" s="3">
        <f t="shared" si="30"/>
        <v>0</v>
      </c>
      <c r="AH76" s="7">
        <v>2641</v>
      </c>
      <c r="AI76">
        <f t="shared" si="31"/>
        <v>360</v>
      </c>
      <c r="AJ76" t="e">
        <f>VLOOKUP(A76,'Borrower Details'!$A$1:$H$1493,8,FALSE)</f>
        <v>#N/A</v>
      </c>
      <c r="AK76" s="4" t="e">
        <f t="shared" si="32"/>
        <v>#N/A</v>
      </c>
      <c r="AL76" s="10">
        <v>6.75</v>
      </c>
      <c r="AM76" s="3">
        <f t="shared" si="33"/>
        <v>133907.66094999999</v>
      </c>
      <c r="AN76">
        <v>6.75</v>
      </c>
      <c r="AO76" s="7">
        <f t="shared" si="34"/>
        <v>924.31739880988391</v>
      </c>
      <c r="AP76" s="2">
        <f t="shared" si="35"/>
        <v>119.75260119011602</v>
      </c>
    </row>
    <row r="77" spans="1:42" x14ac:dyDescent="0.15">
      <c r="A77" s="8">
        <v>410191746</v>
      </c>
      <c r="B77" t="s">
        <v>36</v>
      </c>
      <c r="C77" t="s">
        <v>18</v>
      </c>
      <c r="D77" s="1">
        <v>39210</v>
      </c>
      <c r="E77" s="2">
        <v>290000</v>
      </c>
      <c r="F77" s="2">
        <v>174000</v>
      </c>
      <c r="G77" t="s">
        <v>17</v>
      </c>
      <c r="H77" s="2">
        <v>1307.21</v>
      </c>
      <c r="I77" s="2">
        <v>172736.61</v>
      </c>
      <c r="J77">
        <v>8.2500000000000004E-2</v>
      </c>
      <c r="K77">
        <v>11</v>
      </c>
      <c r="L77">
        <v>349</v>
      </c>
      <c r="M77" t="str">
        <f t="shared" si="21"/>
        <v>30 Year Fixed</v>
      </c>
      <c r="N77" s="2">
        <v>1187.56</v>
      </c>
      <c r="O77" t="str">
        <f t="shared" si="18"/>
        <v>Cash Out</v>
      </c>
      <c r="P77" s="3">
        <f t="shared" si="22"/>
        <v>70120.532857142884</v>
      </c>
      <c r="Q77" s="4">
        <v>246500</v>
      </c>
      <c r="R77" s="4" t="s">
        <v>41</v>
      </c>
      <c r="S77" s="5">
        <v>640</v>
      </c>
      <c r="T77">
        <v>6.75</v>
      </c>
      <c r="U77" s="7">
        <f t="shared" si="19"/>
        <v>1701.5026413739804</v>
      </c>
      <c r="V77" s="2">
        <f t="shared" si="23"/>
        <v>-394.29264137398036</v>
      </c>
      <c r="W77" s="9">
        <f t="shared" si="24"/>
        <v>1</v>
      </c>
      <c r="X77" s="3">
        <v>189300</v>
      </c>
      <c r="Y77" s="3">
        <f t="shared" si="25"/>
        <v>13765.853054187231</v>
      </c>
      <c r="Z77" s="7">
        <f t="shared" si="26"/>
        <v>1306.6711968036288</v>
      </c>
      <c r="AA77" s="2">
        <f t="shared" si="20"/>
        <v>0.53880319637119101</v>
      </c>
      <c r="AB77" s="8">
        <f t="shared" si="27"/>
        <v>0</v>
      </c>
      <c r="AC77" s="10">
        <v>6.75</v>
      </c>
      <c r="AD77" s="7">
        <f t="shared" si="28"/>
        <v>1306.6711968036288</v>
      </c>
      <c r="AE77" s="2">
        <f t="shared" si="29"/>
        <v>0.53880319637119101</v>
      </c>
      <c r="AF77" s="10">
        <v>0</v>
      </c>
      <c r="AG77" s="3">
        <f t="shared" si="30"/>
        <v>0</v>
      </c>
      <c r="AH77" s="7">
        <v>3480</v>
      </c>
      <c r="AI77">
        <f t="shared" si="31"/>
        <v>360</v>
      </c>
      <c r="AJ77" t="e">
        <f>VLOOKUP(A77,'Borrower Details'!$A$1:$H$1493,8,FALSE)</f>
        <v>#N/A</v>
      </c>
      <c r="AK77" s="4" t="e">
        <f t="shared" si="32"/>
        <v>#N/A</v>
      </c>
      <c r="AL77" s="10">
        <v>6.75</v>
      </c>
      <c r="AM77" s="3">
        <f t="shared" si="33"/>
        <v>175327.65914999996</v>
      </c>
      <c r="AN77">
        <v>6.75</v>
      </c>
      <c r="AO77" s="7">
        <f t="shared" si="34"/>
        <v>1210.2250513170056</v>
      </c>
      <c r="AP77" s="2">
        <f t="shared" si="35"/>
        <v>96.9849486829944</v>
      </c>
    </row>
    <row r="78" spans="1:42" x14ac:dyDescent="0.15">
      <c r="A78" s="8">
        <v>1162316</v>
      </c>
      <c r="B78" t="s">
        <v>38</v>
      </c>
      <c r="C78" t="s">
        <v>18</v>
      </c>
      <c r="D78" s="1">
        <v>39157</v>
      </c>
      <c r="E78" s="2">
        <v>177000</v>
      </c>
      <c r="F78" s="2">
        <v>159300</v>
      </c>
      <c r="G78" t="s">
        <v>17</v>
      </c>
      <c r="H78" s="2">
        <v>1163.3399999999999</v>
      </c>
      <c r="I78" s="2">
        <v>157839.12</v>
      </c>
      <c r="J78">
        <v>7.9500000000000001E-2</v>
      </c>
      <c r="K78">
        <v>13</v>
      </c>
      <c r="L78">
        <v>347</v>
      </c>
      <c r="M78" t="str">
        <f t="shared" si="21"/>
        <v>30 Year Fixed</v>
      </c>
      <c r="N78" s="2">
        <v>1045.68</v>
      </c>
      <c r="O78" t="str">
        <f t="shared" si="18"/>
        <v>Refi</v>
      </c>
      <c r="P78" s="3">
        <f t="shared" si="22"/>
        <v>0</v>
      </c>
      <c r="Q78" s="4">
        <v>160207</v>
      </c>
      <c r="R78" s="4" t="s">
        <v>41</v>
      </c>
      <c r="S78" s="5">
        <v>641</v>
      </c>
      <c r="T78">
        <v>6.75</v>
      </c>
      <c r="U78" s="7">
        <f t="shared" si="19"/>
        <v>1105.8524692357048</v>
      </c>
      <c r="V78" s="2">
        <f t="shared" si="23"/>
        <v>57.487530764295116</v>
      </c>
      <c r="W78" s="9">
        <f t="shared" si="24"/>
        <v>0</v>
      </c>
      <c r="X78" s="3">
        <v>160207</v>
      </c>
      <c r="Y78" s="3">
        <f t="shared" si="25"/>
        <v>0.28886699510621838</v>
      </c>
      <c r="Z78" s="7">
        <f t="shared" si="26"/>
        <v>1105.8524692357048</v>
      </c>
      <c r="AA78" s="2">
        <f t="shared" si="20"/>
        <v>57.487530764295116</v>
      </c>
      <c r="AB78" s="8">
        <f t="shared" si="27"/>
        <v>1</v>
      </c>
      <c r="AC78" s="10">
        <v>6.125</v>
      </c>
      <c r="AD78" s="7">
        <f t="shared" si="28"/>
        <v>1040.187533812702</v>
      </c>
      <c r="AE78" s="2">
        <f t="shared" si="29"/>
        <v>123.15246618729793</v>
      </c>
      <c r="AF78" s="10">
        <v>3</v>
      </c>
      <c r="AG78" s="3">
        <f t="shared" si="30"/>
        <v>4806.21</v>
      </c>
      <c r="AH78" s="7">
        <v>0</v>
      </c>
      <c r="AI78">
        <f t="shared" si="31"/>
        <v>360</v>
      </c>
      <c r="AJ78" t="e">
        <f>VLOOKUP(A78,'Borrower Details'!$A$1:$H$1493,8,FALSE)</f>
        <v>#N/A</v>
      </c>
      <c r="AK78" s="4" t="e">
        <f t="shared" si="32"/>
        <v>#N/A</v>
      </c>
      <c r="AL78" s="10">
        <v>6.75</v>
      </c>
      <c r="AM78" s="3">
        <f t="shared" si="33"/>
        <v>160206.70679999999</v>
      </c>
      <c r="AN78">
        <v>6.75</v>
      </c>
      <c r="AO78" s="7">
        <f t="shared" si="34"/>
        <v>1105.8504453794189</v>
      </c>
      <c r="AP78" s="2">
        <f t="shared" si="35"/>
        <v>57.489554620580975</v>
      </c>
    </row>
    <row r="79" spans="1:42" x14ac:dyDescent="0.15">
      <c r="A79" s="8">
        <v>410391908</v>
      </c>
      <c r="B79" t="s">
        <v>37</v>
      </c>
      <c r="C79" t="s">
        <v>19</v>
      </c>
      <c r="D79" s="1">
        <v>39259</v>
      </c>
      <c r="E79" s="2">
        <v>132000</v>
      </c>
      <c r="F79" s="2">
        <v>118800</v>
      </c>
      <c r="G79" t="s">
        <v>17</v>
      </c>
      <c r="H79" s="2">
        <v>951.63</v>
      </c>
      <c r="I79" s="2">
        <v>118121.74</v>
      </c>
      <c r="J79">
        <v>8.9499999999999996E-2</v>
      </c>
      <c r="K79">
        <v>10</v>
      </c>
      <c r="L79">
        <v>350</v>
      </c>
      <c r="M79" t="str">
        <f t="shared" si="21"/>
        <v>30 Year Fixed</v>
      </c>
      <c r="N79" s="2">
        <v>880.99</v>
      </c>
      <c r="O79" t="str">
        <f t="shared" si="18"/>
        <v>Refi</v>
      </c>
      <c r="P79" s="3">
        <f t="shared" si="22"/>
        <v>0</v>
      </c>
      <c r="Q79" s="4">
        <v>119894</v>
      </c>
      <c r="R79" s="4" t="s">
        <v>41</v>
      </c>
      <c r="S79" s="5">
        <v>641</v>
      </c>
      <c r="T79">
        <v>6.75</v>
      </c>
      <c r="U79" s="7">
        <f t="shared" si="19"/>
        <v>827.58603523282761</v>
      </c>
      <c r="V79" s="2">
        <f t="shared" si="23"/>
        <v>124.04396476717238</v>
      </c>
      <c r="W79" s="9">
        <f t="shared" si="24"/>
        <v>0</v>
      </c>
      <c r="X79" s="3">
        <v>119894</v>
      </c>
      <c r="Y79" s="3">
        <f t="shared" si="25"/>
        <v>0.42748768473393284</v>
      </c>
      <c r="Z79" s="7">
        <f t="shared" si="26"/>
        <v>827.58603523282761</v>
      </c>
      <c r="AA79" s="2">
        <f t="shared" si="20"/>
        <v>124.04396476717238</v>
      </c>
      <c r="AB79" s="8">
        <f t="shared" si="27"/>
        <v>0</v>
      </c>
      <c r="AC79" s="10">
        <v>6.75</v>
      </c>
      <c r="AD79" s="7">
        <f t="shared" si="28"/>
        <v>827.58603523282761</v>
      </c>
      <c r="AE79" s="2">
        <f t="shared" si="29"/>
        <v>124.04396476717238</v>
      </c>
      <c r="AF79" s="10">
        <v>0</v>
      </c>
      <c r="AG79" s="3">
        <f t="shared" si="30"/>
        <v>0</v>
      </c>
      <c r="AH79" s="7">
        <v>0</v>
      </c>
      <c r="AI79">
        <f t="shared" si="31"/>
        <v>360</v>
      </c>
      <c r="AJ79" t="e">
        <f>VLOOKUP(A79,'Borrower Details'!$A$1:$H$1493,8,FALSE)</f>
        <v>#N/A</v>
      </c>
      <c r="AK79" s="4" t="e">
        <f t="shared" si="32"/>
        <v>#N/A</v>
      </c>
      <c r="AL79" s="10">
        <v>6.75</v>
      </c>
      <c r="AM79" s="3">
        <f t="shared" si="33"/>
        <v>119893.5661</v>
      </c>
      <c r="AN79">
        <v>6.75</v>
      </c>
      <c r="AO79" s="7">
        <f t="shared" si="34"/>
        <v>827.58304017401997</v>
      </c>
      <c r="AP79" s="2">
        <f t="shared" si="35"/>
        <v>124.04695982598003</v>
      </c>
    </row>
    <row r="80" spans="1:42" x14ac:dyDescent="0.15">
      <c r="A80" s="8">
        <v>410045108</v>
      </c>
      <c r="B80" t="s">
        <v>38</v>
      </c>
      <c r="C80" t="s">
        <v>19</v>
      </c>
      <c r="D80" s="1">
        <v>39210</v>
      </c>
      <c r="E80" s="2">
        <v>115000</v>
      </c>
      <c r="F80" s="2">
        <v>97750</v>
      </c>
      <c r="G80" t="s">
        <v>17</v>
      </c>
      <c r="H80" s="2">
        <v>807.71</v>
      </c>
      <c r="I80" s="2">
        <v>96786.21</v>
      </c>
      <c r="J80">
        <v>9.2999999999999999E-2</v>
      </c>
      <c r="K80">
        <v>11</v>
      </c>
      <c r="L80">
        <v>349</v>
      </c>
      <c r="M80" t="str">
        <f t="shared" si="21"/>
        <v>30 Year Fixed</v>
      </c>
      <c r="N80" s="2">
        <v>750.09</v>
      </c>
      <c r="O80" t="str">
        <f t="shared" si="18"/>
        <v>Refi</v>
      </c>
      <c r="P80" s="3">
        <f t="shared" si="22"/>
        <v>0</v>
      </c>
      <c r="Q80" s="4">
        <v>98238</v>
      </c>
      <c r="R80" s="4" t="s">
        <v>41</v>
      </c>
      <c r="S80" s="5">
        <v>641</v>
      </c>
      <c r="T80">
        <v>6.875</v>
      </c>
      <c r="U80" s="7">
        <f t="shared" si="19"/>
        <v>686.28622797855371</v>
      </c>
      <c r="V80" s="2">
        <f t="shared" si="23"/>
        <v>121.42377202144633</v>
      </c>
      <c r="W80" s="9">
        <f t="shared" si="24"/>
        <v>0</v>
      </c>
      <c r="X80" s="3">
        <v>98238</v>
      </c>
      <c r="Y80" s="3">
        <f t="shared" si="25"/>
        <v>-3.1034482672112063E-3</v>
      </c>
      <c r="Z80" s="7">
        <f t="shared" si="26"/>
        <v>686.28622797855371</v>
      </c>
      <c r="AA80" s="2">
        <f t="shared" si="20"/>
        <v>121.42377202144633</v>
      </c>
      <c r="AB80" s="8">
        <f t="shared" si="27"/>
        <v>0</v>
      </c>
      <c r="AC80" s="10">
        <v>6.875</v>
      </c>
      <c r="AD80" s="7">
        <f t="shared" si="28"/>
        <v>686.28622797855371</v>
      </c>
      <c r="AE80" s="2">
        <f t="shared" si="29"/>
        <v>121.42377202144633</v>
      </c>
      <c r="AF80" s="10">
        <v>0</v>
      </c>
      <c r="AG80" s="3">
        <f t="shared" si="30"/>
        <v>0</v>
      </c>
      <c r="AH80" s="7">
        <v>0</v>
      </c>
      <c r="AI80">
        <f t="shared" si="31"/>
        <v>360</v>
      </c>
      <c r="AJ80" t="e">
        <f>VLOOKUP(A80,'Borrower Details'!$A$1:$H$1493,8,FALSE)</f>
        <v>#N/A</v>
      </c>
      <c r="AK80" s="4" t="e">
        <f t="shared" si="32"/>
        <v>#N/A</v>
      </c>
      <c r="AL80" s="10">
        <v>6.875</v>
      </c>
      <c r="AM80" s="3">
        <f t="shared" si="33"/>
        <v>98238.003150000004</v>
      </c>
      <c r="AN80">
        <v>6.875</v>
      </c>
      <c r="AO80" s="7">
        <f t="shared" si="34"/>
        <v>686.28624998431133</v>
      </c>
      <c r="AP80" s="2">
        <f t="shared" si="35"/>
        <v>121.42375001568871</v>
      </c>
    </row>
    <row r="81" spans="1:42" x14ac:dyDescent="0.15">
      <c r="A81" s="8">
        <v>410273957</v>
      </c>
      <c r="B81" t="s">
        <v>36</v>
      </c>
      <c r="C81" t="s">
        <v>19</v>
      </c>
      <c r="D81" s="1">
        <v>39241</v>
      </c>
      <c r="E81" s="2">
        <v>165000</v>
      </c>
      <c r="F81" s="2">
        <v>132000</v>
      </c>
      <c r="G81" t="s">
        <v>17</v>
      </c>
      <c r="H81" s="2">
        <v>959.39</v>
      </c>
      <c r="I81" s="2">
        <v>129811.93</v>
      </c>
      <c r="J81">
        <v>7.9000000000000001E-2</v>
      </c>
      <c r="K81">
        <v>10</v>
      </c>
      <c r="L81">
        <v>349</v>
      </c>
      <c r="M81" t="str">
        <f t="shared" si="21"/>
        <v>30 Year Fixed</v>
      </c>
      <c r="N81" s="2">
        <v>859</v>
      </c>
      <c r="O81" t="str">
        <f t="shared" si="18"/>
        <v>Cash Out</v>
      </c>
      <c r="P81" s="3">
        <f t="shared" si="22"/>
        <v>8365.4099014778621</v>
      </c>
      <c r="Q81" s="4">
        <v>140250</v>
      </c>
      <c r="R81" s="4" t="s">
        <v>41</v>
      </c>
      <c r="S81" s="5">
        <v>643</v>
      </c>
      <c r="T81">
        <v>6.75</v>
      </c>
      <c r="U81" s="7">
        <f t="shared" si="19"/>
        <v>968.09633043691986</v>
      </c>
      <c r="V81" s="2">
        <f t="shared" si="23"/>
        <v>-8.7063304369198704</v>
      </c>
      <c r="W81" s="9">
        <f t="shared" si="24"/>
        <v>1</v>
      </c>
      <c r="X81" s="3">
        <v>138910</v>
      </c>
      <c r="Y81" s="3">
        <f t="shared" si="25"/>
        <v>7045.2128571428766</v>
      </c>
      <c r="Z81" s="7">
        <f t="shared" si="26"/>
        <v>958.84678260957253</v>
      </c>
      <c r="AA81" s="2">
        <f t="shared" si="20"/>
        <v>0.54321739042745776</v>
      </c>
      <c r="AB81" s="8">
        <f t="shared" si="27"/>
        <v>1</v>
      </c>
      <c r="AC81" s="10">
        <v>6.125</v>
      </c>
      <c r="AD81" s="7">
        <f t="shared" si="28"/>
        <v>901.91096719820268</v>
      </c>
      <c r="AE81" s="2">
        <f t="shared" si="29"/>
        <v>57.479032801797302</v>
      </c>
      <c r="AF81" s="10">
        <v>3</v>
      </c>
      <c r="AG81" s="3">
        <f t="shared" si="30"/>
        <v>4167.3</v>
      </c>
      <c r="AH81" s="7">
        <v>2640</v>
      </c>
      <c r="AI81">
        <f t="shared" si="31"/>
        <v>360</v>
      </c>
      <c r="AJ81" t="e">
        <f>VLOOKUP(A81,'Borrower Details'!$A$1:$H$1493,8,FALSE)</f>
        <v>#N/A</v>
      </c>
      <c r="AK81" s="4" t="e">
        <f t="shared" si="32"/>
        <v>#N/A</v>
      </c>
      <c r="AL81" s="10">
        <v>6.75</v>
      </c>
      <c r="AM81" s="3">
        <f t="shared" si="33"/>
        <v>131759.10894999999</v>
      </c>
      <c r="AN81">
        <v>6.75</v>
      </c>
      <c r="AO81" s="7">
        <f t="shared" si="34"/>
        <v>909.48670143410573</v>
      </c>
      <c r="AP81" s="2">
        <f t="shared" si="35"/>
        <v>49.903298565894261</v>
      </c>
    </row>
    <row r="82" spans="1:42" x14ac:dyDescent="0.15">
      <c r="A82" s="8">
        <v>410045371</v>
      </c>
      <c r="B82" t="s">
        <v>35</v>
      </c>
      <c r="C82" t="s">
        <v>16</v>
      </c>
      <c r="D82" s="1">
        <v>39211</v>
      </c>
      <c r="E82" s="2">
        <v>290000</v>
      </c>
      <c r="F82" s="2">
        <v>261000</v>
      </c>
      <c r="G82" t="s">
        <v>17</v>
      </c>
      <c r="H82" s="2">
        <v>1933.36</v>
      </c>
      <c r="I82" s="2">
        <v>259044.03</v>
      </c>
      <c r="J82">
        <v>8.1000000000000003E-2</v>
      </c>
      <c r="K82">
        <v>11</v>
      </c>
      <c r="L82">
        <v>349</v>
      </c>
      <c r="M82" t="str">
        <f t="shared" si="21"/>
        <v>30 Year Fixed</v>
      </c>
      <c r="N82" s="2">
        <v>1748.55</v>
      </c>
      <c r="O82" t="str">
        <f t="shared" si="18"/>
        <v>Refi</v>
      </c>
      <c r="P82" s="3">
        <f t="shared" si="22"/>
        <v>0</v>
      </c>
      <c r="Q82" s="4">
        <v>262930</v>
      </c>
      <c r="R82" s="4" t="s">
        <v>41</v>
      </c>
      <c r="S82" s="5">
        <v>643</v>
      </c>
      <c r="T82">
        <v>6.75</v>
      </c>
      <c r="U82" s="7">
        <f t="shared" si="19"/>
        <v>1814.9131419734713</v>
      </c>
      <c r="V82" s="2">
        <f t="shared" si="23"/>
        <v>118.44685802652862</v>
      </c>
      <c r="W82" s="9">
        <f t="shared" si="24"/>
        <v>0</v>
      </c>
      <c r="X82" s="3">
        <v>262930</v>
      </c>
      <c r="Y82" s="3">
        <f t="shared" si="25"/>
        <v>0.30497536947950721</v>
      </c>
      <c r="Z82" s="7">
        <f t="shared" si="26"/>
        <v>1814.9131419734713</v>
      </c>
      <c r="AA82" s="2">
        <f t="shared" si="20"/>
        <v>118.44685802652862</v>
      </c>
      <c r="AB82" s="8">
        <f t="shared" si="27"/>
        <v>1</v>
      </c>
      <c r="AC82" s="10">
        <v>6.125</v>
      </c>
      <c r="AD82" s="7">
        <f t="shared" si="28"/>
        <v>1707.1445583861737</v>
      </c>
      <c r="AE82" s="2">
        <f t="shared" si="29"/>
        <v>226.21544161382621</v>
      </c>
      <c r="AF82" s="10">
        <v>3</v>
      </c>
      <c r="AG82" s="3">
        <f t="shared" si="30"/>
        <v>7887.9</v>
      </c>
      <c r="AH82" s="7">
        <v>10570.5</v>
      </c>
      <c r="AI82">
        <f t="shared" si="31"/>
        <v>360</v>
      </c>
      <c r="AJ82" t="e">
        <f>VLOOKUP(A82,'Borrower Details'!$A$1:$H$1493,8,FALSE)</f>
        <v>#N/A</v>
      </c>
      <c r="AK82" s="4" t="e">
        <f t="shared" si="32"/>
        <v>#N/A</v>
      </c>
      <c r="AL82" s="10">
        <v>6.75</v>
      </c>
      <c r="AM82" s="3">
        <f t="shared" si="33"/>
        <v>262929.69044999999</v>
      </c>
      <c r="AN82">
        <v>6.75</v>
      </c>
      <c r="AO82" s="7">
        <f t="shared" si="34"/>
        <v>1814.9110052588967</v>
      </c>
      <c r="AP82" s="2">
        <f t="shared" si="35"/>
        <v>118.44899474110321</v>
      </c>
    </row>
    <row r="83" spans="1:42" x14ac:dyDescent="0.15">
      <c r="A83" s="8">
        <v>410333421</v>
      </c>
      <c r="B83" t="s">
        <v>35</v>
      </c>
      <c r="C83" t="s">
        <v>16</v>
      </c>
      <c r="D83" s="1">
        <v>39238</v>
      </c>
      <c r="E83" s="2">
        <v>175000</v>
      </c>
      <c r="F83" s="2">
        <v>148750</v>
      </c>
      <c r="G83" t="s">
        <v>17</v>
      </c>
      <c r="H83" s="2">
        <v>1291.67</v>
      </c>
      <c r="I83" s="2">
        <v>147975.26</v>
      </c>
      <c r="J83">
        <v>9.8750000000000004E-2</v>
      </c>
      <c r="K83">
        <v>11</v>
      </c>
      <c r="L83">
        <v>349</v>
      </c>
      <c r="M83" t="str">
        <f t="shared" si="21"/>
        <v>30 Year Fixed</v>
      </c>
      <c r="N83" s="2">
        <v>1217.71</v>
      </c>
      <c r="O83" t="str">
        <f t="shared" si="18"/>
        <v>Refi</v>
      </c>
      <c r="P83" s="3">
        <f t="shared" si="22"/>
        <v>0</v>
      </c>
      <c r="Q83" s="4">
        <v>150195</v>
      </c>
      <c r="R83" s="4" t="s">
        <v>41</v>
      </c>
      <c r="S83" s="5">
        <v>643</v>
      </c>
      <c r="T83">
        <v>6.75</v>
      </c>
      <c r="U83" s="7">
        <f t="shared" si="19"/>
        <v>1036.7431611406287</v>
      </c>
      <c r="V83" s="2">
        <f t="shared" si="23"/>
        <v>254.9268388593714</v>
      </c>
      <c r="W83" s="9">
        <f t="shared" si="24"/>
        <v>0</v>
      </c>
      <c r="X83" s="3">
        <v>150195</v>
      </c>
      <c r="Y83" s="3">
        <f t="shared" si="25"/>
        <v>0.10945812807767652</v>
      </c>
      <c r="Z83" s="7">
        <f t="shared" si="26"/>
        <v>1036.7431611406287</v>
      </c>
      <c r="AA83" s="2">
        <f t="shared" si="20"/>
        <v>254.9268388593714</v>
      </c>
      <c r="AB83" s="8">
        <f t="shared" si="27"/>
        <v>0</v>
      </c>
      <c r="AC83" s="10">
        <v>6.75</v>
      </c>
      <c r="AD83" s="7">
        <f t="shared" si="28"/>
        <v>1036.7431611406287</v>
      </c>
      <c r="AE83" s="2">
        <f t="shared" si="29"/>
        <v>254.9268388593714</v>
      </c>
      <c r="AF83" s="10">
        <v>0</v>
      </c>
      <c r="AG83" s="3">
        <f t="shared" si="30"/>
        <v>0</v>
      </c>
      <c r="AH83" s="7">
        <v>7344.53125</v>
      </c>
      <c r="AI83">
        <f t="shared" si="31"/>
        <v>360</v>
      </c>
      <c r="AJ83" t="e">
        <f>VLOOKUP(A83,'Borrower Details'!$A$1:$H$1493,8,FALSE)</f>
        <v>#N/A</v>
      </c>
      <c r="AK83" s="4" t="e">
        <f t="shared" si="32"/>
        <v>#N/A</v>
      </c>
      <c r="AL83" s="10">
        <v>6.75</v>
      </c>
      <c r="AM83" s="3">
        <f t="shared" si="33"/>
        <v>150194.88889999999</v>
      </c>
      <c r="AN83">
        <v>6.75</v>
      </c>
      <c r="AO83" s="7">
        <f t="shared" si="34"/>
        <v>1036.7423942564767</v>
      </c>
      <c r="AP83" s="2">
        <f t="shared" si="35"/>
        <v>254.92760574352337</v>
      </c>
    </row>
    <row r="84" spans="1:42" x14ac:dyDescent="0.15">
      <c r="A84" s="8">
        <v>410278691</v>
      </c>
      <c r="B84" t="s">
        <v>37</v>
      </c>
      <c r="C84" t="s">
        <v>19</v>
      </c>
      <c r="D84" s="1">
        <v>39218</v>
      </c>
      <c r="E84" s="2">
        <v>167500</v>
      </c>
      <c r="F84" s="2">
        <v>142300</v>
      </c>
      <c r="G84" t="s">
        <v>17</v>
      </c>
      <c r="H84" s="2">
        <v>1175.83</v>
      </c>
      <c r="I84" s="2">
        <v>141374.32999999999</v>
      </c>
      <c r="J84">
        <v>9.2999999999999999E-2</v>
      </c>
      <c r="K84">
        <v>11</v>
      </c>
      <c r="L84">
        <v>348</v>
      </c>
      <c r="M84" t="str">
        <f t="shared" si="21"/>
        <v>30 Year Fixed</v>
      </c>
      <c r="N84" s="2">
        <v>1095.6500000000001</v>
      </c>
      <c r="O84" t="str">
        <f t="shared" si="18"/>
        <v>Refi</v>
      </c>
      <c r="P84" s="3">
        <f t="shared" si="22"/>
        <v>0</v>
      </c>
      <c r="Q84" s="4">
        <v>143495</v>
      </c>
      <c r="R84" s="4" t="s">
        <v>41</v>
      </c>
      <c r="S84" s="5">
        <v>648</v>
      </c>
      <c r="T84">
        <v>6.75</v>
      </c>
      <c r="U84" s="7">
        <f t="shared" si="19"/>
        <v>990.49542200389169</v>
      </c>
      <c r="V84" s="2">
        <f t="shared" si="23"/>
        <v>185.33457799610824</v>
      </c>
      <c r="W84" s="9">
        <f t="shared" si="24"/>
        <v>0</v>
      </c>
      <c r="X84" s="3">
        <v>143495</v>
      </c>
      <c r="Y84" s="3">
        <f t="shared" si="25"/>
        <v>5.423645323025994E-2</v>
      </c>
      <c r="Z84" s="7">
        <f t="shared" si="26"/>
        <v>990.49542200389169</v>
      </c>
      <c r="AA84" s="2">
        <f t="shared" si="20"/>
        <v>185.33457799610824</v>
      </c>
      <c r="AB84" s="8">
        <f t="shared" si="27"/>
        <v>0</v>
      </c>
      <c r="AC84" s="10">
        <v>6.75</v>
      </c>
      <c r="AD84" s="7">
        <f t="shared" si="28"/>
        <v>990.49542200389169</v>
      </c>
      <c r="AE84" s="2">
        <f t="shared" si="29"/>
        <v>185.33457799610824</v>
      </c>
      <c r="AF84" s="10">
        <v>0</v>
      </c>
      <c r="AG84" s="3">
        <f t="shared" si="30"/>
        <v>0</v>
      </c>
      <c r="AH84" s="7">
        <v>0</v>
      </c>
      <c r="AI84">
        <f t="shared" si="31"/>
        <v>360</v>
      </c>
      <c r="AJ84" t="e">
        <f>VLOOKUP(A84,'Borrower Details'!$A$1:$H$1493,8,FALSE)</f>
        <v>#N/A</v>
      </c>
      <c r="AK84" s="4" t="e">
        <f t="shared" si="32"/>
        <v>#N/A</v>
      </c>
      <c r="AL84" s="10">
        <v>6.75</v>
      </c>
      <c r="AM84" s="3">
        <f t="shared" si="33"/>
        <v>143494.94494999998</v>
      </c>
      <c r="AN84">
        <v>6.75</v>
      </c>
      <c r="AO84" s="7">
        <f t="shared" si="34"/>
        <v>990.49504201313937</v>
      </c>
      <c r="AP84" s="2">
        <f t="shared" si="35"/>
        <v>185.33495798686056</v>
      </c>
    </row>
    <row r="85" spans="1:42" x14ac:dyDescent="0.15">
      <c r="A85" s="8">
        <v>1183785</v>
      </c>
      <c r="B85" t="s">
        <v>36</v>
      </c>
      <c r="C85" t="s">
        <v>18</v>
      </c>
      <c r="D85" s="1">
        <v>39171</v>
      </c>
      <c r="E85" s="2">
        <v>180200</v>
      </c>
      <c r="F85" s="2">
        <v>162180</v>
      </c>
      <c r="G85" t="s">
        <v>15</v>
      </c>
      <c r="H85" s="2">
        <v>1025.77</v>
      </c>
      <c r="I85" s="2">
        <v>161861.41</v>
      </c>
      <c r="J85">
        <v>7.3999999999999996E-2</v>
      </c>
      <c r="K85">
        <v>13</v>
      </c>
      <c r="L85">
        <v>348</v>
      </c>
      <c r="M85" t="str">
        <f t="shared" si="21"/>
        <v>30 Year Fixed</v>
      </c>
      <c r="N85" s="2">
        <v>998.15</v>
      </c>
      <c r="O85" t="str">
        <f t="shared" si="18"/>
        <v>Refi</v>
      </c>
      <c r="P85" s="3">
        <f t="shared" si="22"/>
        <v>0</v>
      </c>
      <c r="Q85" s="4">
        <v>164289</v>
      </c>
      <c r="R85" s="4" t="s">
        <v>41</v>
      </c>
      <c r="S85" s="5">
        <v>649</v>
      </c>
      <c r="T85">
        <v>6.75</v>
      </c>
      <c r="U85" s="7">
        <f t="shared" si="19"/>
        <v>1134.0290768709526</v>
      </c>
      <c r="V85" s="2">
        <f t="shared" si="23"/>
        <v>-108.25907687095264</v>
      </c>
      <c r="W85" s="9">
        <f t="shared" si="24"/>
        <v>0</v>
      </c>
      <c r="X85" s="3">
        <v>164289</v>
      </c>
      <c r="Y85" s="3">
        <f t="shared" si="25"/>
        <v>-0.32625615762663074</v>
      </c>
      <c r="Z85" s="7">
        <f t="shared" si="26"/>
        <v>1134.0290768709526</v>
      </c>
      <c r="AA85" s="2">
        <f t="shared" si="20"/>
        <v>-108.25907687095264</v>
      </c>
      <c r="AB85" s="8">
        <f t="shared" si="27"/>
        <v>1</v>
      </c>
      <c r="AC85" s="10">
        <v>6.125</v>
      </c>
      <c r="AD85" s="7">
        <f t="shared" si="28"/>
        <v>1066.6910293717192</v>
      </c>
      <c r="AE85" s="2">
        <f t="shared" si="29"/>
        <v>-40.921029371719214</v>
      </c>
      <c r="AF85" s="10">
        <v>3</v>
      </c>
      <c r="AG85" s="3">
        <f t="shared" si="30"/>
        <v>4928.67</v>
      </c>
      <c r="AH85" s="7">
        <v>3243.6</v>
      </c>
      <c r="AI85">
        <f t="shared" si="31"/>
        <v>360</v>
      </c>
      <c r="AJ85" t="e">
        <f>VLOOKUP(A85,'Borrower Details'!$A$1:$H$1493,8,FALSE)</f>
        <v>#N/A</v>
      </c>
      <c r="AK85" s="4" t="e">
        <f t="shared" si="32"/>
        <v>#N/A</v>
      </c>
      <c r="AL85" s="10">
        <v>6.75</v>
      </c>
      <c r="AM85" s="3">
        <f t="shared" si="33"/>
        <v>164289.33114999998</v>
      </c>
      <c r="AN85">
        <v>6.75</v>
      </c>
      <c r="AO85" s="7">
        <f t="shared" si="34"/>
        <v>1134.0313626827162</v>
      </c>
      <c r="AP85" s="2">
        <f t="shared" si="35"/>
        <v>-108.26136268271625</v>
      </c>
    </row>
    <row r="86" spans="1:42" x14ac:dyDescent="0.15">
      <c r="A86" s="8">
        <v>410112452</v>
      </c>
      <c r="B86" t="s">
        <v>36</v>
      </c>
      <c r="C86" t="s">
        <v>19</v>
      </c>
      <c r="D86" s="1">
        <v>39197</v>
      </c>
      <c r="E86" s="2">
        <v>144200</v>
      </c>
      <c r="F86" s="2">
        <v>129780</v>
      </c>
      <c r="G86" t="s">
        <v>15</v>
      </c>
      <c r="H86" s="2">
        <v>926.81</v>
      </c>
      <c r="I86" s="2">
        <v>129349.09</v>
      </c>
      <c r="J86">
        <v>8.2500000000000004E-2</v>
      </c>
      <c r="K86">
        <v>12</v>
      </c>
      <c r="L86">
        <v>348</v>
      </c>
      <c r="M86" t="str">
        <f t="shared" si="21"/>
        <v>30 Year Fixed</v>
      </c>
      <c r="N86" s="2">
        <v>889.27</v>
      </c>
      <c r="O86" t="str">
        <f t="shared" si="18"/>
        <v>Refi</v>
      </c>
      <c r="P86" s="3">
        <f t="shared" si="22"/>
        <v>0</v>
      </c>
      <c r="Q86" s="4">
        <v>131289</v>
      </c>
      <c r="R86" s="4" t="s">
        <v>41</v>
      </c>
      <c r="S86" s="5">
        <v>652</v>
      </c>
      <c r="T86">
        <v>6.75</v>
      </c>
      <c r="U86" s="7">
        <f t="shared" si="19"/>
        <v>906.24170500344223</v>
      </c>
      <c r="V86" s="2">
        <f t="shared" si="23"/>
        <v>20.568294996557711</v>
      </c>
      <c r="W86" s="9">
        <f t="shared" si="24"/>
        <v>0</v>
      </c>
      <c r="X86" s="3">
        <v>131289</v>
      </c>
      <c r="Y86" s="3">
        <f t="shared" si="25"/>
        <v>-0.32152709357615095</v>
      </c>
      <c r="Z86" s="7">
        <f t="shared" si="26"/>
        <v>906.24170500344223</v>
      </c>
      <c r="AA86" s="2">
        <f t="shared" si="20"/>
        <v>20.568294996557711</v>
      </c>
      <c r="AB86" s="8">
        <f t="shared" si="27"/>
        <v>1</v>
      </c>
      <c r="AC86" s="10">
        <v>6.125</v>
      </c>
      <c r="AD86" s="7">
        <f t="shared" si="28"/>
        <v>852.4295513100916</v>
      </c>
      <c r="AE86" s="2">
        <f t="shared" si="29"/>
        <v>74.380448689908349</v>
      </c>
      <c r="AF86" s="10">
        <v>3</v>
      </c>
      <c r="AG86" s="3">
        <f t="shared" si="30"/>
        <v>3938.67</v>
      </c>
      <c r="AH86" s="7">
        <v>2595.6</v>
      </c>
      <c r="AI86">
        <f t="shared" si="31"/>
        <v>360</v>
      </c>
      <c r="AJ86" t="e">
        <f>VLOOKUP(A86,'Borrower Details'!$A$1:$H$1493,8,FALSE)</f>
        <v>#N/A</v>
      </c>
      <c r="AK86" s="4" t="e">
        <f t="shared" si="32"/>
        <v>#N/A</v>
      </c>
      <c r="AL86" s="10">
        <v>6.75</v>
      </c>
      <c r="AM86" s="3">
        <f t="shared" si="33"/>
        <v>131289.32634999999</v>
      </c>
      <c r="AN86">
        <v>6.75</v>
      </c>
      <c r="AO86" s="7">
        <f t="shared" si="34"/>
        <v>906.24395768249701</v>
      </c>
      <c r="AP86" s="2">
        <f t="shared" si="35"/>
        <v>20.566042317502934</v>
      </c>
    </row>
    <row r="87" spans="1:42" x14ac:dyDescent="0.15">
      <c r="A87" s="8">
        <v>411292212</v>
      </c>
      <c r="B87" t="s">
        <v>37</v>
      </c>
      <c r="C87" t="s">
        <v>16</v>
      </c>
      <c r="D87" s="1">
        <v>39507</v>
      </c>
      <c r="E87" s="2">
        <v>75000</v>
      </c>
      <c r="F87" s="2">
        <v>63750</v>
      </c>
      <c r="G87" t="s">
        <v>17</v>
      </c>
      <c r="H87" s="2">
        <v>535.12</v>
      </c>
      <c r="I87" s="2">
        <v>63686.77</v>
      </c>
      <c r="J87">
        <v>9.4799999999999995E-2</v>
      </c>
      <c r="K87">
        <v>2</v>
      </c>
      <c r="L87">
        <v>358</v>
      </c>
      <c r="M87" t="str">
        <f t="shared" si="21"/>
        <v>30 Year Fixed</v>
      </c>
      <c r="N87" s="2">
        <v>503.13</v>
      </c>
      <c r="O87" t="str">
        <f t="shared" si="18"/>
        <v>Refi</v>
      </c>
      <c r="P87" s="3">
        <f t="shared" si="22"/>
        <v>0</v>
      </c>
      <c r="Q87" s="4">
        <v>64642</v>
      </c>
      <c r="R87" s="4" t="s">
        <v>41</v>
      </c>
      <c r="S87" s="5">
        <v>653</v>
      </c>
      <c r="T87">
        <v>6.875</v>
      </c>
      <c r="U87" s="7">
        <f t="shared" si="19"/>
        <v>451.5860904027939</v>
      </c>
      <c r="V87" s="2">
        <f t="shared" si="23"/>
        <v>83.533909597206105</v>
      </c>
      <c r="W87" s="9">
        <f t="shared" si="24"/>
        <v>0</v>
      </c>
      <c r="X87" s="3">
        <v>64642</v>
      </c>
      <c r="Y87" s="3">
        <f t="shared" si="25"/>
        <v>-7.0492610830115154E-2</v>
      </c>
      <c r="Z87" s="7">
        <f t="shared" si="26"/>
        <v>451.5860904027939</v>
      </c>
      <c r="AA87" s="2">
        <f t="shared" si="20"/>
        <v>83.533909597206105</v>
      </c>
      <c r="AB87" s="8">
        <f t="shared" si="27"/>
        <v>0</v>
      </c>
      <c r="AC87" s="10">
        <v>6.875</v>
      </c>
      <c r="AD87" s="7">
        <f t="shared" si="28"/>
        <v>451.5860904027939</v>
      </c>
      <c r="AE87" s="2">
        <f t="shared" si="29"/>
        <v>83.533909597206105</v>
      </c>
      <c r="AF87" s="10">
        <v>0</v>
      </c>
      <c r="AG87" s="3">
        <f t="shared" si="30"/>
        <v>0</v>
      </c>
      <c r="AH87" s="7">
        <v>0</v>
      </c>
      <c r="AI87">
        <f t="shared" si="31"/>
        <v>360</v>
      </c>
      <c r="AJ87" t="e">
        <f>VLOOKUP(A87,'Borrower Details'!$A$1:$H$1493,8,FALSE)</f>
        <v>#N/A</v>
      </c>
      <c r="AK87" s="4" t="e">
        <f t="shared" si="32"/>
        <v>#N/A</v>
      </c>
      <c r="AL87" s="10">
        <v>6.875</v>
      </c>
      <c r="AM87" s="3">
        <f t="shared" si="33"/>
        <v>64642.071549999993</v>
      </c>
      <c r="AN87">
        <v>6.875</v>
      </c>
      <c r="AO87" s="7">
        <f t="shared" si="34"/>
        <v>451.58659024786004</v>
      </c>
      <c r="AP87" s="2">
        <f t="shared" si="35"/>
        <v>83.53340975213996</v>
      </c>
    </row>
    <row r="88" spans="1:42" x14ac:dyDescent="0.15">
      <c r="A88" s="8">
        <v>411130818</v>
      </c>
      <c r="B88" t="s">
        <v>36</v>
      </c>
      <c r="C88" t="s">
        <v>18</v>
      </c>
      <c r="D88" s="1">
        <v>39435</v>
      </c>
      <c r="E88" s="2">
        <v>160000</v>
      </c>
      <c r="F88" s="2">
        <v>125000</v>
      </c>
      <c r="G88" t="s">
        <v>17</v>
      </c>
      <c r="H88" s="2">
        <v>974.47</v>
      </c>
      <c r="I88" s="2">
        <v>124703.09</v>
      </c>
      <c r="J88">
        <v>8.6499999999999994E-2</v>
      </c>
      <c r="K88">
        <v>4</v>
      </c>
      <c r="L88">
        <v>356</v>
      </c>
      <c r="M88" t="str">
        <f t="shared" si="21"/>
        <v>30 Year Fixed</v>
      </c>
      <c r="N88" s="2">
        <v>898.9</v>
      </c>
      <c r="O88" t="str">
        <f t="shared" si="18"/>
        <v>Cash Out</v>
      </c>
      <c r="P88" s="3">
        <f t="shared" si="22"/>
        <v>9287.0577832512499</v>
      </c>
      <c r="Q88" s="4">
        <v>136000</v>
      </c>
      <c r="R88" s="4" t="s">
        <v>41</v>
      </c>
      <c r="S88" s="5">
        <v>656</v>
      </c>
      <c r="T88">
        <v>6.75</v>
      </c>
      <c r="U88" s="7">
        <f t="shared" si="19"/>
        <v>938.76007799943739</v>
      </c>
      <c r="V88" s="2">
        <f t="shared" si="23"/>
        <v>35.709922000562642</v>
      </c>
      <c r="W88" s="9">
        <f t="shared" si="24"/>
        <v>0</v>
      </c>
      <c r="X88" s="3">
        <v>136000</v>
      </c>
      <c r="Y88" s="3">
        <f t="shared" si="25"/>
        <v>9287.0577832512499</v>
      </c>
      <c r="Z88" s="7">
        <f t="shared" si="26"/>
        <v>938.76007799943739</v>
      </c>
      <c r="AA88" s="2">
        <f t="shared" si="20"/>
        <v>35.709922000562642</v>
      </c>
      <c r="AB88" s="8">
        <f t="shared" si="27"/>
        <v>0</v>
      </c>
      <c r="AC88" s="10">
        <v>6.75</v>
      </c>
      <c r="AD88" s="7">
        <f t="shared" si="28"/>
        <v>938.76007799943739</v>
      </c>
      <c r="AE88" s="2">
        <f t="shared" si="29"/>
        <v>35.709922000562642</v>
      </c>
      <c r="AF88" s="10">
        <v>0</v>
      </c>
      <c r="AG88" s="3">
        <f t="shared" si="30"/>
        <v>0</v>
      </c>
      <c r="AH88" s="7">
        <v>2500</v>
      </c>
      <c r="AI88">
        <f t="shared" si="31"/>
        <v>360</v>
      </c>
      <c r="AJ88" t="e">
        <f>VLOOKUP(A88,'Borrower Details'!$A$1:$H$1493,8,FALSE)</f>
        <v>#N/A</v>
      </c>
      <c r="AK88" s="4" t="e">
        <f t="shared" si="32"/>
        <v>#N/A</v>
      </c>
      <c r="AL88" s="10">
        <v>6.75</v>
      </c>
      <c r="AM88" s="3">
        <f t="shared" si="33"/>
        <v>126573.63634999999</v>
      </c>
      <c r="AN88">
        <v>6.75</v>
      </c>
      <c r="AO88" s="7">
        <f t="shared" si="34"/>
        <v>873.69321126910609</v>
      </c>
      <c r="AP88" s="2">
        <f t="shared" si="35"/>
        <v>100.77678873089394</v>
      </c>
    </row>
    <row r="89" spans="1:42" x14ac:dyDescent="0.15">
      <c r="A89" s="8">
        <v>410049282</v>
      </c>
      <c r="B89" t="s">
        <v>37</v>
      </c>
      <c r="C89" t="s">
        <v>19</v>
      </c>
      <c r="D89" s="1">
        <v>39204</v>
      </c>
      <c r="E89" s="2">
        <v>166000</v>
      </c>
      <c r="F89" s="2">
        <v>157700</v>
      </c>
      <c r="G89" t="s">
        <v>17</v>
      </c>
      <c r="H89" s="2">
        <v>1320.28</v>
      </c>
      <c r="I89" s="2">
        <v>156615.75</v>
      </c>
      <c r="J89">
        <v>9.4500000000000001E-2</v>
      </c>
      <c r="K89">
        <v>12</v>
      </c>
      <c r="L89">
        <v>348</v>
      </c>
      <c r="M89" t="str">
        <f t="shared" si="21"/>
        <v>30 Year Fixed</v>
      </c>
      <c r="N89" s="2">
        <v>1233.3499999999999</v>
      </c>
      <c r="O89" t="str">
        <f t="shared" si="18"/>
        <v>Refi</v>
      </c>
      <c r="P89" s="3">
        <f t="shared" si="22"/>
        <v>0</v>
      </c>
      <c r="Q89" s="4">
        <v>158965</v>
      </c>
      <c r="R89" s="4" t="s">
        <v>41</v>
      </c>
      <c r="S89" s="5">
        <v>657</v>
      </c>
      <c r="T89">
        <v>6.75</v>
      </c>
      <c r="U89" s="7">
        <f t="shared" si="19"/>
        <v>1097.2793808763277</v>
      </c>
      <c r="V89" s="2">
        <f t="shared" si="23"/>
        <v>223.00061912367232</v>
      </c>
      <c r="W89" s="9">
        <f t="shared" si="24"/>
        <v>0</v>
      </c>
      <c r="X89" s="3">
        <v>158965</v>
      </c>
      <c r="Y89" s="3">
        <f t="shared" si="25"/>
        <v>1.3546798058087006E-2</v>
      </c>
      <c r="Z89" s="7">
        <f t="shared" si="26"/>
        <v>1097.2793808763277</v>
      </c>
      <c r="AA89" s="2">
        <f t="shared" si="20"/>
        <v>223.00061912367232</v>
      </c>
      <c r="AB89" s="8">
        <f t="shared" si="27"/>
        <v>0</v>
      </c>
      <c r="AC89" s="10">
        <v>6.75</v>
      </c>
      <c r="AD89" s="7">
        <f t="shared" si="28"/>
        <v>1097.2793808763277</v>
      </c>
      <c r="AE89" s="2">
        <f t="shared" si="29"/>
        <v>223.00061912367232</v>
      </c>
      <c r="AF89" s="10">
        <v>0</v>
      </c>
      <c r="AG89" s="3">
        <f t="shared" si="30"/>
        <v>0</v>
      </c>
      <c r="AH89" s="7">
        <v>1577</v>
      </c>
      <c r="AI89">
        <f t="shared" si="31"/>
        <v>360</v>
      </c>
      <c r="AJ89" t="e">
        <f>VLOOKUP(A89,'Borrower Details'!$A$1:$H$1493,8,FALSE)</f>
        <v>#N/A</v>
      </c>
      <c r="AK89" s="4" t="e">
        <f t="shared" si="32"/>
        <v>#N/A</v>
      </c>
      <c r="AL89" s="10">
        <v>6.75</v>
      </c>
      <c r="AM89" s="3">
        <f t="shared" si="33"/>
        <v>158964.98624999999</v>
      </c>
      <c r="AN89">
        <v>6.75</v>
      </c>
      <c r="AO89" s="7">
        <f t="shared" si="34"/>
        <v>1097.2792859649228</v>
      </c>
      <c r="AP89" s="2">
        <f t="shared" si="35"/>
        <v>223.00071403507718</v>
      </c>
    </row>
    <row r="90" spans="1:42" x14ac:dyDescent="0.15">
      <c r="A90" s="8">
        <v>410569727</v>
      </c>
      <c r="B90" t="s">
        <v>37</v>
      </c>
      <c r="C90" t="s">
        <v>22</v>
      </c>
      <c r="D90" s="1">
        <v>39272</v>
      </c>
      <c r="E90" s="2">
        <v>400000</v>
      </c>
      <c r="F90" s="2">
        <v>342000</v>
      </c>
      <c r="G90" t="s">
        <v>15</v>
      </c>
      <c r="H90" s="2">
        <v>2320.44</v>
      </c>
      <c r="I90" s="2">
        <v>341553.9</v>
      </c>
      <c r="J90">
        <v>7.9899999999999999E-2</v>
      </c>
      <c r="K90">
        <v>9</v>
      </c>
      <c r="L90">
        <v>350</v>
      </c>
      <c r="M90" t="str">
        <f t="shared" si="21"/>
        <v>30 Year Fixed</v>
      </c>
      <c r="N90" s="2">
        <v>2274.4899999999998</v>
      </c>
      <c r="O90" t="str">
        <f t="shared" si="18"/>
        <v>Refi</v>
      </c>
      <c r="P90" s="3">
        <f t="shared" si="22"/>
        <v>0</v>
      </c>
      <c r="Q90" s="4">
        <v>346677</v>
      </c>
      <c r="R90" s="4" t="s">
        <v>41</v>
      </c>
      <c r="S90" s="5">
        <v>657</v>
      </c>
      <c r="T90">
        <v>6.75</v>
      </c>
      <c r="U90" s="7">
        <f t="shared" si="19"/>
        <v>2392.9891732397864</v>
      </c>
      <c r="V90" s="2">
        <f t="shared" si="23"/>
        <v>-72.549173239786342</v>
      </c>
      <c r="W90" s="9">
        <f t="shared" si="24"/>
        <v>0</v>
      </c>
      <c r="X90" s="3">
        <v>346677</v>
      </c>
      <c r="Y90" s="3">
        <f t="shared" si="25"/>
        <v>-0.20541871921159327</v>
      </c>
      <c r="Z90" s="7">
        <f t="shared" si="26"/>
        <v>2392.9891732397864</v>
      </c>
      <c r="AA90" s="2">
        <f t="shared" si="20"/>
        <v>-72.549173239786342</v>
      </c>
      <c r="AB90" s="8">
        <f t="shared" si="27"/>
        <v>1</v>
      </c>
      <c r="AC90" s="10">
        <v>6.125</v>
      </c>
      <c r="AD90" s="7">
        <f t="shared" si="28"/>
        <v>2250.8947403021475</v>
      </c>
      <c r="AE90" s="2">
        <f t="shared" si="29"/>
        <v>69.545259697852543</v>
      </c>
      <c r="AF90" s="10">
        <v>3</v>
      </c>
      <c r="AG90" s="3">
        <f t="shared" si="30"/>
        <v>10400.31</v>
      </c>
      <c r="AH90" s="7">
        <v>13662.9</v>
      </c>
      <c r="AI90">
        <f t="shared" si="31"/>
        <v>360</v>
      </c>
      <c r="AJ90" t="e">
        <f>VLOOKUP(A90,'Borrower Details'!$A$1:$H$1493,8,FALSE)</f>
        <v>#N/A</v>
      </c>
      <c r="AK90" s="4" t="e">
        <f t="shared" si="32"/>
        <v>#N/A</v>
      </c>
      <c r="AL90" s="10">
        <v>6.75</v>
      </c>
      <c r="AM90" s="3">
        <f t="shared" si="33"/>
        <v>346677.20850000001</v>
      </c>
      <c r="AN90">
        <v>6.75</v>
      </c>
      <c r="AO90" s="7">
        <f t="shared" si="34"/>
        <v>2392.990612441818</v>
      </c>
      <c r="AP90" s="2">
        <f t="shared" si="35"/>
        <v>-72.550612441817975</v>
      </c>
    </row>
    <row r="91" spans="1:42" x14ac:dyDescent="0.15">
      <c r="A91" s="8">
        <v>410218424</v>
      </c>
      <c r="B91" t="s">
        <v>36</v>
      </c>
      <c r="C91" t="s">
        <v>18</v>
      </c>
      <c r="D91" s="1">
        <v>39223</v>
      </c>
      <c r="E91" s="2">
        <v>155000</v>
      </c>
      <c r="F91" s="2">
        <v>131750</v>
      </c>
      <c r="G91" t="s">
        <v>17</v>
      </c>
      <c r="H91" s="2">
        <v>965.82</v>
      </c>
      <c r="I91" s="2">
        <v>130742.48</v>
      </c>
      <c r="J91">
        <v>7.9899999999999999E-2</v>
      </c>
      <c r="K91">
        <v>11</v>
      </c>
      <c r="L91">
        <v>349</v>
      </c>
      <c r="M91" t="str">
        <f t="shared" si="21"/>
        <v>30 Year Fixed</v>
      </c>
      <c r="N91" s="2">
        <v>870.53</v>
      </c>
      <c r="O91" t="str">
        <f t="shared" si="18"/>
        <v>Refi</v>
      </c>
      <c r="P91" s="3">
        <f t="shared" si="22"/>
        <v>0</v>
      </c>
      <c r="Q91" s="4">
        <v>132704</v>
      </c>
      <c r="R91" s="4" t="s">
        <v>41</v>
      </c>
      <c r="S91" s="5">
        <v>658</v>
      </c>
      <c r="T91">
        <v>6.75</v>
      </c>
      <c r="U91" s="7">
        <f t="shared" si="19"/>
        <v>916.00895140321575</v>
      </c>
      <c r="V91" s="2">
        <f t="shared" si="23"/>
        <v>49.811048596784303</v>
      </c>
      <c r="W91" s="9">
        <f t="shared" si="24"/>
        <v>0</v>
      </c>
      <c r="X91" s="3">
        <v>132704</v>
      </c>
      <c r="Y91" s="3">
        <f t="shared" si="25"/>
        <v>0.37714285716356244</v>
      </c>
      <c r="Z91" s="7">
        <f t="shared" si="26"/>
        <v>916.00895140321575</v>
      </c>
      <c r="AA91" s="2">
        <f t="shared" si="20"/>
        <v>49.811048596784303</v>
      </c>
      <c r="AB91" s="8">
        <f t="shared" si="27"/>
        <v>1</v>
      </c>
      <c r="AC91" s="10">
        <v>6.125</v>
      </c>
      <c r="AD91" s="7">
        <f t="shared" si="28"/>
        <v>861.61682377849161</v>
      </c>
      <c r="AE91" s="2">
        <f t="shared" si="29"/>
        <v>104.20317622150844</v>
      </c>
      <c r="AF91" s="10">
        <v>3</v>
      </c>
      <c r="AG91" s="3">
        <f t="shared" si="30"/>
        <v>3981.12</v>
      </c>
      <c r="AH91" s="7">
        <v>2635</v>
      </c>
      <c r="AI91">
        <f t="shared" si="31"/>
        <v>360</v>
      </c>
      <c r="AJ91" t="e">
        <f>VLOOKUP(A91,'Borrower Details'!$A$1:$H$1493,8,FALSE)</f>
        <v>#N/A</v>
      </c>
      <c r="AK91" s="4" t="e">
        <f t="shared" si="32"/>
        <v>#N/A</v>
      </c>
      <c r="AL91" s="10">
        <v>6.75</v>
      </c>
      <c r="AM91" s="3">
        <f t="shared" si="33"/>
        <v>132703.61719999998</v>
      </c>
      <c r="AN91">
        <v>6.75</v>
      </c>
      <c r="AO91" s="7">
        <f t="shared" si="34"/>
        <v>916.00630906970196</v>
      </c>
      <c r="AP91" s="2">
        <f t="shared" si="35"/>
        <v>49.813690930298094</v>
      </c>
    </row>
    <row r="92" spans="1:42" x14ac:dyDescent="0.15">
      <c r="A92" s="8">
        <v>1155636</v>
      </c>
      <c r="B92" t="s">
        <v>38</v>
      </c>
      <c r="C92" t="s">
        <v>18</v>
      </c>
      <c r="D92" s="1">
        <v>39141</v>
      </c>
      <c r="E92" s="2">
        <v>156000</v>
      </c>
      <c r="F92" s="2">
        <v>148200</v>
      </c>
      <c r="G92" t="s">
        <v>15</v>
      </c>
      <c r="H92" s="2">
        <v>1206.28</v>
      </c>
      <c r="I92" s="2">
        <v>147803.97</v>
      </c>
      <c r="J92">
        <v>9.5500000000000002E-2</v>
      </c>
      <c r="K92">
        <v>14</v>
      </c>
      <c r="L92">
        <v>346</v>
      </c>
      <c r="M92" t="str">
        <f t="shared" si="21"/>
        <v>30 Year Fixed</v>
      </c>
      <c r="N92" s="2">
        <v>1176.27</v>
      </c>
      <c r="O92" t="str">
        <f t="shared" si="18"/>
        <v>Refi</v>
      </c>
      <c r="P92" s="3">
        <f t="shared" si="22"/>
        <v>0</v>
      </c>
      <c r="Q92" s="4">
        <v>150021</v>
      </c>
      <c r="R92" s="4" t="s">
        <v>41</v>
      </c>
      <c r="S92" s="5">
        <v>660</v>
      </c>
      <c r="T92">
        <v>6.75</v>
      </c>
      <c r="U92" s="7">
        <f t="shared" si="19"/>
        <v>1035.5421004526002</v>
      </c>
      <c r="V92" s="2">
        <f t="shared" si="23"/>
        <v>170.73789954739982</v>
      </c>
      <c r="W92" s="9">
        <f t="shared" si="24"/>
        <v>0</v>
      </c>
      <c r="X92" s="3">
        <v>150021</v>
      </c>
      <c r="Y92" s="3">
        <f t="shared" si="25"/>
        <v>-2.9113300493918359E-2</v>
      </c>
      <c r="Z92" s="7">
        <f t="shared" si="26"/>
        <v>1035.5421004526002</v>
      </c>
      <c r="AA92" s="2">
        <f t="shared" si="20"/>
        <v>170.73789954739982</v>
      </c>
      <c r="AB92" s="8">
        <f t="shared" si="27"/>
        <v>0</v>
      </c>
      <c r="AC92" s="10">
        <v>6.75</v>
      </c>
      <c r="AD92" s="7">
        <f t="shared" si="28"/>
        <v>1035.5421004526002</v>
      </c>
      <c r="AE92" s="2">
        <f t="shared" si="29"/>
        <v>170.73789954739982</v>
      </c>
      <c r="AF92" s="10">
        <v>0</v>
      </c>
      <c r="AG92" s="3">
        <f t="shared" si="30"/>
        <v>0</v>
      </c>
      <c r="AH92" s="7">
        <v>0</v>
      </c>
      <c r="AI92">
        <f t="shared" si="31"/>
        <v>360</v>
      </c>
      <c r="AJ92" t="e">
        <f>VLOOKUP(A92,'Borrower Details'!$A$1:$H$1493,8,FALSE)</f>
        <v>#N/A</v>
      </c>
      <c r="AK92" s="4" t="e">
        <f t="shared" si="32"/>
        <v>#N/A</v>
      </c>
      <c r="AL92" s="10">
        <v>6.75</v>
      </c>
      <c r="AM92" s="3">
        <f t="shared" si="33"/>
        <v>150021.02954999998</v>
      </c>
      <c r="AN92">
        <v>6.75</v>
      </c>
      <c r="AO92" s="7">
        <f t="shared" si="34"/>
        <v>1035.5423044258373</v>
      </c>
      <c r="AP92" s="2">
        <f t="shared" si="35"/>
        <v>170.73769557416267</v>
      </c>
    </row>
    <row r="93" spans="1:42" x14ac:dyDescent="0.15">
      <c r="A93" s="8">
        <v>410523849</v>
      </c>
      <c r="B93" t="s">
        <v>36</v>
      </c>
      <c r="C93" t="s">
        <v>18</v>
      </c>
      <c r="D93" s="1">
        <v>39262</v>
      </c>
      <c r="E93" s="2">
        <v>198000</v>
      </c>
      <c r="F93" s="2">
        <v>188100</v>
      </c>
      <c r="G93" t="s">
        <v>20</v>
      </c>
      <c r="H93" s="2">
        <v>1616.07</v>
      </c>
      <c r="I93" s="2">
        <v>187115.86</v>
      </c>
      <c r="J93">
        <v>9.7500000000000003E-2</v>
      </c>
      <c r="K93">
        <v>10</v>
      </c>
      <c r="L93">
        <v>350</v>
      </c>
      <c r="M93" t="str">
        <f t="shared" si="21"/>
        <v>30 Year Fixed</v>
      </c>
      <c r="N93" s="2">
        <v>1520.32</v>
      </c>
      <c r="O93" t="str">
        <f t="shared" si="18"/>
        <v>Refi</v>
      </c>
      <c r="P93" s="3">
        <f t="shared" si="22"/>
        <v>0</v>
      </c>
      <c r="Q93" s="4">
        <v>189923</v>
      </c>
      <c r="R93" s="4" t="s">
        <v>41</v>
      </c>
      <c r="S93" s="5">
        <v>661</v>
      </c>
      <c r="T93">
        <v>6.75</v>
      </c>
      <c r="U93" s="7">
        <f t="shared" si="19"/>
        <v>1310.9715462785819</v>
      </c>
      <c r="V93" s="2">
        <f t="shared" si="23"/>
        <v>305.09845372141808</v>
      </c>
      <c r="W93" s="9">
        <f t="shared" si="24"/>
        <v>0</v>
      </c>
      <c r="X93" s="3">
        <v>189923</v>
      </c>
      <c r="Y93" s="3">
        <f t="shared" si="25"/>
        <v>0.39615763549227268</v>
      </c>
      <c r="Z93" s="7">
        <f t="shared" si="26"/>
        <v>1310.9715462785819</v>
      </c>
      <c r="AA93" s="2">
        <f t="shared" si="20"/>
        <v>305.09845372141808</v>
      </c>
      <c r="AB93" s="8">
        <f t="shared" si="27"/>
        <v>0</v>
      </c>
      <c r="AC93" s="10">
        <v>6.75</v>
      </c>
      <c r="AD93" s="7">
        <f t="shared" si="28"/>
        <v>1310.9715462785819</v>
      </c>
      <c r="AE93" s="2">
        <f t="shared" si="29"/>
        <v>305.09845372141808</v>
      </c>
      <c r="AF93" s="10">
        <v>0</v>
      </c>
      <c r="AG93" s="3">
        <f t="shared" si="30"/>
        <v>0</v>
      </c>
      <c r="AH93" s="7">
        <v>3762</v>
      </c>
      <c r="AI93">
        <f t="shared" si="31"/>
        <v>360</v>
      </c>
      <c r="AJ93" t="e">
        <f>VLOOKUP(A93,'Borrower Details'!$A$1:$H$1493,8,FALSE)</f>
        <v>#N/A</v>
      </c>
      <c r="AK93" s="4" t="e">
        <f t="shared" si="32"/>
        <v>#N/A</v>
      </c>
      <c r="AL93" s="10">
        <v>6.75</v>
      </c>
      <c r="AM93" s="3">
        <f t="shared" si="33"/>
        <v>189922.59789999996</v>
      </c>
      <c r="AN93">
        <v>6.75</v>
      </c>
      <c r="AO93" s="7">
        <f t="shared" si="34"/>
        <v>1310.9687707239689</v>
      </c>
      <c r="AP93" s="2">
        <f t="shared" si="35"/>
        <v>305.10122927603106</v>
      </c>
    </row>
    <row r="94" spans="1:42" x14ac:dyDescent="0.15">
      <c r="A94" s="8">
        <v>1161172</v>
      </c>
      <c r="B94" t="s">
        <v>37</v>
      </c>
      <c r="C94" t="s">
        <v>18</v>
      </c>
      <c r="D94" s="1">
        <v>39171</v>
      </c>
      <c r="E94" s="2">
        <v>248000</v>
      </c>
      <c r="F94" s="2">
        <v>235600</v>
      </c>
      <c r="G94" t="s">
        <v>15</v>
      </c>
      <c r="H94" s="2">
        <v>1861.89</v>
      </c>
      <c r="I94" s="2">
        <v>233777.11</v>
      </c>
      <c r="J94">
        <v>8.7999999999999995E-2</v>
      </c>
      <c r="K94">
        <v>13</v>
      </c>
      <c r="L94">
        <v>347</v>
      </c>
      <c r="M94" t="str">
        <f t="shared" si="21"/>
        <v>30 Year Fixed</v>
      </c>
      <c r="N94" s="2">
        <v>1714.37</v>
      </c>
      <c r="O94" t="str">
        <f t="shared" si="18"/>
        <v>Refi</v>
      </c>
      <c r="P94" s="3">
        <f t="shared" si="22"/>
        <v>0</v>
      </c>
      <c r="Q94" s="4">
        <v>237284</v>
      </c>
      <c r="R94" s="4" t="s">
        <v>41</v>
      </c>
      <c r="S94" s="5">
        <v>664</v>
      </c>
      <c r="T94">
        <v>6.75</v>
      </c>
      <c r="U94" s="7">
        <f t="shared" si="19"/>
        <v>1637.8878407942539</v>
      </c>
      <c r="V94" s="2">
        <f t="shared" si="23"/>
        <v>224.00215920574624</v>
      </c>
      <c r="W94" s="9">
        <f t="shared" si="24"/>
        <v>0</v>
      </c>
      <c r="X94" s="3">
        <v>237284</v>
      </c>
      <c r="Y94" s="3">
        <f t="shared" si="25"/>
        <v>0.2299014778691344</v>
      </c>
      <c r="Z94" s="7">
        <f t="shared" si="26"/>
        <v>1637.8878407942539</v>
      </c>
      <c r="AA94" s="2">
        <f t="shared" si="20"/>
        <v>224.00215920574624</v>
      </c>
      <c r="AB94" s="8">
        <f t="shared" si="27"/>
        <v>0</v>
      </c>
      <c r="AC94" s="10">
        <v>6.75</v>
      </c>
      <c r="AD94" s="7">
        <f t="shared" si="28"/>
        <v>1637.8878407942539</v>
      </c>
      <c r="AE94" s="2">
        <f t="shared" si="29"/>
        <v>224.00215920574624</v>
      </c>
      <c r="AF94" s="10">
        <v>0</v>
      </c>
      <c r="AG94" s="3">
        <f t="shared" si="30"/>
        <v>0</v>
      </c>
      <c r="AH94" s="7">
        <v>2356</v>
      </c>
      <c r="AI94">
        <f t="shared" si="31"/>
        <v>360</v>
      </c>
      <c r="AJ94" t="e">
        <f>VLOOKUP(A94,'Borrower Details'!$A$1:$H$1493,8,FALSE)</f>
        <v>#N/A</v>
      </c>
      <c r="AK94" s="4" t="e">
        <f t="shared" si="32"/>
        <v>#N/A</v>
      </c>
      <c r="AL94" s="10">
        <v>6.75</v>
      </c>
      <c r="AM94" s="3">
        <f t="shared" si="33"/>
        <v>237283.76664999998</v>
      </c>
      <c r="AN94">
        <v>6.75</v>
      </c>
      <c r="AO94" s="7">
        <f t="shared" si="34"/>
        <v>1637.8862300614287</v>
      </c>
      <c r="AP94" s="2">
        <f t="shared" si="35"/>
        <v>224.00376993857139</v>
      </c>
    </row>
    <row r="95" spans="1:42" x14ac:dyDescent="0.15">
      <c r="A95" s="8">
        <v>1156827</v>
      </c>
      <c r="B95" t="s">
        <v>37</v>
      </c>
      <c r="C95" t="s">
        <v>18</v>
      </c>
      <c r="D95" s="1">
        <v>39160</v>
      </c>
      <c r="E95" s="2">
        <v>138000</v>
      </c>
      <c r="F95" s="2">
        <v>106400</v>
      </c>
      <c r="G95" t="s">
        <v>17</v>
      </c>
      <c r="H95" s="2">
        <v>779.99</v>
      </c>
      <c r="I95" s="2">
        <v>105343.43</v>
      </c>
      <c r="J95">
        <v>7.9899999999999999E-2</v>
      </c>
      <c r="K95">
        <v>13</v>
      </c>
      <c r="L95">
        <v>347</v>
      </c>
      <c r="M95" t="str">
        <f t="shared" si="21"/>
        <v>30 Year Fixed</v>
      </c>
      <c r="N95" s="2">
        <v>701.41</v>
      </c>
      <c r="O95" t="str">
        <f t="shared" si="18"/>
        <v>Cash Out</v>
      </c>
      <c r="P95" s="3">
        <f t="shared" si="22"/>
        <v>10223.07246305421</v>
      </c>
      <c r="Q95" s="4">
        <v>117300</v>
      </c>
      <c r="R95" s="4" t="s">
        <v>41</v>
      </c>
      <c r="S95" s="5">
        <v>664</v>
      </c>
      <c r="T95">
        <v>6.75</v>
      </c>
      <c r="U95" s="7">
        <f t="shared" si="19"/>
        <v>809.68056727451483</v>
      </c>
      <c r="V95" s="2">
        <f t="shared" si="23"/>
        <v>-29.690567274514819</v>
      </c>
      <c r="W95" s="9">
        <f t="shared" si="24"/>
        <v>1</v>
      </c>
      <c r="X95" s="3">
        <v>112920</v>
      </c>
      <c r="Y95" s="3">
        <f t="shared" si="25"/>
        <v>5907.8015270936157</v>
      </c>
      <c r="Z95" s="7">
        <f t="shared" si="26"/>
        <v>779.44697064482705</v>
      </c>
      <c r="AA95" s="2">
        <f t="shared" si="20"/>
        <v>0.54302935517296191</v>
      </c>
      <c r="AB95" s="8">
        <f t="shared" si="27"/>
        <v>1</v>
      </c>
      <c r="AC95" s="10">
        <v>6.125</v>
      </c>
      <c r="AD95" s="7">
        <f t="shared" si="28"/>
        <v>733.16382129451461</v>
      </c>
      <c r="AE95" s="2">
        <f t="shared" si="29"/>
        <v>46.826178705485404</v>
      </c>
      <c r="AF95" s="10">
        <v>3</v>
      </c>
      <c r="AG95" s="3">
        <f t="shared" si="30"/>
        <v>3387.6</v>
      </c>
      <c r="AH95" s="7">
        <v>0</v>
      </c>
      <c r="AI95">
        <f t="shared" si="31"/>
        <v>360</v>
      </c>
      <c r="AJ95" t="e">
        <f>VLOOKUP(A95,'Borrower Details'!$A$1:$H$1493,8,FALSE)</f>
        <v>#N/A</v>
      </c>
      <c r="AK95" s="4" t="e">
        <f t="shared" si="32"/>
        <v>#N/A</v>
      </c>
      <c r="AL95" s="10">
        <v>6.75</v>
      </c>
      <c r="AM95" s="3">
        <f t="shared" si="33"/>
        <v>106923.58144999998</v>
      </c>
      <c r="AN95">
        <v>6.75</v>
      </c>
      <c r="AO95" s="7">
        <f t="shared" si="34"/>
        <v>738.055806338097</v>
      </c>
      <c r="AP95" s="2">
        <f t="shared" si="35"/>
        <v>41.934193661903009</v>
      </c>
    </row>
    <row r="96" spans="1:42" x14ac:dyDescent="0.15">
      <c r="A96" s="8">
        <v>411262280</v>
      </c>
      <c r="B96" t="s">
        <v>37</v>
      </c>
      <c r="C96" t="s">
        <v>18</v>
      </c>
      <c r="D96" s="1">
        <v>39503</v>
      </c>
      <c r="E96" s="2">
        <v>165000</v>
      </c>
      <c r="F96" s="2">
        <v>148500</v>
      </c>
      <c r="G96" t="s">
        <v>17</v>
      </c>
      <c r="H96" s="2">
        <v>1281.31</v>
      </c>
      <c r="I96" s="2">
        <v>148362.32</v>
      </c>
      <c r="J96">
        <v>9.8000000000000004E-2</v>
      </c>
      <c r="K96">
        <v>2</v>
      </c>
      <c r="L96">
        <v>358</v>
      </c>
      <c r="M96" t="str">
        <f t="shared" si="21"/>
        <v>30 Year Fixed</v>
      </c>
      <c r="N96" s="2">
        <v>1211.6300000000001</v>
      </c>
      <c r="O96" t="str">
        <f t="shared" si="18"/>
        <v>Refi</v>
      </c>
      <c r="P96" s="3">
        <f t="shared" si="22"/>
        <v>0</v>
      </c>
      <c r="Q96" s="4">
        <v>150588</v>
      </c>
      <c r="R96" s="4" t="s">
        <v>41</v>
      </c>
      <c r="S96" s="5">
        <v>666</v>
      </c>
      <c r="T96">
        <v>6.75</v>
      </c>
      <c r="U96" s="7">
        <f t="shared" si="19"/>
        <v>1039.455901660142</v>
      </c>
      <c r="V96" s="2">
        <f t="shared" si="23"/>
        <v>241.85409833985796</v>
      </c>
      <c r="W96" s="9">
        <f t="shared" si="24"/>
        <v>0</v>
      </c>
      <c r="X96" s="3">
        <v>150588</v>
      </c>
      <c r="Y96" s="3">
        <f t="shared" si="25"/>
        <v>0.24157635468873195</v>
      </c>
      <c r="Z96" s="7">
        <f t="shared" si="26"/>
        <v>1039.455901660142</v>
      </c>
      <c r="AA96" s="2">
        <f t="shared" si="20"/>
        <v>241.85409833985796</v>
      </c>
      <c r="AB96" s="8">
        <f t="shared" si="27"/>
        <v>0</v>
      </c>
      <c r="AC96" s="10">
        <v>6.75</v>
      </c>
      <c r="AD96" s="7">
        <f t="shared" si="28"/>
        <v>1039.455901660142</v>
      </c>
      <c r="AE96" s="2">
        <f t="shared" si="29"/>
        <v>241.85409833985796</v>
      </c>
      <c r="AF96" s="10">
        <v>0</v>
      </c>
      <c r="AG96" s="3">
        <f t="shared" si="30"/>
        <v>0</v>
      </c>
      <c r="AH96" s="7">
        <v>0</v>
      </c>
      <c r="AI96">
        <f t="shared" si="31"/>
        <v>360</v>
      </c>
      <c r="AJ96" t="e">
        <f>VLOOKUP(A96,'Borrower Details'!$A$1:$H$1493,8,FALSE)</f>
        <v>#N/A</v>
      </c>
      <c r="AK96" s="4" t="e">
        <f t="shared" si="32"/>
        <v>#N/A</v>
      </c>
      <c r="AL96" s="10">
        <v>6.75</v>
      </c>
      <c r="AM96" s="3">
        <f t="shared" si="33"/>
        <v>150587.7548</v>
      </c>
      <c r="AN96">
        <v>6.75</v>
      </c>
      <c r="AO96" s="7">
        <f t="shared" si="34"/>
        <v>1039.4542091309424</v>
      </c>
      <c r="AP96" s="2">
        <f t="shared" si="35"/>
        <v>241.8557908690575</v>
      </c>
    </row>
    <row r="97" spans="1:42" x14ac:dyDescent="0.15">
      <c r="A97" s="8">
        <v>410012058</v>
      </c>
      <c r="B97" t="s">
        <v>36</v>
      </c>
      <c r="C97" t="s">
        <v>19</v>
      </c>
      <c r="D97" s="1">
        <v>39181</v>
      </c>
      <c r="E97" s="2">
        <v>245000</v>
      </c>
      <c r="F97" s="2">
        <v>168750</v>
      </c>
      <c r="G97" t="s">
        <v>17</v>
      </c>
      <c r="H97" s="2">
        <v>1139.75</v>
      </c>
      <c r="I97" s="2">
        <v>167084.75</v>
      </c>
      <c r="J97">
        <v>7.1499999999999994E-2</v>
      </c>
      <c r="K97">
        <v>12</v>
      </c>
      <c r="L97">
        <v>348</v>
      </c>
      <c r="M97" t="str">
        <f t="shared" si="21"/>
        <v>30 Year Fixed</v>
      </c>
      <c r="N97" s="2">
        <v>995.55</v>
      </c>
      <c r="O97" t="str">
        <f t="shared" si="18"/>
        <v>Cash Out</v>
      </c>
      <c r="P97" s="3">
        <f t="shared" si="22"/>
        <v>38087.663793103478</v>
      </c>
      <c r="Q97" s="4">
        <v>208250</v>
      </c>
      <c r="R97" s="4" t="s">
        <v>41</v>
      </c>
      <c r="S97" s="5">
        <v>668</v>
      </c>
      <c r="T97">
        <v>6.75</v>
      </c>
      <c r="U97" s="7">
        <f t="shared" si="19"/>
        <v>1437.4763694366386</v>
      </c>
      <c r="V97" s="2">
        <f t="shared" si="23"/>
        <v>-297.72636943663861</v>
      </c>
      <c r="W97" s="9">
        <f t="shared" si="24"/>
        <v>1</v>
      </c>
      <c r="X97" s="3">
        <v>169591</v>
      </c>
      <c r="Y97" s="3">
        <f t="shared" si="25"/>
        <v>-2.0935960579663515E-2</v>
      </c>
      <c r="Z97" s="7">
        <f t="shared" si="26"/>
        <v>1170.6269146176662</v>
      </c>
      <c r="AA97" s="2">
        <f t="shared" si="20"/>
        <v>-30.876914617666216</v>
      </c>
      <c r="AB97" s="8">
        <f t="shared" si="27"/>
        <v>1</v>
      </c>
      <c r="AC97" s="10">
        <v>6.125</v>
      </c>
      <c r="AD97" s="7">
        <f t="shared" si="28"/>
        <v>1101.115706846954</v>
      </c>
      <c r="AE97" s="2">
        <f t="shared" si="29"/>
        <v>38.634293153045974</v>
      </c>
      <c r="AF97" s="10">
        <v>3</v>
      </c>
      <c r="AG97" s="3">
        <f t="shared" si="30"/>
        <v>5087.7299999999996</v>
      </c>
      <c r="AH97" s="7">
        <v>3375</v>
      </c>
      <c r="AI97">
        <f t="shared" si="31"/>
        <v>360</v>
      </c>
      <c r="AJ97" t="e">
        <f>VLOOKUP(A97,'Borrower Details'!$A$1:$H$1493,8,FALSE)</f>
        <v>#N/A</v>
      </c>
      <c r="AK97" s="4" t="e">
        <f t="shared" si="32"/>
        <v>#N/A</v>
      </c>
      <c r="AL97" s="10">
        <v>6.75</v>
      </c>
      <c r="AM97" s="3">
        <f t="shared" si="33"/>
        <v>169591.02124999999</v>
      </c>
      <c r="AN97">
        <v>6.75</v>
      </c>
      <c r="AO97" s="7">
        <f t="shared" si="34"/>
        <v>1170.6270612989283</v>
      </c>
      <c r="AP97" s="2">
        <f t="shared" si="35"/>
        <v>-30.877061298928311</v>
      </c>
    </row>
    <row r="98" spans="1:42" x14ac:dyDescent="0.15">
      <c r="A98" s="8">
        <v>410351100</v>
      </c>
      <c r="B98" t="s">
        <v>37</v>
      </c>
      <c r="C98" t="s">
        <v>19</v>
      </c>
      <c r="D98" s="1">
        <v>39233</v>
      </c>
      <c r="E98" s="2">
        <v>305000</v>
      </c>
      <c r="F98" s="2">
        <v>274500</v>
      </c>
      <c r="G98" t="s">
        <v>15</v>
      </c>
      <c r="H98" s="2">
        <v>1772.82</v>
      </c>
      <c r="I98" s="2">
        <v>274499.95</v>
      </c>
      <c r="J98">
        <v>7.7499999999999999E-2</v>
      </c>
      <c r="K98">
        <v>11</v>
      </c>
      <c r="L98">
        <v>349</v>
      </c>
      <c r="M98" t="str">
        <f t="shared" si="21"/>
        <v>30 Year Fixed</v>
      </c>
      <c r="N98" s="2">
        <v>1772.81</v>
      </c>
      <c r="O98" t="str">
        <f t="shared" si="18"/>
        <v>Refi</v>
      </c>
      <c r="P98" s="3">
        <f t="shared" si="22"/>
        <v>0</v>
      </c>
      <c r="Q98" s="4">
        <v>278617</v>
      </c>
      <c r="R98" s="4" t="s">
        <v>41</v>
      </c>
      <c r="S98" s="5">
        <v>668</v>
      </c>
      <c r="T98">
        <v>6.75</v>
      </c>
      <c r="U98" s="7">
        <f t="shared" si="19"/>
        <v>1923.194975382127</v>
      </c>
      <c r="V98" s="2">
        <f t="shared" si="23"/>
        <v>-150.3749753821271</v>
      </c>
      <c r="W98" s="9">
        <f t="shared" si="24"/>
        <v>0</v>
      </c>
      <c r="X98" s="3">
        <v>278617</v>
      </c>
      <c r="Y98" s="3">
        <f t="shared" si="25"/>
        <v>-0.44261083740275353</v>
      </c>
      <c r="Z98" s="7">
        <f t="shared" si="26"/>
        <v>1923.194975382127</v>
      </c>
      <c r="AA98" s="2">
        <f t="shared" si="20"/>
        <v>-150.3749753821271</v>
      </c>
      <c r="AB98" s="8">
        <f t="shared" si="27"/>
        <v>1</v>
      </c>
      <c r="AC98" s="10">
        <v>6.125</v>
      </c>
      <c r="AD98" s="7">
        <f t="shared" si="28"/>
        <v>1808.9966737301966</v>
      </c>
      <c r="AE98" s="2">
        <f t="shared" si="29"/>
        <v>-36.176673730196626</v>
      </c>
      <c r="AF98" s="10">
        <v>3</v>
      </c>
      <c r="AG98" s="3">
        <f t="shared" si="30"/>
        <v>8358.51</v>
      </c>
      <c r="AH98" s="7">
        <v>2745</v>
      </c>
      <c r="AI98">
        <f t="shared" si="31"/>
        <v>360</v>
      </c>
      <c r="AJ98" t="e">
        <f>VLOOKUP(A98,'Borrower Details'!$A$1:$H$1493,8,FALSE)</f>
        <v>#N/A</v>
      </c>
      <c r="AK98" s="4" t="e">
        <f t="shared" si="32"/>
        <v>#N/A</v>
      </c>
      <c r="AL98" s="10">
        <v>6.75</v>
      </c>
      <c r="AM98" s="3">
        <f t="shared" si="33"/>
        <v>278617.44925000001</v>
      </c>
      <c r="AN98">
        <v>6.75</v>
      </c>
      <c r="AO98" s="7">
        <f t="shared" si="34"/>
        <v>1923.1980763965757</v>
      </c>
      <c r="AP98" s="2">
        <f t="shared" si="35"/>
        <v>-150.37807639657581</v>
      </c>
    </row>
    <row r="99" spans="1:42" x14ac:dyDescent="0.15">
      <c r="A99" s="8">
        <v>410137079</v>
      </c>
      <c r="B99" t="s">
        <v>37</v>
      </c>
      <c r="C99" t="s">
        <v>18</v>
      </c>
      <c r="D99" s="1">
        <v>39202</v>
      </c>
      <c r="E99" s="2">
        <v>124000</v>
      </c>
      <c r="F99" s="2">
        <v>115000</v>
      </c>
      <c r="G99" t="s">
        <v>17</v>
      </c>
      <c r="H99" s="2">
        <v>916.23</v>
      </c>
      <c r="I99" s="2">
        <v>114121.38</v>
      </c>
      <c r="J99">
        <v>8.8900000000000007E-2</v>
      </c>
      <c r="K99">
        <v>12</v>
      </c>
      <c r="L99">
        <v>347</v>
      </c>
      <c r="M99" t="str">
        <f t="shared" si="21"/>
        <v>30 Year Fixed</v>
      </c>
      <c r="N99" s="2">
        <v>845.45</v>
      </c>
      <c r="O99" t="str">
        <f t="shared" si="18"/>
        <v>Refi</v>
      </c>
      <c r="P99" s="3">
        <f t="shared" si="22"/>
        <v>0</v>
      </c>
      <c r="Q99" s="4">
        <v>115833</v>
      </c>
      <c r="R99" s="4" t="s">
        <v>41</v>
      </c>
      <c r="S99" s="5">
        <v>670</v>
      </c>
      <c r="T99">
        <v>6.75</v>
      </c>
      <c r="U99" s="7">
        <f t="shared" si="19"/>
        <v>799.55438319785901</v>
      </c>
      <c r="V99" s="2">
        <f t="shared" si="23"/>
        <v>116.67561680214101</v>
      </c>
      <c r="W99" s="9">
        <f t="shared" si="24"/>
        <v>0</v>
      </c>
      <c r="X99" s="3">
        <v>115833</v>
      </c>
      <c r="Y99" s="3">
        <f t="shared" si="25"/>
        <v>-0.19773399013502058</v>
      </c>
      <c r="Z99" s="7">
        <f t="shared" si="26"/>
        <v>799.55438319785901</v>
      </c>
      <c r="AA99" s="2">
        <f t="shared" si="20"/>
        <v>116.67561680214101</v>
      </c>
      <c r="AB99" s="8">
        <f t="shared" si="27"/>
        <v>0</v>
      </c>
      <c r="AC99" s="10">
        <v>6.75</v>
      </c>
      <c r="AD99" s="7">
        <f t="shared" si="28"/>
        <v>799.55438319785901</v>
      </c>
      <c r="AE99" s="2">
        <f t="shared" si="29"/>
        <v>116.67561680214101</v>
      </c>
      <c r="AF99" s="10">
        <v>0</v>
      </c>
      <c r="AG99" s="3">
        <f t="shared" si="30"/>
        <v>0</v>
      </c>
      <c r="AH99" s="7">
        <v>0</v>
      </c>
      <c r="AI99">
        <f t="shared" si="31"/>
        <v>360</v>
      </c>
      <c r="AJ99" t="e">
        <f>VLOOKUP(A99,'Borrower Details'!$A$1:$H$1493,8,FALSE)</f>
        <v>#N/A</v>
      </c>
      <c r="AK99" s="4" t="e">
        <f t="shared" si="32"/>
        <v>#N/A</v>
      </c>
      <c r="AL99" s="10">
        <v>6.75</v>
      </c>
      <c r="AM99" s="3">
        <f t="shared" si="33"/>
        <v>115833.20069999999</v>
      </c>
      <c r="AN99">
        <v>6.75</v>
      </c>
      <c r="AO99" s="7">
        <f t="shared" si="34"/>
        <v>799.5557685592388</v>
      </c>
      <c r="AP99" s="2">
        <f t="shared" si="35"/>
        <v>116.67423144076122</v>
      </c>
    </row>
    <row r="100" spans="1:42" x14ac:dyDescent="0.15">
      <c r="A100" s="8">
        <v>1149977</v>
      </c>
      <c r="B100" t="s">
        <v>36</v>
      </c>
      <c r="C100" t="s">
        <v>19</v>
      </c>
      <c r="D100" s="1">
        <v>39139</v>
      </c>
      <c r="E100" s="2">
        <v>205000</v>
      </c>
      <c r="F100" s="2">
        <v>155000</v>
      </c>
      <c r="G100" t="s">
        <v>17</v>
      </c>
      <c r="H100" s="2">
        <v>1020.84</v>
      </c>
      <c r="I100" s="2">
        <v>153116.32999999999</v>
      </c>
      <c r="J100">
        <v>6.9000000000000006E-2</v>
      </c>
      <c r="K100">
        <v>14</v>
      </c>
      <c r="L100">
        <v>346</v>
      </c>
      <c r="M100" t="str">
        <f t="shared" si="21"/>
        <v>30 Year Fixed</v>
      </c>
      <c r="N100" s="2">
        <v>880.42</v>
      </c>
      <c r="O100" t="str">
        <f t="shared" si="18"/>
        <v>Cash Out</v>
      </c>
      <c r="P100" s="3">
        <f t="shared" si="22"/>
        <v>18558.54684729068</v>
      </c>
      <c r="Q100" s="4">
        <v>174250</v>
      </c>
      <c r="R100" s="4" t="s">
        <v>41</v>
      </c>
      <c r="S100" s="5">
        <v>670</v>
      </c>
      <c r="T100">
        <v>6.75</v>
      </c>
      <c r="U100" s="7">
        <f t="shared" si="19"/>
        <v>1202.7863499367793</v>
      </c>
      <c r="V100" s="2">
        <f t="shared" si="23"/>
        <v>-181.94634993677926</v>
      </c>
      <c r="W100" s="9">
        <f t="shared" si="24"/>
        <v>1</v>
      </c>
      <c r="X100" s="3">
        <v>155413</v>
      </c>
      <c r="Y100" s="3">
        <f t="shared" si="25"/>
        <v>-7.3842364508891478E-2</v>
      </c>
      <c r="Z100" s="7">
        <f t="shared" si="26"/>
        <v>1072.7611764862247</v>
      </c>
      <c r="AA100" s="2">
        <f t="shared" si="20"/>
        <v>-51.921176486224681</v>
      </c>
      <c r="AB100" s="8">
        <f t="shared" si="27"/>
        <v>1</v>
      </c>
      <c r="AC100" s="10">
        <v>6.125</v>
      </c>
      <c r="AD100" s="7">
        <f t="shared" si="28"/>
        <v>1009.0611845452038</v>
      </c>
      <c r="AE100" s="2">
        <f t="shared" si="29"/>
        <v>11.778815454796245</v>
      </c>
      <c r="AF100" s="10">
        <v>3</v>
      </c>
      <c r="AG100" s="3">
        <f t="shared" si="30"/>
        <v>4662.3900000000003</v>
      </c>
      <c r="AH100" s="7">
        <v>3100</v>
      </c>
      <c r="AI100">
        <f t="shared" si="31"/>
        <v>360</v>
      </c>
      <c r="AJ100" t="e">
        <f>VLOOKUP(A100,'Borrower Details'!$A$1:$H$1493,8,FALSE)</f>
        <v>#N/A</v>
      </c>
      <c r="AK100" s="4" t="e">
        <f t="shared" si="32"/>
        <v>#N/A</v>
      </c>
      <c r="AL100" s="10">
        <v>6.75</v>
      </c>
      <c r="AM100" s="3">
        <f t="shared" si="33"/>
        <v>155413.07494999998</v>
      </c>
      <c r="AN100">
        <v>6.75</v>
      </c>
      <c r="AO100" s="7">
        <f t="shared" si="34"/>
        <v>1072.7616938396648</v>
      </c>
      <c r="AP100" s="2">
        <f t="shared" si="35"/>
        <v>-51.921693839664727</v>
      </c>
    </row>
    <row r="101" spans="1:42" x14ac:dyDescent="0.15">
      <c r="A101" s="8">
        <v>410602247</v>
      </c>
      <c r="B101" t="s">
        <v>36</v>
      </c>
      <c r="C101" t="s">
        <v>18</v>
      </c>
      <c r="D101" s="1">
        <v>39274</v>
      </c>
      <c r="E101" s="2">
        <v>188000</v>
      </c>
      <c r="F101" s="2">
        <v>124000</v>
      </c>
      <c r="G101" t="s">
        <v>17</v>
      </c>
      <c r="H101" s="2">
        <v>892.64</v>
      </c>
      <c r="I101" s="2">
        <v>123199.67</v>
      </c>
      <c r="J101">
        <v>7.8E-2</v>
      </c>
      <c r="K101">
        <v>9</v>
      </c>
      <c r="L101">
        <v>351</v>
      </c>
      <c r="M101" t="str">
        <f t="shared" si="21"/>
        <v>30 Year Fixed</v>
      </c>
      <c r="N101" s="2">
        <v>800.8</v>
      </c>
      <c r="O101" t="str">
        <f t="shared" si="18"/>
        <v>Cash Out</v>
      </c>
      <c r="P101" s="3">
        <f t="shared" si="22"/>
        <v>34238.753645320205</v>
      </c>
      <c r="Q101" s="4">
        <v>159800</v>
      </c>
      <c r="R101" s="4" t="s">
        <v>41</v>
      </c>
      <c r="S101" s="5">
        <v>674</v>
      </c>
      <c r="T101">
        <v>6.75</v>
      </c>
      <c r="U101" s="7">
        <f t="shared" si="19"/>
        <v>1103.043091649339</v>
      </c>
      <c r="V101" s="2">
        <f t="shared" si="23"/>
        <v>-210.40309164933899</v>
      </c>
      <c r="W101" s="9">
        <f t="shared" si="24"/>
        <v>1</v>
      </c>
      <c r="X101" s="3">
        <v>129240</v>
      </c>
      <c r="Y101" s="3">
        <f t="shared" si="25"/>
        <v>4130.3792610837554</v>
      </c>
      <c r="Z101" s="7">
        <f t="shared" si="26"/>
        <v>892.09818000475957</v>
      </c>
      <c r="AA101" s="2">
        <f t="shared" si="20"/>
        <v>0.54181999524041657</v>
      </c>
      <c r="AB101" s="8">
        <f t="shared" si="27"/>
        <v>1</v>
      </c>
      <c r="AC101" s="10">
        <v>6.125</v>
      </c>
      <c r="AD101" s="7">
        <f t="shared" si="28"/>
        <v>839.12586135408321</v>
      </c>
      <c r="AE101" s="2">
        <f t="shared" si="29"/>
        <v>53.514138645916773</v>
      </c>
      <c r="AF101" s="10">
        <v>3</v>
      </c>
      <c r="AG101" s="3">
        <f t="shared" si="30"/>
        <v>3877.2</v>
      </c>
      <c r="AH101" s="7">
        <v>2480</v>
      </c>
      <c r="AI101">
        <f t="shared" si="31"/>
        <v>360</v>
      </c>
      <c r="AJ101" t="e">
        <f>VLOOKUP(A101,'Borrower Details'!$A$1:$H$1493,8,FALSE)</f>
        <v>#N/A</v>
      </c>
      <c r="AK101" s="4" t="e">
        <f t="shared" si="32"/>
        <v>#N/A</v>
      </c>
      <c r="AL101" s="10">
        <v>6.75</v>
      </c>
      <c r="AM101" s="3">
        <f t="shared" si="33"/>
        <v>125047.66504999998</v>
      </c>
      <c r="AN101">
        <v>6.75</v>
      </c>
      <c r="AO101" s="7">
        <f t="shared" si="34"/>
        <v>863.15996908812872</v>
      </c>
      <c r="AP101" s="2">
        <f t="shared" si="35"/>
        <v>29.480030911871268</v>
      </c>
    </row>
    <row r="102" spans="1:42" x14ac:dyDescent="0.15">
      <c r="A102" s="8">
        <v>411112071</v>
      </c>
      <c r="B102" t="s">
        <v>37</v>
      </c>
      <c r="C102" t="s">
        <v>18</v>
      </c>
      <c r="D102" s="1">
        <v>39421</v>
      </c>
      <c r="E102" s="2">
        <v>155000</v>
      </c>
      <c r="F102" s="2">
        <v>103200</v>
      </c>
      <c r="G102" t="s">
        <v>17</v>
      </c>
      <c r="H102" s="2">
        <v>822.96</v>
      </c>
      <c r="I102" s="2">
        <v>102907.89</v>
      </c>
      <c r="J102">
        <v>8.8999999999999996E-2</v>
      </c>
      <c r="K102">
        <v>4</v>
      </c>
      <c r="L102">
        <v>355</v>
      </c>
      <c r="M102" t="str">
        <f t="shared" si="21"/>
        <v>30 Year Fixed</v>
      </c>
      <c r="N102" s="2">
        <v>763.23</v>
      </c>
      <c r="O102" t="str">
        <f t="shared" si="18"/>
        <v>Cash Out</v>
      </c>
      <c r="P102" s="3">
        <f t="shared" si="22"/>
        <v>26895.065665024638</v>
      </c>
      <c r="Q102" s="4">
        <v>131750</v>
      </c>
      <c r="R102" s="4" t="s">
        <v>41</v>
      </c>
      <c r="S102" s="5">
        <v>678</v>
      </c>
      <c r="T102">
        <v>6.75</v>
      </c>
      <c r="U102" s="7">
        <f t="shared" si="19"/>
        <v>909.42382556195503</v>
      </c>
      <c r="V102" s="2">
        <f t="shared" si="23"/>
        <v>-86.463825561954991</v>
      </c>
      <c r="W102" s="9">
        <f t="shared" si="24"/>
        <v>1</v>
      </c>
      <c r="X102" s="3">
        <v>119150</v>
      </c>
      <c r="Y102" s="3">
        <f t="shared" si="25"/>
        <v>14481.272561576363</v>
      </c>
      <c r="Z102" s="7">
        <f t="shared" si="26"/>
        <v>822.45046539436009</v>
      </c>
      <c r="AA102" s="2">
        <f t="shared" si="20"/>
        <v>0.50953460563994213</v>
      </c>
      <c r="AB102" s="8">
        <f t="shared" si="27"/>
        <v>0</v>
      </c>
      <c r="AC102" s="10">
        <v>6.75</v>
      </c>
      <c r="AD102" s="7">
        <f t="shared" si="28"/>
        <v>822.45046539436009</v>
      </c>
      <c r="AE102" s="2">
        <f t="shared" si="29"/>
        <v>0.50953460563994213</v>
      </c>
      <c r="AF102" s="10">
        <v>0</v>
      </c>
      <c r="AG102" s="3">
        <f t="shared" si="30"/>
        <v>0</v>
      </c>
      <c r="AH102" s="7">
        <v>0</v>
      </c>
      <c r="AI102">
        <f t="shared" si="31"/>
        <v>360</v>
      </c>
      <c r="AJ102" t="e">
        <f>VLOOKUP(A102,'Borrower Details'!$A$1:$H$1493,8,FALSE)</f>
        <v>#N/A</v>
      </c>
      <c r="AK102" s="4" t="e">
        <f t="shared" si="32"/>
        <v>#N/A</v>
      </c>
      <c r="AL102" s="10">
        <v>6.75</v>
      </c>
      <c r="AM102" s="3">
        <f t="shared" si="33"/>
        <v>104451.50834999999</v>
      </c>
      <c r="AN102">
        <v>6.75</v>
      </c>
      <c r="AO102" s="7">
        <f t="shared" si="34"/>
        <v>720.99195680738887</v>
      </c>
      <c r="AP102" s="2">
        <f t="shared" si="35"/>
        <v>101.96804319261116</v>
      </c>
    </row>
    <row r="103" spans="1:42" x14ac:dyDescent="0.15">
      <c r="A103" s="8">
        <v>410615322</v>
      </c>
      <c r="B103" t="s">
        <v>36</v>
      </c>
      <c r="C103" t="s">
        <v>19</v>
      </c>
      <c r="D103" s="1">
        <v>39294</v>
      </c>
      <c r="E103" s="2">
        <v>198000</v>
      </c>
      <c r="F103" s="2">
        <v>188100</v>
      </c>
      <c r="G103" t="s">
        <v>20</v>
      </c>
      <c r="H103" s="2">
        <v>1248.24</v>
      </c>
      <c r="I103" s="2">
        <v>187810.87</v>
      </c>
      <c r="J103">
        <v>7.8E-2</v>
      </c>
      <c r="K103">
        <v>9</v>
      </c>
      <c r="L103">
        <v>350</v>
      </c>
      <c r="M103" t="str">
        <f t="shared" si="21"/>
        <v>30 Year Fixed</v>
      </c>
      <c r="N103" s="2">
        <v>1220.99</v>
      </c>
      <c r="O103" t="str">
        <f t="shared" si="18"/>
        <v>Refi</v>
      </c>
      <c r="P103" s="3">
        <f t="shared" si="22"/>
        <v>0</v>
      </c>
      <c r="Q103" s="4">
        <v>190628</v>
      </c>
      <c r="R103" s="4" t="s">
        <v>41</v>
      </c>
      <c r="S103" s="5">
        <v>685</v>
      </c>
      <c r="T103">
        <v>6.75</v>
      </c>
      <c r="U103" s="7">
        <f t="shared" si="19"/>
        <v>1315.8379128593879</v>
      </c>
      <c r="V103" s="2">
        <f t="shared" si="23"/>
        <v>-67.597912859387861</v>
      </c>
      <c r="W103" s="9">
        <f t="shared" si="24"/>
        <v>0</v>
      </c>
      <c r="X103" s="3">
        <v>190628</v>
      </c>
      <c r="Y103" s="3">
        <f t="shared" si="25"/>
        <v>-3.2561576343141496E-2</v>
      </c>
      <c r="Z103" s="7">
        <f t="shared" si="26"/>
        <v>1315.8379128593879</v>
      </c>
      <c r="AA103" s="2">
        <f t="shared" si="20"/>
        <v>-67.597912859387861</v>
      </c>
      <c r="AB103" s="8">
        <f t="shared" si="27"/>
        <v>1</v>
      </c>
      <c r="AC103" s="10">
        <v>6.125</v>
      </c>
      <c r="AD103" s="7">
        <f t="shared" si="28"/>
        <v>1237.7041527252102</v>
      </c>
      <c r="AE103" s="2">
        <f t="shared" si="29"/>
        <v>10.53584727478983</v>
      </c>
      <c r="AF103" s="10">
        <v>3</v>
      </c>
      <c r="AG103" s="3">
        <f t="shared" si="30"/>
        <v>5718.84</v>
      </c>
      <c r="AH103" s="7">
        <v>3762</v>
      </c>
      <c r="AI103">
        <f t="shared" si="31"/>
        <v>360</v>
      </c>
      <c r="AJ103" t="e">
        <f>VLOOKUP(A103,'Borrower Details'!$A$1:$H$1493,8,FALSE)</f>
        <v>#N/A</v>
      </c>
      <c r="AK103" s="4" t="e">
        <f t="shared" si="32"/>
        <v>#N/A</v>
      </c>
      <c r="AL103" s="10">
        <v>6.75</v>
      </c>
      <c r="AM103" s="3">
        <f t="shared" si="33"/>
        <v>190628.03304999997</v>
      </c>
      <c r="AN103">
        <v>6.75</v>
      </c>
      <c r="AO103" s="7">
        <f t="shared" si="34"/>
        <v>1315.838140991892</v>
      </c>
      <c r="AP103" s="2">
        <f t="shared" si="35"/>
        <v>-67.598140991892024</v>
      </c>
    </row>
    <row r="104" spans="1:42" x14ac:dyDescent="0.15">
      <c r="A104" s="8">
        <v>411159932</v>
      </c>
      <c r="B104" t="s">
        <v>35</v>
      </c>
      <c r="C104" t="s">
        <v>16</v>
      </c>
      <c r="D104" s="1">
        <v>39435</v>
      </c>
      <c r="E104" s="2">
        <v>68000</v>
      </c>
      <c r="F104" s="2">
        <v>62700</v>
      </c>
      <c r="G104" t="s">
        <v>17</v>
      </c>
      <c r="H104" s="2">
        <v>596.64</v>
      </c>
      <c r="I104" s="2">
        <v>62463.85</v>
      </c>
      <c r="J104">
        <v>0.1099</v>
      </c>
      <c r="K104">
        <v>4</v>
      </c>
      <c r="L104">
        <v>355</v>
      </c>
      <c r="M104" t="str">
        <f t="shared" si="21"/>
        <v>30 Year Fixed</v>
      </c>
      <c r="N104" s="2">
        <v>572.51</v>
      </c>
      <c r="O104" t="str">
        <f t="shared" si="18"/>
        <v>Refi</v>
      </c>
      <c r="P104" s="3">
        <f t="shared" si="22"/>
        <v>0</v>
      </c>
      <c r="Q104" s="4">
        <v>63401</v>
      </c>
      <c r="R104" s="4" t="s">
        <v>41</v>
      </c>
      <c r="S104" s="5">
        <v>689</v>
      </c>
      <c r="T104">
        <v>6.875</v>
      </c>
      <c r="U104" s="7">
        <f t="shared" si="19"/>
        <v>442.91652049174741</v>
      </c>
      <c r="V104" s="2">
        <f t="shared" si="23"/>
        <v>153.72347950825258</v>
      </c>
      <c r="W104" s="9">
        <f t="shared" si="24"/>
        <v>0</v>
      </c>
      <c r="X104" s="3">
        <v>63401</v>
      </c>
      <c r="Y104" s="3">
        <f t="shared" si="25"/>
        <v>0.1894088670014753</v>
      </c>
      <c r="Z104" s="7">
        <f t="shared" si="26"/>
        <v>442.91652049174741</v>
      </c>
      <c r="AA104" s="2">
        <f t="shared" si="20"/>
        <v>153.72347950825258</v>
      </c>
      <c r="AB104" s="8">
        <f t="shared" si="27"/>
        <v>0</v>
      </c>
      <c r="AC104" s="10">
        <v>6.875</v>
      </c>
      <c r="AD104" s="7">
        <f t="shared" si="28"/>
        <v>442.91652049174741</v>
      </c>
      <c r="AE104" s="2">
        <f t="shared" si="29"/>
        <v>153.72347950825258</v>
      </c>
      <c r="AF104" s="10">
        <v>0</v>
      </c>
      <c r="AG104" s="3">
        <f t="shared" si="30"/>
        <v>0</v>
      </c>
      <c r="AH104" s="7">
        <v>3445.3649999999998</v>
      </c>
      <c r="AI104">
        <f t="shared" si="31"/>
        <v>360</v>
      </c>
      <c r="AJ104" t="e">
        <f>VLOOKUP(A104,'Borrower Details'!$A$1:$H$1493,8,FALSE)</f>
        <v>#N/A</v>
      </c>
      <c r="AK104" s="4" t="e">
        <f t="shared" si="32"/>
        <v>#N/A</v>
      </c>
      <c r="AL104" s="10">
        <v>6.875</v>
      </c>
      <c r="AM104" s="3">
        <f t="shared" si="33"/>
        <v>63400.807749999993</v>
      </c>
      <c r="AN104">
        <v>6.875</v>
      </c>
      <c r="AO104" s="7">
        <f t="shared" si="34"/>
        <v>442.91517744193641</v>
      </c>
      <c r="AP104" s="2">
        <f t="shared" si="35"/>
        <v>153.72482255806358</v>
      </c>
    </row>
    <row r="105" spans="1:42" x14ac:dyDescent="0.15">
      <c r="A105" s="8">
        <v>410833941</v>
      </c>
      <c r="B105" t="s">
        <v>36</v>
      </c>
      <c r="C105" t="s">
        <v>16</v>
      </c>
      <c r="D105" s="1">
        <v>39314</v>
      </c>
      <c r="E105" s="2">
        <v>255000</v>
      </c>
      <c r="F105" s="2">
        <v>242000</v>
      </c>
      <c r="G105" t="s">
        <v>17</v>
      </c>
      <c r="H105" s="2">
        <v>1864.84</v>
      </c>
      <c r="I105" s="2">
        <v>241574.09</v>
      </c>
      <c r="J105">
        <v>8.9899999999999994E-2</v>
      </c>
      <c r="K105">
        <v>8</v>
      </c>
      <c r="L105">
        <v>352</v>
      </c>
      <c r="M105" t="str">
        <f t="shared" si="21"/>
        <v>30 Year Fixed</v>
      </c>
      <c r="N105" s="2">
        <v>1809.79</v>
      </c>
      <c r="O105" t="str">
        <f t="shared" si="18"/>
        <v>Refi</v>
      </c>
      <c r="P105" s="3">
        <f t="shared" si="22"/>
        <v>0</v>
      </c>
      <c r="Q105" s="4">
        <v>245198</v>
      </c>
      <c r="R105" s="4" t="s">
        <v>41</v>
      </c>
      <c r="S105" s="5">
        <v>693</v>
      </c>
      <c r="T105">
        <v>6.75</v>
      </c>
      <c r="U105" s="7">
        <f t="shared" si="19"/>
        <v>1692.5153941566621</v>
      </c>
      <c r="V105" s="2">
        <f t="shared" si="23"/>
        <v>172.32460584333785</v>
      </c>
      <c r="W105" s="9">
        <f t="shared" si="24"/>
        <v>0</v>
      </c>
      <c r="X105" s="3">
        <v>245198</v>
      </c>
      <c r="Y105" s="3">
        <f t="shared" si="25"/>
        <v>0.29423645322094671</v>
      </c>
      <c r="Z105" s="7">
        <f t="shared" si="26"/>
        <v>1692.5153941566621</v>
      </c>
      <c r="AA105" s="2">
        <f t="shared" si="20"/>
        <v>172.32460584333785</v>
      </c>
      <c r="AB105" s="8">
        <f t="shared" si="27"/>
        <v>0</v>
      </c>
      <c r="AC105" s="10">
        <v>6.75</v>
      </c>
      <c r="AD105" s="7">
        <f t="shared" si="28"/>
        <v>1692.5153941566621</v>
      </c>
      <c r="AE105" s="2">
        <f t="shared" si="29"/>
        <v>172.32460584333785</v>
      </c>
      <c r="AF105" s="10">
        <v>0</v>
      </c>
      <c r="AG105" s="3">
        <f t="shared" si="30"/>
        <v>0</v>
      </c>
      <c r="AH105" s="7">
        <v>4840</v>
      </c>
      <c r="AI105">
        <f t="shared" si="31"/>
        <v>360</v>
      </c>
      <c r="AJ105" t="e">
        <f>VLOOKUP(A105,'Borrower Details'!$A$1:$H$1493,8,FALSE)</f>
        <v>#N/A</v>
      </c>
      <c r="AK105" s="4" t="e">
        <f t="shared" si="32"/>
        <v>#N/A</v>
      </c>
      <c r="AL105" s="10">
        <v>6.75</v>
      </c>
      <c r="AM105" s="3">
        <f t="shared" si="33"/>
        <v>245197.70134999996</v>
      </c>
      <c r="AN105">
        <v>6.75</v>
      </c>
      <c r="AO105" s="7">
        <f t="shared" si="34"/>
        <v>1692.5133326809466</v>
      </c>
      <c r="AP105" s="2">
        <f t="shared" si="35"/>
        <v>172.32666731905329</v>
      </c>
    </row>
    <row r="106" spans="1:42" x14ac:dyDescent="0.15">
      <c r="A106" s="8">
        <v>1148754</v>
      </c>
      <c r="B106" t="s">
        <v>37</v>
      </c>
      <c r="C106" t="s">
        <v>18</v>
      </c>
      <c r="D106" s="1">
        <v>39139</v>
      </c>
      <c r="E106" s="2">
        <v>214500</v>
      </c>
      <c r="F106" s="2">
        <v>203775</v>
      </c>
      <c r="G106" t="s">
        <v>15</v>
      </c>
      <c r="H106" s="2">
        <v>1325.95</v>
      </c>
      <c r="I106" s="2">
        <v>202688.81</v>
      </c>
      <c r="J106">
        <v>7.3999999999999996E-2</v>
      </c>
      <c r="K106">
        <v>14</v>
      </c>
      <c r="L106">
        <v>345</v>
      </c>
      <c r="M106" t="str">
        <f t="shared" si="21"/>
        <v>30 Year Fixed</v>
      </c>
      <c r="N106" s="2">
        <v>1249.9100000000001</v>
      </c>
      <c r="O106" t="str">
        <f t="shared" si="18"/>
        <v>Refi</v>
      </c>
      <c r="P106" s="3">
        <f t="shared" si="22"/>
        <v>0</v>
      </c>
      <c r="Q106" s="4">
        <v>205729</v>
      </c>
      <c r="R106" s="4" t="s">
        <v>41</v>
      </c>
      <c r="S106" s="5">
        <v>707</v>
      </c>
      <c r="T106">
        <v>6.75</v>
      </c>
      <c r="U106" s="7">
        <f t="shared" si="19"/>
        <v>1420.0747947554873</v>
      </c>
      <c r="V106" s="2">
        <f t="shared" si="23"/>
        <v>-94.124794755487301</v>
      </c>
      <c r="W106" s="9">
        <f t="shared" si="24"/>
        <v>0</v>
      </c>
      <c r="X106" s="3">
        <v>205729</v>
      </c>
      <c r="Y106" s="3">
        <f t="shared" si="25"/>
        <v>-0.14004926107008941</v>
      </c>
      <c r="Z106" s="7">
        <f t="shared" si="26"/>
        <v>1420.0747947554873</v>
      </c>
      <c r="AA106" s="2">
        <f t="shared" si="20"/>
        <v>-94.124794755487301</v>
      </c>
      <c r="AB106" s="8">
        <f t="shared" si="27"/>
        <v>1</v>
      </c>
      <c r="AC106" s="10">
        <v>6.125</v>
      </c>
      <c r="AD106" s="7">
        <f t="shared" si="28"/>
        <v>1335.7515036406235</v>
      </c>
      <c r="AE106" s="2">
        <f t="shared" si="29"/>
        <v>-9.8015036406234231</v>
      </c>
      <c r="AF106" s="10">
        <v>3</v>
      </c>
      <c r="AG106" s="3">
        <f t="shared" si="30"/>
        <v>6171.87</v>
      </c>
      <c r="AH106" s="7">
        <v>2037.75</v>
      </c>
      <c r="AI106">
        <f t="shared" si="31"/>
        <v>360</v>
      </c>
      <c r="AJ106" t="e">
        <f>VLOOKUP(A106,'Borrower Details'!$A$1:$H$1493,8,FALSE)</f>
        <v>#N/A</v>
      </c>
      <c r="AK106" s="4" t="e">
        <f t="shared" si="32"/>
        <v>#N/A</v>
      </c>
      <c r="AL106" s="10">
        <v>6.75</v>
      </c>
      <c r="AM106" s="3">
        <f t="shared" si="33"/>
        <v>205729.14214999997</v>
      </c>
      <c r="AN106">
        <v>6.75</v>
      </c>
      <c r="AO106" s="7">
        <f t="shared" si="34"/>
        <v>1420.0757759668479</v>
      </c>
      <c r="AP106" s="2">
        <f t="shared" si="35"/>
        <v>-94.125775966847868</v>
      </c>
    </row>
    <row r="107" spans="1:42" x14ac:dyDescent="0.15">
      <c r="A107" s="8">
        <v>410890248</v>
      </c>
      <c r="B107" t="s">
        <v>36</v>
      </c>
      <c r="C107" t="s">
        <v>18</v>
      </c>
      <c r="D107" s="1">
        <v>39324</v>
      </c>
      <c r="E107" s="2">
        <v>690000</v>
      </c>
      <c r="F107" s="2">
        <v>640000</v>
      </c>
      <c r="G107" t="s">
        <v>17</v>
      </c>
      <c r="H107" s="2">
        <v>4320</v>
      </c>
      <c r="I107" s="2">
        <v>640000</v>
      </c>
      <c r="J107">
        <v>8.1000000000000003E-2</v>
      </c>
      <c r="K107">
        <v>8</v>
      </c>
      <c r="L107">
        <v>352</v>
      </c>
      <c r="M107" t="str">
        <f t="shared" si="21"/>
        <v>30 Year Fixed</v>
      </c>
      <c r="N107" s="2">
        <v>4320</v>
      </c>
      <c r="O107" t="str">
        <f t="shared" si="18"/>
        <v>Refi</v>
      </c>
      <c r="P107" s="3">
        <f t="shared" si="22"/>
        <v>0</v>
      </c>
      <c r="Q107" s="4">
        <v>649600</v>
      </c>
      <c r="R107" s="4" t="s">
        <v>41</v>
      </c>
      <c r="S107" s="5">
        <v>752</v>
      </c>
      <c r="T107">
        <v>7.375</v>
      </c>
      <c r="U107" s="7">
        <f t="shared" si="19"/>
        <v>4757.2924254589734</v>
      </c>
      <c r="V107" s="2">
        <f t="shared" si="23"/>
        <v>-437.29242545897341</v>
      </c>
      <c r="W107" s="9">
        <f t="shared" si="24"/>
        <v>0</v>
      </c>
      <c r="X107" s="3">
        <v>649600</v>
      </c>
      <c r="Y107" s="3">
        <f t="shared" si="25"/>
        <v>0</v>
      </c>
      <c r="Z107" s="7">
        <f t="shared" si="26"/>
        <v>4757.2924254589734</v>
      </c>
      <c r="AA107" s="2">
        <f t="shared" si="20"/>
        <v>-437.29242545897341</v>
      </c>
      <c r="AB107" s="8">
        <f t="shared" si="27"/>
        <v>1</v>
      </c>
      <c r="AC107" s="10">
        <v>6.625</v>
      </c>
      <c r="AD107" s="7">
        <f t="shared" si="28"/>
        <v>4430.126669810631</v>
      </c>
      <c r="AE107" s="2">
        <f t="shared" si="29"/>
        <v>-110.12666981063103</v>
      </c>
      <c r="AF107" s="10">
        <v>1.875</v>
      </c>
      <c r="AG107" s="3">
        <f t="shared" si="30"/>
        <v>12180</v>
      </c>
      <c r="AH107" s="7">
        <v>12800</v>
      </c>
      <c r="AI107">
        <f t="shared" si="31"/>
        <v>360</v>
      </c>
      <c r="AJ107" t="e">
        <f>VLOOKUP(A107,'Borrower Details'!$A$1:$H$1493,8,FALSE)</f>
        <v>#N/A</v>
      </c>
      <c r="AK107" s="4" t="e">
        <f t="shared" si="32"/>
        <v>#N/A</v>
      </c>
      <c r="AL107" s="10">
        <v>7.375</v>
      </c>
      <c r="AM107" s="3">
        <f t="shared" si="33"/>
        <v>649599.99999999988</v>
      </c>
      <c r="AN107">
        <v>7.375</v>
      </c>
      <c r="AO107" s="7">
        <f t="shared" si="34"/>
        <v>4757.2924254589725</v>
      </c>
      <c r="AP107" s="2">
        <f t="shared" si="35"/>
        <v>-437.2924254589725</v>
      </c>
    </row>
    <row r="108" spans="1:42" x14ac:dyDescent="0.15">
      <c r="A108" s="8">
        <v>410585608</v>
      </c>
      <c r="B108" t="s">
        <v>35</v>
      </c>
      <c r="C108" t="s">
        <v>16</v>
      </c>
      <c r="D108" s="1">
        <v>39274</v>
      </c>
      <c r="E108" s="2">
        <v>123000</v>
      </c>
      <c r="F108" s="2">
        <v>110700</v>
      </c>
      <c r="G108" t="s">
        <v>17</v>
      </c>
      <c r="H108" s="2">
        <v>882.77</v>
      </c>
      <c r="I108" s="2">
        <v>110061.55</v>
      </c>
      <c r="J108">
        <v>8.8999999999999996E-2</v>
      </c>
      <c r="K108">
        <v>9</v>
      </c>
      <c r="L108">
        <v>350</v>
      </c>
      <c r="M108" t="str">
        <f t="shared" si="21"/>
        <v>30 Year Fixed</v>
      </c>
      <c r="N108" s="2">
        <v>816.29</v>
      </c>
      <c r="O108" t="str">
        <f t="shared" si="18"/>
        <v>Refi</v>
      </c>
      <c r="P108" s="3">
        <f t="shared" si="22"/>
        <v>0</v>
      </c>
      <c r="Q108" s="4">
        <v>111712</v>
      </c>
      <c r="R108" s="4" t="s">
        <v>41</v>
      </c>
      <c r="S108" s="6">
        <v>624</v>
      </c>
      <c r="T108">
        <v>6.75</v>
      </c>
      <c r="U108" s="7">
        <f t="shared" si="19"/>
        <v>771.10857230494969</v>
      </c>
      <c r="V108" s="2">
        <f t="shared" si="23"/>
        <v>111.66142769505029</v>
      </c>
      <c r="W108" s="9">
        <f t="shared" si="24"/>
        <v>0</v>
      </c>
      <c r="X108" s="3">
        <v>111713</v>
      </c>
      <c r="Y108" s="3">
        <f t="shared" si="25"/>
        <v>0.51896551724348683</v>
      </c>
      <c r="Z108" s="7">
        <f t="shared" si="26"/>
        <v>771.11547495258208</v>
      </c>
      <c r="AA108" s="2">
        <f t="shared" si="20"/>
        <v>111.65452504741791</v>
      </c>
      <c r="AB108" s="8">
        <f t="shared" si="27"/>
        <v>0</v>
      </c>
      <c r="AC108" s="10">
        <v>6.75</v>
      </c>
      <c r="AD108" s="7">
        <f t="shared" si="28"/>
        <v>771.11547495258208</v>
      </c>
      <c r="AE108" s="2">
        <f t="shared" si="29"/>
        <v>111.65452504741791</v>
      </c>
      <c r="AF108" s="10">
        <v>0</v>
      </c>
      <c r="AG108" s="3">
        <f t="shared" si="30"/>
        <v>0</v>
      </c>
      <c r="AH108" s="7">
        <v>4926.1499999999996</v>
      </c>
      <c r="AI108">
        <f t="shared" si="31"/>
        <v>360</v>
      </c>
      <c r="AJ108" t="e">
        <f>VLOOKUP(A108,'Borrower Details'!$A$1:$H$1493,8,FALSE)</f>
        <v>#N/A</v>
      </c>
      <c r="AK108" s="4" t="e">
        <f t="shared" si="32"/>
        <v>#N/A</v>
      </c>
      <c r="AL108" s="10">
        <v>6.75</v>
      </c>
      <c r="AM108" s="3">
        <f t="shared" si="33"/>
        <v>111712.47325</v>
      </c>
      <c r="AN108">
        <v>6.75</v>
      </c>
      <c r="AO108" s="7">
        <f t="shared" si="34"/>
        <v>771.11183898294166</v>
      </c>
      <c r="AP108" s="2">
        <f t="shared" si="35"/>
        <v>111.65816101705832</v>
      </c>
    </row>
    <row r="109" spans="1:42" x14ac:dyDescent="0.15">
      <c r="A109" s="8">
        <v>411142763</v>
      </c>
      <c r="B109" t="s">
        <v>35</v>
      </c>
      <c r="C109" t="s">
        <v>16</v>
      </c>
      <c r="D109" s="1">
        <v>39443</v>
      </c>
      <c r="E109" s="2">
        <v>135000</v>
      </c>
      <c r="F109" s="2">
        <v>121500</v>
      </c>
      <c r="G109" t="s">
        <v>17</v>
      </c>
      <c r="H109" s="2">
        <v>1147.9100000000001</v>
      </c>
      <c r="I109" s="2">
        <v>121455.71</v>
      </c>
      <c r="J109">
        <v>0.109</v>
      </c>
      <c r="K109">
        <v>4</v>
      </c>
      <c r="L109">
        <v>359</v>
      </c>
      <c r="M109" t="str">
        <f t="shared" si="21"/>
        <v>30 Year Fixed</v>
      </c>
      <c r="N109" s="2">
        <v>1103.22</v>
      </c>
      <c r="O109" t="str">
        <f t="shared" si="18"/>
        <v>Refi</v>
      </c>
      <c r="P109" s="3">
        <f t="shared" si="22"/>
        <v>0</v>
      </c>
      <c r="Q109" s="4">
        <v>123278</v>
      </c>
      <c r="R109" s="4" t="s">
        <v>41</v>
      </c>
      <c r="S109" s="6">
        <v>599</v>
      </c>
      <c r="T109">
        <v>7.375</v>
      </c>
      <c r="U109" s="7">
        <f t="shared" si="19"/>
        <v>902.81634178837942</v>
      </c>
      <c r="V109" s="2">
        <f t="shared" si="23"/>
        <v>245.09365821162066</v>
      </c>
      <c r="W109" s="9">
        <f t="shared" si="24"/>
        <v>0</v>
      </c>
      <c r="X109" s="3">
        <v>123278</v>
      </c>
      <c r="Y109" s="3">
        <f t="shared" si="25"/>
        <v>0.44763546797912568</v>
      </c>
      <c r="Z109" s="7">
        <f t="shared" si="26"/>
        <v>902.81634178837942</v>
      </c>
      <c r="AA109" s="2">
        <f t="shared" si="20"/>
        <v>245.09365821162066</v>
      </c>
      <c r="AB109" s="8">
        <f t="shared" si="27"/>
        <v>0</v>
      </c>
      <c r="AC109" s="10">
        <v>7.375</v>
      </c>
      <c r="AD109" s="7">
        <f t="shared" si="28"/>
        <v>902.81634178837942</v>
      </c>
      <c r="AE109" s="2">
        <f t="shared" si="29"/>
        <v>245.09365821162066</v>
      </c>
      <c r="AF109" s="10">
        <v>0</v>
      </c>
      <c r="AG109" s="3">
        <f t="shared" si="30"/>
        <v>0</v>
      </c>
      <c r="AH109" s="7">
        <v>6621.75</v>
      </c>
      <c r="AI109">
        <f t="shared" si="31"/>
        <v>360</v>
      </c>
      <c r="AJ109" t="e">
        <f>VLOOKUP(A109,'Borrower Details'!$A$1:$H$1493,8,FALSE)</f>
        <v>#N/A</v>
      </c>
      <c r="AK109" s="4" t="e">
        <f t="shared" si="32"/>
        <v>#N/A</v>
      </c>
      <c r="AL109" s="10">
        <v>7.375</v>
      </c>
      <c r="AM109" s="3">
        <f t="shared" si="33"/>
        <v>123277.54565</v>
      </c>
      <c r="AN109">
        <v>7.375</v>
      </c>
      <c r="AO109" s="7">
        <f t="shared" si="34"/>
        <v>902.81301439334629</v>
      </c>
      <c r="AP109" s="2">
        <f t="shared" si="35"/>
        <v>245.09698560665379</v>
      </c>
    </row>
    <row r="110" spans="1:42" x14ac:dyDescent="0.15">
      <c r="A110" s="8">
        <v>1181733</v>
      </c>
      <c r="B110" t="s">
        <v>36</v>
      </c>
      <c r="C110" t="s">
        <v>18</v>
      </c>
      <c r="D110" s="1">
        <v>39192</v>
      </c>
      <c r="E110" s="2">
        <v>185000</v>
      </c>
      <c r="F110" s="2">
        <v>157250</v>
      </c>
      <c r="G110" t="s">
        <v>17</v>
      </c>
      <c r="H110" s="2">
        <v>1088.77</v>
      </c>
      <c r="I110" s="2">
        <v>155568.48000000001</v>
      </c>
      <c r="J110">
        <v>7.3999999999999996E-2</v>
      </c>
      <c r="K110">
        <v>12</v>
      </c>
      <c r="L110">
        <v>347</v>
      </c>
      <c r="M110" t="str">
        <f t="shared" si="21"/>
        <v>30 Year Fixed</v>
      </c>
      <c r="N110" s="2">
        <v>960.18</v>
      </c>
      <c r="O110" t="str">
        <f t="shared" si="18"/>
        <v>Refi</v>
      </c>
      <c r="P110" s="3">
        <f t="shared" si="22"/>
        <v>0</v>
      </c>
      <c r="Q110" s="4">
        <v>157902</v>
      </c>
      <c r="R110" s="4" t="s">
        <v>41</v>
      </c>
      <c r="S110" s="6">
        <v>678</v>
      </c>
      <c r="T110">
        <v>6.75</v>
      </c>
      <c r="U110" s="7">
        <f t="shared" si="19"/>
        <v>1089.941866443141</v>
      </c>
      <c r="V110" s="2">
        <f t="shared" si="23"/>
        <v>-1.1718664431409707</v>
      </c>
      <c r="W110" s="9">
        <f t="shared" si="24"/>
        <v>0</v>
      </c>
      <c r="X110" s="3">
        <v>157902</v>
      </c>
      <c r="Y110" s="3">
        <f t="shared" si="25"/>
        <v>-7.0935960684437305E-3</v>
      </c>
      <c r="Z110" s="7">
        <f t="shared" si="26"/>
        <v>1089.941866443141</v>
      </c>
      <c r="AA110" s="2">
        <f t="shared" si="20"/>
        <v>-1.1718664431409707</v>
      </c>
      <c r="AB110" s="8">
        <f t="shared" si="27"/>
        <v>1</v>
      </c>
      <c r="AC110" s="10">
        <v>6</v>
      </c>
      <c r="AD110" s="7">
        <f t="shared" si="28"/>
        <v>1012.4947702267094</v>
      </c>
      <c r="AE110" s="2">
        <f t="shared" si="29"/>
        <v>76.275229773290562</v>
      </c>
      <c r="AF110" s="10">
        <v>2.75</v>
      </c>
      <c r="AG110" s="3">
        <f t="shared" si="30"/>
        <v>4342.3050000000003</v>
      </c>
      <c r="AH110" s="7">
        <v>3145</v>
      </c>
      <c r="AI110">
        <f t="shared" si="31"/>
        <v>360</v>
      </c>
      <c r="AJ110" t="e">
        <f>VLOOKUP(A110,'Borrower Details'!$A$1:$H$1493,8,FALSE)</f>
        <v>#N/A</v>
      </c>
      <c r="AK110" s="4" t="e">
        <f t="shared" si="32"/>
        <v>#N/A</v>
      </c>
      <c r="AL110" s="10">
        <v>6.75</v>
      </c>
      <c r="AM110" s="3">
        <f t="shared" si="33"/>
        <v>157902.00719999999</v>
      </c>
      <c r="AN110">
        <v>6.75</v>
      </c>
      <c r="AO110" s="7">
        <f t="shared" si="34"/>
        <v>1089.9419161422038</v>
      </c>
      <c r="AP110" s="2">
        <f t="shared" si="35"/>
        <v>-1.1719161422038269</v>
      </c>
    </row>
    <row r="111" spans="1:42" x14ac:dyDescent="0.15">
      <c r="A111" s="8">
        <v>410220370</v>
      </c>
      <c r="B111" t="s">
        <v>35</v>
      </c>
      <c r="C111" t="s">
        <v>16</v>
      </c>
      <c r="D111" s="1">
        <v>39220</v>
      </c>
      <c r="E111" s="2">
        <v>260000</v>
      </c>
      <c r="F111" s="2">
        <v>208000</v>
      </c>
      <c r="G111" t="s">
        <v>15</v>
      </c>
      <c r="H111" s="2">
        <v>1672.12</v>
      </c>
      <c r="I111" s="2">
        <v>206699.63</v>
      </c>
      <c r="J111">
        <v>8.9899999999999994E-2</v>
      </c>
      <c r="K111">
        <v>11</v>
      </c>
      <c r="L111">
        <v>349</v>
      </c>
      <c r="M111" t="str">
        <f t="shared" si="21"/>
        <v>30 Year Fixed</v>
      </c>
      <c r="N111" s="2">
        <v>1548.52</v>
      </c>
      <c r="O111" t="str">
        <f t="shared" si="18"/>
        <v>Cash Out</v>
      </c>
      <c r="P111" s="3">
        <f t="shared" si="22"/>
        <v>11034.360147783271</v>
      </c>
      <c r="Q111" s="4">
        <v>221000</v>
      </c>
      <c r="R111" s="4" t="s">
        <v>41</v>
      </c>
      <c r="S111" s="6">
        <v>529</v>
      </c>
      <c r="T111">
        <v>7.625</v>
      </c>
      <c r="U111" s="7">
        <f t="shared" si="19"/>
        <v>1656.3075127770796</v>
      </c>
      <c r="V111" s="2">
        <f t="shared" si="23"/>
        <v>15.812487222920254</v>
      </c>
      <c r="W111" s="9">
        <f t="shared" si="24"/>
        <v>0</v>
      </c>
      <c r="X111" s="3">
        <v>221000</v>
      </c>
      <c r="Y111" s="3">
        <f t="shared" si="25"/>
        <v>11034.360147783271</v>
      </c>
      <c r="Z111" s="7">
        <f t="shared" si="26"/>
        <v>1656.3075127770796</v>
      </c>
      <c r="AA111" s="2">
        <f t="shared" si="20"/>
        <v>15.812487222920254</v>
      </c>
      <c r="AB111" s="8">
        <f t="shared" si="27"/>
        <v>1</v>
      </c>
      <c r="AC111" s="10">
        <v>6.875</v>
      </c>
      <c r="AD111" s="7">
        <f t="shared" si="28"/>
        <v>1543.8960115562243</v>
      </c>
      <c r="AE111" s="2">
        <f t="shared" si="29"/>
        <v>128.22398844377562</v>
      </c>
      <c r="AF111" s="10">
        <v>1.75</v>
      </c>
      <c r="AG111" s="3">
        <f t="shared" si="30"/>
        <v>3867.5</v>
      </c>
      <c r="AH111" s="7">
        <v>9349.6</v>
      </c>
      <c r="AI111">
        <f t="shared" si="31"/>
        <v>360</v>
      </c>
      <c r="AJ111" t="e">
        <f>VLOOKUP(A111,'Borrower Details'!$A$1:$H$1493,8,FALSE)</f>
        <v>#N/A</v>
      </c>
      <c r="AK111" s="4" t="e">
        <f t="shared" si="32"/>
        <v>#N/A</v>
      </c>
      <c r="AL111" s="10">
        <v>7.625</v>
      </c>
      <c r="AM111" s="3">
        <f t="shared" si="33"/>
        <v>209800.12444999997</v>
      </c>
      <c r="AN111">
        <v>7.625</v>
      </c>
      <c r="AO111" s="7">
        <f t="shared" si="34"/>
        <v>1572.3688792221776</v>
      </c>
      <c r="AP111" s="2">
        <f t="shared" si="35"/>
        <v>99.75112077782228</v>
      </c>
    </row>
    <row r="112" spans="1:42" x14ac:dyDescent="0.15">
      <c r="A112" s="8">
        <v>410106520</v>
      </c>
      <c r="B112" t="s">
        <v>37</v>
      </c>
      <c r="C112" t="s">
        <v>19</v>
      </c>
      <c r="D112" s="1">
        <v>39216</v>
      </c>
      <c r="E112" s="2">
        <v>200000</v>
      </c>
      <c r="F112" s="2">
        <v>150000</v>
      </c>
      <c r="G112" t="s">
        <v>15</v>
      </c>
      <c r="H112" s="2">
        <v>1186</v>
      </c>
      <c r="I112" s="2">
        <v>149659.85999999999</v>
      </c>
      <c r="J112">
        <v>9.2499999999999999E-2</v>
      </c>
      <c r="K112">
        <v>11</v>
      </c>
      <c r="L112">
        <v>349</v>
      </c>
      <c r="M112" t="str">
        <f t="shared" si="21"/>
        <v>30 Year Fixed</v>
      </c>
      <c r="N112" s="2">
        <v>1153.6300000000001</v>
      </c>
      <c r="O112" t="str">
        <f t="shared" si="18"/>
        <v>Cash Out</v>
      </c>
      <c r="P112" s="3">
        <f t="shared" si="22"/>
        <v>17827.824729064072</v>
      </c>
      <c r="Q112" s="4">
        <v>170000</v>
      </c>
      <c r="R112" s="4" t="s">
        <v>41</v>
      </c>
      <c r="S112" s="6">
        <v>537</v>
      </c>
      <c r="T112">
        <v>7.625</v>
      </c>
      <c r="U112" s="7">
        <f t="shared" si="19"/>
        <v>1274.0827021362152</v>
      </c>
      <c r="V112" s="2">
        <f t="shared" si="23"/>
        <v>-88.082702136215175</v>
      </c>
      <c r="W112" s="9">
        <f t="shared" si="24"/>
        <v>1</v>
      </c>
      <c r="X112" s="3">
        <v>158180</v>
      </c>
      <c r="Y112" s="3">
        <f t="shared" si="25"/>
        <v>6182.5045320197241</v>
      </c>
      <c r="Z112" s="7">
        <f t="shared" si="26"/>
        <v>1185.4964813170971</v>
      </c>
      <c r="AA112" s="2">
        <f t="shared" si="20"/>
        <v>0.50351868290294988</v>
      </c>
      <c r="AB112" s="8">
        <f t="shared" si="27"/>
        <v>1</v>
      </c>
      <c r="AC112" s="10">
        <v>6.5</v>
      </c>
      <c r="AD112" s="7">
        <f t="shared" si="28"/>
        <v>1065.7135328945071</v>
      </c>
      <c r="AE112" s="2">
        <f t="shared" si="29"/>
        <v>120.28646710549287</v>
      </c>
      <c r="AF112" s="10">
        <v>2.375</v>
      </c>
      <c r="AG112" s="3">
        <f t="shared" si="30"/>
        <v>3756.7750000000001</v>
      </c>
      <c r="AH112" s="7">
        <v>0</v>
      </c>
      <c r="AI112">
        <f t="shared" si="31"/>
        <v>360</v>
      </c>
      <c r="AJ112" t="e">
        <f>VLOOKUP(A112,'Borrower Details'!$A$1:$H$1493,8,FALSE)</f>
        <v>#N/A</v>
      </c>
      <c r="AK112" s="4" t="e">
        <f t="shared" si="32"/>
        <v>#N/A</v>
      </c>
      <c r="AL112" s="10">
        <v>7.625</v>
      </c>
      <c r="AM112" s="3">
        <f t="shared" si="33"/>
        <v>151904.75789999997</v>
      </c>
      <c r="AN112">
        <v>7.625</v>
      </c>
      <c r="AO112" s="7">
        <f t="shared" si="34"/>
        <v>1138.4660259563502</v>
      </c>
      <c r="AP112" s="2">
        <f t="shared" si="35"/>
        <v>47.533974043649778</v>
      </c>
    </row>
    <row r="113" spans="1:42" x14ac:dyDescent="0.15">
      <c r="A113" s="8">
        <v>1155065</v>
      </c>
      <c r="B113" t="s">
        <v>38</v>
      </c>
      <c r="C113" t="s">
        <v>18</v>
      </c>
      <c r="D113" s="1">
        <v>39162</v>
      </c>
      <c r="E113" s="2">
        <v>420000</v>
      </c>
      <c r="F113" s="2">
        <v>327000</v>
      </c>
      <c r="G113" t="s">
        <v>17</v>
      </c>
      <c r="H113" s="2">
        <v>2549.1999999999998</v>
      </c>
      <c r="I113" s="2">
        <v>324392.13</v>
      </c>
      <c r="J113">
        <v>8.6499999999999994E-2</v>
      </c>
      <c r="K113">
        <v>13</v>
      </c>
      <c r="L113">
        <v>347</v>
      </c>
      <c r="M113" t="str">
        <f t="shared" si="21"/>
        <v>30 Year Fixed</v>
      </c>
      <c r="N113" s="2">
        <v>2338.33</v>
      </c>
      <c r="O113" t="str">
        <f t="shared" si="18"/>
        <v>Cash Out</v>
      </c>
      <c r="P113" s="3">
        <f t="shared" si="22"/>
        <v>27332.007931034488</v>
      </c>
      <c r="Q113" s="4">
        <v>357000</v>
      </c>
      <c r="R113" s="4" t="s">
        <v>41</v>
      </c>
      <c r="S113" s="6">
        <v>522</v>
      </c>
      <c r="T113">
        <v>7.625</v>
      </c>
      <c r="U113" s="7">
        <f t="shared" si="19"/>
        <v>2675.5736744860519</v>
      </c>
      <c r="V113" s="2">
        <f t="shared" si="23"/>
        <v>-126.3736744860521</v>
      </c>
      <c r="W113" s="9">
        <f t="shared" si="24"/>
        <v>1</v>
      </c>
      <c r="X113" s="3">
        <v>340070</v>
      </c>
      <c r="Y113" s="3">
        <f t="shared" si="25"/>
        <v>10652.204975369503</v>
      </c>
      <c r="Z113" s="7">
        <f t="shared" si="26"/>
        <v>2548.690026561545</v>
      </c>
      <c r="AA113" s="2">
        <f t="shared" si="20"/>
        <v>0.50997343845483556</v>
      </c>
      <c r="AB113" s="8">
        <f t="shared" si="27"/>
        <v>1</v>
      </c>
      <c r="AC113" s="10">
        <v>6.875</v>
      </c>
      <c r="AD113" s="7">
        <f t="shared" si="28"/>
        <v>2375.7136499996614</v>
      </c>
      <c r="AE113" s="2">
        <f t="shared" si="29"/>
        <v>173.48635000033846</v>
      </c>
      <c r="AF113" s="10">
        <v>1.75</v>
      </c>
      <c r="AG113" s="3">
        <f t="shared" si="30"/>
        <v>5951.2250000000004</v>
      </c>
      <c r="AH113" s="7">
        <v>3270</v>
      </c>
      <c r="AI113">
        <f t="shared" si="31"/>
        <v>360</v>
      </c>
      <c r="AJ113" t="e">
        <f>VLOOKUP(A113,'Borrower Details'!$A$1:$H$1493,8,FALSE)</f>
        <v>#N/A</v>
      </c>
      <c r="AK113" s="4" t="e">
        <f t="shared" si="32"/>
        <v>#N/A</v>
      </c>
      <c r="AL113" s="10">
        <v>7.625</v>
      </c>
      <c r="AM113" s="3">
        <f t="shared" si="33"/>
        <v>329258.01194999996</v>
      </c>
      <c r="AN113">
        <v>7.625</v>
      </c>
      <c r="AO113" s="7">
        <f t="shared" si="34"/>
        <v>2467.658456266201</v>
      </c>
      <c r="AP113" s="2">
        <f t="shared" si="35"/>
        <v>81.54154373379879</v>
      </c>
    </row>
    <row r="114" spans="1:42" x14ac:dyDescent="0.15">
      <c r="A114" s="8">
        <v>1158904</v>
      </c>
      <c r="B114" t="s">
        <v>36</v>
      </c>
      <c r="C114" t="s">
        <v>19</v>
      </c>
      <c r="D114" s="1">
        <v>39153</v>
      </c>
      <c r="E114" s="2">
        <v>123000</v>
      </c>
      <c r="F114" s="2">
        <v>110700</v>
      </c>
      <c r="G114" t="s">
        <v>15</v>
      </c>
      <c r="H114" s="2">
        <v>857.48</v>
      </c>
      <c r="I114" s="2">
        <v>110531.94</v>
      </c>
      <c r="J114">
        <v>9.1999999999999998E-2</v>
      </c>
      <c r="K114">
        <v>13</v>
      </c>
      <c r="L114">
        <v>346</v>
      </c>
      <c r="M114" t="str">
        <f t="shared" si="21"/>
        <v>30 Year Fixed</v>
      </c>
      <c r="N114" s="2">
        <v>847.41</v>
      </c>
      <c r="O114" t="str">
        <f t="shared" si="18"/>
        <v>Refi</v>
      </c>
      <c r="P114" s="3">
        <f t="shared" si="22"/>
        <v>0</v>
      </c>
      <c r="Q114" s="4">
        <v>112190</v>
      </c>
      <c r="R114" s="4" t="s">
        <v>41</v>
      </c>
      <c r="S114" s="6">
        <v>572</v>
      </c>
      <c r="T114">
        <v>7.625</v>
      </c>
      <c r="U114" s="7">
        <f t="shared" si="19"/>
        <v>840.81963736859984</v>
      </c>
      <c r="V114" s="2">
        <f t="shared" si="23"/>
        <v>16.660362631400176</v>
      </c>
      <c r="W114" s="9">
        <f t="shared" si="24"/>
        <v>0</v>
      </c>
      <c r="X114" s="3">
        <v>112190</v>
      </c>
      <c r="Y114" s="3">
        <f t="shared" si="25"/>
        <v>7.9704433504957706E-2</v>
      </c>
      <c r="Z114" s="7">
        <f t="shared" si="26"/>
        <v>840.81963736859984</v>
      </c>
      <c r="AA114" s="2">
        <f t="shared" si="20"/>
        <v>16.660362631400176</v>
      </c>
      <c r="AB114" s="8">
        <f t="shared" si="27"/>
        <v>1</v>
      </c>
      <c r="AC114" s="10">
        <v>6.875</v>
      </c>
      <c r="AD114" s="7">
        <f t="shared" si="28"/>
        <v>783.75426939589511</v>
      </c>
      <c r="AE114" s="2">
        <f t="shared" si="29"/>
        <v>73.725730604104911</v>
      </c>
      <c r="AF114" s="10">
        <v>1</v>
      </c>
      <c r="AG114" s="3">
        <f t="shared" si="30"/>
        <v>1121.9000000000001</v>
      </c>
      <c r="AH114" s="7">
        <v>2214</v>
      </c>
      <c r="AI114">
        <f t="shared" si="31"/>
        <v>360</v>
      </c>
      <c r="AJ114" t="e">
        <f>VLOOKUP(A114,'Borrower Details'!$A$1:$H$1493,8,FALSE)</f>
        <v>#N/A</v>
      </c>
      <c r="AK114" s="4" t="e">
        <f t="shared" si="32"/>
        <v>#N/A</v>
      </c>
      <c r="AL114" s="10">
        <v>7.625</v>
      </c>
      <c r="AM114" s="3">
        <f t="shared" si="33"/>
        <v>112189.91909999998</v>
      </c>
      <c r="AN114">
        <v>7.625</v>
      </c>
      <c r="AO114" s="7">
        <f t="shared" si="34"/>
        <v>840.81903105512572</v>
      </c>
      <c r="AP114" s="2">
        <f t="shared" si="35"/>
        <v>16.660968944874298</v>
      </c>
    </row>
    <row r="115" spans="1:42" x14ac:dyDescent="0.15">
      <c r="A115" s="8">
        <v>410633358</v>
      </c>
      <c r="B115" t="s">
        <v>36</v>
      </c>
      <c r="C115" t="s">
        <v>18</v>
      </c>
      <c r="D115" s="1">
        <v>39281</v>
      </c>
      <c r="E115" s="2">
        <v>220000</v>
      </c>
      <c r="F115" s="2">
        <v>187000</v>
      </c>
      <c r="G115" t="s">
        <v>17</v>
      </c>
      <c r="H115" s="2">
        <v>1418.04</v>
      </c>
      <c r="I115" s="2">
        <v>185918.23</v>
      </c>
      <c r="J115">
        <v>8.3500000000000005E-2</v>
      </c>
      <c r="K115">
        <v>9</v>
      </c>
      <c r="L115">
        <v>351</v>
      </c>
      <c r="M115" t="str">
        <f t="shared" si="21"/>
        <v>30 Year Fixed</v>
      </c>
      <c r="N115" s="2">
        <v>1293.68</v>
      </c>
      <c r="O115" t="str">
        <f t="shared" si="18"/>
        <v>Refi</v>
      </c>
      <c r="P115" s="3">
        <f t="shared" si="22"/>
        <v>0</v>
      </c>
      <c r="Q115" s="4">
        <v>188707</v>
      </c>
      <c r="R115" s="4" t="s">
        <v>41</v>
      </c>
      <c r="S115" s="6">
        <v>588</v>
      </c>
      <c r="T115">
        <v>7.375</v>
      </c>
      <c r="U115" s="7">
        <f t="shared" si="19"/>
        <v>1381.9802674431749</v>
      </c>
      <c r="V115" s="2">
        <f t="shared" si="23"/>
        <v>36.059732556825111</v>
      </c>
      <c r="W115" s="9">
        <f t="shared" si="24"/>
        <v>0</v>
      </c>
      <c r="X115" s="3">
        <v>188707</v>
      </c>
      <c r="Y115" s="3">
        <f t="shared" si="25"/>
        <v>-3.3990147639997303E-3</v>
      </c>
      <c r="Z115" s="7">
        <f t="shared" si="26"/>
        <v>1381.9802674431749</v>
      </c>
      <c r="AA115" s="2">
        <f t="shared" si="20"/>
        <v>36.059732556825111</v>
      </c>
      <c r="AB115" s="8">
        <f t="shared" si="27"/>
        <v>1</v>
      </c>
      <c r="AC115" s="10">
        <v>6.625</v>
      </c>
      <c r="AD115" s="7">
        <f t="shared" si="28"/>
        <v>1286.9395219826888</v>
      </c>
      <c r="AE115" s="2">
        <f t="shared" si="29"/>
        <v>131.10047801731116</v>
      </c>
      <c r="AF115" s="10">
        <v>1.875</v>
      </c>
      <c r="AG115" s="3">
        <f t="shared" si="30"/>
        <v>3538.2562499999999</v>
      </c>
      <c r="AH115" s="7">
        <v>3740</v>
      </c>
      <c r="AI115">
        <f t="shared" si="31"/>
        <v>360</v>
      </c>
      <c r="AJ115" t="e">
        <f>VLOOKUP(A115,'Borrower Details'!$A$1:$H$1493,8,FALSE)</f>
        <v>#N/A</v>
      </c>
      <c r="AK115" s="4" t="e">
        <f t="shared" si="32"/>
        <v>#N/A</v>
      </c>
      <c r="AL115" s="10">
        <v>7.375</v>
      </c>
      <c r="AM115" s="3">
        <f t="shared" si="33"/>
        <v>188707.00344999999</v>
      </c>
      <c r="AN115">
        <v>7.375</v>
      </c>
      <c r="AO115" s="7">
        <f t="shared" si="34"/>
        <v>1381.9802927089675</v>
      </c>
      <c r="AP115" s="2">
        <f t="shared" si="35"/>
        <v>36.05970729103251</v>
      </c>
    </row>
    <row r="116" spans="1:42" x14ac:dyDescent="0.15">
      <c r="A116" s="8">
        <v>410251516</v>
      </c>
      <c r="B116" t="s">
        <v>35</v>
      </c>
      <c r="C116" t="s">
        <v>16</v>
      </c>
      <c r="D116" s="1">
        <v>39223</v>
      </c>
      <c r="E116" s="2">
        <v>135000</v>
      </c>
      <c r="F116" s="2">
        <v>121500</v>
      </c>
      <c r="G116" t="s">
        <v>17</v>
      </c>
      <c r="H116" s="2">
        <v>839.66</v>
      </c>
      <c r="I116" s="2">
        <v>121319.7</v>
      </c>
      <c r="J116">
        <v>8.1500000000000003E-2</v>
      </c>
      <c r="K116">
        <v>11</v>
      </c>
      <c r="L116">
        <v>348</v>
      </c>
      <c r="M116" t="str">
        <f t="shared" si="21"/>
        <v>30 Year Fixed</v>
      </c>
      <c r="N116" s="2">
        <v>824.07</v>
      </c>
      <c r="O116" t="str">
        <f t="shared" si="18"/>
        <v>Refi</v>
      </c>
      <c r="P116" s="3">
        <f t="shared" si="22"/>
        <v>0</v>
      </c>
      <c r="Q116" s="4">
        <v>123139</v>
      </c>
      <c r="R116" s="4" t="s">
        <v>41</v>
      </c>
      <c r="S116" s="6">
        <v>613</v>
      </c>
      <c r="T116">
        <v>6.875</v>
      </c>
      <c r="U116" s="7">
        <f t="shared" si="19"/>
        <v>860.24348853856065</v>
      </c>
      <c r="V116" s="2">
        <f t="shared" si="23"/>
        <v>-20.583488538560687</v>
      </c>
      <c r="W116" s="9">
        <f t="shared" si="24"/>
        <v>0</v>
      </c>
      <c r="X116" s="3">
        <v>123140</v>
      </c>
      <c r="Y116" s="3">
        <f t="shared" si="25"/>
        <v>0.49704433498845901</v>
      </c>
      <c r="Z116" s="7">
        <f t="shared" si="26"/>
        <v>860.25047449336421</v>
      </c>
      <c r="AA116" s="2">
        <f t="shared" si="20"/>
        <v>-20.590474493364241</v>
      </c>
      <c r="AB116" s="8">
        <f t="shared" si="27"/>
        <v>1</v>
      </c>
      <c r="AC116" s="10">
        <v>6.25</v>
      </c>
      <c r="AD116" s="7">
        <f t="shared" si="28"/>
        <v>809.50249393839431</v>
      </c>
      <c r="AE116" s="2">
        <f t="shared" si="29"/>
        <v>30.157506061605659</v>
      </c>
      <c r="AF116" s="10">
        <v>2.5</v>
      </c>
      <c r="AG116" s="3">
        <f t="shared" si="30"/>
        <v>3078.5</v>
      </c>
      <c r="AH116" s="7">
        <v>4951.125</v>
      </c>
      <c r="AI116">
        <f t="shared" si="31"/>
        <v>360</v>
      </c>
      <c r="AJ116" t="e">
        <f>VLOOKUP(A116,'Borrower Details'!$A$1:$H$1493,8,FALSE)</f>
        <v>#N/A</v>
      </c>
      <c r="AK116" s="4" t="e">
        <f t="shared" si="32"/>
        <v>#N/A</v>
      </c>
      <c r="AL116" s="10">
        <v>6.875</v>
      </c>
      <c r="AM116" s="3">
        <f t="shared" si="33"/>
        <v>123139.49549999999</v>
      </c>
      <c r="AN116">
        <v>6.875</v>
      </c>
      <c r="AO116" s="7">
        <f t="shared" si="34"/>
        <v>860.24695007916569</v>
      </c>
      <c r="AP116" s="2">
        <f t="shared" si="35"/>
        <v>-20.586950079165717</v>
      </c>
    </row>
    <row r="117" spans="1:42" x14ac:dyDescent="0.15">
      <c r="A117" s="8">
        <v>410218556</v>
      </c>
      <c r="B117" t="s">
        <v>36</v>
      </c>
      <c r="C117" t="s">
        <v>19</v>
      </c>
      <c r="D117" s="1">
        <v>39223</v>
      </c>
      <c r="E117" s="2">
        <v>145000</v>
      </c>
      <c r="F117" s="2">
        <v>108500</v>
      </c>
      <c r="G117" t="s">
        <v>15</v>
      </c>
      <c r="H117" s="2">
        <v>769.93</v>
      </c>
      <c r="I117" s="2">
        <v>108133.44</v>
      </c>
      <c r="J117">
        <v>8.1900000000000001E-2</v>
      </c>
      <c r="K117">
        <v>11</v>
      </c>
      <c r="L117">
        <v>348</v>
      </c>
      <c r="M117" t="str">
        <f t="shared" si="21"/>
        <v>30 Year Fixed</v>
      </c>
      <c r="N117" s="2">
        <v>738.23</v>
      </c>
      <c r="O117" t="str">
        <f t="shared" si="18"/>
        <v>Cash Out</v>
      </c>
      <c r="P117" s="3">
        <f t="shared" si="22"/>
        <v>13295.131428571432</v>
      </c>
      <c r="Q117" s="4">
        <v>123250</v>
      </c>
      <c r="R117" s="4" t="s">
        <v>41</v>
      </c>
      <c r="S117" s="6">
        <v>531</v>
      </c>
      <c r="T117">
        <v>7.625</v>
      </c>
      <c r="U117" s="7">
        <f t="shared" si="19"/>
        <v>923.70995904875599</v>
      </c>
      <c r="V117" s="2">
        <f t="shared" si="23"/>
        <v>-153.77995904875604</v>
      </c>
      <c r="W117" s="9">
        <f t="shared" si="24"/>
        <v>1</v>
      </c>
      <c r="X117" s="3">
        <v>109755</v>
      </c>
      <c r="Y117" s="3">
        <f t="shared" si="25"/>
        <v>-0.43507389161095489</v>
      </c>
      <c r="Z117" s="7">
        <f t="shared" si="26"/>
        <v>822.57027631153119</v>
      </c>
      <c r="AA117" s="2">
        <f t="shared" si="20"/>
        <v>-52.640276311531238</v>
      </c>
      <c r="AB117" s="8">
        <f t="shared" si="27"/>
        <v>1</v>
      </c>
      <c r="AC117" s="10">
        <v>6.875</v>
      </c>
      <c r="AD117" s="7">
        <f t="shared" si="28"/>
        <v>766.74346944956301</v>
      </c>
      <c r="AE117" s="2">
        <f t="shared" si="29"/>
        <v>3.1865305504369417</v>
      </c>
      <c r="AF117" s="10">
        <v>1</v>
      </c>
      <c r="AG117" s="3">
        <f t="shared" si="30"/>
        <v>1097.55</v>
      </c>
      <c r="AH117" s="7">
        <v>2170</v>
      </c>
      <c r="AI117">
        <f t="shared" si="31"/>
        <v>360</v>
      </c>
      <c r="AJ117" t="e">
        <f>VLOOKUP(A117,'Borrower Details'!$A$1:$H$1493,8,FALSE)</f>
        <v>#N/A</v>
      </c>
      <c r="AK117" s="4" t="e">
        <f t="shared" si="32"/>
        <v>#N/A</v>
      </c>
      <c r="AL117" s="10">
        <v>7.625</v>
      </c>
      <c r="AM117" s="3">
        <f t="shared" si="33"/>
        <v>109755.44159999999</v>
      </c>
      <c r="AN117">
        <v>7.625</v>
      </c>
      <c r="AO117" s="7">
        <f t="shared" si="34"/>
        <v>822.57358592871503</v>
      </c>
      <c r="AP117" s="2">
        <f t="shared" si="35"/>
        <v>-52.643585928715083</v>
      </c>
    </row>
    <row r="118" spans="1:42" x14ac:dyDescent="0.15">
      <c r="A118" s="8">
        <v>411125974</v>
      </c>
      <c r="B118" t="s">
        <v>35</v>
      </c>
      <c r="C118" t="s">
        <v>16</v>
      </c>
      <c r="D118" s="1">
        <v>39413</v>
      </c>
      <c r="E118" s="2">
        <v>90000</v>
      </c>
      <c r="F118" s="2">
        <v>76500</v>
      </c>
      <c r="G118" t="s">
        <v>17</v>
      </c>
      <c r="H118" s="2">
        <v>640.47</v>
      </c>
      <c r="I118" s="2">
        <v>76306.259999999995</v>
      </c>
      <c r="J118">
        <v>9.4500000000000001E-2</v>
      </c>
      <c r="K118">
        <v>5</v>
      </c>
      <c r="L118">
        <v>355</v>
      </c>
      <c r="M118" t="str">
        <f t="shared" si="21"/>
        <v>30 Year Fixed</v>
      </c>
      <c r="N118" s="2">
        <v>600.91</v>
      </c>
      <c r="O118" t="str">
        <f t="shared" si="18"/>
        <v>Refi</v>
      </c>
      <c r="P118" s="3">
        <f t="shared" si="22"/>
        <v>0</v>
      </c>
      <c r="Q118" s="4">
        <v>77451</v>
      </c>
      <c r="R118" s="4" t="s">
        <v>41</v>
      </c>
      <c r="S118" s="6">
        <v>630</v>
      </c>
      <c r="T118">
        <v>6.875</v>
      </c>
      <c r="U118" s="7">
        <f t="shared" si="19"/>
        <v>541.06918547982411</v>
      </c>
      <c r="V118" s="2">
        <f t="shared" si="23"/>
        <v>99.400814520175913</v>
      </c>
      <c r="W118" s="9">
        <f t="shared" si="24"/>
        <v>0</v>
      </c>
      <c r="X118" s="3">
        <v>77451</v>
      </c>
      <c r="Y118" s="3">
        <f t="shared" si="25"/>
        <v>0.14394088671542704</v>
      </c>
      <c r="Z118" s="7">
        <f t="shared" si="26"/>
        <v>541.06918547982411</v>
      </c>
      <c r="AA118" s="2">
        <f t="shared" si="20"/>
        <v>99.400814520175913</v>
      </c>
      <c r="AB118" s="8">
        <f t="shared" si="27"/>
        <v>0</v>
      </c>
      <c r="AC118" s="10">
        <v>6.875</v>
      </c>
      <c r="AD118" s="7">
        <f t="shared" si="28"/>
        <v>541.06918547982411</v>
      </c>
      <c r="AE118" s="2">
        <f t="shared" si="29"/>
        <v>99.400814520175913</v>
      </c>
      <c r="AF118" s="10">
        <v>0</v>
      </c>
      <c r="AG118" s="3">
        <f t="shared" si="30"/>
        <v>0</v>
      </c>
      <c r="AH118" s="7">
        <v>3614.625</v>
      </c>
      <c r="AI118">
        <f t="shared" si="31"/>
        <v>360</v>
      </c>
      <c r="AJ118" t="e">
        <f>VLOOKUP(A118,'Borrower Details'!$A$1:$H$1493,8,FALSE)</f>
        <v>#N/A</v>
      </c>
      <c r="AK118" s="4" t="e">
        <f t="shared" si="32"/>
        <v>#N/A</v>
      </c>
      <c r="AL118" s="10">
        <v>6.875</v>
      </c>
      <c r="AM118" s="3">
        <f t="shared" si="33"/>
        <v>77450.853899999987</v>
      </c>
      <c r="AN118">
        <v>6.875</v>
      </c>
      <c r="AO118" s="7">
        <f t="shared" si="34"/>
        <v>541.06816483182729</v>
      </c>
      <c r="AP118" s="2">
        <f t="shared" si="35"/>
        <v>99.401835168172738</v>
      </c>
    </row>
    <row r="119" spans="1:42" x14ac:dyDescent="0.15">
      <c r="A119" s="8">
        <v>410755508</v>
      </c>
      <c r="B119" t="s">
        <v>37</v>
      </c>
      <c r="C119" t="s">
        <v>16</v>
      </c>
      <c r="D119" s="1">
        <v>39323</v>
      </c>
      <c r="E119" s="2">
        <v>322700</v>
      </c>
      <c r="F119" s="2">
        <v>100000</v>
      </c>
      <c r="G119" t="s">
        <v>20</v>
      </c>
      <c r="H119" s="2">
        <v>779.07</v>
      </c>
      <c r="I119" s="2">
        <v>99804.07</v>
      </c>
      <c r="J119">
        <v>9.0999999999999998E-2</v>
      </c>
      <c r="K119">
        <v>8</v>
      </c>
      <c r="L119">
        <v>352</v>
      </c>
      <c r="M119" t="str">
        <f t="shared" si="21"/>
        <v>30 Year Fixed</v>
      </c>
      <c r="N119" s="2">
        <v>756.85</v>
      </c>
      <c r="O119" t="str">
        <f t="shared" si="18"/>
        <v>Cash Out</v>
      </c>
      <c r="P119" s="3">
        <f t="shared" si="22"/>
        <v>170437.30931034486</v>
      </c>
      <c r="Q119" s="4">
        <v>274295</v>
      </c>
      <c r="R119" s="4" t="s">
        <v>41</v>
      </c>
      <c r="S119" s="6">
        <v>528</v>
      </c>
      <c r="T119">
        <v>7.625</v>
      </c>
      <c r="U119" s="7">
        <f t="shared" si="19"/>
        <v>2055.732439896783</v>
      </c>
      <c r="V119" s="2">
        <f t="shared" si="23"/>
        <v>-1276.6624398967829</v>
      </c>
      <c r="W119" s="9">
        <f t="shared" si="24"/>
        <v>1</v>
      </c>
      <c r="X119" s="3">
        <v>103875</v>
      </c>
      <c r="Y119" s="3">
        <f t="shared" si="25"/>
        <v>2535.8314778325148</v>
      </c>
      <c r="Z119" s="7">
        <f t="shared" si="26"/>
        <v>778.50200402587859</v>
      </c>
      <c r="AA119" s="2">
        <f t="shared" si="20"/>
        <v>0.56799597412145886</v>
      </c>
      <c r="AB119" s="8">
        <f t="shared" si="27"/>
        <v>1</v>
      </c>
      <c r="AC119" s="10">
        <v>6.625</v>
      </c>
      <c r="AD119" s="7">
        <f t="shared" si="28"/>
        <v>708.40426081677845</v>
      </c>
      <c r="AE119" s="2">
        <f t="shared" si="29"/>
        <v>70.665739183221604</v>
      </c>
      <c r="AF119" s="10">
        <v>2.875</v>
      </c>
      <c r="AG119" s="3">
        <f t="shared" si="30"/>
        <v>2986.40625</v>
      </c>
      <c r="AH119" s="7">
        <v>0</v>
      </c>
      <c r="AI119">
        <f t="shared" si="31"/>
        <v>360</v>
      </c>
      <c r="AJ119" t="e">
        <f>VLOOKUP(A119,'Borrower Details'!$A$1:$H$1493,8,FALSE)</f>
        <v>#N/A</v>
      </c>
      <c r="AK119" s="4" t="e">
        <f t="shared" si="32"/>
        <v>#N/A</v>
      </c>
      <c r="AL119" s="10">
        <v>7.625</v>
      </c>
      <c r="AM119" s="3">
        <f t="shared" si="33"/>
        <v>101301.13105</v>
      </c>
      <c r="AN119">
        <v>7.625</v>
      </c>
      <c r="AO119" s="7">
        <f t="shared" si="34"/>
        <v>759.21187516258146</v>
      </c>
      <c r="AP119" s="2">
        <f t="shared" si="35"/>
        <v>19.858124837418586</v>
      </c>
    </row>
    <row r="120" spans="1:42" x14ac:dyDescent="0.15">
      <c r="A120" s="8">
        <v>410488068</v>
      </c>
      <c r="B120" t="s">
        <v>35</v>
      </c>
      <c r="C120" t="s">
        <v>16</v>
      </c>
      <c r="D120" s="1">
        <v>39266</v>
      </c>
      <c r="E120" s="2">
        <v>123000</v>
      </c>
      <c r="F120" s="2">
        <v>110700</v>
      </c>
      <c r="G120" t="s">
        <v>17</v>
      </c>
      <c r="H120" s="2">
        <v>843.36</v>
      </c>
      <c r="I120" s="2">
        <v>109993.41</v>
      </c>
      <c r="J120">
        <v>8.4000000000000005E-2</v>
      </c>
      <c r="K120">
        <v>10</v>
      </c>
      <c r="L120">
        <v>350</v>
      </c>
      <c r="M120" t="str">
        <f t="shared" si="21"/>
        <v>30 Year Fixed</v>
      </c>
      <c r="N120" s="2">
        <v>769.95</v>
      </c>
      <c r="O120" t="str">
        <f t="shared" si="18"/>
        <v>Refi</v>
      </c>
      <c r="P120" s="3">
        <f t="shared" si="22"/>
        <v>0</v>
      </c>
      <c r="Q120" s="4">
        <v>111643</v>
      </c>
      <c r="R120" s="4" t="s">
        <v>41</v>
      </c>
      <c r="S120" s="6">
        <v>607</v>
      </c>
      <c r="T120">
        <v>6.875</v>
      </c>
      <c r="U120" s="7">
        <f t="shared" si="19"/>
        <v>779.93295211842337</v>
      </c>
      <c r="V120" s="2">
        <f t="shared" si="23"/>
        <v>63.427047881576641</v>
      </c>
      <c r="W120" s="9">
        <f t="shared" si="24"/>
        <v>0</v>
      </c>
      <c r="X120" s="3">
        <v>111643</v>
      </c>
      <c r="Y120" s="3">
        <f t="shared" si="25"/>
        <v>-0.30655172413389664</v>
      </c>
      <c r="Z120" s="7">
        <f t="shared" si="26"/>
        <v>779.93295211842337</v>
      </c>
      <c r="AA120" s="2">
        <f t="shared" si="20"/>
        <v>63.427047881576641</v>
      </c>
      <c r="AB120" s="8">
        <f t="shared" si="27"/>
        <v>0</v>
      </c>
      <c r="AC120" s="10">
        <v>6.875</v>
      </c>
      <c r="AD120" s="7">
        <f t="shared" si="28"/>
        <v>779.93295211842337</v>
      </c>
      <c r="AE120" s="2">
        <f t="shared" si="29"/>
        <v>63.427047881576641</v>
      </c>
      <c r="AF120" s="10">
        <v>0</v>
      </c>
      <c r="AG120" s="3">
        <f t="shared" si="30"/>
        <v>0</v>
      </c>
      <c r="AH120" s="7">
        <v>4649.3999999999996</v>
      </c>
      <c r="AI120">
        <f t="shared" si="31"/>
        <v>360</v>
      </c>
      <c r="AJ120" t="e">
        <f>VLOOKUP(A120,'Borrower Details'!$A$1:$H$1493,8,FALSE)</f>
        <v>#N/A</v>
      </c>
      <c r="AK120" s="4" t="e">
        <f t="shared" si="32"/>
        <v>#N/A</v>
      </c>
      <c r="AL120" s="10">
        <v>6.875</v>
      </c>
      <c r="AM120" s="3">
        <f t="shared" si="33"/>
        <v>111643.31114999999</v>
      </c>
      <c r="AN120">
        <v>6.875</v>
      </c>
      <c r="AO120" s="7">
        <f t="shared" si="34"/>
        <v>779.9351257982604</v>
      </c>
      <c r="AP120" s="2">
        <f t="shared" si="35"/>
        <v>63.424874201739613</v>
      </c>
    </row>
    <row r="121" spans="1:42" x14ac:dyDescent="0.15">
      <c r="A121" s="8">
        <v>410932164</v>
      </c>
      <c r="B121" t="s">
        <v>38</v>
      </c>
      <c r="C121" t="s">
        <v>16</v>
      </c>
      <c r="D121" s="1">
        <v>39353</v>
      </c>
      <c r="E121" s="2">
        <v>114000</v>
      </c>
      <c r="F121" s="2">
        <v>73500</v>
      </c>
      <c r="G121" t="s">
        <v>17</v>
      </c>
      <c r="H121" s="2">
        <v>672.34</v>
      </c>
      <c r="I121" s="2">
        <v>73030.83</v>
      </c>
      <c r="J121">
        <v>0.105</v>
      </c>
      <c r="K121">
        <v>7</v>
      </c>
      <c r="L121">
        <v>352</v>
      </c>
      <c r="M121" t="str">
        <f t="shared" si="21"/>
        <v>30 Year Fixed</v>
      </c>
      <c r="N121" s="2">
        <v>639.54999999999995</v>
      </c>
      <c r="O121" t="str">
        <f t="shared" si="18"/>
        <v>Cash Out</v>
      </c>
      <c r="P121" s="3">
        <f t="shared" si="22"/>
        <v>22437.150295566506</v>
      </c>
      <c r="Q121" s="4">
        <v>96900</v>
      </c>
      <c r="R121" s="4" t="s">
        <v>41</v>
      </c>
      <c r="S121" s="6">
        <v>539</v>
      </c>
      <c r="T121">
        <v>7.625</v>
      </c>
      <c r="U121" s="7">
        <f t="shared" si="19"/>
        <v>726.22714021764261</v>
      </c>
      <c r="V121" s="2">
        <f t="shared" si="23"/>
        <v>-53.887140217642582</v>
      </c>
      <c r="W121" s="9">
        <f t="shared" si="24"/>
        <v>1</v>
      </c>
      <c r="X121" s="3">
        <v>89640</v>
      </c>
      <c r="Y121" s="3">
        <f t="shared" si="25"/>
        <v>15284.440935960592</v>
      </c>
      <c r="Z121" s="7">
        <f t="shared" si="26"/>
        <v>671.81631423229612</v>
      </c>
      <c r="AA121" s="2">
        <f t="shared" si="20"/>
        <v>0.52368576770390973</v>
      </c>
      <c r="AB121" s="8">
        <f t="shared" si="27"/>
        <v>0</v>
      </c>
      <c r="AC121" s="10">
        <v>7.625</v>
      </c>
      <c r="AD121" s="7">
        <f t="shared" si="28"/>
        <v>671.81631423229612</v>
      </c>
      <c r="AE121" s="2">
        <f t="shared" si="29"/>
        <v>0.52368576770390973</v>
      </c>
      <c r="AF121" s="10">
        <v>0</v>
      </c>
      <c r="AG121" s="3">
        <f t="shared" si="30"/>
        <v>0</v>
      </c>
      <c r="AH121" s="7">
        <v>0</v>
      </c>
      <c r="AI121">
        <f t="shared" si="31"/>
        <v>360</v>
      </c>
      <c r="AJ121" t="e">
        <f>VLOOKUP(A121,'Borrower Details'!$A$1:$H$1493,8,FALSE)</f>
        <v>#N/A</v>
      </c>
      <c r="AK121" s="4" t="e">
        <f t="shared" si="32"/>
        <v>#N/A</v>
      </c>
      <c r="AL121" s="10">
        <v>7.625</v>
      </c>
      <c r="AM121" s="3">
        <f t="shared" si="33"/>
        <v>74126.292449999994</v>
      </c>
      <c r="AN121">
        <v>7.625</v>
      </c>
      <c r="AO121" s="7">
        <f t="shared" si="34"/>
        <v>555.54721755314893</v>
      </c>
      <c r="AP121" s="2">
        <f t="shared" si="35"/>
        <v>116.79278244685111</v>
      </c>
    </row>
    <row r="122" spans="1:42" x14ac:dyDescent="0.15">
      <c r="A122" s="8">
        <v>1144182</v>
      </c>
      <c r="B122" t="s">
        <v>37</v>
      </c>
      <c r="C122" t="s">
        <v>18</v>
      </c>
      <c r="D122" s="1">
        <v>39147</v>
      </c>
      <c r="E122" s="2">
        <v>210000</v>
      </c>
      <c r="F122" s="2">
        <v>189000</v>
      </c>
      <c r="G122" t="s">
        <v>15</v>
      </c>
      <c r="H122" s="2">
        <v>1603.03</v>
      </c>
      <c r="I122" s="2">
        <v>187758.11</v>
      </c>
      <c r="J122">
        <v>9.6000000000000002E-2</v>
      </c>
      <c r="K122">
        <v>13</v>
      </c>
      <c r="L122">
        <v>347</v>
      </c>
      <c r="M122" t="str">
        <f t="shared" si="21"/>
        <v>30 Year Fixed</v>
      </c>
      <c r="N122" s="2">
        <v>1502.06</v>
      </c>
      <c r="O122" t="str">
        <f t="shared" si="18"/>
        <v>Refi</v>
      </c>
      <c r="P122" s="3">
        <f t="shared" si="22"/>
        <v>0</v>
      </c>
      <c r="Q122" s="4">
        <v>190574</v>
      </c>
      <c r="R122" s="4" t="s">
        <v>41</v>
      </c>
      <c r="S122" s="6">
        <v>570</v>
      </c>
      <c r="T122">
        <v>7.625</v>
      </c>
      <c r="U122" s="7">
        <f t="shared" si="19"/>
        <v>1428.2766875112179</v>
      </c>
      <c r="V122" s="2">
        <f t="shared" si="23"/>
        <v>174.75331248878206</v>
      </c>
      <c r="W122" s="9">
        <f t="shared" si="24"/>
        <v>0</v>
      </c>
      <c r="X122" s="3">
        <v>190574</v>
      </c>
      <c r="Y122" s="3">
        <f t="shared" si="25"/>
        <v>-0.47453201966709457</v>
      </c>
      <c r="Z122" s="7">
        <f t="shared" si="26"/>
        <v>1428.2766875112179</v>
      </c>
      <c r="AA122" s="2">
        <f t="shared" si="20"/>
        <v>174.75331248878206</v>
      </c>
      <c r="AB122" s="8">
        <f t="shared" si="27"/>
        <v>0</v>
      </c>
      <c r="AC122" s="10">
        <v>7.625</v>
      </c>
      <c r="AD122" s="7">
        <f t="shared" si="28"/>
        <v>1428.2766875112179</v>
      </c>
      <c r="AE122" s="2">
        <f t="shared" si="29"/>
        <v>174.75331248878206</v>
      </c>
      <c r="AF122" s="10">
        <v>0</v>
      </c>
      <c r="AG122" s="3">
        <f t="shared" si="30"/>
        <v>0</v>
      </c>
      <c r="AH122" s="7">
        <v>1890</v>
      </c>
      <c r="AI122">
        <f t="shared" si="31"/>
        <v>360</v>
      </c>
      <c r="AJ122" t="e">
        <f>VLOOKUP(A122,'Borrower Details'!$A$1:$H$1493,8,FALSE)</f>
        <v>#N/A</v>
      </c>
      <c r="AK122" s="4" t="e">
        <f t="shared" si="32"/>
        <v>#N/A</v>
      </c>
      <c r="AL122" s="10">
        <v>7.625</v>
      </c>
      <c r="AM122" s="3">
        <f t="shared" si="33"/>
        <v>190574.48164999997</v>
      </c>
      <c r="AN122">
        <v>7.625</v>
      </c>
      <c r="AO122" s="7">
        <f t="shared" si="34"/>
        <v>1428.2802972872973</v>
      </c>
      <c r="AP122" s="2">
        <f t="shared" si="35"/>
        <v>174.74970271270263</v>
      </c>
    </row>
    <row r="123" spans="1:42" x14ac:dyDescent="0.15">
      <c r="A123" s="8">
        <v>410800502</v>
      </c>
      <c r="B123" t="s">
        <v>36</v>
      </c>
      <c r="C123" t="s">
        <v>16</v>
      </c>
      <c r="D123" s="1">
        <v>39315</v>
      </c>
      <c r="E123" s="2">
        <v>147000</v>
      </c>
      <c r="F123" s="2">
        <v>55000</v>
      </c>
      <c r="G123" t="s">
        <v>17</v>
      </c>
      <c r="H123" s="2">
        <v>432.74</v>
      </c>
      <c r="I123" s="2">
        <v>54884.31</v>
      </c>
      <c r="J123">
        <v>9.1999999999999998E-2</v>
      </c>
      <c r="K123">
        <v>8</v>
      </c>
      <c r="L123">
        <v>352</v>
      </c>
      <c r="M123" t="str">
        <f t="shared" si="21"/>
        <v>30 Year Fixed</v>
      </c>
      <c r="N123" s="2">
        <v>420.78</v>
      </c>
      <c r="O123" t="str">
        <f t="shared" si="18"/>
        <v>Cash Out</v>
      </c>
      <c r="P123" s="3">
        <f t="shared" si="22"/>
        <v>68219.138275862089</v>
      </c>
      <c r="Q123" s="4">
        <v>124950</v>
      </c>
      <c r="R123" s="4" t="s">
        <v>41</v>
      </c>
      <c r="S123" s="6">
        <v>577</v>
      </c>
      <c r="T123">
        <v>7.625</v>
      </c>
      <c r="U123" s="7">
        <f t="shared" si="19"/>
        <v>936.45078607011817</v>
      </c>
      <c r="V123" s="2">
        <f t="shared" si="23"/>
        <v>-503.71078607011816</v>
      </c>
      <c r="W123" s="9">
        <f t="shared" si="24"/>
        <v>1</v>
      </c>
      <c r="X123" s="3">
        <v>57670</v>
      </c>
      <c r="Y123" s="3">
        <f t="shared" si="25"/>
        <v>1933.4239901477922</v>
      </c>
      <c r="Z123" s="7">
        <f t="shared" si="26"/>
        <v>432.2138201893855</v>
      </c>
      <c r="AA123" s="2">
        <f t="shared" si="20"/>
        <v>0.52617981061450791</v>
      </c>
      <c r="AB123" s="8">
        <f t="shared" si="27"/>
        <v>1</v>
      </c>
      <c r="AC123" s="10">
        <v>6.875</v>
      </c>
      <c r="AD123" s="7">
        <f t="shared" si="28"/>
        <v>402.88001351333696</v>
      </c>
      <c r="AE123" s="2">
        <f t="shared" si="29"/>
        <v>29.859986486663047</v>
      </c>
      <c r="AF123" s="10">
        <v>1.25</v>
      </c>
      <c r="AG123" s="3">
        <f t="shared" si="30"/>
        <v>720.875</v>
      </c>
      <c r="AH123" s="7">
        <v>1100</v>
      </c>
      <c r="AI123">
        <f t="shared" si="31"/>
        <v>360</v>
      </c>
      <c r="AJ123" t="e">
        <f>VLOOKUP(A123,'Borrower Details'!$A$1:$H$1493,8,FALSE)</f>
        <v>#N/A</v>
      </c>
      <c r="AK123" s="4" t="e">
        <f t="shared" si="32"/>
        <v>#N/A</v>
      </c>
      <c r="AL123" s="10">
        <v>7.625</v>
      </c>
      <c r="AM123" s="3">
        <f t="shared" si="33"/>
        <v>55707.574649999995</v>
      </c>
      <c r="AN123">
        <v>7.625</v>
      </c>
      <c r="AO123" s="7">
        <f t="shared" si="34"/>
        <v>417.50621905604072</v>
      </c>
      <c r="AP123" s="2">
        <f t="shared" si="35"/>
        <v>15.233780943959289</v>
      </c>
    </row>
    <row r="124" spans="1:42" x14ac:dyDescent="0.15">
      <c r="A124" s="8">
        <v>1183627</v>
      </c>
      <c r="B124" t="s">
        <v>38</v>
      </c>
      <c r="C124" t="s">
        <v>19</v>
      </c>
      <c r="D124" s="1">
        <v>39182</v>
      </c>
      <c r="E124" s="2">
        <v>168000</v>
      </c>
      <c r="F124" s="2">
        <v>142800</v>
      </c>
      <c r="G124" t="s">
        <v>15</v>
      </c>
      <c r="H124" s="2">
        <v>880.6</v>
      </c>
      <c r="I124" s="2">
        <v>142800</v>
      </c>
      <c r="J124">
        <v>7.3999999999999996E-2</v>
      </c>
      <c r="K124">
        <v>12</v>
      </c>
      <c r="L124">
        <v>348</v>
      </c>
      <c r="M124" t="str">
        <f t="shared" si="21"/>
        <v>30 Year Fixed</v>
      </c>
      <c r="N124" s="2">
        <v>880.6</v>
      </c>
      <c r="O124" t="str">
        <f t="shared" si="18"/>
        <v>Refi</v>
      </c>
      <c r="P124" s="3">
        <f t="shared" si="22"/>
        <v>0</v>
      </c>
      <c r="Q124" s="4">
        <v>144942</v>
      </c>
      <c r="R124" s="4" t="s">
        <v>41</v>
      </c>
      <c r="S124" s="6">
        <v>648</v>
      </c>
      <c r="T124">
        <v>6.75</v>
      </c>
      <c r="U124" s="7">
        <f t="shared" si="19"/>
        <v>1000.4835531279004</v>
      </c>
      <c r="V124" s="2">
        <f t="shared" si="23"/>
        <v>-119.88355312790043</v>
      </c>
      <c r="W124" s="9">
        <f t="shared" si="24"/>
        <v>0</v>
      </c>
      <c r="X124" s="3">
        <v>144942</v>
      </c>
      <c r="Y124" s="3">
        <f t="shared" si="25"/>
        <v>0</v>
      </c>
      <c r="Z124" s="7">
        <f t="shared" si="26"/>
        <v>1000.4835531279004</v>
      </c>
      <c r="AA124" s="2">
        <f t="shared" si="20"/>
        <v>-119.88355312790043</v>
      </c>
      <c r="AB124" s="8">
        <f t="shared" si="27"/>
        <v>1</v>
      </c>
      <c r="AC124" s="10">
        <v>6.125</v>
      </c>
      <c r="AD124" s="7">
        <f t="shared" si="28"/>
        <v>941.07536827904312</v>
      </c>
      <c r="AE124" s="2">
        <f t="shared" si="29"/>
        <v>-60.475368279043096</v>
      </c>
      <c r="AF124" s="10">
        <v>3</v>
      </c>
      <c r="AG124" s="3">
        <f t="shared" si="30"/>
        <v>4348.26</v>
      </c>
      <c r="AH124" s="7">
        <v>0</v>
      </c>
      <c r="AI124">
        <f t="shared" si="31"/>
        <v>360</v>
      </c>
      <c r="AJ124" t="e">
        <f>VLOOKUP(A124,'Borrower Details'!$A$1:$H$1493,8,FALSE)</f>
        <v>#N/A</v>
      </c>
      <c r="AK124" s="4" t="e">
        <f t="shared" si="32"/>
        <v>#N/A</v>
      </c>
      <c r="AL124" s="10">
        <v>6.75</v>
      </c>
      <c r="AM124" s="3">
        <f t="shared" si="33"/>
        <v>144942</v>
      </c>
      <c r="AN124">
        <v>6.75</v>
      </c>
      <c r="AO124" s="7">
        <f t="shared" si="34"/>
        <v>1000.4835531279004</v>
      </c>
      <c r="AP124" s="2">
        <f t="shared" si="35"/>
        <v>-119.88355312790043</v>
      </c>
    </row>
    <row r="125" spans="1:42" x14ac:dyDescent="0.15">
      <c r="A125" s="8">
        <v>410162051</v>
      </c>
      <c r="B125" t="s">
        <v>35</v>
      </c>
      <c r="C125" t="s">
        <v>16</v>
      </c>
      <c r="D125" s="1">
        <v>39197</v>
      </c>
      <c r="E125" s="2">
        <v>135900</v>
      </c>
      <c r="F125" s="2">
        <v>129105</v>
      </c>
      <c r="G125" t="s">
        <v>15</v>
      </c>
      <c r="H125" s="2">
        <v>1108.47</v>
      </c>
      <c r="I125" s="2">
        <v>129019.79</v>
      </c>
      <c r="J125">
        <v>0.1024</v>
      </c>
      <c r="K125">
        <v>12</v>
      </c>
      <c r="L125">
        <v>348</v>
      </c>
      <c r="M125" t="str">
        <f t="shared" si="21"/>
        <v>30 Year Fixed</v>
      </c>
      <c r="N125" s="2">
        <v>1100.97</v>
      </c>
      <c r="O125" t="str">
        <f t="shared" si="18"/>
        <v>Refi</v>
      </c>
      <c r="P125" s="3">
        <f t="shared" si="22"/>
        <v>0</v>
      </c>
      <c r="Q125" s="4">
        <v>130955</v>
      </c>
      <c r="R125" s="4" t="s">
        <v>41</v>
      </c>
      <c r="S125" s="6">
        <v>603</v>
      </c>
      <c r="T125">
        <v>6.875</v>
      </c>
      <c r="U125" s="7">
        <f t="shared" si="19"/>
        <v>914.84571128210564</v>
      </c>
      <c r="V125" s="2">
        <f t="shared" si="23"/>
        <v>193.62428871789439</v>
      </c>
      <c r="W125" s="9">
        <f t="shared" si="24"/>
        <v>0</v>
      </c>
      <c r="X125" s="3">
        <v>130955</v>
      </c>
      <c r="Y125" s="3">
        <f t="shared" si="25"/>
        <v>-8.5566502442816272E-2</v>
      </c>
      <c r="Z125" s="7">
        <f t="shared" si="26"/>
        <v>914.84571128210564</v>
      </c>
      <c r="AA125" s="2">
        <f t="shared" si="20"/>
        <v>193.62428871789439</v>
      </c>
      <c r="AB125" s="8">
        <f t="shared" si="27"/>
        <v>0</v>
      </c>
      <c r="AC125" s="10">
        <v>6.875</v>
      </c>
      <c r="AD125" s="7">
        <f t="shared" si="28"/>
        <v>914.84571128210564</v>
      </c>
      <c r="AE125" s="2">
        <f t="shared" si="29"/>
        <v>193.62428871789439</v>
      </c>
      <c r="AF125" s="10">
        <v>0</v>
      </c>
      <c r="AG125" s="3">
        <f t="shared" si="30"/>
        <v>0</v>
      </c>
      <c r="AH125" s="7">
        <v>6610.1760000000004</v>
      </c>
      <c r="AI125">
        <f t="shared" si="31"/>
        <v>360</v>
      </c>
      <c r="AJ125" t="e">
        <f>VLOOKUP(A125,'Borrower Details'!$A$1:$H$1493,8,FALSE)</f>
        <v>#N/A</v>
      </c>
      <c r="AK125" s="4" t="e">
        <f t="shared" si="32"/>
        <v>#N/A</v>
      </c>
      <c r="AL125" s="10">
        <v>6.875</v>
      </c>
      <c r="AM125" s="3">
        <f t="shared" si="33"/>
        <v>130955.08684999998</v>
      </c>
      <c r="AN125">
        <v>6.875</v>
      </c>
      <c r="AO125" s="7">
        <f t="shared" si="34"/>
        <v>914.84631801228022</v>
      </c>
      <c r="AP125" s="2">
        <f t="shared" si="35"/>
        <v>193.62368198771981</v>
      </c>
    </row>
    <row r="126" spans="1:42" x14ac:dyDescent="0.15">
      <c r="A126" s="8">
        <v>410811418</v>
      </c>
      <c r="B126" t="s">
        <v>35</v>
      </c>
      <c r="C126" t="s">
        <v>16</v>
      </c>
      <c r="D126" s="1">
        <v>39321</v>
      </c>
      <c r="E126" s="2">
        <v>125000</v>
      </c>
      <c r="F126" s="2">
        <v>100000</v>
      </c>
      <c r="G126" t="s">
        <v>17</v>
      </c>
      <c r="H126" s="2">
        <v>768.92</v>
      </c>
      <c r="I126" s="2">
        <v>99503.11</v>
      </c>
      <c r="J126">
        <v>8.5000000000000006E-2</v>
      </c>
      <c r="K126">
        <v>8</v>
      </c>
      <c r="L126">
        <v>352</v>
      </c>
      <c r="M126" t="str">
        <f t="shared" si="21"/>
        <v>30 Year Fixed</v>
      </c>
      <c r="N126" s="2">
        <v>704.81</v>
      </c>
      <c r="O126" t="str">
        <f t="shared" si="18"/>
        <v>Cash Out</v>
      </c>
      <c r="P126" s="3">
        <f t="shared" si="22"/>
        <v>5176.6929556650284</v>
      </c>
      <c r="Q126" s="4">
        <v>106250</v>
      </c>
      <c r="R126" s="4" t="s">
        <v>41</v>
      </c>
      <c r="S126" s="6">
        <v>615</v>
      </c>
      <c r="T126">
        <v>6.875</v>
      </c>
      <c r="U126" s="7">
        <f t="shared" si="19"/>
        <v>742.25769786356943</v>
      </c>
      <c r="V126" s="2">
        <f t="shared" si="23"/>
        <v>26.662302136430526</v>
      </c>
      <c r="W126" s="9">
        <f t="shared" si="24"/>
        <v>0</v>
      </c>
      <c r="X126" s="3">
        <v>106250</v>
      </c>
      <c r="Y126" s="3">
        <f t="shared" si="25"/>
        <v>5176.6929556650284</v>
      </c>
      <c r="Z126" s="7">
        <f t="shared" si="26"/>
        <v>742.25769786356943</v>
      </c>
      <c r="AA126" s="2">
        <f t="shared" si="20"/>
        <v>26.662302136430526</v>
      </c>
      <c r="AB126" s="8">
        <f t="shared" si="27"/>
        <v>0</v>
      </c>
      <c r="AC126" s="10">
        <v>6.875</v>
      </c>
      <c r="AD126" s="7">
        <f t="shared" si="28"/>
        <v>742.25769786356943</v>
      </c>
      <c r="AE126" s="2">
        <f t="shared" si="29"/>
        <v>26.662302136430526</v>
      </c>
      <c r="AF126" s="10">
        <v>0</v>
      </c>
      <c r="AG126" s="3">
        <f t="shared" si="30"/>
        <v>0</v>
      </c>
      <c r="AH126" s="7">
        <v>4250</v>
      </c>
      <c r="AI126">
        <f t="shared" si="31"/>
        <v>360</v>
      </c>
      <c r="AJ126" t="e">
        <f>VLOOKUP(A126,'Borrower Details'!$A$1:$H$1493,8,FALSE)</f>
        <v>#N/A</v>
      </c>
      <c r="AK126" s="4" t="e">
        <f t="shared" si="32"/>
        <v>#N/A</v>
      </c>
      <c r="AL126" s="10">
        <v>6.875</v>
      </c>
      <c r="AM126" s="3">
        <f t="shared" si="33"/>
        <v>100995.65664999999</v>
      </c>
      <c r="AN126">
        <v>6.875</v>
      </c>
      <c r="AO126" s="7">
        <f t="shared" si="34"/>
        <v>705.55109269880938</v>
      </c>
      <c r="AP126" s="2">
        <f t="shared" si="35"/>
        <v>63.368907301190575</v>
      </c>
    </row>
    <row r="127" spans="1:42" x14ac:dyDescent="0.15">
      <c r="A127" s="8">
        <v>410406128</v>
      </c>
      <c r="B127" t="s">
        <v>36</v>
      </c>
      <c r="C127" t="s">
        <v>19</v>
      </c>
      <c r="D127" s="1">
        <v>39244</v>
      </c>
      <c r="E127" s="2">
        <v>350000</v>
      </c>
      <c r="F127" s="2">
        <v>332500</v>
      </c>
      <c r="G127" t="s">
        <v>15</v>
      </c>
      <c r="H127" s="2">
        <v>2628.94</v>
      </c>
      <c r="I127" s="2">
        <v>332031.34999999998</v>
      </c>
      <c r="J127">
        <v>9.4E-2</v>
      </c>
      <c r="K127">
        <v>10</v>
      </c>
      <c r="L127">
        <v>351</v>
      </c>
      <c r="M127" t="str">
        <f t="shared" si="21"/>
        <v>30 Year Fixed</v>
      </c>
      <c r="N127" s="2">
        <v>2600.91</v>
      </c>
      <c r="O127" t="str">
        <f t="shared" si="18"/>
        <v>Refi</v>
      </c>
      <c r="P127" s="3">
        <f t="shared" si="22"/>
        <v>0</v>
      </c>
      <c r="Q127" s="4">
        <v>337012</v>
      </c>
      <c r="R127" s="4" t="s">
        <v>41</v>
      </c>
      <c r="S127" s="6">
        <v>605</v>
      </c>
      <c r="T127">
        <v>6.875</v>
      </c>
      <c r="U127" s="7">
        <f t="shared" si="19"/>
        <v>2354.3506002107974</v>
      </c>
      <c r="V127" s="2">
        <f t="shared" si="23"/>
        <v>274.58939978920262</v>
      </c>
      <c r="W127" s="9">
        <f t="shared" si="24"/>
        <v>0</v>
      </c>
      <c r="X127" s="3">
        <v>337012</v>
      </c>
      <c r="Y127" s="3">
        <f t="shared" si="25"/>
        <v>0.17709359613945708</v>
      </c>
      <c r="Z127" s="7">
        <f t="shared" si="26"/>
        <v>2354.3506002107974</v>
      </c>
      <c r="AA127" s="2">
        <f t="shared" si="20"/>
        <v>274.58939978920262</v>
      </c>
      <c r="AB127" s="8">
        <f t="shared" si="27"/>
        <v>0</v>
      </c>
      <c r="AC127" s="10">
        <v>6.875</v>
      </c>
      <c r="AD127" s="7">
        <f t="shared" si="28"/>
        <v>2354.3506002107974</v>
      </c>
      <c r="AE127" s="2">
        <f t="shared" si="29"/>
        <v>274.58939978920262</v>
      </c>
      <c r="AF127" s="10">
        <v>0</v>
      </c>
      <c r="AG127" s="3">
        <f t="shared" si="30"/>
        <v>0</v>
      </c>
      <c r="AH127" s="7">
        <v>6650</v>
      </c>
      <c r="AI127">
        <f t="shared" si="31"/>
        <v>360</v>
      </c>
      <c r="AJ127" t="e">
        <f>VLOOKUP(A127,'Borrower Details'!$A$1:$H$1493,8,FALSE)</f>
        <v>#N/A</v>
      </c>
      <c r="AK127" s="4" t="e">
        <f t="shared" si="32"/>
        <v>#N/A</v>
      </c>
      <c r="AL127" s="10">
        <v>6.875</v>
      </c>
      <c r="AM127" s="3">
        <f t="shared" si="33"/>
        <v>337011.82024999993</v>
      </c>
      <c r="AN127">
        <v>6.875</v>
      </c>
      <c r="AO127" s="7">
        <f t="shared" si="34"/>
        <v>2354.3493444854216</v>
      </c>
      <c r="AP127" s="2">
        <f t="shared" si="35"/>
        <v>274.59065551457843</v>
      </c>
    </row>
    <row r="128" spans="1:42" x14ac:dyDescent="0.15">
      <c r="A128" s="8">
        <v>410343438</v>
      </c>
      <c r="B128" t="s">
        <v>37</v>
      </c>
      <c r="C128" t="s">
        <v>18</v>
      </c>
      <c r="D128" s="1">
        <v>39268</v>
      </c>
      <c r="E128" s="2">
        <v>140000</v>
      </c>
      <c r="F128" s="2">
        <v>70000</v>
      </c>
      <c r="G128" t="s">
        <v>17</v>
      </c>
      <c r="H128" s="2">
        <v>622.08000000000004</v>
      </c>
      <c r="I128" s="2">
        <v>69712.42</v>
      </c>
      <c r="J128">
        <v>0.10150000000000001</v>
      </c>
      <c r="K128">
        <v>9</v>
      </c>
      <c r="L128">
        <v>351</v>
      </c>
      <c r="M128" t="str">
        <f t="shared" si="21"/>
        <v>30 Year Fixed</v>
      </c>
      <c r="N128" s="2">
        <v>589.65</v>
      </c>
      <c r="O128" t="str">
        <f t="shared" si="18"/>
        <v>Cash Out</v>
      </c>
      <c r="P128" s="3">
        <f t="shared" si="22"/>
        <v>47528.959310344842</v>
      </c>
      <c r="Q128" s="4">
        <v>119000</v>
      </c>
      <c r="R128" s="4" t="s">
        <v>41</v>
      </c>
      <c r="S128" s="6">
        <v>528</v>
      </c>
      <c r="T128">
        <v>7.625</v>
      </c>
      <c r="U128" s="7">
        <f t="shared" si="19"/>
        <v>891.85789149535071</v>
      </c>
      <c r="V128" s="2">
        <f t="shared" si="23"/>
        <v>-269.77789149535067</v>
      </c>
      <c r="W128" s="9">
        <f t="shared" si="24"/>
        <v>1</v>
      </c>
      <c r="X128" s="3">
        <v>82930</v>
      </c>
      <c r="Y128" s="3">
        <f t="shared" si="25"/>
        <v>11992.013497536958</v>
      </c>
      <c r="Z128" s="7">
        <f t="shared" si="26"/>
        <v>621.52752051856669</v>
      </c>
      <c r="AA128" s="2">
        <f t="shared" si="20"/>
        <v>0.55247948143335179</v>
      </c>
      <c r="AB128" s="8">
        <f t="shared" si="27"/>
        <v>0</v>
      </c>
      <c r="AC128" s="10">
        <v>7.625</v>
      </c>
      <c r="AD128" s="7">
        <f t="shared" si="28"/>
        <v>621.52752051856669</v>
      </c>
      <c r="AE128" s="2">
        <f t="shared" si="29"/>
        <v>0.55247948143335179</v>
      </c>
      <c r="AF128" s="10">
        <v>0</v>
      </c>
      <c r="AG128" s="3">
        <f t="shared" si="30"/>
        <v>0</v>
      </c>
      <c r="AH128" s="7">
        <v>0</v>
      </c>
      <c r="AI128">
        <f t="shared" si="31"/>
        <v>360</v>
      </c>
      <c r="AJ128" t="e">
        <f>VLOOKUP(A128,'Borrower Details'!$A$1:$H$1493,8,FALSE)</f>
        <v>#N/A</v>
      </c>
      <c r="AK128" s="4" t="e">
        <f t="shared" si="32"/>
        <v>#N/A</v>
      </c>
      <c r="AL128" s="10">
        <v>7.625</v>
      </c>
      <c r="AM128" s="3">
        <f t="shared" si="33"/>
        <v>70758.106299999985</v>
      </c>
      <c r="AN128">
        <v>7.625</v>
      </c>
      <c r="AO128" s="7">
        <f t="shared" si="34"/>
        <v>530.30399572203248</v>
      </c>
      <c r="AP128" s="2">
        <f t="shared" si="35"/>
        <v>91.776004277967559</v>
      </c>
    </row>
    <row r="129" spans="1:42" x14ac:dyDescent="0.15">
      <c r="A129" s="8">
        <v>410912356</v>
      </c>
      <c r="B129" t="s">
        <v>36</v>
      </c>
      <c r="C129" t="s">
        <v>16</v>
      </c>
      <c r="D129" s="1">
        <v>39330</v>
      </c>
      <c r="E129" s="2">
        <v>153000</v>
      </c>
      <c r="F129" s="2">
        <v>100000</v>
      </c>
      <c r="G129" t="s">
        <v>20</v>
      </c>
      <c r="H129" s="2">
        <v>723.34</v>
      </c>
      <c r="I129" s="2">
        <v>99425.16</v>
      </c>
      <c r="J129">
        <v>7.85E-2</v>
      </c>
      <c r="K129">
        <v>8</v>
      </c>
      <c r="L129">
        <v>352</v>
      </c>
      <c r="M129" t="str">
        <f t="shared" si="21"/>
        <v>30 Year Fixed</v>
      </c>
      <c r="N129" s="2">
        <v>650.41</v>
      </c>
      <c r="O129" t="str">
        <f t="shared" si="18"/>
        <v>Cash Out</v>
      </c>
      <c r="P129" s="3">
        <f t="shared" si="22"/>
        <v>28702.918817733997</v>
      </c>
      <c r="Q129" s="4">
        <v>130050</v>
      </c>
      <c r="R129" s="4" t="s">
        <v>41</v>
      </c>
      <c r="S129" s="6">
        <v>572</v>
      </c>
      <c r="T129">
        <v>7.625</v>
      </c>
      <c r="U129" s="7">
        <f t="shared" si="19"/>
        <v>974.67326713420459</v>
      </c>
      <c r="V129" s="2">
        <f t="shared" si="23"/>
        <v>-251.33326713420456</v>
      </c>
      <c r="W129" s="9">
        <f t="shared" si="24"/>
        <v>1</v>
      </c>
      <c r="X129" s="3">
        <v>100916</v>
      </c>
      <c r="Y129" s="3">
        <f t="shared" si="25"/>
        <v>-0.52945812807593029</v>
      </c>
      <c r="Z129" s="7">
        <f t="shared" si="26"/>
        <v>756.32547040457814</v>
      </c>
      <c r="AA129" s="2">
        <f t="shared" si="20"/>
        <v>-32.985470404578109</v>
      </c>
      <c r="AB129" s="8">
        <f t="shared" si="27"/>
        <v>1</v>
      </c>
      <c r="AC129" s="10">
        <v>6.875</v>
      </c>
      <c r="AD129" s="7">
        <f t="shared" si="28"/>
        <v>704.99461494211732</v>
      </c>
      <c r="AE129" s="2">
        <f t="shared" si="29"/>
        <v>18.345385057882709</v>
      </c>
      <c r="AF129" s="10">
        <v>1</v>
      </c>
      <c r="AG129" s="3">
        <f t="shared" si="30"/>
        <v>1009.16</v>
      </c>
      <c r="AH129" s="7">
        <v>2000</v>
      </c>
      <c r="AI129">
        <f t="shared" si="31"/>
        <v>360</v>
      </c>
      <c r="AJ129" t="e">
        <f>VLOOKUP(A129,'Borrower Details'!$A$1:$H$1493,8,FALSE)</f>
        <v>#N/A</v>
      </c>
      <c r="AK129" s="4" t="e">
        <f t="shared" si="32"/>
        <v>#N/A</v>
      </c>
      <c r="AL129" s="10">
        <v>7.625</v>
      </c>
      <c r="AM129" s="3">
        <f t="shared" si="33"/>
        <v>100916.5374</v>
      </c>
      <c r="AN129">
        <v>7.625</v>
      </c>
      <c r="AO129" s="7">
        <f t="shared" si="34"/>
        <v>756.32949800483777</v>
      </c>
      <c r="AP129" s="2">
        <f t="shared" si="35"/>
        <v>-32.989498004837742</v>
      </c>
    </row>
    <row r="130" spans="1:42" x14ac:dyDescent="0.15">
      <c r="A130" s="8">
        <v>1159373</v>
      </c>
      <c r="B130" t="s">
        <v>38</v>
      </c>
      <c r="C130" t="s">
        <v>19</v>
      </c>
      <c r="D130" s="1">
        <v>39155</v>
      </c>
      <c r="E130" s="2">
        <v>118000</v>
      </c>
      <c r="F130" s="2">
        <v>100300</v>
      </c>
      <c r="G130" t="s">
        <v>17</v>
      </c>
      <c r="H130" s="2">
        <v>684.23</v>
      </c>
      <c r="I130" s="2">
        <v>98195.39</v>
      </c>
      <c r="J130">
        <v>7.2499999999999995E-2</v>
      </c>
      <c r="K130">
        <v>13</v>
      </c>
      <c r="L130">
        <v>346</v>
      </c>
      <c r="M130" t="str">
        <f t="shared" si="21"/>
        <v>30 Year Fixed</v>
      </c>
      <c r="N130" s="2">
        <v>593.26</v>
      </c>
      <c r="O130" t="str">
        <f t="shared" ref="O130:O193" si="36">IF((0.85*E130)&gt;(I130*1.015),"Cash Out","Refi")</f>
        <v>Cash Out</v>
      </c>
      <c r="P130" s="3">
        <f t="shared" si="22"/>
        <v>622.34399014779774</v>
      </c>
      <c r="Q130" s="4">
        <v>100300</v>
      </c>
      <c r="R130" s="4" t="s">
        <v>41</v>
      </c>
      <c r="S130" s="6">
        <v>658</v>
      </c>
      <c r="T130">
        <v>6.75</v>
      </c>
      <c r="U130" s="7">
        <f t="shared" ref="U130:U193" si="37">(Q130*((T130/1200)/(1-(1+(T130/1200))^-AI130)))+((Q130*0.005)/12)</f>
        <v>692.33555752458506</v>
      </c>
      <c r="V130" s="2">
        <f t="shared" si="23"/>
        <v>-8.1055575245850378</v>
      </c>
      <c r="W130" s="9">
        <f t="shared" si="24"/>
        <v>1</v>
      </c>
      <c r="X130" s="3">
        <v>99668</v>
      </c>
      <c r="Y130" s="3">
        <f t="shared" si="25"/>
        <v>-0.31610837437619921</v>
      </c>
      <c r="Z130" s="7">
        <f t="shared" si="26"/>
        <v>696.27614334744692</v>
      </c>
      <c r="AA130" s="2">
        <f t="shared" ref="AA130:AA193" si="38">H130-Z130</f>
        <v>-12.0461433474469</v>
      </c>
      <c r="AB130" s="8">
        <f t="shared" si="27"/>
        <v>1</v>
      </c>
      <c r="AC130" s="10">
        <v>6.25</v>
      </c>
      <c r="AD130" s="7">
        <f t="shared" si="28"/>
        <v>655.20135265431122</v>
      </c>
      <c r="AE130" s="2">
        <f t="shared" si="29"/>
        <v>29.028647345688796</v>
      </c>
      <c r="AF130" s="10">
        <v>2.5</v>
      </c>
      <c r="AG130" s="3">
        <f t="shared" si="30"/>
        <v>2491.6999999999998</v>
      </c>
      <c r="AH130" s="7">
        <v>0</v>
      </c>
      <c r="AI130">
        <f t="shared" si="31"/>
        <v>360</v>
      </c>
      <c r="AJ130" t="e">
        <f>VLOOKUP(A130,'Borrower Details'!$A$1:$H$1493,8,FALSE)</f>
        <v>#N/A</v>
      </c>
      <c r="AK130" s="4" t="e">
        <f t="shared" si="32"/>
        <v>#N/A</v>
      </c>
      <c r="AL130" s="10">
        <v>6.875</v>
      </c>
      <c r="AM130" s="3">
        <f t="shared" si="33"/>
        <v>99668.320849999989</v>
      </c>
      <c r="AN130">
        <v>6.875</v>
      </c>
      <c r="AO130" s="7">
        <f t="shared" si="34"/>
        <v>696.27838479104548</v>
      </c>
      <c r="AP130" s="2">
        <f t="shared" si="35"/>
        <v>-12.048384791045464</v>
      </c>
    </row>
    <row r="131" spans="1:42" x14ac:dyDescent="0.15">
      <c r="A131" s="8">
        <v>410460950</v>
      </c>
      <c r="B131" t="s">
        <v>35</v>
      </c>
      <c r="C131" t="s">
        <v>16</v>
      </c>
      <c r="D131" s="1">
        <v>39258</v>
      </c>
      <c r="E131" s="2">
        <v>545000</v>
      </c>
      <c r="F131" s="2">
        <v>385700</v>
      </c>
      <c r="G131" t="s">
        <v>17</v>
      </c>
      <c r="H131" s="2">
        <v>2592.0300000000002</v>
      </c>
      <c r="I131" s="2">
        <v>381222.35</v>
      </c>
      <c r="J131">
        <v>7.0999999999999994E-2</v>
      </c>
      <c r="K131">
        <v>10</v>
      </c>
      <c r="L131">
        <v>350</v>
      </c>
      <c r="M131" t="str">
        <f t="shared" ref="M131:M194" si="39">(IF((L131+K131)&lt;180,"15 Year Fixed","30 Year Fixed"))</f>
        <v>30 Year Fixed</v>
      </c>
      <c r="N131" s="2">
        <v>2255.5700000000002</v>
      </c>
      <c r="O131" t="str">
        <f t="shared" si="36"/>
        <v>Cash Out</v>
      </c>
      <c r="P131" s="3">
        <f t="shared" ref="P131:P194" si="40">IF((0.85*E131)&gt;(I131*1.015),((0.85*E131)/1.015)-(I131),0)</f>
        <v>75181.59088669956</v>
      </c>
      <c r="Q131" s="4">
        <v>463250</v>
      </c>
      <c r="R131" s="4" t="s">
        <v>41</v>
      </c>
      <c r="S131" s="6">
        <v>646</v>
      </c>
      <c r="T131">
        <v>7.375</v>
      </c>
      <c r="U131" s="7">
        <f t="shared" si="37"/>
        <v>3392.573454578001</v>
      </c>
      <c r="V131" s="2">
        <f t="shared" ref="V131:V194" si="41">H131-U131</f>
        <v>-800.54345457800082</v>
      </c>
      <c r="W131" s="9">
        <f t="shared" ref="W131:W194" si="42">IF(AND(O131="Cash Out",V131&lt;0),1,0)</f>
        <v>1</v>
      </c>
      <c r="X131" s="3">
        <v>386940</v>
      </c>
      <c r="Y131" s="3">
        <f t="shared" ref="Y131:Y194" si="43">(X131/1.015)-(I131)</f>
        <v>-0.67512315267231315</v>
      </c>
      <c r="Z131" s="7">
        <f t="shared" ref="Z131:Z194" si="44">(X131*((AL131/1200)/(1-(1+(AL131/1200))^-AI131)))+((X131*0.005)/12)</f>
        <v>2833.7234161131387</v>
      </c>
      <c r="AA131" s="2">
        <f t="shared" si="38"/>
        <v>-241.69341611313848</v>
      </c>
      <c r="AB131" s="8">
        <f t="shared" ref="AB131:AB194" si="45">IF(I131=0,0,IF(AND(AH131&gt;0,(AP131/AO131)&lt;0.07),1,IF(AND(AH131=0,(AP131/AO131)&lt;0.1),1,0)))</f>
        <v>1</v>
      </c>
      <c r="AC131" s="10">
        <v>6.625</v>
      </c>
      <c r="AD131" s="7">
        <f t="shared" ref="AD131:AD194" si="46">(X131*((AC131/1200)/(1-(1+(AC131/1200))^-AI131)))+((X131*0.005)/12)</f>
        <v>2638.8442327840603</v>
      </c>
      <c r="AE131" s="2">
        <f t="shared" ref="AE131:AE194" si="47">H131-AD131</f>
        <v>-46.814232784060096</v>
      </c>
      <c r="AF131" s="10">
        <v>1.875</v>
      </c>
      <c r="AG131" s="3">
        <f t="shared" ref="AG131:AG194" si="48">AF131*X131/100</f>
        <v>7255.125</v>
      </c>
      <c r="AH131" s="7">
        <v>13692.35</v>
      </c>
      <c r="AI131">
        <f t="shared" ref="AI131:AI194" si="49">IF(M131="30 Year Fixed",360,180)</f>
        <v>360</v>
      </c>
      <c r="AJ131" t="e">
        <f>VLOOKUP(A131,'Borrower Details'!$A$1:$H$1493,8,FALSE)</f>
        <v>#N/A</v>
      </c>
      <c r="AK131" s="4" t="e">
        <f t="shared" ref="AK131:AK194" si="50">IF(AJ131&gt;360,PV((J131/12),AJ131-AI131,-H131),"NA")</f>
        <v>#N/A</v>
      </c>
      <c r="AL131" s="10">
        <v>7.375</v>
      </c>
      <c r="AM131" s="3">
        <f t="shared" ref="AM131:AM194" si="51">I131*1.015</f>
        <v>386940.68524999992</v>
      </c>
      <c r="AN131">
        <v>7.375</v>
      </c>
      <c r="AO131" s="7">
        <f t="shared" ref="AO131:AO194" si="52">(AM131*((AN131/1200)/(1-(1+(AN131/1200))^-AI131)))+((AM131*0.005)/12)</f>
        <v>2833.7284344854206</v>
      </c>
      <c r="AP131" s="2">
        <f t="shared" ref="AP131:AP194" si="53">H131-AO131</f>
        <v>-241.69843448542042</v>
      </c>
    </row>
    <row r="132" spans="1:42" x14ac:dyDescent="0.15">
      <c r="A132" s="8">
        <v>411001902</v>
      </c>
      <c r="B132" t="s">
        <v>38</v>
      </c>
      <c r="C132" t="s">
        <v>16</v>
      </c>
      <c r="D132" s="1">
        <v>39377</v>
      </c>
      <c r="E132" s="2">
        <v>191000</v>
      </c>
      <c r="F132" s="2">
        <v>171900</v>
      </c>
      <c r="G132" t="s">
        <v>21</v>
      </c>
      <c r="H132" s="2">
        <v>1553.2</v>
      </c>
      <c r="I132" s="2">
        <v>170805.48</v>
      </c>
      <c r="J132">
        <v>0.10349999999999999</v>
      </c>
      <c r="K132">
        <v>6</v>
      </c>
      <c r="L132">
        <v>354</v>
      </c>
      <c r="M132" t="str">
        <f t="shared" si="39"/>
        <v>30 Year Fixed</v>
      </c>
      <c r="N132" s="2">
        <v>1473.2</v>
      </c>
      <c r="O132" t="str">
        <f t="shared" si="36"/>
        <v>Refi</v>
      </c>
      <c r="P132" s="3">
        <f t="shared" si="40"/>
        <v>0</v>
      </c>
      <c r="Q132" s="4">
        <v>173368</v>
      </c>
      <c r="R132" s="4" t="s">
        <v>41</v>
      </c>
      <c r="S132" s="6">
        <v>607</v>
      </c>
      <c r="T132">
        <v>6.875</v>
      </c>
      <c r="U132" s="7">
        <f t="shared" si="37"/>
        <v>1211.1410123596359</v>
      </c>
      <c r="V132" s="2">
        <f t="shared" si="41"/>
        <v>342.05898764036419</v>
      </c>
      <c r="W132" s="9">
        <f t="shared" si="42"/>
        <v>0</v>
      </c>
      <c r="X132" s="3">
        <v>173368</v>
      </c>
      <c r="Y132" s="3">
        <f t="shared" si="43"/>
        <v>0.43133004926494323</v>
      </c>
      <c r="Z132" s="7">
        <f t="shared" si="44"/>
        <v>1211.1410123596359</v>
      </c>
      <c r="AA132" s="2">
        <f t="shared" si="38"/>
        <v>342.05898764036419</v>
      </c>
      <c r="AB132" s="8">
        <f t="shared" si="45"/>
        <v>0</v>
      </c>
      <c r="AC132" s="10">
        <v>6.875</v>
      </c>
      <c r="AD132" s="7">
        <f t="shared" si="46"/>
        <v>1211.1410123596359</v>
      </c>
      <c r="AE132" s="2">
        <f t="shared" si="47"/>
        <v>342.05898764036419</v>
      </c>
      <c r="AF132" s="10">
        <v>0</v>
      </c>
      <c r="AG132" s="3">
        <f t="shared" si="48"/>
        <v>0</v>
      </c>
      <c r="AH132" s="7">
        <v>0</v>
      </c>
      <c r="AI132">
        <f t="shared" si="49"/>
        <v>360</v>
      </c>
      <c r="AJ132" t="e">
        <f>VLOOKUP(A132,'Borrower Details'!$A$1:$H$1493,8,FALSE)</f>
        <v>#N/A</v>
      </c>
      <c r="AK132" s="4" t="e">
        <f t="shared" si="50"/>
        <v>#N/A</v>
      </c>
      <c r="AL132" s="10">
        <v>6.875</v>
      </c>
      <c r="AM132" s="3">
        <f t="shared" si="51"/>
        <v>173367.56219999999</v>
      </c>
      <c r="AN132">
        <v>6.875</v>
      </c>
      <c r="AO132" s="7">
        <f t="shared" si="52"/>
        <v>1211.1379539086229</v>
      </c>
      <c r="AP132" s="2">
        <f t="shared" si="53"/>
        <v>342.06204609137717</v>
      </c>
    </row>
    <row r="133" spans="1:42" x14ac:dyDescent="0.15">
      <c r="A133" s="8">
        <v>1147154</v>
      </c>
      <c r="B133" t="s">
        <v>36</v>
      </c>
      <c r="C133" t="s">
        <v>18</v>
      </c>
      <c r="D133" s="1">
        <v>39168</v>
      </c>
      <c r="E133" s="2">
        <v>161000</v>
      </c>
      <c r="F133" s="2">
        <v>128800</v>
      </c>
      <c r="G133" t="s">
        <v>17</v>
      </c>
      <c r="H133" s="2">
        <v>918.3</v>
      </c>
      <c r="I133" s="2">
        <v>127559.11</v>
      </c>
      <c r="J133">
        <v>7.6999999999999999E-2</v>
      </c>
      <c r="K133">
        <v>13</v>
      </c>
      <c r="L133">
        <v>347</v>
      </c>
      <c r="M133" t="str">
        <f t="shared" si="39"/>
        <v>30 Year Fixed</v>
      </c>
      <c r="N133" s="2">
        <v>818.5</v>
      </c>
      <c r="O133" t="str">
        <f t="shared" si="36"/>
        <v>Cash Out</v>
      </c>
      <c r="P133" s="3">
        <f t="shared" si="40"/>
        <v>7268.4762068965501</v>
      </c>
      <c r="Q133" s="4">
        <v>136850</v>
      </c>
      <c r="R133" s="4" t="s">
        <v>41</v>
      </c>
      <c r="S133" s="6">
        <v>629</v>
      </c>
      <c r="T133">
        <v>6.75</v>
      </c>
      <c r="U133" s="7">
        <f t="shared" si="37"/>
        <v>944.62732848693395</v>
      </c>
      <c r="V133" s="2">
        <f t="shared" si="41"/>
        <v>-26.327328486933993</v>
      </c>
      <c r="W133" s="9">
        <f t="shared" si="42"/>
        <v>1</v>
      </c>
      <c r="X133" s="3">
        <v>132960</v>
      </c>
      <c r="Y133" s="3">
        <f t="shared" si="43"/>
        <v>3435.9638916256226</v>
      </c>
      <c r="Z133" s="7">
        <f t="shared" si="44"/>
        <v>917.77602919709705</v>
      </c>
      <c r="AA133" s="2">
        <f t="shared" si="38"/>
        <v>0.52397080290290887</v>
      </c>
      <c r="AB133" s="8">
        <f t="shared" si="45"/>
        <v>1</v>
      </c>
      <c r="AC133" s="10">
        <v>6.125</v>
      </c>
      <c r="AD133" s="7">
        <f t="shared" si="46"/>
        <v>863.27897342648487</v>
      </c>
      <c r="AE133" s="2">
        <f t="shared" si="47"/>
        <v>55.021026573515087</v>
      </c>
      <c r="AF133" s="10">
        <v>3</v>
      </c>
      <c r="AG133" s="3">
        <f t="shared" si="48"/>
        <v>3988.8</v>
      </c>
      <c r="AH133" s="7">
        <v>2576</v>
      </c>
      <c r="AI133">
        <f t="shared" si="49"/>
        <v>360</v>
      </c>
      <c r="AJ133" t="e">
        <f>VLOOKUP(A133,'Borrower Details'!$A$1:$H$1493,8,FALSE)</f>
        <v>#N/A</v>
      </c>
      <c r="AK133" s="4" t="e">
        <f t="shared" si="50"/>
        <v>#N/A</v>
      </c>
      <c r="AL133" s="10">
        <v>6.75</v>
      </c>
      <c r="AM133" s="3">
        <f t="shared" si="51"/>
        <v>129472.49664999999</v>
      </c>
      <c r="AN133">
        <v>6.75</v>
      </c>
      <c r="AO133" s="7">
        <f t="shared" si="52"/>
        <v>893.70302245541097</v>
      </c>
      <c r="AP133" s="2">
        <f t="shared" si="53"/>
        <v>24.596977544588981</v>
      </c>
    </row>
    <row r="134" spans="1:42" x14ac:dyDescent="0.15">
      <c r="A134" s="8">
        <v>410436356</v>
      </c>
      <c r="B134" t="s">
        <v>37</v>
      </c>
      <c r="C134" t="s">
        <v>18</v>
      </c>
      <c r="D134" s="1">
        <v>39269</v>
      </c>
      <c r="E134" s="2">
        <v>141500</v>
      </c>
      <c r="F134" s="2">
        <v>120000</v>
      </c>
      <c r="G134" t="s">
        <v>17</v>
      </c>
      <c r="H134" s="2">
        <v>995.92</v>
      </c>
      <c r="I134" s="2">
        <v>119434.12</v>
      </c>
      <c r="J134">
        <v>9.35E-2</v>
      </c>
      <c r="K134">
        <v>9</v>
      </c>
      <c r="L134">
        <v>351</v>
      </c>
      <c r="M134" t="str">
        <f t="shared" si="39"/>
        <v>30 Year Fixed</v>
      </c>
      <c r="N134" s="2">
        <v>930.59</v>
      </c>
      <c r="O134" t="str">
        <f t="shared" si="36"/>
        <v>Refi</v>
      </c>
      <c r="P134" s="3">
        <f t="shared" si="40"/>
        <v>0</v>
      </c>
      <c r="Q134" s="4">
        <v>121226</v>
      </c>
      <c r="R134" s="4" t="s">
        <v>41</v>
      </c>
      <c r="S134" s="6">
        <v>612</v>
      </c>
      <c r="T134">
        <v>6.875</v>
      </c>
      <c r="U134" s="7">
        <f t="shared" si="37"/>
        <v>846.87935699961474</v>
      </c>
      <c r="V134" s="2">
        <f t="shared" si="41"/>
        <v>149.04064300038522</v>
      </c>
      <c r="W134" s="9">
        <f t="shared" si="42"/>
        <v>0</v>
      </c>
      <c r="X134" s="3">
        <v>121226</v>
      </c>
      <c r="Y134" s="3">
        <f t="shared" si="43"/>
        <v>0.36275862070033327</v>
      </c>
      <c r="Z134" s="7">
        <f t="shared" si="44"/>
        <v>846.87935699961474</v>
      </c>
      <c r="AA134" s="2">
        <f t="shared" si="38"/>
        <v>149.04064300038522</v>
      </c>
      <c r="AB134" s="8">
        <f t="shared" si="45"/>
        <v>0</v>
      </c>
      <c r="AC134" s="10">
        <v>6.875</v>
      </c>
      <c r="AD134" s="7">
        <f t="shared" si="46"/>
        <v>846.87935699961474</v>
      </c>
      <c r="AE134" s="2">
        <f t="shared" si="47"/>
        <v>149.04064300038522</v>
      </c>
      <c r="AF134" s="10">
        <v>0</v>
      </c>
      <c r="AG134" s="3">
        <f t="shared" si="48"/>
        <v>0</v>
      </c>
      <c r="AH134" s="7">
        <v>0</v>
      </c>
      <c r="AI134">
        <f t="shared" si="49"/>
        <v>360</v>
      </c>
      <c r="AJ134" t="e">
        <f>VLOOKUP(A134,'Borrower Details'!$A$1:$H$1493,8,FALSE)</f>
        <v>#N/A</v>
      </c>
      <c r="AK134" s="4" t="e">
        <f t="shared" si="50"/>
        <v>#N/A</v>
      </c>
      <c r="AL134" s="10">
        <v>6.875</v>
      </c>
      <c r="AM134" s="3">
        <f t="shared" si="51"/>
        <v>121225.63179999999</v>
      </c>
      <c r="AN134">
        <v>6.875</v>
      </c>
      <c r="AO134" s="7">
        <f t="shared" si="52"/>
        <v>846.87678477105601</v>
      </c>
      <c r="AP134" s="2">
        <f t="shared" si="53"/>
        <v>149.04321522894395</v>
      </c>
    </row>
    <row r="135" spans="1:42" x14ac:dyDescent="0.15">
      <c r="A135" s="8">
        <v>1171567</v>
      </c>
      <c r="B135" t="s">
        <v>36</v>
      </c>
      <c r="C135" t="s">
        <v>19</v>
      </c>
      <c r="D135" s="1">
        <v>39164</v>
      </c>
      <c r="E135" s="2">
        <v>413000</v>
      </c>
      <c r="F135" s="2">
        <v>351000</v>
      </c>
      <c r="G135" t="s">
        <v>17</v>
      </c>
      <c r="H135" s="2">
        <v>2490.4</v>
      </c>
      <c r="I135" s="2">
        <v>347585.25</v>
      </c>
      <c r="J135">
        <v>7.6499999999999999E-2</v>
      </c>
      <c r="K135">
        <v>13</v>
      </c>
      <c r="L135">
        <v>347</v>
      </c>
      <c r="M135" t="str">
        <f t="shared" si="39"/>
        <v>30 Year Fixed</v>
      </c>
      <c r="N135" s="2">
        <v>2215.86</v>
      </c>
      <c r="O135" t="str">
        <f t="shared" si="36"/>
        <v>Refi</v>
      </c>
      <c r="P135" s="3">
        <f t="shared" si="40"/>
        <v>0</v>
      </c>
      <c r="Q135" s="4">
        <v>352799</v>
      </c>
      <c r="R135" s="4" t="s">
        <v>41</v>
      </c>
      <c r="S135" s="6">
        <v>631</v>
      </c>
      <c r="T135">
        <v>6.75</v>
      </c>
      <c r="U135" s="7">
        <f t="shared" si="37"/>
        <v>2435.247182045026</v>
      </c>
      <c r="V135" s="2">
        <f t="shared" si="41"/>
        <v>55.152817954974125</v>
      </c>
      <c r="W135" s="9">
        <f t="shared" si="42"/>
        <v>0</v>
      </c>
      <c r="X135" s="3">
        <v>352799</v>
      </c>
      <c r="Y135" s="3">
        <f t="shared" si="43"/>
        <v>-2.8325123130343854E-2</v>
      </c>
      <c r="Z135" s="7">
        <f t="shared" si="44"/>
        <v>2435.247182045026</v>
      </c>
      <c r="AA135" s="2">
        <f t="shared" si="38"/>
        <v>55.152817954974125</v>
      </c>
      <c r="AB135" s="8">
        <f t="shared" si="45"/>
        <v>1</v>
      </c>
      <c r="AC135" s="10">
        <v>6.125</v>
      </c>
      <c r="AD135" s="7">
        <f t="shared" si="46"/>
        <v>2290.6434908686106</v>
      </c>
      <c r="AE135" s="2">
        <f t="shared" si="47"/>
        <v>199.75650913138952</v>
      </c>
      <c r="AF135" s="10">
        <v>3</v>
      </c>
      <c r="AG135" s="3">
        <f t="shared" si="48"/>
        <v>10583.97</v>
      </c>
      <c r="AH135" s="7">
        <v>7020</v>
      </c>
      <c r="AI135">
        <f t="shared" si="49"/>
        <v>360</v>
      </c>
      <c r="AJ135" t="e">
        <f>VLOOKUP(A135,'Borrower Details'!$A$1:$H$1493,8,FALSE)</f>
        <v>#N/A</v>
      </c>
      <c r="AK135" s="4" t="e">
        <f t="shared" si="50"/>
        <v>#N/A</v>
      </c>
      <c r="AL135" s="10">
        <v>6.75</v>
      </c>
      <c r="AM135" s="3">
        <f t="shared" si="51"/>
        <v>352799.02874999994</v>
      </c>
      <c r="AN135">
        <v>6.75</v>
      </c>
      <c r="AO135" s="7">
        <f t="shared" si="52"/>
        <v>2435.2473804961451</v>
      </c>
      <c r="AP135" s="2">
        <f t="shared" si="53"/>
        <v>55.152619503855021</v>
      </c>
    </row>
    <row r="136" spans="1:42" x14ac:dyDescent="0.15">
      <c r="A136" s="8">
        <v>410151013</v>
      </c>
      <c r="B136" t="s">
        <v>38</v>
      </c>
      <c r="C136" t="s">
        <v>19</v>
      </c>
      <c r="D136" s="1">
        <v>39216</v>
      </c>
      <c r="E136" s="2">
        <v>170000</v>
      </c>
      <c r="F136" s="2">
        <v>133000</v>
      </c>
      <c r="G136" t="s">
        <v>15</v>
      </c>
      <c r="H136" s="2">
        <v>1017.95</v>
      </c>
      <c r="I136" s="2">
        <v>132160.16</v>
      </c>
      <c r="J136">
        <v>8.4500000000000006E-2</v>
      </c>
      <c r="K136">
        <v>11</v>
      </c>
      <c r="L136">
        <v>351</v>
      </c>
      <c r="M136" t="str">
        <f t="shared" si="39"/>
        <v>30 Year Fixed</v>
      </c>
      <c r="N136" s="2">
        <v>930.63</v>
      </c>
      <c r="O136" t="str">
        <f t="shared" si="36"/>
        <v>Cash Out</v>
      </c>
      <c r="P136" s="3">
        <f t="shared" si="40"/>
        <v>10204.372019704431</v>
      </c>
      <c r="Q136" s="4">
        <v>144500</v>
      </c>
      <c r="R136" s="4" t="s">
        <v>41</v>
      </c>
      <c r="S136" s="6">
        <v>533</v>
      </c>
      <c r="T136">
        <v>7.625</v>
      </c>
      <c r="U136" s="7">
        <f t="shared" si="37"/>
        <v>1082.9702968157828</v>
      </c>
      <c r="V136" s="2">
        <f t="shared" si="41"/>
        <v>-65.020296815782785</v>
      </c>
      <c r="W136" s="9">
        <f t="shared" si="42"/>
        <v>1</v>
      </c>
      <c r="X136" s="3">
        <v>135750</v>
      </c>
      <c r="Y136" s="3">
        <f t="shared" si="43"/>
        <v>1583.6823645320255</v>
      </c>
      <c r="Z136" s="7">
        <f t="shared" si="44"/>
        <v>1017.3925106764189</v>
      </c>
      <c r="AA136" s="2">
        <f t="shared" si="38"/>
        <v>0.55748932358119418</v>
      </c>
      <c r="AB136" s="8">
        <f t="shared" si="45"/>
        <v>1</v>
      </c>
      <c r="AC136" s="10">
        <v>6.5</v>
      </c>
      <c r="AD136" s="7">
        <f t="shared" si="46"/>
        <v>914.59484189170144</v>
      </c>
      <c r="AE136" s="2">
        <f t="shared" si="47"/>
        <v>103.35515810829861</v>
      </c>
      <c r="AF136" s="10">
        <v>2.375</v>
      </c>
      <c r="AG136" s="3">
        <f t="shared" si="48"/>
        <v>3224.0625</v>
      </c>
      <c r="AH136" s="7">
        <v>0</v>
      </c>
      <c r="AI136">
        <f t="shared" si="49"/>
        <v>360</v>
      </c>
      <c r="AJ136" t="e">
        <f>VLOOKUP(A136,'Borrower Details'!$A$1:$H$1493,8,FALSE)</f>
        <v>#N/A</v>
      </c>
      <c r="AK136" s="4" t="e">
        <f t="shared" si="50"/>
        <v>#N/A</v>
      </c>
      <c r="AL136" s="10">
        <v>7.625</v>
      </c>
      <c r="AM136" s="3">
        <f t="shared" si="51"/>
        <v>134142.5624</v>
      </c>
      <c r="AN136">
        <v>7.625</v>
      </c>
      <c r="AO136" s="7">
        <f t="shared" si="52"/>
        <v>1005.3454022003991</v>
      </c>
      <c r="AP136" s="2">
        <f t="shared" si="53"/>
        <v>12.604597799600924</v>
      </c>
    </row>
    <row r="137" spans="1:42" x14ac:dyDescent="0.15">
      <c r="A137" s="8">
        <v>1159968</v>
      </c>
      <c r="B137" t="s">
        <v>36</v>
      </c>
      <c r="C137" t="s">
        <v>19</v>
      </c>
      <c r="D137" s="1">
        <v>39160</v>
      </c>
      <c r="E137" s="2">
        <v>180000</v>
      </c>
      <c r="F137" s="2">
        <v>135000</v>
      </c>
      <c r="G137" t="s">
        <v>17</v>
      </c>
      <c r="H137" s="2">
        <v>1204.73</v>
      </c>
      <c r="I137" s="2">
        <v>134216.87</v>
      </c>
      <c r="J137">
        <v>0.10199999999999999</v>
      </c>
      <c r="K137">
        <v>13</v>
      </c>
      <c r="L137">
        <v>347</v>
      </c>
      <c r="M137" t="str">
        <f t="shared" si="39"/>
        <v>30 Year Fixed</v>
      </c>
      <c r="N137" s="2">
        <v>1140.8399999999999</v>
      </c>
      <c r="O137" t="str">
        <f t="shared" si="36"/>
        <v>Cash Out</v>
      </c>
      <c r="P137" s="3">
        <f t="shared" si="40"/>
        <v>16522.046256157657</v>
      </c>
      <c r="Q137" s="4">
        <v>153000</v>
      </c>
      <c r="R137" s="4" t="s">
        <v>41</v>
      </c>
      <c r="S137" s="6">
        <v>507</v>
      </c>
      <c r="T137">
        <v>7.625</v>
      </c>
      <c r="U137" s="7">
        <f t="shared" si="37"/>
        <v>1146.6744319225936</v>
      </c>
      <c r="V137" s="2">
        <f t="shared" si="41"/>
        <v>58.055568077406406</v>
      </c>
      <c r="W137" s="9">
        <f t="shared" si="42"/>
        <v>0</v>
      </c>
      <c r="X137" s="3">
        <v>153000</v>
      </c>
      <c r="Y137" s="3">
        <f t="shared" si="43"/>
        <v>16522.046256157657</v>
      </c>
      <c r="Z137" s="7">
        <f t="shared" si="44"/>
        <v>1146.6744319225936</v>
      </c>
      <c r="AA137" s="2">
        <f t="shared" si="38"/>
        <v>58.055568077406406</v>
      </c>
      <c r="AB137" s="8">
        <f t="shared" si="45"/>
        <v>0</v>
      </c>
      <c r="AC137" s="10">
        <v>7.625</v>
      </c>
      <c r="AD137" s="7">
        <f t="shared" si="46"/>
        <v>1146.6744319225936</v>
      </c>
      <c r="AE137" s="2">
        <f t="shared" si="47"/>
        <v>58.055568077406406</v>
      </c>
      <c r="AF137" s="10">
        <v>0</v>
      </c>
      <c r="AG137" s="3">
        <f t="shared" si="48"/>
        <v>0</v>
      </c>
      <c r="AH137" s="7">
        <v>2700</v>
      </c>
      <c r="AI137">
        <f t="shared" si="49"/>
        <v>360</v>
      </c>
      <c r="AJ137" t="e">
        <f>VLOOKUP(A137,'Borrower Details'!$A$1:$H$1493,8,FALSE)</f>
        <v>#N/A</v>
      </c>
      <c r="AK137" s="4" t="e">
        <f t="shared" si="50"/>
        <v>#N/A</v>
      </c>
      <c r="AL137" s="10">
        <v>7.625</v>
      </c>
      <c r="AM137" s="3">
        <f t="shared" si="51"/>
        <v>136230.12304999999</v>
      </c>
      <c r="AN137">
        <v>7.625</v>
      </c>
      <c r="AO137" s="7">
        <f t="shared" si="52"/>
        <v>1020.9908428699594</v>
      </c>
      <c r="AP137" s="2">
        <f t="shared" si="53"/>
        <v>183.73915713004067</v>
      </c>
    </row>
    <row r="138" spans="1:42" x14ac:dyDescent="0.15">
      <c r="A138" s="8">
        <v>1183607</v>
      </c>
      <c r="B138" t="s">
        <v>37</v>
      </c>
      <c r="C138" t="s">
        <v>19</v>
      </c>
      <c r="D138" s="1">
        <v>39176</v>
      </c>
      <c r="E138" s="2">
        <v>152000</v>
      </c>
      <c r="F138" s="2">
        <v>129200</v>
      </c>
      <c r="G138" t="s">
        <v>15</v>
      </c>
      <c r="H138" s="2">
        <v>1081.68</v>
      </c>
      <c r="I138" s="2">
        <v>128349.95</v>
      </c>
      <c r="J138">
        <v>9.4500000000000001E-2</v>
      </c>
      <c r="K138">
        <v>12</v>
      </c>
      <c r="L138">
        <v>348</v>
      </c>
      <c r="M138" t="str">
        <f t="shared" si="39"/>
        <v>30 Year Fixed</v>
      </c>
      <c r="N138" s="2">
        <v>1010.76</v>
      </c>
      <c r="O138" t="str">
        <f t="shared" si="36"/>
        <v>Refi</v>
      </c>
      <c r="P138" s="3">
        <f t="shared" si="40"/>
        <v>0</v>
      </c>
      <c r="Q138" s="4">
        <v>130275</v>
      </c>
      <c r="R138" s="4" t="s">
        <v>41</v>
      </c>
      <c r="S138" s="6">
        <v>563</v>
      </c>
      <c r="T138">
        <v>7.625</v>
      </c>
      <c r="U138" s="7">
        <f t="shared" si="37"/>
        <v>976.35955306350252</v>
      </c>
      <c r="V138" s="2">
        <f t="shared" si="41"/>
        <v>105.32044693649755</v>
      </c>
      <c r="W138" s="9">
        <f t="shared" si="42"/>
        <v>0</v>
      </c>
      <c r="X138" s="3">
        <v>130275</v>
      </c>
      <c r="Y138" s="3">
        <f t="shared" si="43"/>
        <v>-0.19630541870719753</v>
      </c>
      <c r="Z138" s="7">
        <f t="shared" si="44"/>
        <v>976.35955306350252</v>
      </c>
      <c r="AA138" s="2">
        <f t="shared" si="38"/>
        <v>105.32044693649755</v>
      </c>
      <c r="AB138" s="8">
        <f t="shared" si="45"/>
        <v>0</v>
      </c>
      <c r="AC138" s="10">
        <v>7.625</v>
      </c>
      <c r="AD138" s="7">
        <f t="shared" si="46"/>
        <v>976.35955306350252</v>
      </c>
      <c r="AE138" s="2">
        <f t="shared" si="47"/>
        <v>105.32044693649755</v>
      </c>
      <c r="AF138" s="10">
        <v>0</v>
      </c>
      <c r="AG138" s="3">
        <f t="shared" si="48"/>
        <v>0</v>
      </c>
      <c r="AH138" s="7">
        <v>0</v>
      </c>
      <c r="AI138">
        <f t="shared" si="49"/>
        <v>360</v>
      </c>
      <c r="AJ138" t="e">
        <f>VLOOKUP(A138,'Borrower Details'!$A$1:$H$1493,8,FALSE)</f>
        <v>#N/A</v>
      </c>
      <c r="AK138" s="4" t="e">
        <f t="shared" si="50"/>
        <v>#N/A</v>
      </c>
      <c r="AL138" s="10">
        <v>7.625</v>
      </c>
      <c r="AM138" s="3">
        <f t="shared" si="51"/>
        <v>130275.19924999999</v>
      </c>
      <c r="AN138">
        <v>7.625</v>
      </c>
      <c r="AO138" s="7">
        <f t="shared" si="52"/>
        <v>976.36104636337541</v>
      </c>
      <c r="AP138" s="2">
        <f t="shared" si="53"/>
        <v>105.31895363662466</v>
      </c>
    </row>
    <row r="139" spans="1:42" x14ac:dyDescent="0.15">
      <c r="A139" s="8">
        <v>410524607</v>
      </c>
      <c r="B139" t="s">
        <v>36</v>
      </c>
      <c r="C139" t="s">
        <v>19</v>
      </c>
      <c r="D139" s="1">
        <v>39290</v>
      </c>
      <c r="E139" s="2">
        <v>355000</v>
      </c>
      <c r="F139" s="2">
        <v>319500</v>
      </c>
      <c r="G139" t="s">
        <v>21</v>
      </c>
      <c r="H139" s="2">
        <v>2616.88</v>
      </c>
      <c r="I139" s="2">
        <v>317946.53999999998</v>
      </c>
      <c r="J139">
        <v>9.1999999999999998E-2</v>
      </c>
      <c r="K139">
        <v>9</v>
      </c>
      <c r="L139">
        <v>351</v>
      </c>
      <c r="M139" t="str">
        <f t="shared" si="39"/>
        <v>30 Year Fixed</v>
      </c>
      <c r="N139" s="2">
        <v>2437.59</v>
      </c>
      <c r="O139" t="str">
        <f t="shared" si="36"/>
        <v>Refi</v>
      </c>
      <c r="P139" s="3">
        <f t="shared" si="40"/>
        <v>0</v>
      </c>
      <c r="Q139" s="4">
        <v>322716</v>
      </c>
      <c r="R139" s="4" t="s">
        <v>41</v>
      </c>
      <c r="S139" s="6">
        <v>595</v>
      </c>
      <c r="T139">
        <v>7.375</v>
      </c>
      <c r="U139" s="7">
        <f t="shared" si="37"/>
        <v>2363.3842093202247</v>
      </c>
      <c r="V139" s="2">
        <f t="shared" si="41"/>
        <v>253.49579067977538</v>
      </c>
      <c r="W139" s="9">
        <f t="shared" si="42"/>
        <v>0</v>
      </c>
      <c r="X139" s="3">
        <v>322716</v>
      </c>
      <c r="Y139" s="3">
        <f t="shared" si="43"/>
        <v>0.25802955671679229</v>
      </c>
      <c r="Z139" s="7">
        <f t="shared" si="44"/>
        <v>2363.3842093202247</v>
      </c>
      <c r="AA139" s="2">
        <f t="shared" si="38"/>
        <v>253.49579067977538</v>
      </c>
      <c r="AB139" s="8">
        <f t="shared" si="45"/>
        <v>0</v>
      </c>
      <c r="AC139" s="10">
        <v>7.375</v>
      </c>
      <c r="AD139" s="7">
        <f t="shared" si="46"/>
        <v>2363.3842093202247</v>
      </c>
      <c r="AE139" s="2">
        <f t="shared" si="47"/>
        <v>253.49579067977538</v>
      </c>
      <c r="AF139" s="10">
        <v>0</v>
      </c>
      <c r="AG139" s="3">
        <f t="shared" si="48"/>
        <v>0</v>
      </c>
      <c r="AH139" s="7">
        <v>6390</v>
      </c>
      <c r="AI139">
        <f t="shared" si="49"/>
        <v>360</v>
      </c>
      <c r="AJ139" t="e">
        <f>VLOOKUP(A139,'Borrower Details'!$A$1:$H$1493,8,FALSE)</f>
        <v>#N/A</v>
      </c>
      <c r="AK139" s="4" t="e">
        <f t="shared" si="50"/>
        <v>#N/A</v>
      </c>
      <c r="AL139" s="10">
        <v>7.375</v>
      </c>
      <c r="AM139" s="3">
        <f t="shared" si="51"/>
        <v>322715.73809999996</v>
      </c>
      <c r="AN139">
        <v>7.375</v>
      </c>
      <c r="AO139" s="7">
        <f t="shared" si="52"/>
        <v>2363.3822913170129</v>
      </c>
      <c r="AP139" s="2">
        <f t="shared" si="53"/>
        <v>253.4977086829872</v>
      </c>
    </row>
    <row r="140" spans="1:42" x14ac:dyDescent="0.15">
      <c r="A140" s="8">
        <v>1153081</v>
      </c>
      <c r="B140" t="s">
        <v>37</v>
      </c>
      <c r="C140" t="s">
        <v>19</v>
      </c>
      <c r="D140" s="1">
        <v>39154</v>
      </c>
      <c r="E140" s="2">
        <v>122000</v>
      </c>
      <c r="F140" s="2">
        <v>115615</v>
      </c>
      <c r="G140" t="s">
        <v>15</v>
      </c>
      <c r="H140" s="2">
        <v>914.12</v>
      </c>
      <c r="I140" s="2">
        <v>115449.73</v>
      </c>
      <c r="J140">
        <v>9.4E-2</v>
      </c>
      <c r="K140">
        <v>13</v>
      </c>
      <c r="L140">
        <v>347</v>
      </c>
      <c r="M140" t="str">
        <f t="shared" si="39"/>
        <v>30 Year Fixed</v>
      </c>
      <c r="N140" s="2">
        <v>904.36</v>
      </c>
      <c r="O140" t="str">
        <f t="shared" si="36"/>
        <v>Refi</v>
      </c>
      <c r="P140" s="3">
        <f t="shared" si="40"/>
        <v>0</v>
      </c>
      <c r="Q140" s="4">
        <v>117181</v>
      </c>
      <c r="R140" s="4" t="s">
        <v>41</v>
      </c>
      <c r="S140" s="6">
        <v>592</v>
      </c>
      <c r="T140">
        <v>7.375</v>
      </c>
      <c r="U140" s="7">
        <f t="shared" si="37"/>
        <v>858.16546137270313</v>
      </c>
      <c r="V140" s="2">
        <f t="shared" si="41"/>
        <v>55.95453862729687</v>
      </c>
      <c r="W140" s="9">
        <f t="shared" si="42"/>
        <v>0</v>
      </c>
      <c r="X140" s="3">
        <v>117182</v>
      </c>
      <c r="Y140" s="3">
        <f t="shared" si="43"/>
        <v>0.51630541872873437</v>
      </c>
      <c r="Z140" s="7">
        <f t="shared" si="44"/>
        <v>858.17278479084564</v>
      </c>
      <c r="AA140" s="2">
        <f t="shared" si="38"/>
        <v>55.947215209154365</v>
      </c>
      <c r="AB140" s="8">
        <f t="shared" si="45"/>
        <v>1</v>
      </c>
      <c r="AC140" s="10">
        <v>6.375</v>
      </c>
      <c r="AD140" s="7">
        <f t="shared" si="46"/>
        <v>779.88905817929583</v>
      </c>
      <c r="AE140" s="2">
        <f t="shared" si="47"/>
        <v>134.23094182070417</v>
      </c>
      <c r="AF140" s="10">
        <v>2.625</v>
      </c>
      <c r="AG140" s="3">
        <f t="shared" si="48"/>
        <v>3076.0275000000001</v>
      </c>
      <c r="AH140" s="7">
        <v>0</v>
      </c>
      <c r="AI140">
        <f t="shared" si="49"/>
        <v>360</v>
      </c>
      <c r="AJ140" t="e">
        <f>VLOOKUP(A140,'Borrower Details'!$A$1:$H$1493,8,FALSE)</f>
        <v>#N/A</v>
      </c>
      <c r="AK140" s="4" t="e">
        <f t="shared" si="50"/>
        <v>#N/A</v>
      </c>
      <c r="AL140" s="10">
        <v>7.375</v>
      </c>
      <c r="AM140" s="3">
        <f t="shared" si="51"/>
        <v>117181.47594999998</v>
      </c>
      <c r="AN140">
        <v>7.375</v>
      </c>
      <c r="AO140" s="7">
        <f t="shared" si="52"/>
        <v>858.16894695356791</v>
      </c>
      <c r="AP140" s="2">
        <f t="shared" si="53"/>
        <v>55.951053046432094</v>
      </c>
    </row>
    <row r="141" spans="1:42" x14ac:dyDescent="0.15">
      <c r="A141" s="8">
        <v>1172929</v>
      </c>
      <c r="B141" t="s">
        <v>35</v>
      </c>
      <c r="C141" t="s">
        <v>16</v>
      </c>
      <c r="D141" s="1">
        <v>39162</v>
      </c>
      <c r="E141" s="2">
        <v>140000</v>
      </c>
      <c r="F141" s="2">
        <v>126000</v>
      </c>
      <c r="G141" t="s">
        <v>15</v>
      </c>
      <c r="H141" s="2">
        <v>986.75</v>
      </c>
      <c r="I141" s="2">
        <v>124730.23</v>
      </c>
      <c r="J141">
        <v>8.6999999999999994E-2</v>
      </c>
      <c r="K141">
        <v>13</v>
      </c>
      <c r="L141">
        <v>346</v>
      </c>
      <c r="M141" t="str">
        <f t="shared" si="39"/>
        <v>30 Year Fixed</v>
      </c>
      <c r="N141" s="2">
        <v>904.98</v>
      </c>
      <c r="O141" t="str">
        <f t="shared" si="36"/>
        <v>Refi</v>
      </c>
      <c r="P141" s="3">
        <f t="shared" si="40"/>
        <v>0</v>
      </c>
      <c r="Q141" s="4">
        <v>126601</v>
      </c>
      <c r="R141" s="4" t="s">
        <v>41</v>
      </c>
      <c r="S141" s="6">
        <v>583</v>
      </c>
      <c r="T141">
        <v>7.375</v>
      </c>
      <c r="U141" s="7">
        <f t="shared" si="37"/>
        <v>927.15206027637225</v>
      </c>
      <c r="V141" s="2">
        <f t="shared" si="41"/>
        <v>59.597939723627746</v>
      </c>
      <c r="W141" s="9">
        <f t="shared" si="42"/>
        <v>0</v>
      </c>
      <c r="X141" s="3">
        <v>126601</v>
      </c>
      <c r="Y141" s="3">
        <f t="shared" si="43"/>
        <v>-0.18073891624226235</v>
      </c>
      <c r="Z141" s="7">
        <f t="shared" si="44"/>
        <v>927.15206027637225</v>
      </c>
      <c r="AA141" s="2">
        <f t="shared" si="38"/>
        <v>59.597939723627746</v>
      </c>
      <c r="AB141" s="8">
        <f t="shared" si="45"/>
        <v>1</v>
      </c>
      <c r="AC141" s="10">
        <v>6.625</v>
      </c>
      <c r="AD141" s="7">
        <f t="shared" si="46"/>
        <v>863.39049649737638</v>
      </c>
      <c r="AE141" s="2">
        <f t="shared" si="47"/>
        <v>123.35950350262362</v>
      </c>
      <c r="AF141" s="10">
        <v>1.875</v>
      </c>
      <c r="AG141" s="3">
        <f t="shared" si="48"/>
        <v>2373.7687500000002</v>
      </c>
      <c r="AH141" s="7">
        <v>5481</v>
      </c>
      <c r="AI141">
        <f t="shared" si="49"/>
        <v>360</v>
      </c>
      <c r="AJ141" t="e">
        <f>VLOOKUP(A141,'Borrower Details'!$A$1:$H$1493,8,FALSE)</f>
        <v>#N/A</v>
      </c>
      <c r="AK141" s="4" t="e">
        <f t="shared" si="50"/>
        <v>#N/A</v>
      </c>
      <c r="AL141" s="10">
        <v>7.375</v>
      </c>
      <c r="AM141" s="3">
        <f t="shared" si="51"/>
        <v>126601.18344999998</v>
      </c>
      <c r="AN141">
        <v>7.375</v>
      </c>
      <c r="AO141" s="7">
        <f t="shared" si="52"/>
        <v>927.15340375743051</v>
      </c>
      <c r="AP141" s="2">
        <f t="shared" si="53"/>
        <v>59.59659624256949</v>
      </c>
    </row>
    <row r="142" spans="1:42" x14ac:dyDescent="0.15">
      <c r="A142" s="8">
        <v>410172407</v>
      </c>
      <c r="B142" t="s">
        <v>37</v>
      </c>
      <c r="C142" t="s">
        <v>19</v>
      </c>
      <c r="D142" s="1">
        <v>39225</v>
      </c>
      <c r="E142" s="2">
        <v>105000</v>
      </c>
      <c r="F142" s="2">
        <v>94500</v>
      </c>
      <c r="G142" t="s">
        <v>15</v>
      </c>
      <c r="H142" s="2">
        <v>825.82</v>
      </c>
      <c r="I142" s="2">
        <v>94010.3</v>
      </c>
      <c r="J142">
        <v>9.9500000000000005E-2</v>
      </c>
      <c r="K142">
        <v>11</v>
      </c>
      <c r="L142">
        <v>349</v>
      </c>
      <c r="M142" t="str">
        <f t="shared" si="39"/>
        <v>30 Year Fixed</v>
      </c>
      <c r="N142" s="2">
        <v>779.5</v>
      </c>
      <c r="O142" t="str">
        <f t="shared" si="36"/>
        <v>Refi</v>
      </c>
      <c r="P142" s="3">
        <f t="shared" si="40"/>
        <v>0</v>
      </c>
      <c r="Q142" s="4">
        <v>95420</v>
      </c>
      <c r="R142" s="4" t="s">
        <v>41</v>
      </c>
      <c r="S142" s="6">
        <v>573</v>
      </c>
      <c r="T142">
        <v>7.625</v>
      </c>
      <c r="U142" s="7">
        <f t="shared" si="37"/>
        <v>715.13512610492739</v>
      </c>
      <c r="V142" s="2">
        <f t="shared" si="41"/>
        <v>110.68487389507266</v>
      </c>
      <c r="W142" s="9">
        <f t="shared" si="42"/>
        <v>0</v>
      </c>
      <c r="X142" s="3">
        <v>95420</v>
      </c>
      <c r="Y142" s="3">
        <f t="shared" si="43"/>
        <v>-0.44778325122024398</v>
      </c>
      <c r="Z142" s="7">
        <f t="shared" si="44"/>
        <v>715.13512610492739</v>
      </c>
      <c r="AA142" s="2">
        <f t="shared" si="38"/>
        <v>110.68487389507266</v>
      </c>
      <c r="AB142" s="8">
        <f t="shared" si="45"/>
        <v>0</v>
      </c>
      <c r="AC142" s="10">
        <v>7.625</v>
      </c>
      <c r="AD142" s="7">
        <f t="shared" si="46"/>
        <v>715.13512610492739</v>
      </c>
      <c r="AE142" s="2">
        <f t="shared" si="47"/>
        <v>110.68487389507266</v>
      </c>
      <c r="AF142" s="10">
        <v>0</v>
      </c>
      <c r="AG142" s="3">
        <f t="shared" si="48"/>
        <v>0</v>
      </c>
      <c r="AH142" s="7">
        <v>0</v>
      </c>
      <c r="AI142">
        <f t="shared" si="49"/>
        <v>360</v>
      </c>
      <c r="AJ142" t="e">
        <f>VLOOKUP(A142,'Borrower Details'!$A$1:$H$1493,8,FALSE)</f>
        <v>#N/A</v>
      </c>
      <c r="AK142" s="4" t="e">
        <f t="shared" si="50"/>
        <v>#N/A</v>
      </c>
      <c r="AL142" s="10">
        <v>7.625</v>
      </c>
      <c r="AM142" s="3">
        <f t="shared" si="51"/>
        <v>95420.454499999993</v>
      </c>
      <c r="AN142">
        <v>7.625</v>
      </c>
      <c r="AO142" s="7">
        <f t="shared" si="52"/>
        <v>715.13853240250444</v>
      </c>
      <c r="AP142" s="2">
        <f t="shared" si="53"/>
        <v>110.68146759749561</v>
      </c>
    </row>
    <row r="143" spans="1:42" x14ac:dyDescent="0.15">
      <c r="A143" s="8">
        <v>410583389</v>
      </c>
      <c r="B143" t="s">
        <v>36</v>
      </c>
      <c r="C143" t="s">
        <v>19</v>
      </c>
      <c r="D143" s="1">
        <v>39274</v>
      </c>
      <c r="E143" s="2">
        <v>178000</v>
      </c>
      <c r="F143" s="2">
        <v>142400</v>
      </c>
      <c r="G143" t="s">
        <v>21</v>
      </c>
      <c r="H143" s="2">
        <v>911.7</v>
      </c>
      <c r="I143" s="2">
        <v>142199.73000000001</v>
      </c>
      <c r="J143">
        <v>7.4999999999999997E-2</v>
      </c>
      <c r="K143">
        <v>9</v>
      </c>
      <c r="L143">
        <v>351</v>
      </c>
      <c r="M143" t="str">
        <f t="shared" si="39"/>
        <v>30 Year Fixed</v>
      </c>
      <c r="N143" s="2">
        <v>888.75</v>
      </c>
      <c r="O143" t="str">
        <f t="shared" si="36"/>
        <v>Cash Out</v>
      </c>
      <c r="P143" s="3">
        <f t="shared" si="40"/>
        <v>6864.3094088670041</v>
      </c>
      <c r="Q143" s="4">
        <v>151300</v>
      </c>
      <c r="R143" s="4" t="s">
        <v>41</v>
      </c>
      <c r="S143" s="6">
        <v>632</v>
      </c>
      <c r="T143">
        <v>6.75</v>
      </c>
      <c r="U143" s="7">
        <f t="shared" si="37"/>
        <v>1044.3705867743743</v>
      </c>
      <c r="V143" s="2">
        <f t="shared" si="41"/>
        <v>-132.67058677437421</v>
      </c>
      <c r="W143" s="9">
        <f t="shared" si="42"/>
        <v>1</v>
      </c>
      <c r="X143" s="3">
        <v>144333</v>
      </c>
      <c r="Y143" s="3">
        <f t="shared" si="43"/>
        <v>0.26999999998952262</v>
      </c>
      <c r="Z143" s="7">
        <f t="shared" si="44"/>
        <v>996.27984071979995</v>
      </c>
      <c r="AA143" s="2">
        <f t="shared" si="38"/>
        <v>-84.579840719799904</v>
      </c>
      <c r="AB143" s="8">
        <f t="shared" si="45"/>
        <v>1</v>
      </c>
      <c r="AC143" s="10">
        <v>6.125</v>
      </c>
      <c r="AD143" s="7">
        <f t="shared" si="46"/>
        <v>937.12127009299672</v>
      </c>
      <c r="AE143" s="2">
        <f t="shared" si="47"/>
        <v>-25.421270092996679</v>
      </c>
      <c r="AF143" s="10">
        <v>3</v>
      </c>
      <c r="AG143" s="3">
        <f t="shared" si="48"/>
        <v>4329.99</v>
      </c>
      <c r="AH143" s="7">
        <v>2848</v>
      </c>
      <c r="AI143">
        <f t="shared" si="49"/>
        <v>360</v>
      </c>
      <c r="AJ143" t="e">
        <f>VLOOKUP(A143,'Borrower Details'!$A$1:$H$1493,8,FALSE)</f>
        <v>#N/A</v>
      </c>
      <c r="AK143" s="4" t="e">
        <f t="shared" si="50"/>
        <v>#N/A</v>
      </c>
      <c r="AL143" s="10">
        <v>6.75</v>
      </c>
      <c r="AM143" s="3">
        <f t="shared" si="51"/>
        <v>144332.72594999999</v>
      </c>
      <c r="AN143">
        <v>6.75</v>
      </c>
      <c r="AO143" s="7">
        <f t="shared" si="52"/>
        <v>996.27794904921632</v>
      </c>
      <c r="AP143" s="2">
        <f t="shared" si="53"/>
        <v>-84.577949049216272</v>
      </c>
    </row>
    <row r="144" spans="1:42" x14ac:dyDescent="0.15">
      <c r="A144" s="8">
        <v>410024715</v>
      </c>
      <c r="B144" t="s">
        <v>36</v>
      </c>
      <c r="C144" t="s">
        <v>19</v>
      </c>
      <c r="D144" s="1">
        <v>39199</v>
      </c>
      <c r="E144" s="2">
        <v>232000</v>
      </c>
      <c r="F144" s="2">
        <v>125050</v>
      </c>
      <c r="G144" t="s">
        <v>17</v>
      </c>
      <c r="H144" s="2">
        <v>722.89</v>
      </c>
      <c r="I144" s="2">
        <v>124730.74</v>
      </c>
      <c r="J144">
        <v>6.6900000000000001E-2</v>
      </c>
      <c r="K144">
        <v>12</v>
      </c>
      <c r="L144">
        <v>348</v>
      </c>
      <c r="M144" t="str">
        <f t="shared" si="39"/>
        <v>30 Year Fixed</v>
      </c>
      <c r="N144" s="2">
        <v>695.37</v>
      </c>
      <c r="O144" t="str">
        <f t="shared" si="36"/>
        <v>Cash Out</v>
      </c>
      <c r="P144" s="3">
        <f t="shared" si="40"/>
        <v>69554.974285714285</v>
      </c>
      <c r="Q144" s="4">
        <v>197200</v>
      </c>
      <c r="R144" s="4" t="s">
        <v>41</v>
      </c>
      <c r="S144" s="6">
        <v>728</v>
      </c>
      <c r="T144">
        <v>6.75</v>
      </c>
      <c r="U144" s="7">
        <f t="shared" si="37"/>
        <v>1361.2021130991843</v>
      </c>
      <c r="V144" s="2">
        <f t="shared" si="41"/>
        <v>-638.31211309918433</v>
      </c>
      <c r="W144" s="9">
        <f t="shared" si="42"/>
        <v>1</v>
      </c>
      <c r="X144" s="3">
        <v>126602</v>
      </c>
      <c r="Y144" s="3">
        <f t="shared" si="43"/>
        <v>0.29448275863251183</v>
      </c>
      <c r="Z144" s="7">
        <f t="shared" si="44"/>
        <v>873.88899555062335</v>
      </c>
      <c r="AA144" s="2">
        <f t="shared" si="38"/>
        <v>-150.99899555062336</v>
      </c>
      <c r="AB144" s="8">
        <f t="shared" si="45"/>
        <v>1</v>
      </c>
      <c r="AC144" s="10">
        <v>6.125</v>
      </c>
      <c r="AD144" s="7">
        <f t="shared" si="46"/>
        <v>821.997928653278</v>
      </c>
      <c r="AE144" s="2">
        <f t="shared" si="47"/>
        <v>-99.107928653278009</v>
      </c>
      <c r="AF144" s="10">
        <v>3</v>
      </c>
      <c r="AG144" s="3">
        <f t="shared" si="48"/>
        <v>3798.06</v>
      </c>
      <c r="AH144" s="7">
        <v>2501</v>
      </c>
      <c r="AI144">
        <f t="shared" si="49"/>
        <v>360</v>
      </c>
      <c r="AJ144" t="e">
        <f>VLOOKUP(A144,'Borrower Details'!$A$1:$H$1493,8,FALSE)</f>
        <v>#N/A</v>
      </c>
      <c r="AK144" s="4" t="e">
        <f t="shared" si="50"/>
        <v>#N/A</v>
      </c>
      <c r="AL144" s="10">
        <v>6.75</v>
      </c>
      <c r="AM144" s="3">
        <f t="shared" si="51"/>
        <v>126601.70109999999</v>
      </c>
      <c r="AN144">
        <v>6.75</v>
      </c>
      <c r="AO144" s="7">
        <f t="shared" si="52"/>
        <v>873.88693234924597</v>
      </c>
      <c r="AP144" s="2">
        <f t="shared" si="53"/>
        <v>-150.99693234924598</v>
      </c>
    </row>
    <row r="145" spans="1:42" x14ac:dyDescent="0.15">
      <c r="A145" s="8">
        <v>411281918</v>
      </c>
      <c r="B145" t="s">
        <v>37</v>
      </c>
      <c r="C145" t="s">
        <v>16</v>
      </c>
      <c r="D145" s="1">
        <v>39493</v>
      </c>
      <c r="E145" s="2">
        <v>123000</v>
      </c>
      <c r="F145" s="2">
        <v>82500</v>
      </c>
      <c r="G145" t="s">
        <v>17</v>
      </c>
      <c r="H145" s="2">
        <v>754.66</v>
      </c>
      <c r="I145" s="2">
        <v>82428.759999999995</v>
      </c>
      <c r="J145">
        <v>0.105</v>
      </c>
      <c r="K145">
        <v>2</v>
      </c>
      <c r="L145">
        <v>358</v>
      </c>
      <c r="M145" t="str">
        <f t="shared" si="39"/>
        <v>30 Year Fixed</v>
      </c>
      <c r="N145" s="2">
        <v>721.25</v>
      </c>
      <c r="O145" t="str">
        <f t="shared" si="36"/>
        <v>Cash Out</v>
      </c>
      <c r="P145" s="3">
        <f t="shared" si="40"/>
        <v>20576.166108374397</v>
      </c>
      <c r="Q145" s="4">
        <v>104550</v>
      </c>
      <c r="R145" s="4" t="s">
        <v>41</v>
      </c>
      <c r="S145" s="6">
        <v>578</v>
      </c>
      <c r="T145">
        <v>7.625</v>
      </c>
      <c r="U145" s="7">
        <f t="shared" si="37"/>
        <v>783.56086181377236</v>
      </c>
      <c r="V145" s="2">
        <f t="shared" si="41"/>
        <v>-28.900861813772394</v>
      </c>
      <c r="W145" s="9">
        <f t="shared" si="42"/>
        <v>1</v>
      </c>
      <c r="X145" s="3">
        <v>100620</v>
      </c>
      <c r="Y145" s="3">
        <f t="shared" si="43"/>
        <v>16704.244926108382</v>
      </c>
      <c r="Z145" s="7">
        <f t="shared" si="44"/>
        <v>754.10706758203514</v>
      </c>
      <c r="AA145" s="2">
        <f t="shared" si="38"/>
        <v>0.55293241796482562</v>
      </c>
      <c r="AB145" s="8">
        <f t="shared" si="45"/>
        <v>0</v>
      </c>
      <c r="AC145" s="10">
        <v>7.625</v>
      </c>
      <c r="AD145" s="7">
        <f t="shared" si="46"/>
        <v>754.10706758203514</v>
      </c>
      <c r="AE145" s="2">
        <f t="shared" si="47"/>
        <v>0.55293241796482562</v>
      </c>
      <c r="AF145" s="10">
        <v>0</v>
      </c>
      <c r="AG145" s="3">
        <f t="shared" si="48"/>
        <v>0</v>
      </c>
      <c r="AH145" s="7">
        <v>0</v>
      </c>
      <c r="AI145">
        <f t="shared" si="49"/>
        <v>360</v>
      </c>
      <c r="AJ145" t="e">
        <f>VLOOKUP(A145,'Borrower Details'!$A$1:$H$1493,8,FALSE)</f>
        <v>#N/A</v>
      </c>
      <c r="AK145" s="4" t="e">
        <f t="shared" si="50"/>
        <v>#N/A</v>
      </c>
      <c r="AL145" s="10">
        <v>7.625</v>
      </c>
      <c r="AM145" s="3">
        <f t="shared" si="51"/>
        <v>83665.191399999982</v>
      </c>
      <c r="AN145">
        <v>7.625</v>
      </c>
      <c r="AO145" s="7">
        <f t="shared" si="52"/>
        <v>627.03748902150369</v>
      </c>
      <c r="AP145" s="2">
        <f t="shared" si="53"/>
        <v>127.62251097849628</v>
      </c>
    </row>
    <row r="146" spans="1:42" x14ac:dyDescent="0.15">
      <c r="A146" s="8">
        <v>411158454</v>
      </c>
      <c r="B146" t="s">
        <v>35</v>
      </c>
      <c r="C146" t="s">
        <v>16</v>
      </c>
      <c r="D146" s="1">
        <v>39450</v>
      </c>
      <c r="E146" s="2">
        <v>76000</v>
      </c>
      <c r="F146" s="2">
        <v>60800</v>
      </c>
      <c r="G146" t="s">
        <v>17</v>
      </c>
      <c r="H146" s="2">
        <v>620.73</v>
      </c>
      <c r="I146" s="2">
        <v>60800</v>
      </c>
      <c r="J146">
        <v>0.11899999999999999</v>
      </c>
      <c r="K146">
        <v>3</v>
      </c>
      <c r="L146">
        <v>360</v>
      </c>
      <c r="M146" t="str">
        <f t="shared" si="39"/>
        <v>30 Year Fixed</v>
      </c>
      <c r="N146" s="2">
        <v>602.92999999999995</v>
      </c>
      <c r="O146" t="str">
        <f t="shared" si="36"/>
        <v>Cash Out</v>
      </c>
      <c r="P146" s="3">
        <f t="shared" si="40"/>
        <v>2845.3201970443406</v>
      </c>
      <c r="Q146" s="4">
        <v>64600</v>
      </c>
      <c r="R146" s="4" t="s">
        <v>41</v>
      </c>
      <c r="S146" s="6">
        <v>531</v>
      </c>
      <c r="T146">
        <v>7.625</v>
      </c>
      <c r="U146" s="7">
        <f t="shared" si="37"/>
        <v>484.15142681176178</v>
      </c>
      <c r="V146" s="2">
        <f t="shared" si="41"/>
        <v>136.57857318823824</v>
      </c>
      <c r="W146" s="9">
        <f t="shared" si="42"/>
        <v>0</v>
      </c>
      <c r="X146" s="3">
        <v>64600</v>
      </c>
      <c r="Y146" s="3">
        <f t="shared" si="43"/>
        <v>2845.3201970443406</v>
      </c>
      <c r="Z146" s="7">
        <f t="shared" si="44"/>
        <v>484.15142681176178</v>
      </c>
      <c r="AA146" s="2">
        <f t="shared" si="38"/>
        <v>136.57857318823824</v>
      </c>
      <c r="AB146" s="8">
        <f t="shared" si="45"/>
        <v>0</v>
      </c>
      <c r="AC146" s="10">
        <v>7.625</v>
      </c>
      <c r="AD146" s="7">
        <f t="shared" si="46"/>
        <v>484.15142681176178</v>
      </c>
      <c r="AE146" s="2">
        <f t="shared" si="47"/>
        <v>136.57857318823824</v>
      </c>
      <c r="AF146" s="10">
        <v>0</v>
      </c>
      <c r="AG146" s="3">
        <f t="shared" si="48"/>
        <v>0</v>
      </c>
      <c r="AH146" s="7">
        <v>3617.6</v>
      </c>
      <c r="AI146">
        <f t="shared" si="49"/>
        <v>360</v>
      </c>
      <c r="AJ146" t="e">
        <f>VLOOKUP(A146,'Borrower Details'!$A$1:$H$1493,8,FALSE)</f>
        <v>#N/A</v>
      </c>
      <c r="AK146" s="4" t="e">
        <f t="shared" si="50"/>
        <v>#N/A</v>
      </c>
      <c r="AL146" s="10">
        <v>7.625</v>
      </c>
      <c r="AM146" s="3">
        <f t="shared" si="51"/>
        <v>61711.999999999993</v>
      </c>
      <c r="AN146">
        <v>7.625</v>
      </c>
      <c r="AO146" s="7">
        <f t="shared" si="52"/>
        <v>462.50701008370646</v>
      </c>
      <c r="AP146" s="2">
        <f t="shared" si="53"/>
        <v>158.22298991629356</v>
      </c>
    </row>
    <row r="147" spans="1:42" x14ac:dyDescent="0.15">
      <c r="A147" s="8">
        <v>411018252</v>
      </c>
      <c r="B147" t="s">
        <v>38</v>
      </c>
      <c r="C147" t="s">
        <v>16</v>
      </c>
      <c r="D147" s="1">
        <v>39388</v>
      </c>
      <c r="E147" s="2">
        <v>104000</v>
      </c>
      <c r="F147" s="2">
        <v>88400</v>
      </c>
      <c r="G147" t="s">
        <v>17</v>
      </c>
      <c r="H147" s="2">
        <v>1038.31</v>
      </c>
      <c r="I147" s="2">
        <v>86308.97</v>
      </c>
      <c r="J147">
        <v>0.11600000000000001</v>
      </c>
      <c r="K147">
        <v>5</v>
      </c>
      <c r="L147">
        <v>175</v>
      </c>
      <c r="M147" t="str">
        <f t="shared" si="39"/>
        <v>30 Year Fixed</v>
      </c>
      <c r="N147" s="2">
        <v>834.32</v>
      </c>
      <c r="O147" t="str">
        <f t="shared" si="36"/>
        <v>Cash Out</v>
      </c>
      <c r="P147" s="3">
        <f t="shared" si="40"/>
        <v>784.6260591133032</v>
      </c>
      <c r="Q147" s="4">
        <v>88400</v>
      </c>
      <c r="R147" s="4" t="s">
        <v>41</v>
      </c>
      <c r="S147" s="6">
        <v>616</v>
      </c>
      <c r="T147">
        <v>7</v>
      </c>
      <c r="U147" s="7">
        <f t="shared" si="37"/>
        <v>624.96073907173081</v>
      </c>
      <c r="V147" s="2">
        <f t="shared" si="41"/>
        <v>413.34926092826913</v>
      </c>
      <c r="W147" s="9">
        <f t="shared" si="42"/>
        <v>0</v>
      </c>
      <c r="X147" s="3">
        <v>88400</v>
      </c>
      <c r="Y147" s="3">
        <f t="shared" si="43"/>
        <v>784.6260591133032</v>
      </c>
      <c r="Z147" s="7">
        <f t="shared" si="44"/>
        <v>624.96073907173081</v>
      </c>
      <c r="AA147" s="2">
        <f t="shared" si="38"/>
        <v>413.34926092826913</v>
      </c>
      <c r="AB147" s="8">
        <f t="shared" si="45"/>
        <v>0</v>
      </c>
      <c r="AC147" s="10">
        <v>7</v>
      </c>
      <c r="AD147" s="7">
        <f t="shared" si="46"/>
        <v>624.96073907173081</v>
      </c>
      <c r="AE147" s="2">
        <f t="shared" si="47"/>
        <v>413.34926092826913</v>
      </c>
      <c r="AF147" s="10">
        <v>0</v>
      </c>
      <c r="AG147" s="3">
        <f t="shared" si="48"/>
        <v>0</v>
      </c>
      <c r="AH147" s="7">
        <v>0</v>
      </c>
      <c r="AI147">
        <f t="shared" si="49"/>
        <v>360</v>
      </c>
      <c r="AJ147" t="e">
        <f>VLOOKUP(A147,'Borrower Details'!$A$1:$H$1493,8,FALSE)</f>
        <v>#N/A</v>
      </c>
      <c r="AK147" s="4" t="e">
        <f t="shared" si="50"/>
        <v>#N/A</v>
      </c>
      <c r="AL147" s="10">
        <v>7</v>
      </c>
      <c r="AM147" s="3">
        <f t="shared" si="51"/>
        <v>87603.604549999989</v>
      </c>
      <c r="AN147">
        <v>7</v>
      </c>
      <c r="AO147" s="7">
        <f t="shared" si="52"/>
        <v>619.33046883388727</v>
      </c>
      <c r="AP147" s="2">
        <f t="shared" si="53"/>
        <v>418.97953116611268</v>
      </c>
    </row>
    <row r="148" spans="1:42" x14ac:dyDescent="0.15">
      <c r="A148" s="8">
        <v>410591168</v>
      </c>
      <c r="B148" t="s">
        <v>37</v>
      </c>
      <c r="C148" t="s">
        <v>19</v>
      </c>
      <c r="D148" s="1">
        <v>39294</v>
      </c>
      <c r="E148" s="2">
        <v>315000</v>
      </c>
      <c r="F148" s="2">
        <v>261500</v>
      </c>
      <c r="G148" t="s">
        <v>17</v>
      </c>
      <c r="H148" s="2">
        <v>1962.73</v>
      </c>
      <c r="I148" s="2">
        <v>259954.15</v>
      </c>
      <c r="J148">
        <v>8.2400000000000001E-2</v>
      </c>
      <c r="K148">
        <v>9</v>
      </c>
      <c r="L148">
        <v>351</v>
      </c>
      <c r="M148" t="str">
        <f t="shared" si="39"/>
        <v>30 Year Fixed</v>
      </c>
      <c r="N148" s="2">
        <v>1785.02</v>
      </c>
      <c r="O148" t="str">
        <f t="shared" si="36"/>
        <v>Cash Out</v>
      </c>
      <c r="P148" s="3">
        <f t="shared" si="40"/>
        <v>3838.95344827589</v>
      </c>
      <c r="Q148" s="4">
        <v>267750</v>
      </c>
      <c r="R148" s="4" t="s">
        <v>41</v>
      </c>
      <c r="S148" s="6">
        <v>610</v>
      </c>
      <c r="T148">
        <v>6.875</v>
      </c>
      <c r="U148" s="7">
        <f t="shared" si="37"/>
        <v>1870.4893986161949</v>
      </c>
      <c r="V148" s="2">
        <f t="shared" si="41"/>
        <v>92.240601383805142</v>
      </c>
      <c r="W148" s="9">
        <f t="shared" si="42"/>
        <v>0</v>
      </c>
      <c r="X148" s="3">
        <v>267750</v>
      </c>
      <c r="Y148" s="3">
        <f t="shared" si="43"/>
        <v>3838.95344827589</v>
      </c>
      <c r="Z148" s="7">
        <f t="shared" si="44"/>
        <v>1870.4893986161949</v>
      </c>
      <c r="AA148" s="2">
        <f t="shared" si="38"/>
        <v>92.240601383805142</v>
      </c>
      <c r="AB148" s="8">
        <f t="shared" si="45"/>
        <v>1</v>
      </c>
      <c r="AC148" s="10">
        <v>6.25</v>
      </c>
      <c r="AD148" s="7">
        <f t="shared" si="46"/>
        <v>1760.1453041416687</v>
      </c>
      <c r="AE148" s="2">
        <f t="shared" si="47"/>
        <v>202.58469585833132</v>
      </c>
      <c r="AF148" s="10">
        <v>2.5</v>
      </c>
      <c r="AG148" s="3">
        <f t="shared" si="48"/>
        <v>6693.75</v>
      </c>
      <c r="AH148" s="7">
        <v>2615</v>
      </c>
      <c r="AI148">
        <f t="shared" si="49"/>
        <v>360</v>
      </c>
      <c r="AJ148" t="e">
        <f>VLOOKUP(A148,'Borrower Details'!$A$1:$H$1493,8,FALSE)</f>
        <v>#N/A</v>
      </c>
      <c r="AK148" s="4" t="e">
        <f t="shared" si="50"/>
        <v>#N/A</v>
      </c>
      <c r="AL148" s="10">
        <v>6.875</v>
      </c>
      <c r="AM148" s="3">
        <f t="shared" si="51"/>
        <v>263853.46224999998</v>
      </c>
      <c r="AN148">
        <v>6.875</v>
      </c>
      <c r="AO148" s="7">
        <f t="shared" si="52"/>
        <v>1843.2683620048679</v>
      </c>
      <c r="AP148" s="2">
        <f t="shared" si="53"/>
        <v>119.46163799513215</v>
      </c>
    </row>
    <row r="149" spans="1:42" x14ac:dyDescent="0.15">
      <c r="A149" s="8">
        <v>410019004</v>
      </c>
      <c r="B149" t="s">
        <v>35</v>
      </c>
      <c r="C149" t="s">
        <v>16</v>
      </c>
      <c r="D149" s="1">
        <v>39199</v>
      </c>
      <c r="E149" s="2">
        <v>173000</v>
      </c>
      <c r="F149" s="2">
        <v>155700</v>
      </c>
      <c r="G149" t="s">
        <v>15</v>
      </c>
      <c r="H149" s="2">
        <v>1292.21</v>
      </c>
      <c r="I149" s="2">
        <v>154709.70000000001</v>
      </c>
      <c r="J149">
        <v>9.35E-2</v>
      </c>
      <c r="K149">
        <v>12</v>
      </c>
      <c r="L149">
        <v>348</v>
      </c>
      <c r="M149" t="str">
        <f t="shared" si="39"/>
        <v>30 Year Fixed</v>
      </c>
      <c r="N149" s="2">
        <v>1205.45</v>
      </c>
      <c r="O149" t="str">
        <f t="shared" si="36"/>
        <v>Refi</v>
      </c>
      <c r="P149" s="3">
        <f t="shared" si="40"/>
        <v>0</v>
      </c>
      <c r="Q149" s="4">
        <v>157030</v>
      </c>
      <c r="R149" s="4" t="s">
        <v>41</v>
      </c>
      <c r="S149" s="6">
        <v>588</v>
      </c>
      <c r="T149">
        <v>7.375</v>
      </c>
      <c r="U149" s="7">
        <f t="shared" si="37"/>
        <v>1149.996350938766</v>
      </c>
      <c r="V149" s="2">
        <f t="shared" si="41"/>
        <v>142.21364906123404</v>
      </c>
      <c r="W149" s="9">
        <f t="shared" si="42"/>
        <v>0</v>
      </c>
      <c r="X149" s="3">
        <v>157031</v>
      </c>
      <c r="Y149" s="3">
        <f t="shared" si="43"/>
        <v>0.64482758622034453</v>
      </c>
      <c r="Z149" s="7">
        <f t="shared" si="44"/>
        <v>1150.0036743569087</v>
      </c>
      <c r="AA149" s="2">
        <f t="shared" si="38"/>
        <v>142.2063256430913</v>
      </c>
      <c r="AB149" s="8">
        <f t="shared" si="45"/>
        <v>0</v>
      </c>
      <c r="AC149" s="10">
        <v>7.375</v>
      </c>
      <c r="AD149" s="7">
        <f t="shared" si="46"/>
        <v>1150.0036743569087</v>
      </c>
      <c r="AE149" s="2">
        <f t="shared" si="47"/>
        <v>142.2063256430913</v>
      </c>
      <c r="AF149" s="10">
        <v>0</v>
      </c>
      <c r="AG149" s="3">
        <f t="shared" si="48"/>
        <v>0</v>
      </c>
      <c r="AH149" s="7">
        <v>7278.9750000000004</v>
      </c>
      <c r="AI149">
        <f t="shared" si="49"/>
        <v>360</v>
      </c>
      <c r="AJ149" t="e">
        <f>VLOOKUP(A149,'Borrower Details'!$A$1:$H$1493,8,FALSE)</f>
        <v>#N/A</v>
      </c>
      <c r="AK149" s="4" t="e">
        <f t="shared" si="50"/>
        <v>#N/A</v>
      </c>
      <c r="AL149" s="10">
        <v>7.375</v>
      </c>
      <c r="AM149" s="3">
        <f t="shared" si="51"/>
        <v>157030.3455</v>
      </c>
      <c r="AN149">
        <v>7.375</v>
      </c>
      <c r="AO149" s="7">
        <f t="shared" si="52"/>
        <v>1149.9988811797343</v>
      </c>
      <c r="AP149" s="2">
        <f t="shared" si="53"/>
        <v>142.21111882026571</v>
      </c>
    </row>
    <row r="150" spans="1:42" x14ac:dyDescent="0.15">
      <c r="A150" s="8">
        <v>411287774</v>
      </c>
      <c r="B150" t="s">
        <v>38</v>
      </c>
      <c r="C150" t="s">
        <v>18</v>
      </c>
      <c r="D150" s="1">
        <v>39498</v>
      </c>
      <c r="E150" s="2">
        <v>125000</v>
      </c>
      <c r="F150" s="2">
        <v>100000</v>
      </c>
      <c r="G150" t="s">
        <v>17</v>
      </c>
      <c r="H150" s="2">
        <v>896.11</v>
      </c>
      <c r="I150" s="2">
        <v>99915.76</v>
      </c>
      <c r="J150">
        <v>0.10249999999999999</v>
      </c>
      <c r="K150">
        <v>2</v>
      </c>
      <c r="L150">
        <v>358</v>
      </c>
      <c r="M150" t="str">
        <f t="shared" si="39"/>
        <v>30 Year Fixed</v>
      </c>
      <c r="N150" s="2">
        <v>853.45</v>
      </c>
      <c r="O150" t="str">
        <f t="shared" si="36"/>
        <v>Cash Out</v>
      </c>
      <c r="P150" s="3">
        <f t="shared" si="40"/>
        <v>4764.0429556650342</v>
      </c>
      <c r="Q150" s="4">
        <v>106250</v>
      </c>
      <c r="R150" s="4" t="s">
        <v>41</v>
      </c>
      <c r="S150" s="6">
        <v>543</v>
      </c>
      <c r="T150">
        <v>7.625</v>
      </c>
      <c r="U150" s="7">
        <f t="shared" si="37"/>
        <v>796.30168883513454</v>
      </c>
      <c r="V150" s="2">
        <f t="shared" si="41"/>
        <v>99.808311164865472</v>
      </c>
      <c r="W150" s="9">
        <f t="shared" si="42"/>
        <v>0</v>
      </c>
      <c r="X150" s="3">
        <v>106250</v>
      </c>
      <c r="Y150" s="3">
        <f t="shared" si="43"/>
        <v>4764.0429556650342</v>
      </c>
      <c r="Z150" s="7">
        <f t="shared" si="44"/>
        <v>796.30168883513454</v>
      </c>
      <c r="AA150" s="2">
        <f t="shared" si="38"/>
        <v>99.808311164865472</v>
      </c>
      <c r="AB150" s="8">
        <f t="shared" si="45"/>
        <v>0</v>
      </c>
      <c r="AC150" s="10">
        <v>7.625</v>
      </c>
      <c r="AD150" s="7">
        <f t="shared" si="46"/>
        <v>796.30168883513454</v>
      </c>
      <c r="AE150" s="2">
        <f t="shared" si="47"/>
        <v>99.808311164865472</v>
      </c>
      <c r="AF150" s="10">
        <v>0</v>
      </c>
      <c r="AG150" s="3">
        <f t="shared" si="48"/>
        <v>0</v>
      </c>
      <c r="AH150" s="7">
        <v>0</v>
      </c>
      <c r="AI150">
        <f t="shared" si="49"/>
        <v>360</v>
      </c>
      <c r="AJ150" t="e">
        <f>VLOOKUP(A150,'Borrower Details'!$A$1:$H$1493,8,FALSE)</f>
        <v>#N/A</v>
      </c>
      <c r="AK150" s="4" t="e">
        <f t="shared" si="50"/>
        <v>#N/A</v>
      </c>
      <c r="AL150" s="10">
        <v>7.625</v>
      </c>
      <c r="AM150" s="3">
        <f t="shared" si="51"/>
        <v>101414.49639999999</v>
      </c>
      <c r="AN150">
        <v>7.625</v>
      </c>
      <c r="AO150" s="7">
        <f t="shared" si="52"/>
        <v>760.0615035829145</v>
      </c>
      <c r="AP150" s="2">
        <f t="shared" si="53"/>
        <v>136.04849641708552</v>
      </c>
    </row>
    <row r="151" spans="1:42" x14ac:dyDescent="0.15">
      <c r="A151" s="8">
        <v>410664924</v>
      </c>
      <c r="B151" t="s">
        <v>36</v>
      </c>
      <c r="C151" t="s">
        <v>18</v>
      </c>
      <c r="D151" s="1">
        <v>39300</v>
      </c>
      <c r="E151" s="2">
        <v>198000</v>
      </c>
      <c r="F151" s="2">
        <v>148500</v>
      </c>
      <c r="G151" t="s">
        <v>17</v>
      </c>
      <c r="H151" s="2">
        <v>1210.93</v>
      </c>
      <c r="I151" s="2">
        <v>147936.93</v>
      </c>
      <c r="J151">
        <v>9.1499999999999998E-2</v>
      </c>
      <c r="K151">
        <v>8</v>
      </c>
      <c r="L151">
        <v>353</v>
      </c>
      <c r="M151" t="str">
        <f t="shared" si="39"/>
        <v>30 Year Fixed</v>
      </c>
      <c r="N151" s="2">
        <v>1128.02</v>
      </c>
      <c r="O151" t="str">
        <f t="shared" si="36"/>
        <v>Cash Out</v>
      </c>
      <c r="P151" s="3">
        <f t="shared" si="40"/>
        <v>17875.877881773427</v>
      </c>
      <c r="Q151" s="4">
        <v>168300</v>
      </c>
      <c r="R151" s="4" t="s">
        <v>41</v>
      </c>
      <c r="S151" s="6">
        <v>526</v>
      </c>
      <c r="T151">
        <v>7.625</v>
      </c>
      <c r="U151" s="7">
        <f t="shared" si="37"/>
        <v>1261.3418751148531</v>
      </c>
      <c r="V151" s="2">
        <f t="shared" si="41"/>
        <v>-50.411875114853046</v>
      </c>
      <c r="W151" s="9">
        <f t="shared" si="42"/>
        <v>1</v>
      </c>
      <c r="X151" s="3">
        <v>161500</v>
      </c>
      <c r="Y151" s="3">
        <f t="shared" si="43"/>
        <v>11176.370492610848</v>
      </c>
      <c r="Z151" s="7">
        <f t="shared" si="44"/>
        <v>1210.3785670294046</v>
      </c>
      <c r="AA151" s="2">
        <f t="shared" si="38"/>
        <v>0.55143297059544238</v>
      </c>
      <c r="AB151" s="8">
        <f t="shared" si="45"/>
        <v>0</v>
      </c>
      <c r="AC151" s="10">
        <v>7.625</v>
      </c>
      <c r="AD151" s="7">
        <f t="shared" si="46"/>
        <v>1210.3785670294046</v>
      </c>
      <c r="AE151" s="2">
        <f t="shared" si="47"/>
        <v>0.55143297059544238</v>
      </c>
      <c r="AF151" s="10">
        <v>0</v>
      </c>
      <c r="AG151" s="3">
        <f t="shared" si="48"/>
        <v>0</v>
      </c>
      <c r="AH151" s="7">
        <v>2970</v>
      </c>
      <c r="AI151">
        <f t="shared" si="49"/>
        <v>360</v>
      </c>
      <c r="AJ151" t="e">
        <f>VLOOKUP(A151,'Borrower Details'!$A$1:$H$1493,8,FALSE)</f>
        <v>#N/A</v>
      </c>
      <c r="AK151" s="4" t="e">
        <f t="shared" si="50"/>
        <v>#N/A</v>
      </c>
      <c r="AL151" s="10">
        <v>7.625</v>
      </c>
      <c r="AM151" s="3">
        <f t="shared" si="51"/>
        <v>150155.98394999997</v>
      </c>
      <c r="AN151">
        <v>7.625</v>
      </c>
      <c r="AO151" s="7">
        <f t="shared" si="52"/>
        <v>1125.3596574878713</v>
      </c>
      <c r="AP151" s="2">
        <f t="shared" si="53"/>
        <v>85.570342512128718</v>
      </c>
    </row>
    <row r="152" spans="1:42" x14ac:dyDescent="0.15">
      <c r="A152" s="8">
        <v>410085435</v>
      </c>
      <c r="B152" t="s">
        <v>37</v>
      </c>
      <c r="C152" t="s">
        <v>19</v>
      </c>
      <c r="D152" s="1">
        <v>39213</v>
      </c>
      <c r="E152" s="2">
        <v>116000</v>
      </c>
      <c r="F152" s="2">
        <v>106400</v>
      </c>
      <c r="G152" t="s">
        <v>17</v>
      </c>
      <c r="H152" s="2">
        <v>902.45</v>
      </c>
      <c r="I152" s="2">
        <v>105756.42</v>
      </c>
      <c r="J152">
        <v>9.6000000000000002E-2</v>
      </c>
      <c r="K152">
        <v>11</v>
      </c>
      <c r="L152">
        <v>348</v>
      </c>
      <c r="M152" t="str">
        <f t="shared" si="39"/>
        <v>30 Year Fixed</v>
      </c>
      <c r="N152" s="2">
        <v>846.5</v>
      </c>
      <c r="O152" t="str">
        <f t="shared" si="36"/>
        <v>Refi</v>
      </c>
      <c r="P152" s="3">
        <f t="shared" si="40"/>
        <v>0</v>
      </c>
      <c r="Q152" s="4">
        <v>107343</v>
      </c>
      <c r="R152" s="4" t="s">
        <v>41</v>
      </c>
      <c r="S152" s="6">
        <v>624</v>
      </c>
      <c r="T152">
        <v>6.75</v>
      </c>
      <c r="U152" s="7">
        <f t="shared" si="37"/>
        <v>740.95090479921782</v>
      </c>
      <c r="V152" s="2">
        <f t="shared" si="41"/>
        <v>161.49909520078222</v>
      </c>
      <c r="W152" s="9">
        <f t="shared" si="42"/>
        <v>0</v>
      </c>
      <c r="X152" s="3">
        <v>107343</v>
      </c>
      <c r="Y152" s="3">
        <f t="shared" si="43"/>
        <v>0.23024630543659441</v>
      </c>
      <c r="Z152" s="7">
        <f t="shared" si="44"/>
        <v>740.95090479921782</v>
      </c>
      <c r="AA152" s="2">
        <f t="shared" si="38"/>
        <v>161.49909520078222</v>
      </c>
      <c r="AB152" s="8">
        <f t="shared" si="45"/>
        <v>0</v>
      </c>
      <c r="AC152" s="10">
        <v>6.75</v>
      </c>
      <c r="AD152" s="7">
        <f t="shared" si="46"/>
        <v>740.95090479921782</v>
      </c>
      <c r="AE152" s="2">
        <f t="shared" si="47"/>
        <v>161.49909520078222</v>
      </c>
      <c r="AF152" s="10">
        <v>0</v>
      </c>
      <c r="AG152" s="3">
        <f t="shared" si="48"/>
        <v>0</v>
      </c>
      <c r="AH152" s="7">
        <v>0</v>
      </c>
      <c r="AI152">
        <f t="shared" si="49"/>
        <v>360</v>
      </c>
      <c r="AJ152" t="e">
        <f>VLOOKUP(A152,'Borrower Details'!$A$1:$H$1493,8,FALSE)</f>
        <v>#N/A</v>
      </c>
      <c r="AK152" s="4" t="e">
        <f t="shared" si="50"/>
        <v>#N/A</v>
      </c>
      <c r="AL152" s="10">
        <v>6.75</v>
      </c>
      <c r="AM152" s="3">
        <f t="shared" si="51"/>
        <v>107342.76629999999</v>
      </c>
      <c r="AN152">
        <v>6.75</v>
      </c>
      <c r="AO152" s="7">
        <f t="shared" si="52"/>
        <v>740.94929165046597</v>
      </c>
      <c r="AP152" s="2">
        <f t="shared" si="53"/>
        <v>161.50070834953408</v>
      </c>
    </row>
    <row r="153" spans="1:42" x14ac:dyDescent="0.15">
      <c r="A153" s="8">
        <v>1182599</v>
      </c>
      <c r="B153" t="s">
        <v>37</v>
      </c>
      <c r="C153" t="s">
        <v>19</v>
      </c>
      <c r="D153" s="1">
        <v>39190</v>
      </c>
      <c r="E153" s="2">
        <v>110000</v>
      </c>
      <c r="F153" s="2">
        <v>93500</v>
      </c>
      <c r="G153" t="s">
        <v>17</v>
      </c>
      <c r="H153" s="2">
        <v>779.39</v>
      </c>
      <c r="I153" s="2">
        <v>92866.66</v>
      </c>
      <c r="J153">
        <v>9.4E-2</v>
      </c>
      <c r="K153">
        <v>12</v>
      </c>
      <c r="L153">
        <v>348</v>
      </c>
      <c r="M153" t="str">
        <f t="shared" si="39"/>
        <v>30 Year Fixed</v>
      </c>
      <c r="N153" s="2">
        <v>727.46</v>
      </c>
      <c r="O153" t="str">
        <f t="shared" si="36"/>
        <v>Refi</v>
      </c>
      <c r="P153" s="3">
        <f t="shared" si="40"/>
        <v>0</v>
      </c>
      <c r="Q153" s="4">
        <v>94260</v>
      </c>
      <c r="R153" s="4" t="s">
        <v>41</v>
      </c>
      <c r="S153" s="6">
        <v>570</v>
      </c>
      <c r="T153">
        <v>7.625</v>
      </c>
      <c r="U153" s="7">
        <f t="shared" si="37"/>
        <v>706.44138531388023</v>
      </c>
      <c r="V153" s="2">
        <f t="shared" si="41"/>
        <v>72.948614686119754</v>
      </c>
      <c r="W153" s="9">
        <f t="shared" si="42"/>
        <v>0</v>
      </c>
      <c r="X153" s="3">
        <v>94260</v>
      </c>
      <c r="Y153" s="3">
        <f t="shared" si="43"/>
        <v>0.33507389163423795</v>
      </c>
      <c r="Z153" s="7">
        <f t="shared" si="44"/>
        <v>706.44138531388023</v>
      </c>
      <c r="AA153" s="2">
        <f t="shared" si="38"/>
        <v>72.948614686119754</v>
      </c>
      <c r="AB153" s="8">
        <f t="shared" si="45"/>
        <v>0</v>
      </c>
      <c r="AC153" s="10">
        <v>7.625</v>
      </c>
      <c r="AD153" s="7">
        <f t="shared" si="46"/>
        <v>706.44138531388023</v>
      </c>
      <c r="AE153" s="2">
        <f t="shared" si="47"/>
        <v>72.948614686119754</v>
      </c>
      <c r="AF153" s="10">
        <v>0</v>
      </c>
      <c r="AG153" s="3">
        <f t="shared" si="48"/>
        <v>0</v>
      </c>
      <c r="AH153" s="7">
        <v>0</v>
      </c>
      <c r="AI153">
        <f t="shared" si="49"/>
        <v>360</v>
      </c>
      <c r="AJ153" t="e">
        <f>VLOOKUP(A153,'Borrower Details'!$A$1:$H$1493,8,FALSE)</f>
        <v>#N/A</v>
      </c>
      <c r="AK153" s="4" t="e">
        <f t="shared" si="50"/>
        <v>#N/A</v>
      </c>
      <c r="AL153" s="10">
        <v>7.625</v>
      </c>
      <c r="AM153" s="3">
        <f t="shared" si="51"/>
        <v>94259.659899999999</v>
      </c>
      <c r="AN153">
        <v>7.625</v>
      </c>
      <c r="AO153" s="7">
        <f t="shared" si="52"/>
        <v>706.4388363990156</v>
      </c>
      <c r="AP153" s="2">
        <f t="shared" si="53"/>
        <v>72.951163600984387</v>
      </c>
    </row>
    <row r="154" spans="1:42" x14ac:dyDescent="0.15">
      <c r="A154" s="8">
        <v>410204994</v>
      </c>
      <c r="B154" t="s">
        <v>38</v>
      </c>
      <c r="C154" t="s">
        <v>19</v>
      </c>
      <c r="D154" s="1">
        <v>39211</v>
      </c>
      <c r="E154" s="2">
        <v>78000</v>
      </c>
      <c r="F154" s="2">
        <v>54600</v>
      </c>
      <c r="G154" t="s">
        <v>17</v>
      </c>
      <c r="H154" s="2">
        <v>468.1</v>
      </c>
      <c r="I154" s="2">
        <v>54296.76</v>
      </c>
      <c r="J154">
        <v>9.7250000000000003E-2</v>
      </c>
      <c r="K154">
        <v>11</v>
      </c>
      <c r="L154">
        <v>349</v>
      </c>
      <c r="M154" t="str">
        <f t="shared" si="39"/>
        <v>30 Year Fixed</v>
      </c>
      <c r="N154" s="2">
        <v>440.03</v>
      </c>
      <c r="O154" t="str">
        <f t="shared" si="36"/>
        <v>Cash Out</v>
      </c>
      <c r="P154" s="3">
        <f t="shared" si="40"/>
        <v>11023.437044334976</v>
      </c>
      <c r="Q154" s="4">
        <v>66300</v>
      </c>
      <c r="R154" s="4" t="s">
        <v>41</v>
      </c>
      <c r="S154" s="6">
        <v>552</v>
      </c>
      <c r="T154">
        <v>7.625</v>
      </c>
      <c r="U154" s="7">
        <f t="shared" si="37"/>
        <v>496.8922538331239</v>
      </c>
      <c r="V154" s="2">
        <f t="shared" si="41"/>
        <v>-28.79225383312388</v>
      </c>
      <c r="W154" s="9">
        <f t="shared" si="42"/>
        <v>1</v>
      </c>
      <c r="X154" s="3">
        <v>62390</v>
      </c>
      <c r="Y154" s="3">
        <f t="shared" si="43"/>
        <v>7171.2202955665052</v>
      </c>
      <c r="Z154" s="7">
        <f t="shared" si="44"/>
        <v>467.58835168399099</v>
      </c>
      <c r="AA154" s="2">
        <f t="shared" si="38"/>
        <v>0.51164831600902971</v>
      </c>
      <c r="AB154" s="8">
        <f t="shared" si="45"/>
        <v>0</v>
      </c>
      <c r="AC154" s="10">
        <v>7.625</v>
      </c>
      <c r="AD154" s="7">
        <f t="shared" si="46"/>
        <v>467.58835168399099</v>
      </c>
      <c r="AE154" s="2">
        <f t="shared" si="47"/>
        <v>0.51164831600902971</v>
      </c>
      <c r="AF154" s="10">
        <v>0</v>
      </c>
      <c r="AG154" s="3">
        <f t="shared" si="48"/>
        <v>0</v>
      </c>
      <c r="AH154" s="7">
        <v>0</v>
      </c>
      <c r="AI154">
        <f t="shared" si="49"/>
        <v>360</v>
      </c>
      <c r="AJ154" t="e">
        <f>VLOOKUP(A154,'Borrower Details'!$A$1:$H$1493,8,FALSE)</f>
        <v>#N/A</v>
      </c>
      <c r="AK154" s="4" t="e">
        <f t="shared" si="50"/>
        <v>#N/A</v>
      </c>
      <c r="AL154" s="10">
        <v>7.625</v>
      </c>
      <c r="AM154" s="3">
        <f t="shared" si="51"/>
        <v>55111.2114</v>
      </c>
      <c r="AN154">
        <v>7.625</v>
      </c>
      <c r="AO154" s="7">
        <f t="shared" si="52"/>
        <v>413.03671257948344</v>
      </c>
      <c r="AP154" s="2">
        <f t="shared" si="53"/>
        <v>55.063287420516588</v>
      </c>
    </row>
    <row r="155" spans="1:42" x14ac:dyDescent="0.15">
      <c r="A155" s="8">
        <v>410000848</v>
      </c>
      <c r="B155" t="s">
        <v>38</v>
      </c>
      <c r="C155" t="s">
        <v>19</v>
      </c>
      <c r="D155" s="1">
        <v>39196</v>
      </c>
      <c r="E155" s="2">
        <v>171300</v>
      </c>
      <c r="F155" s="2">
        <v>154170</v>
      </c>
      <c r="G155" t="s">
        <v>17</v>
      </c>
      <c r="H155" s="2">
        <v>1136.08</v>
      </c>
      <c r="I155" s="2">
        <v>153659.48000000001</v>
      </c>
      <c r="J155">
        <v>8.5500000000000007E-2</v>
      </c>
      <c r="K155">
        <v>12</v>
      </c>
      <c r="L155">
        <v>347</v>
      </c>
      <c r="M155" t="str">
        <f t="shared" si="39"/>
        <v>30 Year Fixed</v>
      </c>
      <c r="N155" s="2">
        <v>1094.82</v>
      </c>
      <c r="O155" t="str">
        <f t="shared" si="36"/>
        <v>Refi</v>
      </c>
      <c r="P155" s="3">
        <f t="shared" si="40"/>
        <v>0</v>
      </c>
      <c r="Q155" s="4">
        <v>155964</v>
      </c>
      <c r="R155" s="4" t="s">
        <v>41</v>
      </c>
      <c r="S155" s="6">
        <v>639</v>
      </c>
      <c r="T155">
        <v>6.75</v>
      </c>
      <c r="U155" s="7">
        <f t="shared" si="37"/>
        <v>1076.564535331649</v>
      </c>
      <c r="V155" s="2">
        <f t="shared" si="41"/>
        <v>59.515464668350887</v>
      </c>
      <c r="W155" s="9">
        <f t="shared" si="42"/>
        <v>0</v>
      </c>
      <c r="X155" s="3">
        <v>155964</v>
      </c>
      <c r="Y155" s="3">
        <f t="shared" si="43"/>
        <v>-0.36669950737268664</v>
      </c>
      <c r="Z155" s="7">
        <f t="shared" si="44"/>
        <v>1076.564535331649</v>
      </c>
      <c r="AA155" s="2">
        <f t="shared" si="38"/>
        <v>59.515464668350887</v>
      </c>
      <c r="AB155" s="8">
        <f t="shared" si="45"/>
        <v>1</v>
      </c>
      <c r="AC155" s="10">
        <v>6.125</v>
      </c>
      <c r="AD155" s="7">
        <f t="shared" si="46"/>
        <v>1012.6387019516268</v>
      </c>
      <c r="AE155" s="2">
        <f t="shared" si="47"/>
        <v>123.44129804837314</v>
      </c>
      <c r="AF155" s="10">
        <v>3</v>
      </c>
      <c r="AG155" s="3">
        <f t="shared" si="48"/>
        <v>4678.92</v>
      </c>
      <c r="AH155" s="7">
        <v>0</v>
      </c>
      <c r="AI155">
        <f t="shared" si="49"/>
        <v>360</v>
      </c>
      <c r="AJ155" t="e">
        <f>VLOOKUP(A155,'Borrower Details'!$A$1:$H$1493,8,FALSE)</f>
        <v>#N/A</v>
      </c>
      <c r="AK155" s="4" t="e">
        <f t="shared" si="50"/>
        <v>#N/A</v>
      </c>
      <c r="AL155" s="10">
        <v>6.75</v>
      </c>
      <c r="AM155" s="3">
        <f t="shared" si="51"/>
        <v>155964.37219999998</v>
      </c>
      <c r="AN155">
        <v>6.75</v>
      </c>
      <c r="AO155" s="7">
        <f t="shared" si="52"/>
        <v>1076.5671044970977</v>
      </c>
      <c r="AP155" s="2">
        <f t="shared" si="53"/>
        <v>59.512895502902211</v>
      </c>
    </row>
    <row r="156" spans="1:42" x14ac:dyDescent="0.15">
      <c r="A156" s="8">
        <v>1166191</v>
      </c>
      <c r="B156" t="s">
        <v>35</v>
      </c>
      <c r="C156" t="s">
        <v>16</v>
      </c>
      <c r="D156" s="1">
        <v>39150</v>
      </c>
      <c r="E156" s="2">
        <v>144000</v>
      </c>
      <c r="F156" s="2">
        <v>111200</v>
      </c>
      <c r="G156" t="s">
        <v>15</v>
      </c>
      <c r="H156" s="2">
        <v>796.66</v>
      </c>
      <c r="I156" s="2">
        <v>110053.7</v>
      </c>
      <c r="J156">
        <v>7.7499999999999999E-2</v>
      </c>
      <c r="K156">
        <v>13</v>
      </c>
      <c r="L156">
        <v>346</v>
      </c>
      <c r="M156" t="str">
        <f t="shared" si="39"/>
        <v>30 Year Fixed</v>
      </c>
      <c r="N156" s="2">
        <v>710.76</v>
      </c>
      <c r="O156" t="str">
        <f t="shared" si="36"/>
        <v>Cash Out</v>
      </c>
      <c r="P156" s="3">
        <f t="shared" si="40"/>
        <v>10537.433004926119</v>
      </c>
      <c r="Q156" s="4">
        <v>122400</v>
      </c>
      <c r="R156" s="4" t="s">
        <v>41</v>
      </c>
      <c r="S156" s="6">
        <v>560</v>
      </c>
      <c r="T156">
        <v>7.625</v>
      </c>
      <c r="U156" s="7">
        <f t="shared" si="37"/>
        <v>917.33954553807496</v>
      </c>
      <c r="V156" s="2">
        <f t="shared" si="41"/>
        <v>-120.67954553807499</v>
      </c>
      <c r="W156" s="9">
        <f t="shared" si="42"/>
        <v>1</v>
      </c>
      <c r="X156" s="3">
        <v>111705</v>
      </c>
      <c r="Y156" s="3">
        <f t="shared" si="43"/>
        <v>0.48719211823481601</v>
      </c>
      <c r="Z156" s="7">
        <f t="shared" si="44"/>
        <v>837.18475436544668</v>
      </c>
      <c r="AA156" s="2">
        <f t="shared" si="38"/>
        <v>-40.524754365446711</v>
      </c>
      <c r="AB156" s="8">
        <f t="shared" si="45"/>
        <v>1</v>
      </c>
      <c r="AC156" s="10">
        <v>6.875</v>
      </c>
      <c r="AD156" s="7">
        <f t="shared" si="46"/>
        <v>780.36608131623552</v>
      </c>
      <c r="AE156" s="2">
        <f t="shared" si="47"/>
        <v>16.293918683764446</v>
      </c>
      <c r="AF156" s="10">
        <v>1</v>
      </c>
      <c r="AG156" s="3">
        <f t="shared" si="48"/>
        <v>1117.05</v>
      </c>
      <c r="AH156" s="7">
        <v>4309</v>
      </c>
      <c r="AI156">
        <f t="shared" si="49"/>
        <v>360</v>
      </c>
      <c r="AJ156" t="e">
        <f>VLOOKUP(A156,'Borrower Details'!$A$1:$H$1493,8,FALSE)</f>
        <v>#N/A</v>
      </c>
      <c r="AK156" s="4" t="e">
        <f t="shared" si="50"/>
        <v>#N/A</v>
      </c>
      <c r="AL156" s="10">
        <v>7.625</v>
      </c>
      <c r="AM156" s="3">
        <f t="shared" si="51"/>
        <v>111704.50549999998</v>
      </c>
      <c r="AN156">
        <v>7.625</v>
      </c>
      <c r="AO156" s="7">
        <f t="shared" si="52"/>
        <v>837.18104828370406</v>
      </c>
      <c r="AP156" s="2">
        <f t="shared" si="53"/>
        <v>-40.52104828370409</v>
      </c>
    </row>
    <row r="157" spans="1:42" x14ac:dyDescent="0.15">
      <c r="A157" s="8">
        <v>410748040</v>
      </c>
      <c r="B157" t="s">
        <v>36</v>
      </c>
      <c r="C157" t="s">
        <v>16</v>
      </c>
      <c r="D157" s="1">
        <v>39304</v>
      </c>
      <c r="E157" s="2">
        <v>305000</v>
      </c>
      <c r="F157" s="2">
        <v>179000</v>
      </c>
      <c r="G157" t="s">
        <v>17</v>
      </c>
      <c r="H157" s="2">
        <v>1282.3800000000001</v>
      </c>
      <c r="I157" s="2">
        <v>177527.67999999999</v>
      </c>
      <c r="J157">
        <v>7.7499999999999999E-2</v>
      </c>
      <c r="K157">
        <v>8</v>
      </c>
      <c r="L157">
        <v>352</v>
      </c>
      <c r="M157" t="str">
        <f t="shared" si="39"/>
        <v>30 Year Fixed</v>
      </c>
      <c r="N157" s="2">
        <v>1146.53</v>
      </c>
      <c r="O157" t="str">
        <f t="shared" si="36"/>
        <v>Cash Out</v>
      </c>
      <c r="P157" s="3">
        <f t="shared" si="40"/>
        <v>77891.039211822703</v>
      </c>
      <c r="Q157" s="4">
        <v>259250</v>
      </c>
      <c r="R157" s="4" t="s">
        <v>41</v>
      </c>
      <c r="S157" s="6">
        <v>544</v>
      </c>
      <c r="T157">
        <v>7.625</v>
      </c>
      <c r="U157" s="7">
        <f t="shared" si="37"/>
        <v>1942.976120757728</v>
      </c>
      <c r="V157" s="2">
        <f t="shared" si="41"/>
        <v>-660.59612075772793</v>
      </c>
      <c r="W157" s="9">
        <f t="shared" si="42"/>
        <v>1</v>
      </c>
      <c r="X157" s="3">
        <v>180191</v>
      </c>
      <c r="Y157" s="3">
        <f t="shared" si="43"/>
        <v>0.39881773400702514</v>
      </c>
      <c r="Z157" s="7">
        <f t="shared" si="44"/>
        <v>1350.4602128272163</v>
      </c>
      <c r="AA157" s="2">
        <f t="shared" si="38"/>
        <v>-68.080212827216201</v>
      </c>
      <c r="AB157" s="8">
        <f t="shared" si="45"/>
        <v>1</v>
      </c>
      <c r="AC157" s="10">
        <v>6.875</v>
      </c>
      <c r="AD157" s="7">
        <f t="shared" si="46"/>
        <v>1258.8061819833831</v>
      </c>
      <c r="AE157" s="2">
        <f t="shared" si="47"/>
        <v>23.573818016616997</v>
      </c>
      <c r="AF157" s="10">
        <v>1</v>
      </c>
      <c r="AG157" s="3">
        <f t="shared" si="48"/>
        <v>1801.91</v>
      </c>
      <c r="AH157" s="7">
        <v>3580</v>
      </c>
      <c r="AI157">
        <f t="shared" si="49"/>
        <v>360</v>
      </c>
      <c r="AJ157" t="e">
        <f>VLOOKUP(A157,'Borrower Details'!$A$1:$H$1493,8,FALSE)</f>
        <v>#N/A</v>
      </c>
      <c r="AK157" s="4" t="e">
        <f t="shared" si="50"/>
        <v>#N/A</v>
      </c>
      <c r="AL157" s="10">
        <v>7.625</v>
      </c>
      <c r="AM157" s="3">
        <f t="shared" si="51"/>
        <v>180190.59519999998</v>
      </c>
      <c r="AN157">
        <v>7.625</v>
      </c>
      <c r="AO157" s="7">
        <f t="shared" si="52"/>
        <v>1350.4571790114642</v>
      </c>
      <c r="AP157" s="2">
        <f t="shared" si="53"/>
        <v>-68.077179011464068</v>
      </c>
    </row>
    <row r="158" spans="1:42" x14ac:dyDescent="0.15">
      <c r="A158" s="8">
        <v>1178368</v>
      </c>
      <c r="B158" t="s">
        <v>37</v>
      </c>
      <c r="C158" t="s">
        <v>18</v>
      </c>
      <c r="D158" s="1">
        <v>39203</v>
      </c>
      <c r="E158" s="2">
        <v>160000</v>
      </c>
      <c r="F158" s="2">
        <v>150000</v>
      </c>
      <c r="G158" t="s">
        <v>15</v>
      </c>
      <c r="H158" s="2">
        <v>1095.43</v>
      </c>
      <c r="I158" s="2">
        <v>148541.19</v>
      </c>
      <c r="J158">
        <v>7.9500000000000001E-2</v>
      </c>
      <c r="K158">
        <v>12</v>
      </c>
      <c r="L158">
        <v>348</v>
      </c>
      <c r="M158" t="str">
        <f t="shared" si="39"/>
        <v>30 Year Fixed</v>
      </c>
      <c r="N158" s="2">
        <v>984.09</v>
      </c>
      <c r="O158" t="str">
        <f t="shared" si="36"/>
        <v>Refi</v>
      </c>
      <c r="P158" s="3">
        <f t="shared" si="40"/>
        <v>0</v>
      </c>
      <c r="Q158" s="4">
        <v>150769</v>
      </c>
      <c r="R158" s="4" t="s">
        <v>41</v>
      </c>
      <c r="S158" s="6">
        <v>721</v>
      </c>
      <c r="T158">
        <v>6.75</v>
      </c>
      <c r="U158" s="7">
        <f t="shared" si="37"/>
        <v>1040.705280881597</v>
      </c>
      <c r="V158" s="2">
        <f t="shared" si="41"/>
        <v>54.724719118403073</v>
      </c>
      <c r="W158" s="9">
        <f t="shared" si="42"/>
        <v>0</v>
      </c>
      <c r="X158" s="3">
        <v>150769</v>
      </c>
      <c r="Y158" s="3">
        <f t="shared" si="43"/>
        <v>-0.30330049261101522</v>
      </c>
      <c r="Z158" s="7">
        <f t="shared" si="44"/>
        <v>1040.705280881597</v>
      </c>
      <c r="AA158" s="2">
        <f t="shared" si="38"/>
        <v>54.724719118403073</v>
      </c>
      <c r="AB158" s="8">
        <f t="shared" si="45"/>
        <v>1</v>
      </c>
      <c r="AC158" s="10">
        <v>6.125</v>
      </c>
      <c r="AD158" s="7">
        <f t="shared" si="46"/>
        <v>978.90875108707655</v>
      </c>
      <c r="AE158" s="2">
        <f t="shared" si="47"/>
        <v>116.52124891292351</v>
      </c>
      <c r="AF158" s="10">
        <v>3</v>
      </c>
      <c r="AG158" s="3">
        <f t="shared" si="48"/>
        <v>4523.07</v>
      </c>
      <c r="AH158" s="7">
        <v>0</v>
      </c>
      <c r="AI158">
        <f t="shared" si="49"/>
        <v>360</v>
      </c>
      <c r="AJ158" t="e">
        <f>VLOOKUP(A158,'Borrower Details'!$A$1:$H$1493,8,FALSE)</f>
        <v>#N/A</v>
      </c>
      <c r="AK158" s="4" t="e">
        <f t="shared" si="50"/>
        <v>#N/A</v>
      </c>
      <c r="AL158" s="10">
        <v>6.75</v>
      </c>
      <c r="AM158" s="3">
        <f t="shared" si="51"/>
        <v>150769.30784999998</v>
      </c>
      <c r="AN158">
        <v>6.75</v>
      </c>
      <c r="AO158" s="7">
        <f t="shared" si="52"/>
        <v>1040.7074058616704</v>
      </c>
      <c r="AP158" s="2">
        <f t="shared" si="53"/>
        <v>54.722594138329669</v>
      </c>
    </row>
    <row r="159" spans="1:42" x14ac:dyDescent="0.15">
      <c r="A159" s="8">
        <v>410884472</v>
      </c>
      <c r="B159" t="s">
        <v>37</v>
      </c>
      <c r="C159" t="s">
        <v>18</v>
      </c>
      <c r="D159" s="1">
        <v>39365</v>
      </c>
      <c r="E159" s="2">
        <v>262000</v>
      </c>
      <c r="F159" s="2">
        <v>222250</v>
      </c>
      <c r="G159" t="s">
        <v>17</v>
      </c>
      <c r="H159" s="2">
        <v>2406.5300000000002</v>
      </c>
      <c r="I159" s="2">
        <v>221820.49</v>
      </c>
      <c r="J159">
        <v>0.127</v>
      </c>
      <c r="K159">
        <v>6</v>
      </c>
      <c r="L159">
        <v>354</v>
      </c>
      <c r="M159" t="str">
        <f t="shared" si="39"/>
        <v>30 Year Fixed</v>
      </c>
      <c r="N159" s="2">
        <v>2347.6</v>
      </c>
      <c r="O159" t="str">
        <f t="shared" si="36"/>
        <v>Refi</v>
      </c>
      <c r="P159" s="3">
        <f t="shared" si="40"/>
        <v>0</v>
      </c>
      <c r="Q159" s="4">
        <v>225148</v>
      </c>
      <c r="R159" s="4" t="s">
        <v>41</v>
      </c>
      <c r="S159" s="6">
        <v>544</v>
      </c>
      <c r="T159">
        <v>7.625</v>
      </c>
      <c r="U159" s="7">
        <f t="shared" si="37"/>
        <v>1687.3951307092034</v>
      </c>
      <c r="V159" s="2">
        <f t="shared" si="41"/>
        <v>719.13486929079681</v>
      </c>
      <c r="W159" s="9">
        <f t="shared" si="42"/>
        <v>0</v>
      </c>
      <c r="X159" s="3">
        <v>225148</v>
      </c>
      <c r="Y159" s="3">
        <f t="shared" si="43"/>
        <v>0.19965517244418152</v>
      </c>
      <c r="Z159" s="7">
        <f t="shared" si="44"/>
        <v>1687.3951307092034</v>
      </c>
      <c r="AA159" s="2">
        <f t="shared" si="38"/>
        <v>719.13486929079681</v>
      </c>
      <c r="AB159" s="8">
        <f t="shared" si="45"/>
        <v>0</v>
      </c>
      <c r="AC159" s="10">
        <v>7.625</v>
      </c>
      <c r="AD159" s="7">
        <f t="shared" si="46"/>
        <v>1687.3951307092034</v>
      </c>
      <c r="AE159" s="2">
        <f t="shared" si="47"/>
        <v>719.13486929079681</v>
      </c>
      <c r="AF159" s="10">
        <v>0</v>
      </c>
      <c r="AG159" s="3">
        <f t="shared" si="48"/>
        <v>0</v>
      </c>
      <c r="AH159" s="7">
        <v>2222.5</v>
      </c>
      <c r="AI159">
        <f t="shared" si="49"/>
        <v>360</v>
      </c>
      <c r="AJ159" t="e">
        <f>VLOOKUP(A159,'Borrower Details'!$A$1:$H$1493,8,FALSE)</f>
        <v>#N/A</v>
      </c>
      <c r="AK159" s="4" t="e">
        <f t="shared" si="50"/>
        <v>#N/A</v>
      </c>
      <c r="AL159" s="10">
        <v>7.625</v>
      </c>
      <c r="AM159" s="3">
        <f t="shared" si="51"/>
        <v>225147.79734999998</v>
      </c>
      <c r="AN159">
        <v>7.625</v>
      </c>
      <c r="AO159" s="7">
        <f t="shared" si="52"/>
        <v>1687.3936119276761</v>
      </c>
      <c r="AP159" s="2">
        <f t="shared" si="53"/>
        <v>719.13638807232405</v>
      </c>
    </row>
    <row r="160" spans="1:42" x14ac:dyDescent="0.15">
      <c r="A160" s="8">
        <v>410882732</v>
      </c>
      <c r="B160" t="s">
        <v>36</v>
      </c>
      <c r="C160" t="s">
        <v>18</v>
      </c>
      <c r="D160" s="1">
        <v>39350</v>
      </c>
      <c r="E160" s="2">
        <v>305000</v>
      </c>
      <c r="F160" s="2">
        <v>203250</v>
      </c>
      <c r="G160" t="s">
        <v>17</v>
      </c>
      <c r="H160" s="2">
        <v>1620.8</v>
      </c>
      <c r="I160" s="2">
        <v>202437.36</v>
      </c>
      <c r="J160">
        <v>8.8999999999999996E-2</v>
      </c>
      <c r="K160">
        <v>7</v>
      </c>
      <c r="L160">
        <v>353</v>
      </c>
      <c r="M160" t="str">
        <f t="shared" si="39"/>
        <v>30 Year Fixed</v>
      </c>
      <c r="N160" s="2">
        <v>1501.41</v>
      </c>
      <c r="O160" t="str">
        <f t="shared" si="36"/>
        <v>Cash Out</v>
      </c>
      <c r="P160" s="3">
        <f t="shared" si="40"/>
        <v>52981.35921182271</v>
      </c>
      <c r="Q160" s="4">
        <v>259250</v>
      </c>
      <c r="R160" s="4" t="s">
        <v>41</v>
      </c>
      <c r="S160" s="6">
        <v>609</v>
      </c>
      <c r="T160">
        <v>6.875</v>
      </c>
      <c r="U160" s="7">
        <f t="shared" si="37"/>
        <v>1811.1087827871092</v>
      </c>
      <c r="V160" s="2">
        <f t="shared" si="41"/>
        <v>-190.30878278710929</v>
      </c>
      <c r="W160" s="9">
        <f t="shared" si="42"/>
        <v>1</v>
      </c>
      <c r="X160" s="3">
        <v>231930</v>
      </c>
      <c r="Y160" s="3">
        <f t="shared" si="43"/>
        <v>26065.103054187231</v>
      </c>
      <c r="Z160" s="7">
        <f t="shared" si="44"/>
        <v>1620.252497557625</v>
      </c>
      <c r="AA160" s="2">
        <f t="shared" si="38"/>
        <v>0.54750244237493462</v>
      </c>
      <c r="AB160" s="8">
        <f t="shared" si="45"/>
        <v>0</v>
      </c>
      <c r="AC160" s="10">
        <v>6.875</v>
      </c>
      <c r="AD160" s="7">
        <f t="shared" si="46"/>
        <v>1620.252497557625</v>
      </c>
      <c r="AE160" s="2">
        <f t="shared" si="47"/>
        <v>0.54750244237493462</v>
      </c>
      <c r="AF160" s="10">
        <v>0</v>
      </c>
      <c r="AG160" s="3">
        <f t="shared" si="48"/>
        <v>0</v>
      </c>
      <c r="AH160" s="7">
        <v>4065</v>
      </c>
      <c r="AI160">
        <f t="shared" si="49"/>
        <v>360</v>
      </c>
      <c r="AJ160" t="e">
        <f>VLOOKUP(A160,'Borrower Details'!$A$1:$H$1493,8,FALSE)</f>
        <v>#N/A</v>
      </c>
      <c r="AK160" s="4" t="e">
        <f t="shared" si="50"/>
        <v>#N/A</v>
      </c>
      <c r="AL160" s="10">
        <v>6.875</v>
      </c>
      <c r="AM160" s="3">
        <f t="shared" si="51"/>
        <v>205473.92039999997</v>
      </c>
      <c r="AN160">
        <v>6.875</v>
      </c>
      <c r="AO160" s="7">
        <f t="shared" si="52"/>
        <v>1435.4315211962944</v>
      </c>
      <c r="AP160" s="2">
        <f t="shared" si="53"/>
        <v>185.36847880370556</v>
      </c>
    </row>
    <row r="161" spans="1:42" x14ac:dyDescent="0.15">
      <c r="A161" s="8">
        <v>1179931</v>
      </c>
      <c r="B161" t="s">
        <v>35</v>
      </c>
      <c r="C161" t="s">
        <v>16</v>
      </c>
      <c r="D161" s="1">
        <v>39176</v>
      </c>
      <c r="E161" s="2">
        <v>85000</v>
      </c>
      <c r="F161" s="2">
        <v>72250</v>
      </c>
      <c r="G161" t="s">
        <v>15</v>
      </c>
      <c r="H161" s="2">
        <v>602.19000000000005</v>
      </c>
      <c r="I161" s="2">
        <v>70773.31</v>
      </c>
      <c r="J161">
        <v>9.8000000000000004E-2</v>
      </c>
      <c r="K161">
        <v>13</v>
      </c>
      <c r="L161">
        <v>346</v>
      </c>
      <c r="M161" t="str">
        <f t="shared" si="39"/>
        <v>30 Year Fixed</v>
      </c>
      <c r="N161" s="2">
        <v>578.91</v>
      </c>
      <c r="O161" t="str">
        <f t="shared" si="36"/>
        <v>Cash Out</v>
      </c>
      <c r="P161" s="3">
        <f t="shared" si="40"/>
        <v>408.95600985221972</v>
      </c>
      <c r="Q161" s="4">
        <v>72250</v>
      </c>
      <c r="R161" s="4" t="s">
        <v>41</v>
      </c>
      <c r="S161" s="6">
        <v>520</v>
      </c>
      <c r="T161">
        <v>7.625</v>
      </c>
      <c r="U161" s="7">
        <f t="shared" si="37"/>
        <v>541.48514840789142</v>
      </c>
      <c r="V161" s="2">
        <f t="shared" si="41"/>
        <v>60.704851592108639</v>
      </c>
      <c r="W161" s="9">
        <f t="shared" si="42"/>
        <v>0</v>
      </c>
      <c r="X161" s="3">
        <v>72250</v>
      </c>
      <c r="Y161" s="3">
        <f t="shared" si="43"/>
        <v>408.95600985221972</v>
      </c>
      <c r="Z161" s="7">
        <f t="shared" si="44"/>
        <v>541.48514840789142</v>
      </c>
      <c r="AA161" s="2">
        <f t="shared" si="38"/>
        <v>60.704851592108639</v>
      </c>
      <c r="AB161" s="8">
        <f t="shared" si="45"/>
        <v>0</v>
      </c>
      <c r="AC161" s="10">
        <v>7.625</v>
      </c>
      <c r="AD161" s="7">
        <f t="shared" si="46"/>
        <v>541.48514840789142</v>
      </c>
      <c r="AE161" s="2">
        <f t="shared" si="47"/>
        <v>60.704851592108639</v>
      </c>
      <c r="AF161" s="10">
        <v>0</v>
      </c>
      <c r="AG161" s="3">
        <f t="shared" si="48"/>
        <v>0</v>
      </c>
      <c r="AH161" s="7">
        <v>3540.25</v>
      </c>
      <c r="AI161">
        <f t="shared" si="49"/>
        <v>360</v>
      </c>
      <c r="AJ161" t="e">
        <f>VLOOKUP(A161,'Borrower Details'!$A$1:$H$1493,8,FALSE)</f>
        <v>#N/A</v>
      </c>
      <c r="AK161" s="4" t="e">
        <f t="shared" si="50"/>
        <v>#N/A</v>
      </c>
      <c r="AL161" s="10">
        <v>7.625</v>
      </c>
      <c r="AM161" s="3">
        <f t="shared" si="51"/>
        <v>71834.909649999987</v>
      </c>
      <c r="AN161">
        <v>7.625</v>
      </c>
      <c r="AO161" s="7">
        <f t="shared" si="52"/>
        <v>538.3742105563698</v>
      </c>
      <c r="AP161" s="2">
        <f t="shared" si="53"/>
        <v>63.815789443630251</v>
      </c>
    </row>
    <row r="162" spans="1:42" x14ac:dyDescent="0.15">
      <c r="A162" s="8">
        <v>411103849</v>
      </c>
      <c r="B162" t="s">
        <v>35</v>
      </c>
      <c r="C162" t="s">
        <v>16</v>
      </c>
      <c r="D162" s="1">
        <v>39399</v>
      </c>
      <c r="E162" s="2">
        <v>224000</v>
      </c>
      <c r="F162" s="2">
        <v>182000</v>
      </c>
      <c r="G162" t="s">
        <v>20</v>
      </c>
      <c r="H162" s="2">
        <v>1510.48</v>
      </c>
      <c r="I162" s="2">
        <v>181073.29</v>
      </c>
      <c r="J162">
        <v>9.35E-2</v>
      </c>
      <c r="K162">
        <v>5</v>
      </c>
      <c r="L162">
        <v>355</v>
      </c>
      <c r="M162" t="str">
        <f t="shared" si="39"/>
        <v>30 Year Fixed</v>
      </c>
      <c r="N162" s="2">
        <v>1410.86</v>
      </c>
      <c r="O162" t="str">
        <f t="shared" si="36"/>
        <v>Cash Out</v>
      </c>
      <c r="P162" s="3">
        <f t="shared" si="40"/>
        <v>6512.916896551731</v>
      </c>
      <c r="Q162" s="4">
        <v>190400</v>
      </c>
      <c r="R162" s="4" t="s">
        <v>41</v>
      </c>
      <c r="S162" s="6">
        <v>622</v>
      </c>
      <c r="T162">
        <v>6.75</v>
      </c>
      <c r="U162" s="7">
        <f t="shared" si="37"/>
        <v>1314.2641091992123</v>
      </c>
      <c r="V162" s="2">
        <f t="shared" si="41"/>
        <v>196.21589080078775</v>
      </c>
      <c r="W162" s="9">
        <f t="shared" si="42"/>
        <v>0</v>
      </c>
      <c r="X162" s="3">
        <v>190400</v>
      </c>
      <c r="Y162" s="3">
        <f t="shared" si="43"/>
        <v>6512.916896551731</v>
      </c>
      <c r="Z162" s="7">
        <f t="shared" si="44"/>
        <v>1314.2641091992123</v>
      </c>
      <c r="AA162" s="2">
        <f t="shared" si="38"/>
        <v>196.21589080078775</v>
      </c>
      <c r="AB162" s="8">
        <f t="shared" si="45"/>
        <v>0</v>
      </c>
      <c r="AC162" s="10">
        <v>6.75</v>
      </c>
      <c r="AD162" s="7">
        <f t="shared" si="46"/>
        <v>1314.2641091992123</v>
      </c>
      <c r="AE162" s="2">
        <f t="shared" si="47"/>
        <v>196.21589080078775</v>
      </c>
      <c r="AF162" s="10">
        <v>0</v>
      </c>
      <c r="AG162" s="3">
        <f t="shared" si="48"/>
        <v>0</v>
      </c>
      <c r="AH162" s="7">
        <v>8508.5</v>
      </c>
      <c r="AI162">
        <f t="shared" si="49"/>
        <v>360</v>
      </c>
      <c r="AJ162" t="e">
        <f>VLOOKUP(A162,'Borrower Details'!$A$1:$H$1493,8,FALSE)</f>
        <v>#N/A</v>
      </c>
      <c r="AK162" s="4" t="e">
        <f t="shared" si="50"/>
        <v>#N/A</v>
      </c>
      <c r="AL162" s="10">
        <v>6.75</v>
      </c>
      <c r="AM162" s="3">
        <f t="shared" si="51"/>
        <v>183789.38934999998</v>
      </c>
      <c r="AN162">
        <v>6.75</v>
      </c>
      <c r="AO162" s="7">
        <f t="shared" si="52"/>
        <v>1268.63339324761</v>
      </c>
      <c r="AP162" s="2">
        <f t="shared" si="53"/>
        <v>241.84660675239002</v>
      </c>
    </row>
    <row r="163" spans="1:42" x14ac:dyDescent="0.15">
      <c r="A163" s="8">
        <v>1188595</v>
      </c>
      <c r="B163" t="s">
        <v>36</v>
      </c>
      <c r="C163" t="s">
        <v>18</v>
      </c>
      <c r="D163" s="1">
        <v>39190</v>
      </c>
      <c r="E163" s="2">
        <v>220000</v>
      </c>
      <c r="F163" s="2">
        <v>145000</v>
      </c>
      <c r="G163" t="s">
        <v>15</v>
      </c>
      <c r="H163" s="2">
        <v>963.72</v>
      </c>
      <c r="I163" s="2">
        <v>143517.13</v>
      </c>
      <c r="J163">
        <v>6.9900000000000004E-2</v>
      </c>
      <c r="K163">
        <v>12</v>
      </c>
      <c r="L163">
        <v>348</v>
      </c>
      <c r="M163" t="str">
        <f t="shared" si="39"/>
        <v>30 Year Fixed</v>
      </c>
      <c r="N163" s="2">
        <v>835.99</v>
      </c>
      <c r="O163" t="str">
        <f t="shared" si="36"/>
        <v>Cash Out</v>
      </c>
      <c r="P163" s="3">
        <f t="shared" si="40"/>
        <v>40719.323201970459</v>
      </c>
      <c r="Q163" s="4">
        <v>187000</v>
      </c>
      <c r="R163" s="4" t="s">
        <v>41</v>
      </c>
      <c r="S163" s="6">
        <v>643</v>
      </c>
      <c r="T163">
        <v>6.75</v>
      </c>
      <c r="U163" s="7">
        <f t="shared" si="37"/>
        <v>1290.7951072492265</v>
      </c>
      <c r="V163" s="2">
        <f t="shared" si="41"/>
        <v>-327.07510724922645</v>
      </c>
      <c r="W163" s="9">
        <f t="shared" si="42"/>
        <v>1</v>
      </c>
      <c r="X163" s="3">
        <v>145670</v>
      </c>
      <c r="Y163" s="3">
        <f t="shared" si="43"/>
        <v>0.11137931034318171</v>
      </c>
      <c r="Z163" s="7">
        <f t="shared" si="44"/>
        <v>1005.5086806042503</v>
      </c>
      <c r="AA163" s="2">
        <f t="shared" si="38"/>
        <v>-41.788680604250317</v>
      </c>
      <c r="AB163" s="8">
        <f t="shared" si="45"/>
        <v>1</v>
      </c>
      <c r="AC163" s="10">
        <v>6.125</v>
      </c>
      <c r="AD163" s="7">
        <f t="shared" si="46"/>
        <v>945.80210634052389</v>
      </c>
      <c r="AE163" s="2">
        <f t="shared" si="47"/>
        <v>17.917893659476135</v>
      </c>
      <c r="AF163" s="10">
        <v>3</v>
      </c>
      <c r="AG163" s="3">
        <f t="shared" si="48"/>
        <v>4370.1000000000004</v>
      </c>
      <c r="AH163" s="7">
        <v>2900</v>
      </c>
      <c r="AI163">
        <f t="shared" si="49"/>
        <v>360</v>
      </c>
      <c r="AJ163" t="e">
        <f>VLOOKUP(A163,'Borrower Details'!$A$1:$H$1493,8,FALSE)</f>
        <v>#N/A</v>
      </c>
      <c r="AK163" s="4" t="e">
        <f t="shared" si="50"/>
        <v>#N/A</v>
      </c>
      <c r="AL163" s="10">
        <v>6.75</v>
      </c>
      <c r="AM163" s="3">
        <f t="shared" si="51"/>
        <v>145669.88694999999</v>
      </c>
      <c r="AN163">
        <v>6.75</v>
      </c>
      <c r="AO163" s="7">
        <f t="shared" si="52"/>
        <v>1005.5079002599355</v>
      </c>
      <c r="AP163" s="2">
        <f t="shared" si="53"/>
        <v>-41.787900259935441</v>
      </c>
    </row>
    <row r="164" spans="1:42" x14ac:dyDescent="0.15">
      <c r="A164" s="8">
        <v>411147754</v>
      </c>
      <c r="B164" t="s">
        <v>37</v>
      </c>
      <c r="C164" t="s">
        <v>16</v>
      </c>
      <c r="D164" s="1">
        <v>39437</v>
      </c>
      <c r="E164" s="2">
        <v>145000</v>
      </c>
      <c r="F164" s="2">
        <v>108750</v>
      </c>
      <c r="G164" t="s">
        <v>17</v>
      </c>
      <c r="H164" s="2">
        <v>871.12</v>
      </c>
      <c r="I164" s="2">
        <v>108445.35</v>
      </c>
      <c r="J164">
        <v>8.9499999999999996E-2</v>
      </c>
      <c r="K164">
        <v>4</v>
      </c>
      <c r="L164">
        <v>355</v>
      </c>
      <c r="M164" t="str">
        <f t="shared" si="39"/>
        <v>30 Year Fixed</v>
      </c>
      <c r="N164" s="2">
        <v>808.82</v>
      </c>
      <c r="O164" t="str">
        <f t="shared" si="36"/>
        <v>Cash Out</v>
      </c>
      <c r="P164" s="3">
        <f t="shared" si="40"/>
        <v>12983.221428571429</v>
      </c>
      <c r="Q164" s="4">
        <v>123250</v>
      </c>
      <c r="R164" s="4" t="s">
        <v>41</v>
      </c>
      <c r="S164" s="6">
        <v>614</v>
      </c>
      <c r="T164">
        <v>6.875</v>
      </c>
      <c r="U164" s="7">
        <f t="shared" si="37"/>
        <v>861.01892952174046</v>
      </c>
      <c r="V164" s="2">
        <f t="shared" si="41"/>
        <v>10.101070478259544</v>
      </c>
      <c r="W164" s="9">
        <f t="shared" si="42"/>
        <v>0</v>
      </c>
      <c r="X164" s="3">
        <v>123250</v>
      </c>
      <c r="Y164" s="3">
        <f t="shared" si="43"/>
        <v>12983.221428571429</v>
      </c>
      <c r="Z164" s="7">
        <f t="shared" si="44"/>
        <v>861.01892952174046</v>
      </c>
      <c r="AA164" s="2">
        <f t="shared" si="38"/>
        <v>10.101070478259544</v>
      </c>
      <c r="AB164" s="8">
        <f t="shared" si="45"/>
        <v>0</v>
      </c>
      <c r="AC164" s="10">
        <v>6.875</v>
      </c>
      <c r="AD164" s="7">
        <f t="shared" si="46"/>
        <v>861.01892952174046</v>
      </c>
      <c r="AE164" s="2">
        <f t="shared" si="47"/>
        <v>10.101070478259544</v>
      </c>
      <c r="AF164" s="10">
        <v>0</v>
      </c>
      <c r="AG164" s="3">
        <f t="shared" si="48"/>
        <v>0</v>
      </c>
      <c r="AH164" s="7">
        <v>0</v>
      </c>
      <c r="AI164">
        <f t="shared" si="49"/>
        <v>360</v>
      </c>
      <c r="AJ164" t="e">
        <f>VLOOKUP(A164,'Borrower Details'!$A$1:$H$1493,8,FALSE)</f>
        <v>#N/A</v>
      </c>
      <c r="AK164" s="4" t="e">
        <f t="shared" si="50"/>
        <v>#N/A</v>
      </c>
      <c r="AL164" s="10">
        <v>6.875</v>
      </c>
      <c r="AM164" s="3">
        <f t="shared" si="51"/>
        <v>110072.03025</v>
      </c>
      <c r="AN164">
        <v>6.875</v>
      </c>
      <c r="AO164" s="7">
        <f t="shared" si="52"/>
        <v>768.95822844738041</v>
      </c>
      <c r="AP164" s="2">
        <f t="shared" si="53"/>
        <v>102.1617715526196</v>
      </c>
    </row>
    <row r="165" spans="1:42" x14ac:dyDescent="0.15">
      <c r="A165" s="8">
        <v>1162932</v>
      </c>
      <c r="B165" t="s">
        <v>35</v>
      </c>
      <c r="C165" t="s">
        <v>16</v>
      </c>
      <c r="D165" s="1">
        <v>39160</v>
      </c>
      <c r="E165" s="2">
        <v>102000</v>
      </c>
      <c r="F165" s="2">
        <v>71000</v>
      </c>
      <c r="G165" t="s">
        <v>17</v>
      </c>
      <c r="H165" s="2">
        <v>612.61</v>
      </c>
      <c r="I165" s="2">
        <v>70624.36</v>
      </c>
      <c r="J165">
        <v>9.8000000000000004E-2</v>
      </c>
      <c r="K165">
        <v>13</v>
      </c>
      <c r="L165">
        <v>349</v>
      </c>
      <c r="M165" t="str">
        <f t="shared" si="39"/>
        <v>30 Year Fixed</v>
      </c>
      <c r="N165" s="2">
        <v>576.77</v>
      </c>
      <c r="O165" t="str">
        <f t="shared" si="36"/>
        <v>Cash Out</v>
      </c>
      <c r="P165" s="3">
        <f t="shared" si="40"/>
        <v>14794.359211822666</v>
      </c>
      <c r="Q165" s="4">
        <v>86700</v>
      </c>
      <c r="R165" s="4" t="s">
        <v>41</v>
      </c>
      <c r="S165" s="6">
        <v>524</v>
      </c>
      <c r="T165">
        <v>7.625</v>
      </c>
      <c r="U165" s="7">
        <f t="shared" si="37"/>
        <v>649.78217808946977</v>
      </c>
      <c r="V165" s="2">
        <f t="shared" si="41"/>
        <v>-37.172178089469753</v>
      </c>
      <c r="W165" s="9">
        <f t="shared" si="42"/>
        <v>1</v>
      </c>
      <c r="X165" s="3">
        <v>81670</v>
      </c>
      <c r="Y165" s="3">
        <f t="shared" si="43"/>
        <v>9838.6941871921299</v>
      </c>
      <c r="Z165" s="7">
        <f t="shared" si="44"/>
        <v>612.0843193144982</v>
      </c>
      <c r="AA165" s="2">
        <f t="shared" si="38"/>
        <v>0.52568068550181124</v>
      </c>
      <c r="AB165" s="8">
        <f t="shared" si="45"/>
        <v>0</v>
      </c>
      <c r="AC165" s="10">
        <v>7.625</v>
      </c>
      <c r="AD165" s="7">
        <f t="shared" si="46"/>
        <v>612.0843193144982</v>
      </c>
      <c r="AE165" s="2">
        <f t="shared" si="47"/>
        <v>0.52568068550181124</v>
      </c>
      <c r="AF165" s="10">
        <v>0</v>
      </c>
      <c r="AG165" s="3">
        <f t="shared" si="48"/>
        <v>0</v>
      </c>
      <c r="AH165" s="7">
        <v>3479</v>
      </c>
      <c r="AI165">
        <f t="shared" si="49"/>
        <v>360</v>
      </c>
      <c r="AJ165" t="e">
        <f>VLOOKUP(A165,'Borrower Details'!$A$1:$H$1493,8,FALSE)</f>
        <v>#N/A</v>
      </c>
      <c r="AK165" s="4" t="e">
        <f t="shared" si="50"/>
        <v>#N/A</v>
      </c>
      <c r="AL165" s="10">
        <v>7.625</v>
      </c>
      <c r="AM165" s="3">
        <f t="shared" si="51"/>
        <v>71683.725399999996</v>
      </c>
      <c r="AN165">
        <v>7.625</v>
      </c>
      <c r="AO165" s="7">
        <f t="shared" si="52"/>
        <v>537.24114445189673</v>
      </c>
      <c r="AP165" s="2">
        <f t="shared" si="53"/>
        <v>75.368855548103284</v>
      </c>
    </row>
    <row r="166" spans="1:42" x14ac:dyDescent="0.15">
      <c r="A166" s="8">
        <v>410460356</v>
      </c>
      <c r="B166" t="s">
        <v>37</v>
      </c>
      <c r="C166" t="s">
        <v>19</v>
      </c>
      <c r="D166" s="1">
        <v>39283</v>
      </c>
      <c r="E166" s="2">
        <v>63900</v>
      </c>
      <c r="F166" s="2">
        <v>57510</v>
      </c>
      <c r="G166" t="s">
        <v>17</v>
      </c>
      <c r="H166" s="2">
        <v>545.51</v>
      </c>
      <c r="I166" s="2">
        <v>57338.23</v>
      </c>
      <c r="J166">
        <v>0.1095</v>
      </c>
      <c r="K166">
        <v>9</v>
      </c>
      <c r="L166">
        <v>352</v>
      </c>
      <c r="M166" t="str">
        <f t="shared" si="39"/>
        <v>30 Year Fixed</v>
      </c>
      <c r="N166" s="2">
        <v>523.21</v>
      </c>
      <c r="O166" t="str">
        <f t="shared" si="36"/>
        <v>Refi</v>
      </c>
      <c r="P166" s="3">
        <f t="shared" si="40"/>
        <v>0</v>
      </c>
      <c r="Q166" s="4">
        <v>58198</v>
      </c>
      <c r="R166" s="4" t="s">
        <v>41</v>
      </c>
      <c r="S166" s="6">
        <v>598</v>
      </c>
      <c r="T166">
        <v>7.625</v>
      </c>
      <c r="U166" s="7">
        <f t="shared" si="37"/>
        <v>436.17097117013793</v>
      </c>
      <c r="V166" s="2">
        <f t="shared" si="41"/>
        <v>109.33902882986206</v>
      </c>
      <c r="W166" s="9">
        <f t="shared" si="42"/>
        <v>0</v>
      </c>
      <c r="X166" s="3">
        <v>58198</v>
      </c>
      <c r="Y166" s="3">
        <f t="shared" si="43"/>
        <v>-0.29896551724232268</v>
      </c>
      <c r="Z166" s="7">
        <f t="shared" si="44"/>
        <v>436.17097117013793</v>
      </c>
      <c r="AA166" s="2">
        <f t="shared" si="38"/>
        <v>109.33902882986206</v>
      </c>
      <c r="AB166" s="8">
        <f t="shared" si="45"/>
        <v>0</v>
      </c>
      <c r="AC166" s="10">
        <v>7.625</v>
      </c>
      <c r="AD166" s="7">
        <f t="shared" si="46"/>
        <v>436.17097117013793</v>
      </c>
      <c r="AE166" s="2">
        <f t="shared" si="47"/>
        <v>109.33902882986206</v>
      </c>
      <c r="AF166" s="10">
        <v>0</v>
      </c>
      <c r="AG166" s="3">
        <f t="shared" si="48"/>
        <v>0</v>
      </c>
      <c r="AH166" s="7">
        <v>0</v>
      </c>
      <c r="AI166">
        <f t="shared" si="49"/>
        <v>360</v>
      </c>
      <c r="AJ166" t="e">
        <f>VLOOKUP(A166,'Borrower Details'!$A$1:$H$1493,8,FALSE)</f>
        <v>#N/A</v>
      </c>
      <c r="AK166" s="4" t="e">
        <f t="shared" si="50"/>
        <v>#N/A</v>
      </c>
      <c r="AL166" s="10">
        <v>7.625</v>
      </c>
      <c r="AM166" s="3">
        <f t="shared" si="51"/>
        <v>58198.303449999999</v>
      </c>
      <c r="AN166">
        <v>7.625</v>
      </c>
      <c r="AO166" s="7">
        <f t="shared" si="52"/>
        <v>436.17324540776127</v>
      </c>
      <c r="AP166" s="2">
        <f t="shared" si="53"/>
        <v>109.33675459223872</v>
      </c>
    </row>
    <row r="167" spans="1:42" x14ac:dyDescent="0.15">
      <c r="A167" s="8">
        <v>410325864</v>
      </c>
      <c r="B167" t="s">
        <v>36</v>
      </c>
      <c r="C167" t="s">
        <v>19</v>
      </c>
      <c r="D167" s="1">
        <v>39237</v>
      </c>
      <c r="E167" s="2">
        <v>290000</v>
      </c>
      <c r="F167" s="2">
        <v>261000</v>
      </c>
      <c r="G167" t="s">
        <v>15</v>
      </c>
      <c r="H167" s="2">
        <v>2175.36</v>
      </c>
      <c r="I167" s="2">
        <v>260592.12</v>
      </c>
      <c r="J167">
        <v>9.8000000000000004E-2</v>
      </c>
      <c r="K167">
        <v>10</v>
      </c>
      <c r="L167">
        <v>351</v>
      </c>
      <c r="M167" t="str">
        <f t="shared" si="39"/>
        <v>30 Year Fixed</v>
      </c>
      <c r="N167" s="2">
        <v>2128.17</v>
      </c>
      <c r="O167" t="str">
        <f t="shared" si="36"/>
        <v>Refi</v>
      </c>
      <c r="P167" s="3">
        <f t="shared" si="40"/>
        <v>0</v>
      </c>
      <c r="Q167" s="4">
        <v>264501</v>
      </c>
      <c r="R167" s="4" t="s">
        <v>41</v>
      </c>
      <c r="S167" s="6">
        <v>564</v>
      </c>
      <c r="T167">
        <v>7.625</v>
      </c>
      <c r="U167" s="7">
        <f t="shared" si="37"/>
        <v>1982.3302870454768</v>
      </c>
      <c r="V167" s="2">
        <f t="shared" si="41"/>
        <v>193.02971295452335</v>
      </c>
      <c r="W167" s="9">
        <f t="shared" si="42"/>
        <v>0</v>
      </c>
      <c r="X167" s="3">
        <v>264501</v>
      </c>
      <c r="Y167" s="3">
        <f t="shared" si="43"/>
        <v>-1.7733989807311445E-3</v>
      </c>
      <c r="Z167" s="7">
        <f t="shared" si="44"/>
        <v>1982.3302870454768</v>
      </c>
      <c r="AA167" s="2">
        <f t="shared" si="38"/>
        <v>193.02971295452335</v>
      </c>
      <c r="AB167" s="8">
        <f t="shared" si="45"/>
        <v>0</v>
      </c>
      <c r="AC167" s="10">
        <v>7.625</v>
      </c>
      <c r="AD167" s="7">
        <f t="shared" si="46"/>
        <v>1982.3302870454768</v>
      </c>
      <c r="AE167" s="2">
        <f t="shared" si="47"/>
        <v>193.02971295452335</v>
      </c>
      <c r="AF167" s="10">
        <v>0</v>
      </c>
      <c r="AG167" s="3">
        <f t="shared" si="48"/>
        <v>0</v>
      </c>
      <c r="AH167" s="7">
        <v>5220</v>
      </c>
      <c r="AI167">
        <f t="shared" si="49"/>
        <v>360</v>
      </c>
      <c r="AJ167" t="e">
        <f>VLOOKUP(A167,'Borrower Details'!$A$1:$H$1493,8,FALSE)</f>
        <v>#N/A</v>
      </c>
      <c r="AK167" s="4" t="e">
        <f t="shared" si="50"/>
        <v>#N/A</v>
      </c>
      <c r="AL167" s="10">
        <v>7.625</v>
      </c>
      <c r="AM167" s="3">
        <f t="shared" si="51"/>
        <v>264501.00179999997</v>
      </c>
      <c r="AN167">
        <v>7.625</v>
      </c>
      <c r="AO167" s="7">
        <f t="shared" si="52"/>
        <v>1982.3303005357641</v>
      </c>
      <c r="AP167" s="2">
        <f t="shared" si="53"/>
        <v>193.02969946423605</v>
      </c>
    </row>
    <row r="168" spans="1:42" x14ac:dyDescent="0.15">
      <c r="A168" s="8">
        <v>1186832</v>
      </c>
      <c r="B168" t="s">
        <v>36</v>
      </c>
      <c r="C168" t="s">
        <v>19</v>
      </c>
      <c r="D168" s="1">
        <v>39181</v>
      </c>
      <c r="E168" s="2">
        <v>236000</v>
      </c>
      <c r="F168" s="2">
        <v>212400</v>
      </c>
      <c r="G168" t="s">
        <v>15</v>
      </c>
      <c r="H168" s="2">
        <v>1514.33</v>
      </c>
      <c r="I168" s="2">
        <v>210469.1</v>
      </c>
      <c r="J168">
        <v>7.6999999999999999E-2</v>
      </c>
      <c r="K168">
        <v>12</v>
      </c>
      <c r="L168">
        <v>348</v>
      </c>
      <c r="M168" t="str">
        <f t="shared" si="39"/>
        <v>30 Year Fixed</v>
      </c>
      <c r="N168" s="2">
        <v>1350.51</v>
      </c>
      <c r="O168" t="str">
        <f t="shared" si="36"/>
        <v>Refi</v>
      </c>
      <c r="P168" s="3">
        <f t="shared" si="40"/>
        <v>0</v>
      </c>
      <c r="Q168" s="4">
        <v>213626</v>
      </c>
      <c r="R168" s="4" t="s">
        <v>41</v>
      </c>
      <c r="S168" s="6">
        <v>656</v>
      </c>
      <c r="T168">
        <v>6.75</v>
      </c>
      <c r="U168" s="7">
        <f t="shared" si="37"/>
        <v>1474.5850031081457</v>
      </c>
      <c r="V168" s="2">
        <f t="shared" si="41"/>
        <v>39.744996891854271</v>
      </c>
      <c r="W168" s="9">
        <f t="shared" si="42"/>
        <v>0</v>
      </c>
      <c r="X168" s="3">
        <v>213626</v>
      </c>
      <c r="Y168" s="3">
        <f t="shared" si="43"/>
        <v>-0.13448275861446746</v>
      </c>
      <c r="Z168" s="7">
        <f t="shared" si="44"/>
        <v>1474.5850031081457</v>
      </c>
      <c r="AA168" s="2">
        <f t="shared" si="38"/>
        <v>39.744996891854271</v>
      </c>
      <c r="AB168" s="8">
        <f t="shared" si="45"/>
        <v>1</v>
      </c>
      <c r="AC168" s="10">
        <v>6.125</v>
      </c>
      <c r="AD168" s="7">
        <f t="shared" si="46"/>
        <v>1387.0249246179771</v>
      </c>
      <c r="AE168" s="2">
        <f t="shared" si="47"/>
        <v>127.30507538202278</v>
      </c>
      <c r="AF168" s="10">
        <v>3</v>
      </c>
      <c r="AG168" s="3">
        <f t="shared" si="48"/>
        <v>6408.78</v>
      </c>
      <c r="AH168" s="7">
        <v>4248</v>
      </c>
      <c r="AI168">
        <f t="shared" si="49"/>
        <v>360</v>
      </c>
      <c r="AJ168" t="e">
        <f>VLOOKUP(A168,'Borrower Details'!$A$1:$H$1493,8,FALSE)</f>
        <v>#N/A</v>
      </c>
      <c r="AK168" s="4" t="e">
        <f t="shared" si="50"/>
        <v>#N/A</v>
      </c>
      <c r="AL168" s="10">
        <v>6.75</v>
      </c>
      <c r="AM168" s="3">
        <f t="shared" si="51"/>
        <v>213626.13649999999</v>
      </c>
      <c r="AN168">
        <v>6.75</v>
      </c>
      <c r="AO168" s="7">
        <f t="shared" si="52"/>
        <v>1474.5859453195476</v>
      </c>
      <c r="AP168" s="2">
        <f t="shared" si="53"/>
        <v>39.744054680452336</v>
      </c>
    </row>
    <row r="169" spans="1:42" x14ac:dyDescent="0.15">
      <c r="A169" s="8">
        <v>411011414</v>
      </c>
      <c r="B169" t="s">
        <v>35</v>
      </c>
      <c r="C169" t="s">
        <v>16</v>
      </c>
      <c r="D169" s="1">
        <v>39374</v>
      </c>
      <c r="E169" s="2">
        <v>77500</v>
      </c>
      <c r="F169" s="2">
        <v>62000</v>
      </c>
      <c r="G169" t="s">
        <v>17</v>
      </c>
      <c r="H169" s="2">
        <v>648.5</v>
      </c>
      <c r="I169" s="2">
        <v>61913.89</v>
      </c>
      <c r="J169">
        <v>0.12225</v>
      </c>
      <c r="K169">
        <v>6</v>
      </c>
      <c r="L169">
        <v>355</v>
      </c>
      <c r="M169" t="str">
        <f t="shared" si="39"/>
        <v>30 Year Fixed</v>
      </c>
      <c r="N169" s="2">
        <v>630.75</v>
      </c>
      <c r="O169" t="str">
        <f t="shared" si="36"/>
        <v>Cash Out</v>
      </c>
      <c r="P169" s="3">
        <f t="shared" si="40"/>
        <v>2987.5878325123194</v>
      </c>
      <c r="Q169" s="4">
        <v>65875</v>
      </c>
      <c r="R169" s="4" t="s">
        <v>41</v>
      </c>
      <c r="S169" s="6">
        <v>524</v>
      </c>
      <c r="T169">
        <v>7.625</v>
      </c>
      <c r="U169" s="7">
        <f t="shared" si="37"/>
        <v>493.70704707778339</v>
      </c>
      <c r="V169" s="2">
        <f t="shared" si="41"/>
        <v>154.79295292221661</v>
      </c>
      <c r="W169" s="9">
        <f t="shared" si="42"/>
        <v>0</v>
      </c>
      <c r="X169" s="3">
        <v>65875</v>
      </c>
      <c r="Y169" s="3">
        <f t="shared" si="43"/>
        <v>2987.5878325123194</v>
      </c>
      <c r="Z169" s="7">
        <f t="shared" si="44"/>
        <v>493.70704707778339</v>
      </c>
      <c r="AA169" s="2">
        <f t="shared" si="38"/>
        <v>154.79295292221661</v>
      </c>
      <c r="AB169" s="8">
        <f t="shared" si="45"/>
        <v>0</v>
      </c>
      <c r="AC169" s="10">
        <v>7.625</v>
      </c>
      <c r="AD169" s="7">
        <f t="shared" si="46"/>
        <v>493.70704707778339</v>
      </c>
      <c r="AE169" s="2">
        <f t="shared" si="47"/>
        <v>154.79295292221661</v>
      </c>
      <c r="AF169" s="10">
        <v>0</v>
      </c>
      <c r="AG169" s="3">
        <f t="shared" si="48"/>
        <v>0</v>
      </c>
      <c r="AH169" s="7">
        <v>3789.75</v>
      </c>
      <c r="AI169">
        <f t="shared" si="49"/>
        <v>360</v>
      </c>
      <c r="AJ169" t="e">
        <f>VLOOKUP(A169,'Borrower Details'!$A$1:$H$1493,8,FALSE)</f>
        <v>#N/A</v>
      </c>
      <c r="AK169" s="4" t="e">
        <f t="shared" si="50"/>
        <v>#N/A</v>
      </c>
      <c r="AL169" s="10">
        <v>7.625</v>
      </c>
      <c r="AM169" s="3">
        <f t="shared" si="51"/>
        <v>62842.598349999993</v>
      </c>
      <c r="AN169">
        <v>7.625</v>
      </c>
      <c r="AO169" s="7">
        <f t="shared" si="52"/>
        <v>470.98039714722853</v>
      </c>
      <c r="AP169" s="2">
        <f t="shared" si="53"/>
        <v>177.51960285277147</v>
      </c>
    </row>
    <row r="170" spans="1:42" x14ac:dyDescent="0.15">
      <c r="A170" s="8">
        <v>410922264</v>
      </c>
      <c r="B170" t="s">
        <v>38</v>
      </c>
      <c r="C170" t="s">
        <v>16</v>
      </c>
      <c r="D170" s="1">
        <v>39349</v>
      </c>
      <c r="E170" s="2">
        <v>213000</v>
      </c>
      <c r="F170" s="2">
        <v>170400</v>
      </c>
      <c r="G170" t="s">
        <v>20</v>
      </c>
      <c r="H170" s="2">
        <v>1561.46</v>
      </c>
      <c r="I170" s="2">
        <v>170250.67</v>
      </c>
      <c r="J170">
        <v>0.1085</v>
      </c>
      <c r="K170">
        <v>7</v>
      </c>
      <c r="L170">
        <v>353</v>
      </c>
      <c r="M170" t="str">
        <f t="shared" si="39"/>
        <v>30 Year Fixed</v>
      </c>
      <c r="N170" s="2">
        <v>1539.35</v>
      </c>
      <c r="O170" t="str">
        <f t="shared" si="36"/>
        <v>Cash Out</v>
      </c>
      <c r="P170" s="3">
        <f t="shared" si="40"/>
        <v>8123.7142364532046</v>
      </c>
      <c r="Q170" s="4">
        <v>181050</v>
      </c>
      <c r="R170" s="4" t="s">
        <v>41</v>
      </c>
      <c r="S170" s="6">
        <v>530</v>
      </c>
      <c r="T170">
        <v>7.625</v>
      </c>
      <c r="U170" s="7">
        <f t="shared" si="37"/>
        <v>1356.8980777750692</v>
      </c>
      <c r="V170" s="2">
        <f t="shared" si="41"/>
        <v>204.56192222493087</v>
      </c>
      <c r="W170" s="9">
        <f t="shared" si="42"/>
        <v>0</v>
      </c>
      <c r="X170" s="3">
        <v>181050</v>
      </c>
      <c r="Y170" s="3">
        <f t="shared" si="43"/>
        <v>8123.7142364532046</v>
      </c>
      <c r="Z170" s="7">
        <f t="shared" si="44"/>
        <v>1356.8980777750692</v>
      </c>
      <c r="AA170" s="2">
        <f t="shared" si="38"/>
        <v>204.56192222493087</v>
      </c>
      <c r="AB170" s="8">
        <f t="shared" si="45"/>
        <v>0</v>
      </c>
      <c r="AC170" s="10">
        <v>7.625</v>
      </c>
      <c r="AD170" s="7">
        <f t="shared" si="46"/>
        <v>1356.8980777750692</v>
      </c>
      <c r="AE170" s="2">
        <f t="shared" si="47"/>
        <v>204.56192222493087</v>
      </c>
      <c r="AF170" s="10">
        <v>0</v>
      </c>
      <c r="AG170" s="3">
        <f t="shared" si="48"/>
        <v>0</v>
      </c>
      <c r="AH170" s="7">
        <v>0</v>
      </c>
      <c r="AI170">
        <f t="shared" si="49"/>
        <v>360</v>
      </c>
      <c r="AJ170" t="e">
        <f>VLOOKUP(A170,'Borrower Details'!$A$1:$H$1493,8,FALSE)</f>
        <v>#N/A</v>
      </c>
      <c r="AK170" s="4" t="e">
        <f t="shared" si="50"/>
        <v>#N/A</v>
      </c>
      <c r="AL170" s="10">
        <v>7.625</v>
      </c>
      <c r="AM170" s="3">
        <f t="shared" si="51"/>
        <v>172804.43005</v>
      </c>
      <c r="AN170">
        <v>7.625</v>
      </c>
      <c r="AO170" s="7">
        <f t="shared" si="52"/>
        <v>1295.1007951718389</v>
      </c>
      <c r="AP170" s="2">
        <f t="shared" si="53"/>
        <v>266.35920482816118</v>
      </c>
    </row>
    <row r="171" spans="1:42" x14ac:dyDescent="0.15">
      <c r="A171" s="8">
        <v>410969794</v>
      </c>
      <c r="B171" t="s">
        <v>35</v>
      </c>
      <c r="C171" t="s">
        <v>16</v>
      </c>
      <c r="D171" s="1">
        <v>39349</v>
      </c>
      <c r="E171" s="2">
        <v>130000</v>
      </c>
      <c r="F171" s="2">
        <v>104000</v>
      </c>
      <c r="G171" t="s">
        <v>17</v>
      </c>
      <c r="H171" s="2">
        <v>978.65</v>
      </c>
      <c r="I171" s="2">
        <v>103724.4</v>
      </c>
      <c r="J171">
        <v>0.1085</v>
      </c>
      <c r="K171">
        <v>7</v>
      </c>
      <c r="L171">
        <v>353</v>
      </c>
      <c r="M171" t="str">
        <f t="shared" si="39"/>
        <v>30 Year Fixed</v>
      </c>
      <c r="N171" s="2">
        <v>937.84</v>
      </c>
      <c r="O171" t="str">
        <f t="shared" si="36"/>
        <v>Cash Out</v>
      </c>
      <c r="P171" s="3">
        <f t="shared" si="40"/>
        <v>5142.5950738916436</v>
      </c>
      <c r="Q171" s="4">
        <v>110500</v>
      </c>
      <c r="R171" s="4" t="s">
        <v>41</v>
      </c>
      <c r="S171" s="6">
        <v>536</v>
      </c>
      <c r="T171">
        <v>7.625</v>
      </c>
      <c r="U171" s="7">
        <f t="shared" si="37"/>
        <v>828.15375638853982</v>
      </c>
      <c r="V171" s="2">
        <f t="shared" si="41"/>
        <v>150.49624361146016</v>
      </c>
      <c r="W171" s="9">
        <f t="shared" si="42"/>
        <v>0</v>
      </c>
      <c r="X171" s="3">
        <v>110500</v>
      </c>
      <c r="Y171" s="3">
        <f t="shared" si="43"/>
        <v>5142.5950738916436</v>
      </c>
      <c r="Z171" s="7">
        <f t="shared" si="44"/>
        <v>828.15375638853982</v>
      </c>
      <c r="AA171" s="2">
        <f t="shared" si="38"/>
        <v>150.49624361146016</v>
      </c>
      <c r="AB171" s="8">
        <f t="shared" si="45"/>
        <v>0</v>
      </c>
      <c r="AC171" s="10">
        <v>7.625</v>
      </c>
      <c r="AD171" s="7">
        <f t="shared" si="46"/>
        <v>828.15375638853982</v>
      </c>
      <c r="AE171" s="2">
        <f t="shared" si="47"/>
        <v>150.49624361146016</v>
      </c>
      <c r="AF171" s="10">
        <v>0</v>
      </c>
      <c r="AG171" s="3">
        <f t="shared" si="48"/>
        <v>0</v>
      </c>
      <c r="AH171" s="7">
        <v>5642</v>
      </c>
      <c r="AI171">
        <f t="shared" si="49"/>
        <v>360</v>
      </c>
      <c r="AJ171" t="e">
        <f>VLOOKUP(A171,'Borrower Details'!$A$1:$H$1493,8,FALSE)</f>
        <v>#N/A</v>
      </c>
      <c r="AK171" s="4" t="e">
        <f t="shared" si="50"/>
        <v>#N/A</v>
      </c>
      <c r="AL171" s="10">
        <v>7.625</v>
      </c>
      <c r="AM171" s="3">
        <f t="shared" si="51"/>
        <v>105280.26599999999</v>
      </c>
      <c r="AN171">
        <v>7.625</v>
      </c>
      <c r="AO171" s="7">
        <f t="shared" si="52"/>
        <v>789.0339163935264</v>
      </c>
      <c r="AP171" s="2">
        <f t="shared" si="53"/>
        <v>189.61608360647358</v>
      </c>
    </row>
    <row r="172" spans="1:42" x14ac:dyDescent="0.15">
      <c r="A172" s="8">
        <v>411148414</v>
      </c>
      <c r="B172" t="s">
        <v>38</v>
      </c>
      <c r="C172" t="s">
        <v>18</v>
      </c>
      <c r="D172" s="1">
        <v>39419</v>
      </c>
      <c r="E172" s="2">
        <v>137500</v>
      </c>
      <c r="F172" s="2">
        <v>103125</v>
      </c>
      <c r="G172" t="s">
        <v>17</v>
      </c>
      <c r="H172" s="2">
        <v>947.19</v>
      </c>
      <c r="I172" s="2">
        <v>102960.19</v>
      </c>
      <c r="J172">
        <v>0.1055</v>
      </c>
      <c r="K172">
        <v>4</v>
      </c>
      <c r="L172">
        <v>356</v>
      </c>
      <c r="M172" t="str">
        <f t="shared" si="39"/>
        <v>30 Year Fixed</v>
      </c>
      <c r="N172" s="2">
        <v>905.19</v>
      </c>
      <c r="O172" t="str">
        <f t="shared" si="36"/>
        <v>Cash Out</v>
      </c>
      <c r="P172" s="3">
        <f t="shared" si="40"/>
        <v>12187.593251231534</v>
      </c>
      <c r="Q172" s="4">
        <v>116875</v>
      </c>
      <c r="R172" s="4" t="s">
        <v>41</v>
      </c>
      <c r="S172" s="6">
        <v>559</v>
      </c>
      <c r="T172">
        <v>7.625</v>
      </c>
      <c r="U172" s="7">
        <f t="shared" si="37"/>
        <v>875.93185771864796</v>
      </c>
      <c r="V172" s="2">
        <f t="shared" si="41"/>
        <v>71.258142281352093</v>
      </c>
      <c r="W172" s="9">
        <f t="shared" si="42"/>
        <v>0</v>
      </c>
      <c r="X172" s="3">
        <v>116875</v>
      </c>
      <c r="Y172" s="3">
        <f t="shared" si="43"/>
        <v>12187.593251231534</v>
      </c>
      <c r="Z172" s="7">
        <f t="shared" si="44"/>
        <v>875.93185771864796</v>
      </c>
      <c r="AA172" s="2">
        <f t="shared" si="38"/>
        <v>71.258142281352093</v>
      </c>
      <c r="AB172" s="8">
        <f t="shared" si="45"/>
        <v>0</v>
      </c>
      <c r="AC172" s="10">
        <v>7.625</v>
      </c>
      <c r="AD172" s="7">
        <f t="shared" si="46"/>
        <v>875.93185771864796</v>
      </c>
      <c r="AE172" s="2">
        <f t="shared" si="47"/>
        <v>71.258142281352093</v>
      </c>
      <c r="AF172" s="10">
        <v>0</v>
      </c>
      <c r="AG172" s="3">
        <f t="shared" si="48"/>
        <v>0</v>
      </c>
      <c r="AH172" s="7">
        <v>0</v>
      </c>
      <c r="AI172">
        <f t="shared" si="49"/>
        <v>360</v>
      </c>
      <c r="AJ172" t="e">
        <f>VLOOKUP(A172,'Borrower Details'!$A$1:$H$1493,8,FALSE)</f>
        <v>#N/A</v>
      </c>
      <c r="AK172" s="4" t="e">
        <f t="shared" si="50"/>
        <v>#N/A</v>
      </c>
      <c r="AL172" s="10">
        <v>7.625</v>
      </c>
      <c r="AM172" s="3">
        <f t="shared" si="51"/>
        <v>104504.59284999999</v>
      </c>
      <c r="AN172">
        <v>7.625</v>
      </c>
      <c r="AO172" s="7">
        <f t="shared" si="52"/>
        <v>783.22055319984111</v>
      </c>
      <c r="AP172" s="2">
        <f t="shared" si="53"/>
        <v>163.96944680015895</v>
      </c>
    </row>
    <row r="173" spans="1:42" x14ac:dyDescent="0.15">
      <c r="A173" s="8">
        <v>410183180</v>
      </c>
      <c r="B173" t="s">
        <v>36</v>
      </c>
      <c r="C173" t="s">
        <v>19</v>
      </c>
      <c r="D173" s="1">
        <v>39218</v>
      </c>
      <c r="E173" s="2">
        <v>121000</v>
      </c>
      <c r="F173" s="2">
        <v>114950</v>
      </c>
      <c r="G173" t="s">
        <v>15</v>
      </c>
      <c r="H173" s="2">
        <v>900.22</v>
      </c>
      <c r="I173" s="2">
        <v>114187.6</v>
      </c>
      <c r="J173">
        <v>8.6999999999999994E-2</v>
      </c>
      <c r="K173">
        <v>11</v>
      </c>
      <c r="L173">
        <v>349</v>
      </c>
      <c r="M173" t="str">
        <f t="shared" si="39"/>
        <v>30 Year Fixed</v>
      </c>
      <c r="N173" s="2">
        <v>827.86</v>
      </c>
      <c r="O173" t="str">
        <f t="shared" si="36"/>
        <v>Refi</v>
      </c>
      <c r="P173" s="3">
        <f t="shared" si="40"/>
        <v>0</v>
      </c>
      <c r="Q173" s="4">
        <v>115900</v>
      </c>
      <c r="R173" s="4" t="s">
        <v>41</v>
      </c>
      <c r="S173" s="6">
        <v>615</v>
      </c>
      <c r="T173">
        <v>6.875</v>
      </c>
      <c r="U173" s="7">
        <f t="shared" si="37"/>
        <v>809.67216171659004</v>
      </c>
      <c r="V173" s="2">
        <f t="shared" si="41"/>
        <v>90.547838283409988</v>
      </c>
      <c r="W173" s="9">
        <f t="shared" si="42"/>
        <v>0</v>
      </c>
      <c r="X173" s="3">
        <v>115901</v>
      </c>
      <c r="Y173" s="3">
        <f t="shared" si="43"/>
        <v>0.57733990148699377</v>
      </c>
      <c r="Z173" s="7">
        <f t="shared" si="44"/>
        <v>809.67914767139359</v>
      </c>
      <c r="AA173" s="2">
        <f t="shared" si="38"/>
        <v>90.540852328606434</v>
      </c>
      <c r="AB173" s="8">
        <f t="shared" si="45"/>
        <v>0</v>
      </c>
      <c r="AC173" s="10">
        <v>6.875</v>
      </c>
      <c r="AD173" s="7">
        <f t="shared" si="46"/>
        <v>809.67914767139359</v>
      </c>
      <c r="AE173" s="2">
        <f t="shared" si="47"/>
        <v>90.540852328606434</v>
      </c>
      <c r="AF173" s="10">
        <v>0</v>
      </c>
      <c r="AG173" s="3">
        <f t="shared" si="48"/>
        <v>0</v>
      </c>
      <c r="AH173" s="7">
        <v>2299</v>
      </c>
      <c r="AI173">
        <f t="shared" si="49"/>
        <v>360</v>
      </c>
      <c r="AJ173" t="e">
        <f>VLOOKUP(A173,'Borrower Details'!$A$1:$H$1493,8,FALSE)</f>
        <v>#N/A</v>
      </c>
      <c r="AK173" s="4" t="e">
        <f t="shared" si="50"/>
        <v>#N/A</v>
      </c>
      <c r="AL173" s="10">
        <v>6.875</v>
      </c>
      <c r="AM173" s="3">
        <f t="shared" si="51"/>
        <v>115900.41399999999</v>
      </c>
      <c r="AN173">
        <v>6.875</v>
      </c>
      <c r="AO173" s="7">
        <f t="shared" si="52"/>
        <v>809.67505390187864</v>
      </c>
      <c r="AP173" s="2">
        <f t="shared" si="53"/>
        <v>90.544946098121386</v>
      </c>
    </row>
    <row r="174" spans="1:42" x14ac:dyDescent="0.15">
      <c r="A174" s="8">
        <v>1153519</v>
      </c>
      <c r="B174" t="s">
        <v>36</v>
      </c>
      <c r="C174" t="s">
        <v>19</v>
      </c>
      <c r="D174" s="1">
        <v>39141</v>
      </c>
      <c r="E174" s="2">
        <v>178000</v>
      </c>
      <c r="F174" s="2">
        <v>160200</v>
      </c>
      <c r="G174" t="s">
        <v>17</v>
      </c>
      <c r="H174" s="2">
        <v>1308.95</v>
      </c>
      <c r="I174" s="2">
        <v>159671.53</v>
      </c>
      <c r="J174">
        <v>9.5899999999999999E-2</v>
      </c>
      <c r="K174">
        <v>14</v>
      </c>
      <c r="L174">
        <v>346</v>
      </c>
      <c r="M174" t="str">
        <f t="shared" si="39"/>
        <v>30 Year Fixed</v>
      </c>
      <c r="N174" s="2">
        <v>1276.04</v>
      </c>
      <c r="O174" t="str">
        <f t="shared" si="36"/>
        <v>Refi</v>
      </c>
      <c r="P174" s="3">
        <f t="shared" si="40"/>
        <v>0</v>
      </c>
      <c r="Q174" s="4">
        <v>162067</v>
      </c>
      <c r="R174" s="4" t="s">
        <v>41</v>
      </c>
      <c r="S174" s="6">
        <v>522</v>
      </c>
      <c r="T174">
        <v>7.625</v>
      </c>
      <c r="U174" s="7">
        <f t="shared" si="37"/>
        <v>1214.6280075712352</v>
      </c>
      <c r="V174" s="2">
        <f t="shared" si="41"/>
        <v>94.321992428764815</v>
      </c>
      <c r="W174" s="9">
        <f t="shared" si="42"/>
        <v>0</v>
      </c>
      <c r="X174" s="3">
        <v>162067</v>
      </c>
      <c r="Y174" s="3">
        <f t="shared" si="43"/>
        <v>0.39118226603022777</v>
      </c>
      <c r="Z174" s="7">
        <f t="shared" si="44"/>
        <v>1214.6280075712352</v>
      </c>
      <c r="AA174" s="2">
        <f t="shared" si="38"/>
        <v>94.321992428764815</v>
      </c>
      <c r="AB174" s="8">
        <f t="shared" si="45"/>
        <v>0</v>
      </c>
      <c r="AC174" s="10">
        <v>7.625</v>
      </c>
      <c r="AD174" s="7">
        <f t="shared" si="46"/>
        <v>1214.6280075712352</v>
      </c>
      <c r="AE174" s="2">
        <f t="shared" si="47"/>
        <v>94.321992428764815</v>
      </c>
      <c r="AF174" s="10">
        <v>0</v>
      </c>
      <c r="AG174" s="3">
        <f t="shared" si="48"/>
        <v>0</v>
      </c>
      <c r="AH174" s="7">
        <v>3204</v>
      </c>
      <c r="AI174">
        <f t="shared" si="49"/>
        <v>360</v>
      </c>
      <c r="AJ174" t="e">
        <f>VLOOKUP(A174,'Borrower Details'!$A$1:$H$1493,8,FALSE)</f>
        <v>#N/A</v>
      </c>
      <c r="AK174" s="4" t="e">
        <f t="shared" si="50"/>
        <v>#N/A</v>
      </c>
      <c r="AL174" s="10">
        <v>7.625</v>
      </c>
      <c r="AM174" s="3">
        <f t="shared" si="51"/>
        <v>162066.60294999997</v>
      </c>
      <c r="AN174">
        <v>7.625</v>
      </c>
      <c r="AO174" s="7">
        <f t="shared" si="52"/>
        <v>1214.6250318386651</v>
      </c>
      <c r="AP174" s="2">
        <f t="shared" si="53"/>
        <v>94.324968161334937</v>
      </c>
    </row>
    <row r="175" spans="1:42" x14ac:dyDescent="0.15">
      <c r="A175" s="8">
        <v>410894133</v>
      </c>
      <c r="B175" t="s">
        <v>36</v>
      </c>
      <c r="C175" t="s">
        <v>16</v>
      </c>
      <c r="D175" s="1">
        <v>39331</v>
      </c>
      <c r="E175" s="2">
        <v>184000</v>
      </c>
      <c r="F175" s="2">
        <v>174800</v>
      </c>
      <c r="G175" t="s">
        <v>20</v>
      </c>
      <c r="H175" s="2">
        <v>1831.73</v>
      </c>
      <c r="I175" s="2">
        <v>174458.48</v>
      </c>
      <c r="J175">
        <v>0.1225</v>
      </c>
      <c r="K175">
        <v>7</v>
      </c>
      <c r="L175">
        <v>353</v>
      </c>
      <c r="M175" t="str">
        <f t="shared" si="39"/>
        <v>30 Year Fixed</v>
      </c>
      <c r="N175" s="2">
        <v>1780.93</v>
      </c>
      <c r="O175" t="str">
        <f t="shared" si="36"/>
        <v>Refi</v>
      </c>
      <c r="P175" s="3">
        <f t="shared" si="40"/>
        <v>0</v>
      </c>
      <c r="Q175" s="4">
        <v>177075</v>
      </c>
      <c r="R175" s="4" t="s">
        <v>41</v>
      </c>
      <c r="S175" s="6">
        <v>583</v>
      </c>
      <c r="T175">
        <v>7.375</v>
      </c>
      <c r="U175" s="7">
        <f t="shared" si="37"/>
        <v>1296.7942676079858</v>
      </c>
      <c r="V175" s="2">
        <f t="shared" si="41"/>
        <v>534.93573239201419</v>
      </c>
      <c r="W175" s="9">
        <f t="shared" si="42"/>
        <v>0</v>
      </c>
      <c r="X175" s="3">
        <v>177075</v>
      </c>
      <c r="Y175" s="3">
        <f t="shared" si="43"/>
        <v>-0.35192118227132596</v>
      </c>
      <c r="Z175" s="7">
        <f t="shared" si="44"/>
        <v>1296.7942676079858</v>
      </c>
      <c r="AA175" s="2">
        <f t="shared" si="38"/>
        <v>534.93573239201419</v>
      </c>
      <c r="AB175" s="8">
        <f t="shared" si="45"/>
        <v>0</v>
      </c>
      <c r="AC175" s="10">
        <v>7.375</v>
      </c>
      <c r="AD175" s="7">
        <f t="shared" si="46"/>
        <v>1296.7942676079858</v>
      </c>
      <c r="AE175" s="2">
        <f t="shared" si="47"/>
        <v>534.93573239201419</v>
      </c>
      <c r="AF175" s="10">
        <v>0</v>
      </c>
      <c r="AG175" s="3">
        <f t="shared" si="48"/>
        <v>0</v>
      </c>
      <c r="AH175" s="7">
        <v>3496</v>
      </c>
      <c r="AI175">
        <f t="shared" si="49"/>
        <v>360</v>
      </c>
      <c r="AJ175" t="e">
        <f>VLOOKUP(A175,'Borrower Details'!$A$1:$H$1493,8,FALSE)</f>
        <v>#N/A</v>
      </c>
      <c r="AK175" s="4" t="e">
        <f t="shared" si="50"/>
        <v>#N/A</v>
      </c>
      <c r="AL175" s="10">
        <v>7.375</v>
      </c>
      <c r="AM175" s="3">
        <f t="shared" si="51"/>
        <v>177075.3572</v>
      </c>
      <c r="AN175">
        <v>7.375</v>
      </c>
      <c r="AO175" s="7">
        <f t="shared" si="52"/>
        <v>1296.7968835329464</v>
      </c>
      <c r="AP175" s="2">
        <f t="shared" si="53"/>
        <v>534.93311646705365</v>
      </c>
    </row>
    <row r="176" spans="1:42" x14ac:dyDescent="0.15">
      <c r="A176" s="8">
        <v>411063035</v>
      </c>
      <c r="B176" t="s">
        <v>38</v>
      </c>
      <c r="C176" t="s">
        <v>18</v>
      </c>
      <c r="D176" s="1">
        <v>39428</v>
      </c>
      <c r="E176" s="2">
        <v>320000</v>
      </c>
      <c r="F176" s="2">
        <v>272000</v>
      </c>
      <c r="G176" t="s">
        <v>20</v>
      </c>
      <c r="H176" s="2">
        <v>2528.86</v>
      </c>
      <c r="I176" s="2">
        <v>271580.32</v>
      </c>
      <c r="J176">
        <v>0.107</v>
      </c>
      <c r="K176">
        <v>4</v>
      </c>
      <c r="L176">
        <v>356</v>
      </c>
      <c r="M176" t="str">
        <f t="shared" si="39"/>
        <v>30 Year Fixed</v>
      </c>
      <c r="N176" s="2">
        <v>2421.59</v>
      </c>
      <c r="O176" t="str">
        <f t="shared" si="36"/>
        <v>Refi</v>
      </c>
      <c r="P176" s="3">
        <f t="shared" si="40"/>
        <v>0</v>
      </c>
      <c r="Q176" s="4">
        <v>275654</v>
      </c>
      <c r="R176" s="4" t="s">
        <v>41</v>
      </c>
      <c r="S176" s="6">
        <v>560</v>
      </c>
      <c r="T176">
        <v>7.625</v>
      </c>
      <c r="U176" s="7">
        <f t="shared" si="37"/>
        <v>2065.917606909743</v>
      </c>
      <c r="V176" s="2">
        <f t="shared" si="41"/>
        <v>462.94239309025716</v>
      </c>
      <c r="W176" s="9">
        <f t="shared" si="42"/>
        <v>0</v>
      </c>
      <c r="X176" s="3">
        <v>275654</v>
      </c>
      <c r="Y176" s="3">
        <f t="shared" si="43"/>
        <v>-2.4433497514110059E-2</v>
      </c>
      <c r="Z176" s="7">
        <f t="shared" si="44"/>
        <v>2065.917606909743</v>
      </c>
      <c r="AA176" s="2">
        <f t="shared" si="38"/>
        <v>462.94239309025716</v>
      </c>
      <c r="AB176" s="8">
        <f t="shared" si="45"/>
        <v>0</v>
      </c>
      <c r="AC176" s="10">
        <v>7.625</v>
      </c>
      <c r="AD176" s="7">
        <f t="shared" si="46"/>
        <v>2065.917606909743</v>
      </c>
      <c r="AE176" s="2">
        <f t="shared" si="47"/>
        <v>462.94239309025716</v>
      </c>
      <c r="AF176" s="10">
        <v>0</v>
      </c>
      <c r="AG176" s="3">
        <f t="shared" si="48"/>
        <v>0</v>
      </c>
      <c r="AH176" s="7">
        <v>0</v>
      </c>
      <c r="AI176">
        <f t="shared" si="49"/>
        <v>360</v>
      </c>
      <c r="AJ176" t="e">
        <f>VLOOKUP(A176,'Borrower Details'!$A$1:$H$1493,8,FALSE)</f>
        <v>#N/A</v>
      </c>
      <c r="AK176" s="4" t="e">
        <f t="shared" si="50"/>
        <v>#N/A</v>
      </c>
      <c r="AL176" s="10">
        <v>7.625</v>
      </c>
      <c r="AM176" s="3">
        <f t="shared" si="51"/>
        <v>275654.02479999996</v>
      </c>
      <c r="AN176">
        <v>7.625</v>
      </c>
      <c r="AO176" s="7">
        <f t="shared" si="52"/>
        <v>2065.9177927759247</v>
      </c>
      <c r="AP176" s="2">
        <f t="shared" si="53"/>
        <v>462.94220722407545</v>
      </c>
    </row>
    <row r="177" spans="1:42" x14ac:dyDescent="0.15">
      <c r="A177" s="8">
        <v>1141947</v>
      </c>
      <c r="B177" t="s">
        <v>36</v>
      </c>
      <c r="C177" t="s">
        <v>19</v>
      </c>
      <c r="D177" s="1">
        <v>39141</v>
      </c>
      <c r="E177" s="2">
        <v>245000</v>
      </c>
      <c r="F177" s="2">
        <v>208250</v>
      </c>
      <c r="G177" t="s">
        <v>17</v>
      </c>
      <c r="H177" s="2">
        <v>1381.96</v>
      </c>
      <c r="I177" s="2">
        <v>207854.91</v>
      </c>
      <c r="J177">
        <v>7.8E-2</v>
      </c>
      <c r="K177">
        <v>14</v>
      </c>
      <c r="L177">
        <v>347</v>
      </c>
      <c r="M177" t="str">
        <f t="shared" si="39"/>
        <v>30 Year Fixed</v>
      </c>
      <c r="N177" s="2">
        <v>1351.06</v>
      </c>
      <c r="O177" t="str">
        <f t="shared" si="36"/>
        <v>Refi</v>
      </c>
      <c r="P177" s="3">
        <f t="shared" si="40"/>
        <v>0</v>
      </c>
      <c r="Q177" s="4">
        <v>210973</v>
      </c>
      <c r="R177" s="4" t="s">
        <v>41</v>
      </c>
      <c r="S177" s="6">
        <v>586</v>
      </c>
      <c r="T177">
        <v>7.375</v>
      </c>
      <c r="U177" s="7">
        <f t="shared" si="37"/>
        <v>1545.0434958071983</v>
      </c>
      <c r="V177" s="2">
        <f t="shared" si="41"/>
        <v>-163.08349580719823</v>
      </c>
      <c r="W177" s="9">
        <f t="shared" si="42"/>
        <v>0</v>
      </c>
      <c r="X177" s="3">
        <v>210973</v>
      </c>
      <c r="Y177" s="3">
        <f t="shared" si="43"/>
        <v>0.26241379312705249</v>
      </c>
      <c r="Z177" s="7">
        <f t="shared" si="44"/>
        <v>1545.0434958071983</v>
      </c>
      <c r="AA177" s="2">
        <f t="shared" si="38"/>
        <v>-163.08349580719823</v>
      </c>
      <c r="AB177" s="8">
        <f t="shared" si="45"/>
        <v>1</v>
      </c>
      <c r="AC177" s="10">
        <v>6.625</v>
      </c>
      <c r="AD177" s="7">
        <f t="shared" si="46"/>
        <v>1438.7886605756748</v>
      </c>
      <c r="AE177" s="2">
        <f t="shared" si="47"/>
        <v>-56.828660575674803</v>
      </c>
      <c r="AF177" s="10">
        <v>1.875</v>
      </c>
      <c r="AG177" s="3">
        <f t="shared" si="48"/>
        <v>3955.7437500000001</v>
      </c>
      <c r="AH177" s="7">
        <v>4165</v>
      </c>
      <c r="AI177">
        <f t="shared" si="49"/>
        <v>360</v>
      </c>
      <c r="AJ177" t="e">
        <f>VLOOKUP(A177,'Borrower Details'!$A$1:$H$1493,8,FALSE)</f>
        <v>#N/A</v>
      </c>
      <c r="AK177" s="4" t="e">
        <f t="shared" si="50"/>
        <v>#N/A</v>
      </c>
      <c r="AL177" s="10">
        <v>7.375</v>
      </c>
      <c r="AM177" s="3">
        <f t="shared" si="51"/>
        <v>210972.73364999998</v>
      </c>
      <c r="AN177">
        <v>7.375</v>
      </c>
      <c r="AO177" s="7">
        <f t="shared" si="52"/>
        <v>1545.0415452147756</v>
      </c>
      <c r="AP177" s="2">
        <f t="shared" si="53"/>
        <v>-163.08154521477559</v>
      </c>
    </row>
    <row r="178" spans="1:42" x14ac:dyDescent="0.15">
      <c r="A178" s="8">
        <v>410564611</v>
      </c>
      <c r="B178" t="s">
        <v>35</v>
      </c>
      <c r="C178" t="s">
        <v>16</v>
      </c>
      <c r="D178" s="1">
        <v>39272</v>
      </c>
      <c r="E178" s="2">
        <v>131000</v>
      </c>
      <c r="F178" s="2">
        <v>104800</v>
      </c>
      <c r="G178" t="s">
        <v>17</v>
      </c>
      <c r="H178" s="2">
        <v>911.97</v>
      </c>
      <c r="I178" s="2">
        <v>104359.34</v>
      </c>
      <c r="J178">
        <v>9.9000000000000005E-2</v>
      </c>
      <c r="K178">
        <v>9</v>
      </c>
      <c r="L178">
        <v>351</v>
      </c>
      <c r="M178" t="str">
        <f t="shared" si="39"/>
        <v>30 Year Fixed</v>
      </c>
      <c r="N178" s="2">
        <v>860.96</v>
      </c>
      <c r="O178" t="str">
        <f t="shared" si="36"/>
        <v>Cash Out</v>
      </c>
      <c r="P178" s="3">
        <f t="shared" si="40"/>
        <v>5345.0934975369601</v>
      </c>
      <c r="Q178" s="4">
        <v>111350</v>
      </c>
      <c r="R178" s="4" t="s">
        <v>41</v>
      </c>
      <c r="S178" s="6">
        <v>529</v>
      </c>
      <c r="T178">
        <v>7.625</v>
      </c>
      <c r="U178" s="7">
        <f t="shared" si="37"/>
        <v>834.52416989922096</v>
      </c>
      <c r="V178" s="2">
        <f t="shared" si="41"/>
        <v>77.445830100779062</v>
      </c>
      <c r="W178" s="9">
        <f t="shared" si="42"/>
        <v>0</v>
      </c>
      <c r="X178" s="3">
        <v>111350</v>
      </c>
      <c r="Y178" s="3">
        <f t="shared" si="43"/>
        <v>5345.0934975369601</v>
      </c>
      <c r="Z178" s="7">
        <f t="shared" si="44"/>
        <v>834.52416989922096</v>
      </c>
      <c r="AA178" s="2">
        <f t="shared" si="38"/>
        <v>77.445830100779062</v>
      </c>
      <c r="AB178" s="8">
        <f t="shared" si="45"/>
        <v>0</v>
      </c>
      <c r="AC178" s="10">
        <v>7.625</v>
      </c>
      <c r="AD178" s="7">
        <f t="shared" si="46"/>
        <v>834.52416989922096</v>
      </c>
      <c r="AE178" s="2">
        <f t="shared" si="47"/>
        <v>77.445830100779062</v>
      </c>
      <c r="AF178" s="10">
        <v>0</v>
      </c>
      <c r="AG178" s="3">
        <f t="shared" si="48"/>
        <v>0</v>
      </c>
      <c r="AH178" s="7">
        <v>5187.6000000000004</v>
      </c>
      <c r="AI178">
        <f t="shared" si="49"/>
        <v>360</v>
      </c>
      <c r="AJ178" t="e">
        <f>VLOOKUP(A178,'Borrower Details'!$A$1:$H$1493,8,FALSE)</f>
        <v>#N/A</v>
      </c>
      <c r="AK178" s="4" t="e">
        <f t="shared" si="50"/>
        <v>#N/A</v>
      </c>
      <c r="AL178" s="10">
        <v>7.625</v>
      </c>
      <c r="AM178" s="3">
        <f t="shared" si="51"/>
        <v>105924.73009999999</v>
      </c>
      <c r="AN178">
        <v>7.625</v>
      </c>
      <c r="AO178" s="7">
        <f t="shared" si="52"/>
        <v>793.86391969916042</v>
      </c>
      <c r="AP178" s="2">
        <f t="shared" si="53"/>
        <v>118.10608030083961</v>
      </c>
    </row>
    <row r="179" spans="1:42" x14ac:dyDescent="0.15">
      <c r="A179" s="8">
        <v>410712814</v>
      </c>
      <c r="B179" t="s">
        <v>36</v>
      </c>
      <c r="C179" t="s">
        <v>16</v>
      </c>
      <c r="D179" s="1">
        <v>39297</v>
      </c>
      <c r="E179" s="2">
        <v>237500</v>
      </c>
      <c r="F179" s="2">
        <v>213750</v>
      </c>
      <c r="G179" t="s">
        <v>20</v>
      </c>
      <c r="H179" s="2">
        <v>1758.47</v>
      </c>
      <c r="I179" s="2">
        <v>212542.91</v>
      </c>
      <c r="J179">
        <v>9.2499999999999999E-2</v>
      </c>
      <c r="K179">
        <v>9</v>
      </c>
      <c r="L179">
        <v>350</v>
      </c>
      <c r="M179" t="str">
        <f t="shared" si="39"/>
        <v>30 Year Fixed</v>
      </c>
      <c r="N179" s="2">
        <v>1639.33</v>
      </c>
      <c r="O179" t="str">
        <f t="shared" si="36"/>
        <v>Refi</v>
      </c>
      <c r="P179" s="3">
        <f t="shared" si="40"/>
        <v>0</v>
      </c>
      <c r="Q179" s="4">
        <v>215731</v>
      </c>
      <c r="R179" s="4" t="s">
        <v>41</v>
      </c>
      <c r="S179" s="6">
        <v>584</v>
      </c>
      <c r="T179">
        <v>7.375</v>
      </c>
      <c r="U179" s="7">
        <f t="shared" si="37"/>
        <v>1579.8883193298793</v>
      </c>
      <c r="V179" s="2">
        <f t="shared" si="41"/>
        <v>178.5816806701207</v>
      </c>
      <c r="W179" s="9">
        <f t="shared" si="42"/>
        <v>0</v>
      </c>
      <c r="X179" s="3">
        <v>215731</v>
      </c>
      <c r="Y179" s="3">
        <f t="shared" si="43"/>
        <v>-5.2857142844004557E-2</v>
      </c>
      <c r="Z179" s="7">
        <f t="shared" si="44"/>
        <v>1579.8883193298793</v>
      </c>
      <c r="AA179" s="2">
        <f t="shared" si="38"/>
        <v>178.5816806701207</v>
      </c>
      <c r="AB179" s="8">
        <f t="shared" si="45"/>
        <v>0</v>
      </c>
      <c r="AC179" s="10">
        <v>7.375</v>
      </c>
      <c r="AD179" s="7">
        <f t="shared" si="46"/>
        <v>1579.8883193298793</v>
      </c>
      <c r="AE179" s="2">
        <f t="shared" si="47"/>
        <v>178.5816806701207</v>
      </c>
      <c r="AF179" s="10">
        <v>0</v>
      </c>
      <c r="AG179" s="3">
        <f t="shared" si="48"/>
        <v>0</v>
      </c>
      <c r="AH179" s="7">
        <v>4275</v>
      </c>
      <c r="AI179">
        <f t="shared" si="49"/>
        <v>360</v>
      </c>
      <c r="AJ179" t="e">
        <f>VLOOKUP(A179,'Borrower Details'!$A$1:$H$1493,8,FALSE)</f>
        <v>#N/A</v>
      </c>
      <c r="AK179" s="4" t="e">
        <f t="shared" si="50"/>
        <v>#N/A</v>
      </c>
      <c r="AL179" s="10">
        <v>7.375</v>
      </c>
      <c r="AM179" s="3">
        <f t="shared" si="51"/>
        <v>215731.05364999999</v>
      </c>
      <c r="AN179">
        <v>7.375</v>
      </c>
      <c r="AO179" s="7">
        <f t="shared" si="52"/>
        <v>1579.8887122312626</v>
      </c>
      <c r="AP179" s="2">
        <f t="shared" si="53"/>
        <v>178.58128776873741</v>
      </c>
    </row>
    <row r="180" spans="1:42" x14ac:dyDescent="0.15">
      <c r="A180" s="8">
        <v>410610174</v>
      </c>
      <c r="B180" t="s">
        <v>35</v>
      </c>
      <c r="C180" t="s">
        <v>16</v>
      </c>
      <c r="D180" s="1">
        <v>39293</v>
      </c>
      <c r="E180" s="2">
        <v>124000</v>
      </c>
      <c r="F180" s="2">
        <v>100000</v>
      </c>
      <c r="G180" t="s">
        <v>17</v>
      </c>
      <c r="H180" s="2">
        <v>803.91</v>
      </c>
      <c r="I180" s="2">
        <v>99432.92</v>
      </c>
      <c r="J180">
        <v>8.9899999999999994E-2</v>
      </c>
      <c r="K180">
        <v>9</v>
      </c>
      <c r="L180">
        <v>350</v>
      </c>
      <c r="M180" t="str">
        <f t="shared" si="39"/>
        <v>30 Year Fixed</v>
      </c>
      <c r="N180" s="2">
        <v>744.92</v>
      </c>
      <c r="O180" t="str">
        <f t="shared" si="36"/>
        <v>Cash Out</v>
      </c>
      <c r="P180" s="3">
        <f t="shared" si="40"/>
        <v>4409.4445320197119</v>
      </c>
      <c r="Q180" s="4">
        <v>105400</v>
      </c>
      <c r="R180" s="4" t="s">
        <v>41</v>
      </c>
      <c r="S180" s="6">
        <v>608</v>
      </c>
      <c r="T180">
        <v>6.875</v>
      </c>
      <c r="U180" s="7">
        <f t="shared" si="37"/>
        <v>736.3196362806608</v>
      </c>
      <c r="V180" s="2">
        <f t="shared" si="41"/>
        <v>67.590363719339166</v>
      </c>
      <c r="W180" s="9">
        <f t="shared" si="42"/>
        <v>0</v>
      </c>
      <c r="X180" s="3">
        <v>105400</v>
      </c>
      <c r="Y180" s="3">
        <f t="shared" si="43"/>
        <v>4409.4445320197119</v>
      </c>
      <c r="Z180" s="7">
        <f t="shared" si="44"/>
        <v>736.3196362806608</v>
      </c>
      <c r="AA180" s="2">
        <f t="shared" si="38"/>
        <v>67.590363719339166</v>
      </c>
      <c r="AB180" s="8">
        <f t="shared" si="45"/>
        <v>0</v>
      </c>
      <c r="AC180" s="10">
        <v>6.875</v>
      </c>
      <c r="AD180" s="7">
        <f t="shared" si="46"/>
        <v>736.3196362806608</v>
      </c>
      <c r="AE180" s="2">
        <f t="shared" si="47"/>
        <v>67.590363719339166</v>
      </c>
      <c r="AF180" s="10">
        <v>0</v>
      </c>
      <c r="AG180" s="3">
        <f t="shared" si="48"/>
        <v>0</v>
      </c>
      <c r="AH180" s="7">
        <v>4495</v>
      </c>
      <c r="AI180">
        <f t="shared" si="49"/>
        <v>360</v>
      </c>
      <c r="AJ180" t="e">
        <f>VLOOKUP(A180,'Borrower Details'!$A$1:$H$1493,8,FALSE)</f>
        <v>#N/A</v>
      </c>
      <c r="AK180" s="4" t="e">
        <f t="shared" si="50"/>
        <v>#N/A</v>
      </c>
      <c r="AL180" s="10">
        <v>6.875</v>
      </c>
      <c r="AM180" s="3">
        <f t="shared" si="51"/>
        <v>100924.41379999999</v>
      </c>
      <c r="AN180">
        <v>6.875</v>
      </c>
      <c r="AO180" s="7">
        <f t="shared" si="52"/>
        <v>705.05339336864233</v>
      </c>
      <c r="AP180" s="2">
        <f t="shared" si="53"/>
        <v>98.856606631357636</v>
      </c>
    </row>
    <row r="181" spans="1:42" x14ac:dyDescent="0.15">
      <c r="A181" s="8">
        <v>411058852</v>
      </c>
      <c r="B181" t="s">
        <v>35</v>
      </c>
      <c r="C181" t="s">
        <v>16</v>
      </c>
      <c r="D181" s="1">
        <v>39395</v>
      </c>
      <c r="E181" s="2">
        <v>165000</v>
      </c>
      <c r="F181" s="2">
        <v>140250</v>
      </c>
      <c r="G181" t="s">
        <v>17</v>
      </c>
      <c r="H181" s="2">
        <v>1251.58</v>
      </c>
      <c r="I181" s="2">
        <v>139885.60999999999</v>
      </c>
      <c r="J181">
        <v>0.10199999999999999</v>
      </c>
      <c r="K181">
        <v>5</v>
      </c>
      <c r="L181">
        <v>354</v>
      </c>
      <c r="M181" t="str">
        <f t="shared" si="39"/>
        <v>30 Year Fixed</v>
      </c>
      <c r="N181" s="2">
        <v>1189.03</v>
      </c>
      <c r="O181" t="str">
        <f t="shared" si="36"/>
        <v>Refi</v>
      </c>
      <c r="P181" s="3">
        <f t="shared" si="40"/>
        <v>0</v>
      </c>
      <c r="Q181" s="4">
        <v>141984</v>
      </c>
      <c r="R181" s="4" t="s">
        <v>41</v>
      </c>
      <c r="S181" s="6">
        <v>609</v>
      </c>
      <c r="T181">
        <v>6.875</v>
      </c>
      <c r="U181" s="7">
        <f t="shared" si="37"/>
        <v>991.89380680904503</v>
      </c>
      <c r="V181" s="2">
        <f t="shared" si="41"/>
        <v>259.6861931909549</v>
      </c>
      <c r="W181" s="9">
        <f t="shared" si="42"/>
        <v>0</v>
      </c>
      <c r="X181" s="3">
        <v>141984</v>
      </c>
      <c r="Y181" s="3">
        <f t="shared" si="43"/>
        <v>0.10428571430384181</v>
      </c>
      <c r="Z181" s="7">
        <f t="shared" si="44"/>
        <v>991.89380680904503</v>
      </c>
      <c r="AA181" s="2">
        <f t="shared" si="38"/>
        <v>259.6861931909549</v>
      </c>
      <c r="AB181" s="8">
        <f t="shared" si="45"/>
        <v>0</v>
      </c>
      <c r="AC181" s="10">
        <v>6.875</v>
      </c>
      <c r="AD181" s="7">
        <f t="shared" si="46"/>
        <v>991.89380680904503</v>
      </c>
      <c r="AE181" s="2">
        <f t="shared" si="47"/>
        <v>259.6861931909549</v>
      </c>
      <c r="AF181" s="10">
        <v>0</v>
      </c>
      <c r="AG181" s="3">
        <f t="shared" si="48"/>
        <v>0</v>
      </c>
      <c r="AH181" s="7">
        <v>7152.75</v>
      </c>
      <c r="AI181">
        <f t="shared" si="49"/>
        <v>360</v>
      </c>
      <c r="AJ181" t="e">
        <f>VLOOKUP(A181,'Borrower Details'!$A$1:$H$1493,8,FALSE)</f>
        <v>#N/A</v>
      </c>
      <c r="AK181" s="4" t="e">
        <f t="shared" si="50"/>
        <v>#N/A</v>
      </c>
      <c r="AL181" s="10">
        <v>6.875</v>
      </c>
      <c r="AM181" s="3">
        <f t="shared" si="51"/>
        <v>141983.89414999998</v>
      </c>
      <c r="AN181">
        <v>6.875</v>
      </c>
      <c r="AO181" s="7">
        <f t="shared" si="52"/>
        <v>991.89306734572904</v>
      </c>
      <c r="AP181" s="2">
        <f t="shared" si="53"/>
        <v>259.68693265427089</v>
      </c>
    </row>
    <row r="182" spans="1:42" x14ac:dyDescent="0.15">
      <c r="A182" s="8">
        <v>411213077</v>
      </c>
      <c r="B182" t="s">
        <v>36</v>
      </c>
      <c r="C182" t="s">
        <v>16</v>
      </c>
      <c r="D182" s="1">
        <v>39461</v>
      </c>
      <c r="E182" s="2">
        <v>160000</v>
      </c>
      <c r="F182" s="2">
        <v>144000</v>
      </c>
      <c r="G182" t="s">
        <v>17</v>
      </c>
      <c r="H182" s="2">
        <v>1318.31</v>
      </c>
      <c r="I182" s="2">
        <v>143827.17000000001</v>
      </c>
      <c r="J182">
        <v>0.1051</v>
      </c>
      <c r="K182">
        <v>3</v>
      </c>
      <c r="L182">
        <v>357</v>
      </c>
      <c r="M182" t="str">
        <f t="shared" si="39"/>
        <v>30 Year Fixed</v>
      </c>
      <c r="N182" s="2">
        <v>1259.69</v>
      </c>
      <c r="O182" t="str">
        <f t="shared" si="36"/>
        <v>Refi</v>
      </c>
      <c r="P182" s="3">
        <f t="shared" si="40"/>
        <v>0</v>
      </c>
      <c r="Q182" s="4">
        <v>145985</v>
      </c>
      <c r="R182" s="4" t="s">
        <v>41</v>
      </c>
      <c r="S182" s="6">
        <v>588</v>
      </c>
      <c r="T182">
        <v>7.375</v>
      </c>
      <c r="U182" s="7">
        <f t="shared" si="37"/>
        <v>1069.1091975533068</v>
      </c>
      <c r="V182" s="2">
        <f t="shared" si="41"/>
        <v>249.20080244669316</v>
      </c>
      <c r="W182" s="9">
        <f t="shared" si="42"/>
        <v>0</v>
      </c>
      <c r="X182" s="3">
        <v>145985</v>
      </c>
      <c r="Y182" s="3">
        <f t="shared" si="43"/>
        <v>0.4162068965670187</v>
      </c>
      <c r="Z182" s="7">
        <f t="shared" si="44"/>
        <v>1069.1091975533068</v>
      </c>
      <c r="AA182" s="2">
        <f t="shared" si="38"/>
        <v>249.20080244669316</v>
      </c>
      <c r="AB182" s="8">
        <f t="shared" si="45"/>
        <v>0</v>
      </c>
      <c r="AC182" s="10">
        <v>7.375</v>
      </c>
      <c r="AD182" s="7">
        <f t="shared" si="46"/>
        <v>1069.1091975533068</v>
      </c>
      <c r="AE182" s="2">
        <f t="shared" si="47"/>
        <v>249.20080244669316</v>
      </c>
      <c r="AF182" s="10">
        <v>0</v>
      </c>
      <c r="AG182" s="3">
        <f t="shared" si="48"/>
        <v>0</v>
      </c>
      <c r="AH182" s="7">
        <v>2880</v>
      </c>
      <c r="AI182">
        <f t="shared" si="49"/>
        <v>360</v>
      </c>
      <c r="AJ182" t="e">
        <f>VLOOKUP(A182,'Borrower Details'!$A$1:$H$1493,8,FALSE)</f>
        <v>#N/A</v>
      </c>
      <c r="AK182" s="4" t="e">
        <f t="shared" si="50"/>
        <v>#N/A</v>
      </c>
      <c r="AL182" s="10">
        <v>7.375</v>
      </c>
      <c r="AM182" s="3">
        <f t="shared" si="51"/>
        <v>145984.57754999999</v>
      </c>
      <c r="AN182">
        <v>7.375</v>
      </c>
      <c r="AO182" s="7">
        <f t="shared" si="52"/>
        <v>1069.1061037753125</v>
      </c>
      <c r="AP182" s="2">
        <f t="shared" si="53"/>
        <v>249.20389622468747</v>
      </c>
    </row>
    <row r="183" spans="1:42" x14ac:dyDescent="0.15">
      <c r="A183" s="8">
        <v>1129733</v>
      </c>
      <c r="B183" t="s">
        <v>37</v>
      </c>
      <c r="C183" t="s">
        <v>18</v>
      </c>
      <c r="D183" s="1">
        <v>39133</v>
      </c>
      <c r="E183" s="2">
        <v>93000</v>
      </c>
      <c r="F183" s="2">
        <v>82800</v>
      </c>
      <c r="G183" t="s">
        <v>15</v>
      </c>
      <c r="H183" s="2">
        <v>601.70000000000005</v>
      </c>
      <c r="I183" s="2">
        <v>82659.820000000007</v>
      </c>
      <c r="J183">
        <v>8.5999999999999993E-2</v>
      </c>
      <c r="K183">
        <v>14</v>
      </c>
      <c r="L183">
        <v>344</v>
      </c>
      <c r="M183" t="str">
        <f t="shared" si="39"/>
        <v>30 Year Fixed</v>
      </c>
      <c r="N183" s="2">
        <v>592.4</v>
      </c>
      <c r="O183" t="str">
        <f t="shared" si="36"/>
        <v>Refi</v>
      </c>
      <c r="P183" s="3">
        <f t="shared" si="40"/>
        <v>0</v>
      </c>
      <c r="Q183" s="4">
        <v>83900</v>
      </c>
      <c r="R183" s="4" t="s">
        <v>41</v>
      </c>
      <c r="S183" s="6">
        <v>619</v>
      </c>
      <c r="T183">
        <v>7</v>
      </c>
      <c r="U183" s="7">
        <f t="shared" si="37"/>
        <v>593.14712678866761</v>
      </c>
      <c r="V183" s="2">
        <f t="shared" si="41"/>
        <v>8.5528732113324395</v>
      </c>
      <c r="W183" s="9">
        <f t="shared" si="42"/>
        <v>0</v>
      </c>
      <c r="X183" s="3">
        <v>83900</v>
      </c>
      <c r="Y183" s="3">
        <f t="shared" si="43"/>
        <v>0.2785221674857894</v>
      </c>
      <c r="Z183" s="7">
        <f t="shared" si="44"/>
        <v>593.14712678866761</v>
      </c>
      <c r="AA183" s="2">
        <f t="shared" si="38"/>
        <v>8.5528732113324395</v>
      </c>
      <c r="AB183" s="8">
        <f t="shared" si="45"/>
        <v>1</v>
      </c>
      <c r="AC183" s="10">
        <v>6.25</v>
      </c>
      <c r="AD183" s="7">
        <f t="shared" si="46"/>
        <v>551.5450644910776</v>
      </c>
      <c r="AE183" s="2">
        <f t="shared" si="47"/>
        <v>50.154935508922449</v>
      </c>
      <c r="AF183" s="10">
        <v>2.75</v>
      </c>
      <c r="AG183" s="3">
        <f t="shared" si="48"/>
        <v>2307.25</v>
      </c>
      <c r="AH183" s="7">
        <v>0</v>
      </c>
      <c r="AI183">
        <f t="shared" si="49"/>
        <v>360</v>
      </c>
      <c r="AJ183" t="e">
        <f>VLOOKUP(A183,'Borrower Details'!$A$1:$H$1493,8,FALSE)</f>
        <v>#N/A</v>
      </c>
      <c r="AK183" s="4" t="e">
        <f t="shared" si="50"/>
        <v>#N/A</v>
      </c>
      <c r="AL183" s="10">
        <v>7</v>
      </c>
      <c r="AM183" s="3">
        <f t="shared" si="51"/>
        <v>83899.717300000004</v>
      </c>
      <c r="AN183">
        <v>7</v>
      </c>
      <c r="AO183" s="7">
        <f t="shared" si="52"/>
        <v>593.14512818684705</v>
      </c>
      <c r="AP183" s="2">
        <f t="shared" si="53"/>
        <v>8.5548718131529995</v>
      </c>
    </row>
    <row r="184" spans="1:42" x14ac:dyDescent="0.15">
      <c r="A184" s="8">
        <v>410405526</v>
      </c>
      <c r="B184" t="s">
        <v>38</v>
      </c>
      <c r="C184" t="s">
        <v>19</v>
      </c>
      <c r="D184" s="1">
        <v>39245</v>
      </c>
      <c r="E184" s="2">
        <v>169500</v>
      </c>
      <c r="F184" s="2">
        <v>161025</v>
      </c>
      <c r="G184" t="s">
        <v>15</v>
      </c>
      <c r="H184" s="2">
        <v>1442.95</v>
      </c>
      <c r="I184" s="2">
        <v>160323.18</v>
      </c>
      <c r="J184">
        <v>0.10249999999999999</v>
      </c>
      <c r="K184">
        <v>10</v>
      </c>
      <c r="L184">
        <v>350</v>
      </c>
      <c r="M184" t="str">
        <f t="shared" si="39"/>
        <v>30 Year Fixed</v>
      </c>
      <c r="N184" s="2">
        <v>1369.43</v>
      </c>
      <c r="O184" t="str">
        <f t="shared" si="36"/>
        <v>Refi</v>
      </c>
      <c r="P184" s="3">
        <f t="shared" si="40"/>
        <v>0</v>
      </c>
      <c r="Q184" s="4">
        <v>162728</v>
      </c>
      <c r="R184" s="4" t="s">
        <v>41</v>
      </c>
      <c r="S184" s="6">
        <v>618</v>
      </c>
      <c r="T184">
        <v>6.875</v>
      </c>
      <c r="U184" s="7">
        <f t="shared" si="37"/>
        <v>1136.8104532512275</v>
      </c>
      <c r="V184" s="2">
        <f t="shared" si="41"/>
        <v>306.13954674877255</v>
      </c>
      <c r="W184" s="9">
        <f t="shared" si="42"/>
        <v>0</v>
      </c>
      <c r="X184" s="3">
        <v>162728</v>
      </c>
      <c r="Y184" s="3">
        <f t="shared" si="43"/>
        <v>-2.7290640369756147E-2</v>
      </c>
      <c r="Z184" s="7">
        <f t="shared" si="44"/>
        <v>1136.8104532512275</v>
      </c>
      <c r="AA184" s="2">
        <f t="shared" si="38"/>
        <v>306.13954674877255</v>
      </c>
      <c r="AB184" s="8">
        <f t="shared" si="45"/>
        <v>0</v>
      </c>
      <c r="AC184" s="10">
        <v>6.875</v>
      </c>
      <c r="AD184" s="7">
        <f t="shared" si="46"/>
        <v>1136.8104532512275</v>
      </c>
      <c r="AE184" s="2">
        <f t="shared" si="47"/>
        <v>306.13954674877255</v>
      </c>
      <c r="AF184" s="10">
        <v>0</v>
      </c>
      <c r="AG184" s="3">
        <f t="shared" si="48"/>
        <v>0</v>
      </c>
      <c r="AH184" s="7">
        <v>0</v>
      </c>
      <c r="AI184">
        <f t="shared" si="49"/>
        <v>360</v>
      </c>
      <c r="AJ184" t="e">
        <f>VLOOKUP(A184,'Borrower Details'!$A$1:$H$1493,8,FALSE)</f>
        <v>#N/A</v>
      </c>
      <c r="AK184" s="4" t="e">
        <f t="shared" si="50"/>
        <v>#N/A</v>
      </c>
      <c r="AL184" s="10">
        <v>6.875</v>
      </c>
      <c r="AM184" s="3">
        <f t="shared" si="51"/>
        <v>162728.02769999998</v>
      </c>
      <c r="AN184">
        <v>6.875</v>
      </c>
      <c r="AO184" s="7">
        <f t="shared" si="52"/>
        <v>1136.8106467621753</v>
      </c>
      <c r="AP184" s="2">
        <f t="shared" si="53"/>
        <v>306.13935323782471</v>
      </c>
    </row>
    <row r="185" spans="1:42" x14ac:dyDescent="0.15">
      <c r="A185" s="8">
        <v>410154892</v>
      </c>
      <c r="B185" t="s">
        <v>36</v>
      </c>
      <c r="C185" t="s">
        <v>19</v>
      </c>
      <c r="D185" s="1">
        <v>39202</v>
      </c>
      <c r="E185" s="2">
        <v>165000</v>
      </c>
      <c r="F185" s="2">
        <v>148500</v>
      </c>
      <c r="G185" t="s">
        <v>17</v>
      </c>
      <c r="H185" s="2">
        <v>1110.42</v>
      </c>
      <c r="I185" s="2">
        <v>147307.06</v>
      </c>
      <c r="J185">
        <v>8.2000000000000003E-2</v>
      </c>
      <c r="K185">
        <v>12</v>
      </c>
      <c r="L185">
        <v>348</v>
      </c>
      <c r="M185" t="str">
        <f t="shared" si="39"/>
        <v>30 Year Fixed</v>
      </c>
      <c r="N185" s="2">
        <v>1006.6</v>
      </c>
      <c r="O185" t="str">
        <f t="shared" si="36"/>
        <v>Refi</v>
      </c>
      <c r="P185" s="3">
        <f t="shared" si="40"/>
        <v>0</v>
      </c>
      <c r="Q185" s="4">
        <v>149517</v>
      </c>
      <c r="R185" s="4" t="s">
        <v>41</v>
      </c>
      <c r="S185" s="6">
        <v>649</v>
      </c>
      <c r="T185">
        <v>6.75</v>
      </c>
      <c r="U185" s="7">
        <f t="shared" si="37"/>
        <v>1032.0631660458962</v>
      </c>
      <c r="V185" s="2">
        <f t="shared" si="41"/>
        <v>78.356833954103877</v>
      </c>
      <c r="W185" s="9">
        <f t="shared" si="42"/>
        <v>0</v>
      </c>
      <c r="X185" s="3">
        <v>149517</v>
      </c>
      <c r="Y185" s="3">
        <f t="shared" si="43"/>
        <v>0.32916256159660406</v>
      </c>
      <c r="Z185" s="7">
        <f t="shared" si="44"/>
        <v>1032.0631660458962</v>
      </c>
      <c r="AA185" s="2">
        <f t="shared" si="38"/>
        <v>78.356833954103877</v>
      </c>
      <c r="AB185" s="8">
        <f t="shared" si="45"/>
        <v>0</v>
      </c>
      <c r="AC185" s="10">
        <v>6.75</v>
      </c>
      <c r="AD185" s="7">
        <f t="shared" si="46"/>
        <v>1032.0631660458962</v>
      </c>
      <c r="AE185" s="2">
        <f t="shared" si="47"/>
        <v>78.356833954103877</v>
      </c>
      <c r="AF185" s="10">
        <v>0</v>
      </c>
      <c r="AG185" s="3">
        <f t="shared" si="48"/>
        <v>0</v>
      </c>
      <c r="AH185" s="7">
        <v>2970</v>
      </c>
      <c r="AI185">
        <f t="shared" si="49"/>
        <v>360</v>
      </c>
      <c r="AJ185" t="e">
        <f>VLOOKUP(A185,'Borrower Details'!$A$1:$H$1493,8,FALSE)</f>
        <v>#N/A</v>
      </c>
      <c r="AK185" s="4" t="e">
        <f t="shared" si="50"/>
        <v>#N/A</v>
      </c>
      <c r="AL185" s="10">
        <v>6.75</v>
      </c>
      <c r="AM185" s="3">
        <f t="shared" si="51"/>
        <v>149516.66589999999</v>
      </c>
      <c r="AN185">
        <v>6.75</v>
      </c>
      <c r="AO185" s="7">
        <f t="shared" si="52"/>
        <v>1032.0608598713222</v>
      </c>
      <c r="AP185" s="2">
        <f t="shared" si="53"/>
        <v>78.359140128677836</v>
      </c>
    </row>
    <row r="186" spans="1:42" x14ac:dyDescent="0.15">
      <c r="A186" s="8">
        <v>1126133</v>
      </c>
      <c r="B186" t="s">
        <v>37</v>
      </c>
      <c r="C186" t="s">
        <v>19</v>
      </c>
      <c r="D186" s="1">
        <v>39146</v>
      </c>
      <c r="E186" s="2">
        <v>78000</v>
      </c>
      <c r="F186" s="2">
        <v>62400</v>
      </c>
      <c r="G186" t="s">
        <v>17</v>
      </c>
      <c r="H186" s="2">
        <v>479.81</v>
      </c>
      <c r="I186" s="2">
        <v>61887.01</v>
      </c>
      <c r="J186">
        <v>8.5000000000000006E-2</v>
      </c>
      <c r="K186">
        <v>13</v>
      </c>
      <c r="L186">
        <v>347</v>
      </c>
      <c r="M186" t="str">
        <f t="shared" si="39"/>
        <v>30 Year Fixed</v>
      </c>
      <c r="N186" s="2">
        <v>438.37</v>
      </c>
      <c r="O186" t="str">
        <f t="shared" si="36"/>
        <v>Cash Out</v>
      </c>
      <c r="P186" s="3">
        <f t="shared" si="40"/>
        <v>3433.1870443349762</v>
      </c>
      <c r="Q186" s="4">
        <v>66300</v>
      </c>
      <c r="R186" s="4" t="s">
        <v>41</v>
      </c>
      <c r="S186" s="6">
        <v>572</v>
      </c>
      <c r="T186">
        <v>7.625</v>
      </c>
      <c r="U186" s="7">
        <f t="shared" si="37"/>
        <v>496.8922538331239</v>
      </c>
      <c r="V186" s="2">
        <f t="shared" si="41"/>
        <v>-17.0822538331239</v>
      </c>
      <c r="W186" s="9">
        <f t="shared" si="42"/>
        <v>1</v>
      </c>
      <c r="X186" s="3">
        <v>63950</v>
      </c>
      <c r="Y186" s="3">
        <f t="shared" si="43"/>
        <v>1117.9161083743893</v>
      </c>
      <c r="Z186" s="7">
        <f t="shared" si="44"/>
        <v>479.27993412712328</v>
      </c>
      <c r="AA186" s="2">
        <f t="shared" si="38"/>
        <v>0.53006587287671891</v>
      </c>
      <c r="AB186" s="8">
        <f t="shared" si="45"/>
        <v>1</v>
      </c>
      <c r="AC186" s="10">
        <v>6.5</v>
      </c>
      <c r="AD186" s="7">
        <f t="shared" si="46"/>
        <v>430.85333435708509</v>
      </c>
      <c r="AE186" s="2">
        <f t="shared" si="47"/>
        <v>48.956665642914913</v>
      </c>
      <c r="AF186" s="10">
        <v>2.625</v>
      </c>
      <c r="AG186" s="3">
        <f t="shared" si="48"/>
        <v>1678.6875</v>
      </c>
      <c r="AH186" s="7">
        <v>0</v>
      </c>
      <c r="AI186">
        <f t="shared" si="49"/>
        <v>360</v>
      </c>
      <c r="AJ186" t="e">
        <f>VLOOKUP(A186,'Borrower Details'!$A$1:$H$1493,8,FALSE)</f>
        <v>#N/A</v>
      </c>
      <c r="AK186" s="4" t="e">
        <f t="shared" si="50"/>
        <v>#N/A</v>
      </c>
      <c r="AL186" s="10">
        <v>7.625</v>
      </c>
      <c r="AM186" s="3">
        <f t="shared" si="51"/>
        <v>62815.315149999995</v>
      </c>
      <c r="AN186">
        <v>7.625</v>
      </c>
      <c r="AO186" s="7">
        <f t="shared" si="52"/>
        <v>470.7759203638231</v>
      </c>
      <c r="AP186" s="2">
        <f t="shared" si="53"/>
        <v>9.034079636176898</v>
      </c>
    </row>
    <row r="187" spans="1:42" x14ac:dyDescent="0.15">
      <c r="A187" s="8">
        <v>1143747</v>
      </c>
      <c r="B187" t="s">
        <v>36</v>
      </c>
      <c r="C187" t="s">
        <v>18</v>
      </c>
      <c r="D187" s="1">
        <v>39139</v>
      </c>
      <c r="E187" s="2">
        <v>266000</v>
      </c>
      <c r="F187" s="2">
        <v>199500</v>
      </c>
      <c r="G187" t="s">
        <v>15</v>
      </c>
      <c r="H187" s="2">
        <v>1634.02</v>
      </c>
      <c r="I187" s="2">
        <v>197961.51</v>
      </c>
      <c r="J187">
        <v>9.1999999999999998E-2</v>
      </c>
      <c r="K187">
        <v>14</v>
      </c>
      <c r="L187">
        <v>346</v>
      </c>
      <c r="M187" t="str">
        <f t="shared" si="39"/>
        <v>30 Year Fixed</v>
      </c>
      <c r="N187" s="2">
        <v>1517.7</v>
      </c>
      <c r="O187" t="str">
        <f t="shared" si="36"/>
        <v>Cash Out</v>
      </c>
      <c r="P187" s="3">
        <f t="shared" si="40"/>
        <v>24797.110689655179</v>
      </c>
      <c r="Q187" s="4">
        <v>226100</v>
      </c>
      <c r="R187" s="4" t="s">
        <v>41</v>
      </c>
      <c r="S187" s="6">
        <v>504</v>
      </c>
      <c r="T187">
        <v>7.625</v>
      </c>
      <c r="U187" s="7">
        <f t="shared" si="37"/>
        <v>1694.5299938411661</v>
      </c>
      <c r="V187" s="2">
        <f t="shared" si="41"/>
        <v>-60.509993841166079</v>
      </c>
      <c r="W187" s="9">
        <f t="shared" si="42"/>
        <v>1</v>
      </c>
      <c r="X187" s="3">
        <v>217950</v>
      </c>
      <c r="Y187" s="3">
        <f t="shared" si="43"/>
        <v>16767.554039408889</v>
      </c>
      <c r="Z187" s="7">
        <f t="shared" si="44"/>
        <v>1633.44897017993</v>
      </c>
      <c r="AA187" s="2">
        <f t="shared" si="38"/>
        <v>0.57102982006995262</v>
      </c>
      <c r="AB187" s="8">
        <f t="shared" si="45"/>
        <v>0</v>
      </c>
      <c r="AC187" s="10">
        <v>7.625</v>
      </c>
      <c r="AD187" s="7">
        <f t="shared" si="46"/>
        <v>1633.44897017993</v>
      </c>
      <c r="AE187" s="2">
        <f t="shared" si="47"/>
        <v>0.57102982006995262</v>
      </c>
      <c r="AF187" s="10">
        <v>0</v>
      </c>
      <c r="AG187" s="3">
        <f t="shared" si="48"/>
        <v>0</v>
      </c>
      <c r="AH187" s="7">
        <v>3990</v>
      </c>
      <c r="AI187">
        <f t="shared" si="49"/>
        <v>360</v>
      </c>
      <c r="AJ187" t="e">
        <f>VLOOKUP(A187,'Borrower Details'!$A$1:$H$1493,8,FALSE)</f>
        <v>#N/A</v>
      </c>
      <c r="AK187" s="4" t="e">
        <f t="shared" si="50"/>
        <v>#N/A</v>
      </c>
      <c r="AL187" s="10">
        <v>7.625</v>
      </c>
      <c r="AM187" s="3">
        <f t="shared" si="51"/>
        <v>200930.93265</v>
      </c>
      <c r="AN187">
        <v>7.625</v>
      </c>
      <c r="AO187" s="7">
        <f t="shared" si="52"/>
        <v>1505.8977977262464</v>
      </c>
      <c r="AP187" s="2">
        <f t="shared" si="53"/>
        <v>128.1222022737536</v>
      </c>
    </row>
    <row r="188" spans="1:42" x14ac:dyDescent="0.15">
      <c r="A188" s="8">
        <v>410041149</v>
      </c>
      <c r="B188" t="s">
        <v>37</v>
      </c>
      <c r="C188" t="s">
        <v>19</v>
      </c>
      <c r="D188" s="1">
        <v>39189</v>
      </c>
      <c r="E188" s="2">
        <v>175000</v>
      </c>
      <c r="F188" s="2">
        <v>147030</v>
      </c>
      <c r="G188" t="s">
        <v>17</v>
      </c>
      <c r="H188" s="2">
        <v>1094.27</v>
      </c>
      <c r="I188" s="2">
        <v>145734.03</v>
      </c>
      <c r="J188">
        <v>8.1500000000000003E-2</v>
      </c>
      <c r="K188">
        <v>12</v>
      </c>
      <c r="L188">
        <v>347</v>
      </c>
      <c r="M188" t="str">
        <f t="shared" si="39"/>
        <v>30 Year Fixed</v>
      </c>
      <c r="N188" s="2">
        <v>989.78</v>
      </c>
      <c r="O188" t="str">
        <f t="shared" si="36"/>
        <v>Cash Out</v>
      </c>
      <c r="P188" s="3">
        <f t="shared" si="40"/>
        <v>817.69413793104468</v>
      </c>
      <c r="Q188" s="4">
        <v>148750</v>
      </c>
      <c r="R188" s="4" t="s">
        <v>41</v>
      </c>
      <c r="S188" s="6">
        <v>631</v>
      </c>
      <c r="T188">
        <v>6.75</v>
      </c>
      <c r="U188" s="7">
        <f t="shared" si="37"/>
        <v>1026.7688353118847</v>
      </c>
      <c r="V188" s="2">
        <f t="shared" si="41"/>
        <v>67.501164688115296</v>
      </c>
      <c r="W188" s="9">
        <f t="shared" si="42"/>
        <v>0</v>
      </c>
      <c r="X188" s="3">
        <v>148750</v>
      </c>
      <c r="Y188" s="3">
        <f t="shared" si="43"/>
        <v>817.69413793104468</v>
      </c>
      <c r="Z188" s="7">
        <f t="shared" si="44"/>
        <v>1026.7688353118847</v>
      </c>
      <c r="AA188" s="2">
        <f t="shared" si="38"/>
        <v>67.501164688115296</v>
      </c>
      <c r="AB188" s="8">
        <f t="shared" si="45"/>
        <v>1</v>
      </c>
      <c r="AC188" s="10">
        <v>6.125</v>
      </c>
      <c r="AD188" s="7">
        <f t="shared" si="46"/>
        <v>965.79984429294245</v>
      </c>
      <c r="AE188" s="2">
        <f t="shared" si="47"/>
        <v>128.47015570705753</v>
      </c>
      <c r="AF188" s="10">
        <v>3</v>
      </c>
      <c r="AG188" s="3">
        <f t="shared" si="48"/>
        <v>4462.5</v>
      </c>
      <c r="AH188" s="7">
        <v>0</v>
      </c>
      <c r="AI188">
        <f t="shared" si="49"/>
        <v>360</v>
      </c>
      <c r="AJ188" t="e">
        <f>VLOOKUP(A188,'Borrower Details'!$A$1:$H$1493,8,FALSE)</f>
        <v>#N/A</v>
      </c>
      <c r="AK188" s="4" t="e">
        <f t="shared" si="50"/>
        <v>#N/A</v>
      </c>
      <c r="AL188" s="10">
        <v>6.75</v>
      </c>
      <c r="AM188" s="3">
        <f t="shared" si="51"/>
        <v>147920.04044999997</v>
      </c>
      <c r="AN188">
        <v>6.75</v>
      </c>
      <c r="AO188" s="7">
        <f t="shared" si="52"/>
        <v>1021.0399169891317</v>
      </c>
      <c r="AP188" s="2">
        <f t="shared" si="53"/>
        <v>73.23008301086827</v>
      </c>
    </row>
    <row r="189" spans="1:42" x14ac:dyDescent="0.15">
      <c r="A189" s="8">
        <v>1186276</v>
      </c>
      <c r="B189" t="s">
        <v>36</v>
      </c>
      <c r="C189" t="s">
        <v>19</v>
      </c>
      <c r="D189" s="1">
        <v>39185</v>
      </c>
      <c r="E189" s="2">
        <v>235000</v>
      </c>
      <c r="F189" s="2">
        <v>223250</v>
      </c>
      <c r="G189" t="s">
        <v>15</v>
      </c>
      <c r="H189" s="2">
        <v>1783.12</v>
      </c>
      <c r="I189" s="2">
        <v>223052.87</v>
      </c>
      <c r="J189">
        <v>9.5000000000000001E-2</v>
      </c>
      <c r="K189">
        <v>12</v>
      </c>
      <c r="L189">
        <v>348</v>
      </c>
      <c r="M189" t="str">
        <f t="shared" si="39"/>
        <v>30 Year Fixed</v>
      </c>
      <c r="N189" s="2">
        <v>1765.84</v>
      </c>
      <c r="O189" t="str">
        <f t="shared" si="36"/>
        <v>Refi</v>
      </c>
      <c r="P189" s="3">
        <f t="shared" si="40"/>
        <v>0</v>
      </c>
      <c r="Q189" s="4">
        <v>226399</v>
      </c>
      <c r="R189" s="4" t="s">
        <v>41</v>
      </c>
      <c r="S189" s="6">
        <v>607</v>
      </c>
      <c r="T189">
        <v>6.875</v>
      </c>
      <c r="U189" s="7">
        <f t="shared" si="37"/>
        <v>1581.613181539899</v>
      </c>
      <c r="V189" s="2">
        <f t="shared" si="41"/>
        <v>201.50681846010093</v>
      </c>
      <c r="W189" s="9">
        <f t="shared" si="42"/>
        <v>0</v>
      </c>
      <c r="X189" s="3">
        <v>226399</v>
      </c>
      <c r="Y189" s="3">
        <f t="shared" si="43"/>
        <v>0.33197044336702675</v>
      </c>
      <c r="Z189" s="7">
        <f t="shared" si="44"/>
        <v>1581.613181539899</v>
      </c>
      <c r="AA189" s="2">
        <f t="shared" si="38"/>
        <v>201.50681846010093</v>
      </c>
      <c r="AB189" s="8">
        <f t="shared" si="45"/>
        <v>0</v>
      </c>
      <c r="AC189" s="10">
        <v>6.875</v>
      </c>
      <c r="AD189" s="7">
        <f t="shared" si="46"/>
        <v>1581.613181539899</v>
      </c>
      <c r="AE189" s="2">
        <f t="shared" si="47"/>
        <v>201.50681846010093</v>
      </c>
      <c r="AF189" s="10">
        <v>0</v>
      </c>
      <c r="AG189" s="3">
        <f t="shared" si="48"/>
        <v>0</v>
      </c>
      <c r="AH189" s="7">
        <v>4465</v>
      </c>
      <c r="AI189">
        <f t="shared" si="49"/>
        <v>360</v>
      </c>
      <c r="AJ189" t="e">
        <f>VLOOKUP(A189,'Borrower Details'!$A$1:$H$1493,8,FALSE)</f>
        <v>#N/A</v>
      </c>
      <c r="AK189" s="4" t="e">
        <f t="shared" si="50"/>
        <v>#N/A</v>
      </c>
      <c r="AL189" s="10">
        <v>6.875</v>
      </c>
      <c r="AM189" s="3">
        <f t="shared" si="51"/>
        <v>226398.66304999997</v>
      </c>
      <c r="AN189">
        <v>6.875</v>
      </c>
      <c r="AO189" s="7">
        <f t="shared" si="52"/>
        <v>1581.6108276224277</v>
      </c>
      <c r="AP189" s="2">
        <f t="shared" si="53"/>
        <v>201.50917237757221</v>
      </c>
    </row>
    <row r="190" spans="1:42" x14ac:dyDescent="0.15">
      <c r="A190" s="8">
        <v>410996847</v>
      </c>
      <c r="B190" t="s">
        <v>37</v>
      </c>
      <c r="C190" t="s">
        <v>16</v>
      </c>
      <c r="D190" s="1">
        <v>39399</v>
      </c>
      <c r="E190" s="2">
        <v>157500</v>
      </c>
      <c r="F190" s="2">
        <v>141750</v>
      </c>
      <c r="G190" t="s">
        <v>17</v>
      </c>
      <c r="H190" s="2">
        <v>1348.85</v>
      </c>
      <c r="I190" s="2">
        <v>141492.03</v>
      </c>
      <c r="J190">
        <v>0.1099</v>
      </c>
      <c r="K190">
        <v>5</v>
      </c>
      <c r="L190">
        <v>355</v>
      </c>
      <c r="M190" t="str">
        <f t="shared" si="39"/>
        <v>30 Year Fixed</v>
      </c>
      <c r="N190" s="2">
        <v>1295.83</v>
      </c>
      <c r="O190" t="str">
        <f t="shared" si="36"/>
        <v>Refi</v>
      </c>
      <c r="P190" s="3">
        <f t="shared" si="40"/>
        <v>0</v>
      </c>
      <c r="Q190" s="4">
        <v>143614</v>
      </c>
      <c r="R190" s="4" t="s">
        <v>41</v>
      </c>
      <c r="S190" s="6">
        <v>650</v>
      </c>
      <c r="T190">
        <v>6.75</v>
      </c>
      <c r="U190" s="7">
        <f t="shared" si="37"/>
        <v>991.3168370721412</v>
      </c>
      <c r="V190" s="2">
        <f t="shared" si="41"/>
        <v>357.53316292785871</v>
      </c>
      <c r="W190" s="9">
        <f t="shared" si="42"/>
        <v>0</v>
      </c>
      <c r="X190" s="3">
        <v>143614</v>
      </c>
      <c r="Y190" s="3">
        <f t="shared" si="43"/>
        <v>-0.40438423643354326</v>
      </c>
      <c r="Z190" s="7">
        <f t="shared" si="44"/>
        <v>991.3168370721412</v>
      </c>
      <c r="AA190" s="2">
        <f t="shared" si="38"/>
        <v>357.53316292785871</v>
      </c>
      <c r="AB190" s="8">
        <f t="shared" si="45"/>
        <v>0</v>
      </c>
      <c r="AC190" s="10">
        <v>6.75</v>
      </c>
      <c r="AD190" s="7">
        <f t="shared" si="46"/>
        <v>991.3168370721412</v>
      </c>
      <c r="AE190" s="2">
        <f t="shared" si="47"/>
        <v>357.53316292785871</v>
      </c>
      <c r="AF190" s="10">
        <v>0</v>
      </c>
      <c r="AG190" s="3">
        <f t="shared" si="48"/>
        <v>0</v>
      </c>
      <c r="AH190" s="7">
        <v>0</v>
      </c>
      <c r="AI190">
        <f t="shared" si="49"/>
        <v>360</v>
      </c>
      <c r="AJ190" t="e">
        <f>VLOOKUP(A190,'Borrower Details'!$A$1:$H$1493,8,FALSE)</f>
        <v>#N/A</v>
      </c>
      <c r="AK190" s="4" t="e">
        <f t="shared" si="50"/>
        <v>#N/A</v>
      </c>
      <c r="AL190" s="10">
        <v>6.75</v>
      </c>
      <c r="AM190" s="3">
        <f t="shared" si="51"/>
        <v>143614.41045</v>
      </c>
      <c r="AN190">
        <v>6.75</v>
      </c>
      <c r="AO190" s="7">
        <f t="shared" si="52"/>
        <v>991.31967026386189</v>
      </c>
      <c r="AP190" s="2">
        <f t="shared" si="53"/>
        <v>357.53032973613801</v>
      </c>
    </row>
    <row r="191" spans="1:42" x14ac:dyDescent="0.15">
      <c r="A191" s="8">
        <v>1173714</v>
      </c>
      <c r="B191" t="s">
        <v>38</v>
      </c>
      <c r="C191" t="s">
        <v>19</v>
      </c>
      <c r="D191" s="1">
        <v>39175</v>
      </c>
      <c r="E191" s="2">
        <v>76000</v>
      </c>
      <c r="F191" s="2">
        <v>55000</v>
      </c>
      <c r="G191" t="s">
        <v>17</v>
      </c>
      <c r="H191" s="2">
        <v>470.52</v>
      </c>
      <c r="I191" s="2">
        <v>54674.53</v>
      </c>
      <c r="J191">
        <v>9.7000000000000003E-2</v>
      </c>
      <c r="K191">
        <v>12</v>
      </c>
      <c r="L191">
        <v>348</v>
      </c>
      <c r="M191" t="str">
        <f t="shared" si="39"/>
        <v>30 Year Fixed</v>
      </c>
      <c r="N191" s="2">
        <v>441.95</v>
      </c>
      <c r="O191" t="str">
        <f t="shared" si="36"/>
        <v>Cash Out</v>
      </c>
      <c r="P191" s="3">
        <f t="shared" si="40"/>
        <v>8970.7901970443418</v>
      </c>
      <c r="Q191" s="4">
        <v>64600</v>
      </c>
      <c r="R191" s="4" t="s">
        <v>41</v>
      </c>
      <c r="S191" s="6">
        <v>573</v>
      </c>
      <c r="T191">
        <v>7.625</v>
      </c>
      <c r="U191" s="7">
        <f t="shared" si="37"/>
        <v>484.15142681176178</v>
      </c>
      <c r="V191" s="2">
        <f t="shared" si="41"/>
        <v>-13.631426811761798</v>
      </c>
      <c r="W191" s="9">
        <f t="shared" si="42"/>
        <v>1</v>
      </c>
      <c r="X191" s="3">
        <v>62710</v>
      </c>
      <c r="Y191" s="3">
        <f t="shared" si="43"/>
        <v>7108.7212315271026</v>
      </c>
      <c r="Z191" s="7">
        <f t="shared" si="44"/>
        <v>469.98662500565916</v>
      </c>
      <c r="AA191" s="2">
        <f t="shared" si="38"/>
        <v>0.53337499434081792</v>
      </c>
      <c r="AB191" s="8">
        <f t="shared" si="45"/>
        <v>0</v>
      </c>
      <c r="AC191" s="10">
        <v>7.625</v>
      </c>
      <c r="AD191" s="7">
        <f t="shared" si="46"/>
        <v>469.98662500565916</v>
      </c>
      <c r="AE191" s="2">
        <f t="shared" si="47"/>
        <v>0.53337499434081792</v>
      </c>
      <c r="AF191" s="10">
        <v>0</v>
      </c>
      <c r="AG191" s="3">
        <f t="shared" si="48"/>
        <v>0</v>
      </c>
      <c r="AH191" s="7">
        <v>0</v>
      </c>
      <c r="AI191">
        <f t="shared" si="49"/>
        <v>360</v>
      </c>
      <c r="AJ191" t="e">
        <f>VLOOKUP(A191,'Borrower Details'!$A$1:$H$1493,8,FALSE)</f>
        <v>#N/A</v>
      </c>
      <c r="AK191" s="4" t="e">
        <f t="shared" si="50"/>
        <v>#N/A</v>
      </c>
      <c r="AL191" s="10">
        <v>7.625</v>
      </c>
      <c r="AM191" s="3">
        <f t="shared" si="51"/>
        <v>55494.647949999991</v>
      </c>
      <c r="AN191">
        <v>7.625</v>
      </c>
      <c r="AO191" s="7">
        <f t="shared" si="52"/>
        <v>415.91041773078803</v>
      </c>
      <c r="AP191" s="2">
        <f t="shared" si="53"/>
        <v>54.609582269211955</v>
      </c>
    </row>
    <row r="192" spans="1:42" x14ac:dyDescent="0.15">
      <c r="A192" s="8">
        <v>411261670</v>
      </c>
      <c r="B192" t="s">
        <v>35</v>
      </c>
      <c r="C192" t="s">
        <v>16</v>
      </c>
      <c r="D192" s="1">
        <v>39472</v>
      </c>
      <c r="E192" s="2">
        <v>65000</v>
      </c>
      <c r="F192" s="2">
        <v>52000</v>
      </c>
      <c r="G192" t="s">
        <v>17</v>
      </c>
      <c r="H192" s="2">
        <v>460.19</v>
      </c>
      <c r="I192" s="2">
        <v>51908.77</v>
      </c>
      <c r="J192">
        <v>0.10100000000000001</v>
      </c>
      <c r="K192">
        <v>3</v>
      </c>
      <c r="L192">
        <v>356</v>
      </c>
      <c r="M192" t="str">
        <f t="shared" si="39"/>
        <v>30 Year Fixed</v>
      </c>
      <c r="N192" s="2">
        <v>436.9</v>
      </c>
      <c r="O192" t="str">
        <f t="shared" si="36"/>
        <v>Cash Out</v>
      </c>
      <c r="P192" s="3">
        <f t="shared" si="40"/>
        <v>2524.7275369458221</v>
      </c>
      <c r="Q192" s="4">
        <v>55250</v>
      </c>
      <c r="R192" s="4" t="s">
        <v>41</v>
      </c>
      <c r="S192" s="6">
        <v>623</v>
      </c>
      <c r="T192">
        <v>6.875</v>
      </c>
      <c r="U192" s="7">
        <f t="shared" si="37"/>
        <v>385.97400288905607</v>
      </c>
      <c r="V192" s="2">
        <f t="shared" si="41"/>
        <v>74.215997110943931</v>
      </c>
      <c r="W192" s="9">
        <f t="shared" si="42"/>
        <v>0</v>
      </c>
      <c r="X192" s="3">
        <v>55250</v>
      </c>
      <c r="Y192" s="3">
        <f t="shared" si="43"/>
        <v>2524.7275369458221</v>
      </c>
      <c r="Z192" s="7">
        <f t="shared" si="44"/>
        <v>385.97400288905607</v>
      </c>
      <c r="AA192" s="2">
        <f t="shared" si="38"/>
        <v>74.215997110943931</v>
      </c>
      <c r="AB192" s="8">
        <f t="shared" si="45"/>
        <v>0</v>
      </c>
      <c r="AC192" s="10">
        <v>6.875</v>
      </c>
      <c r="AD192" s="7">
        <f t="shared" si="46"/>
        <v>385.97400288905607</v>
      </c>
      <c r="AE192" s="2">
        <f t="shared" si="47"/>
        <v>74.215997110943931</v>
      </c>
      <c r="AF192" s="10">
        <v>0</v>
      </c>
      <c r="AG192" s="3">
        <f t="shared" si="48"/>
        <v>0</v>
      </c>
      <c r="AH192" s="7">
        <v>2626</v>
      </c>
      <c r="AI192">
        <f t="shared" si="49"/>
        <v>360</v>
      </c>
      <c r="AJ192" t="e">
        <f>VLOOKUP(A192,'Borrower Details'!$A$1:$H$1493,8,FALSE)</f>
        <v>#N/A</v>
      </c>
      <c r="AK192" s="4" t="e">
        <f t="shared" si="50"/>
        <v>#N/A</v>
      </c>
      <c r="AL192" s="10">
        <v>6.875</v>
      </c>
      <c r="AM192" s="3">
        <f t="shared" si="51"/>
        <v>52687.401549999995</v>
      </c>
      <c r="AN192">
        <v>6.875</v>
      </c>
      <c r="AO192" s="7">
        <f t="shared" si="52"/>
        <v>368.07180593803719</v>
      </c>
      <c r="AP192" s="2">
        <f t="shared" si="53"/>
        <v>92.118194061962811</v>
      </c>
    </row>
    <row r="193" spans="1:42" x14ac:dyDescent="0.15">
      <c r="A193" s="8">
        <v>410176556</v>
      </c>
      <c r="B193" t="s">
        <v>37</v>
      </c>
      <c r="C193" t="s">
        <v>19</v>
      </c>
      <c r="D193" s="1">
        <v>39217</v>
      </c>
      <c r="E193" s="2">
        <v>340000</v>
      </c>
      <c r="F193" s="2">
        <v>213000</v>
      </c>
      <c r="G193" t="s">
        <v>15</v>
      </c>
      <c r="H193" s="2">
        <v>1460.27</v>
      </c>
      <c r="I193" s="2">
        <v>211134.2</v>
      </c>
      <c r="J193">
        <v>7.2999999999999995E-2</v>
      </c>
      <c r="K193">
        <v>11</v>
      </c>
      <c r="L193">
        <v>349</v>
      </c>
      <c r="M193" t="str">
        <f t="shared" si="39"/>
        <v>30 Year Fixed</v>
      </c>
      <c r="N193" s="2">
        <v>1284.4000000000001</v>
      </c>
      <c r="O193" t="str">
        <f t="shared" si="36"/>
        <v>Cash Out</v>
      </c>
      <c r="P193" s="3">
        <f t="shared" si="40"/>
        <v>73594.864039408858</v>
      </c>
      <c r="Q193" s="4">
        <v>289000</v>
      </c>
      <c r="R193" s="4" t="s">
        <v>41</v>
      </c>
      <c r="S193" s="6">
        <v>739</v>
      </c>
      <c r="T193">
        <v>6.75</v>
      </c>
      <c r="U193" s="7">
        <f t="shared" si="37"/>
        <v>1994.8651657488047</v>
      </c>
      <c r="V193" s="2">
        <f t="shared" si="41"/>
        <v>-534.59516574880467</v>
      </c>
      <c r="W193" s="9">
        <f t="shared" si="42"/>
        <v>1</v>
      </c>
      <c r="X193" s="3">
        <v>214301</v>
      </c>
      <c r="Y193" s="3">
        <f t="shared" si="43"/>
        <v>-0.20985221673618071</v>
      </c>
      <c r="Z193" s="7">
        <f t="shared" si="44"/>
        <v>1479.2442902599812</v>
      </c>
      <c r="AA193" s="2">
        <f t="shared" si="38"/>
        <v>-18.974290259981217</v>
      </c>
      <c r="AB193" s="8">
        <f t="shared" si="45"/>
        <v>1</v>
      </c>
      <c r="AC193" s="10">
        <v>6.125</v>
      </c>
      <c r="AD193" s="7">
        <f t="shared" si="46"/>
        <v>1391.4075457601468</v>
      </c>
      <c r="AE193" s="2">
        <f t="shared" si="47"/>
        <v>68.86245423985315</v>
      </c>
      <c r="AF193" s="10">
        <v>3</v>
      </c>
      <c r="AG193" s="3">
        <f t="shared" si="48"/>
        <v>6429.03</v>
      </c>
      <c r="AH193" s="7">
        <v>2130</v>
      </c>
      <c r="AI193">
        <f t="shared" si="49"/>
        <v>360</v>
      </c>
      <c r="AJ193" t="e">
        <f>VLOOKUP(A193,'Borrower Details'!$A$1:$H$1493,8,FALSE)</f>
        <v>#N/A</v>
      </c>
      <c r="AK193" s="4" t="e">
        <f t="shared" si="50"/>
        <v>#N/A</v>
      </c>
      <c r="AL193" s="10">
        <v>6.75</v>
      </c>
      <c r="AM193" s="3">
        <f t="shared" si="51"/>
        <v>214301.21299999999</v>
      </c>
      <c r="AN193">
        <v>6.75</v>
      </c>
      <c r="AO193" s="7">
        <f t="shared" si="52"/>
        <v>1479.2457605239267</v>
      </c>
      <c r="AP193" s="2">
        <f t="shared" si="53"/>
        <v>-18.975760523926738</v>
      </c>
    </row>
    <row r="194" spans="1:42" x14ac:dyDescent="0.15">
      <c r="A194" s="8">
        <v>410601686</v>
      </c>
      <c r="B194" t="s">
        <v>37</v>
      </c>
      <c r="C194" t="s">
        <v>19</v>
      </c>
      <c r="D194" s="1">
        <v>39289</v>
      </c>
      <c r="E194" s="2">
        <v>176000</v>
      </c>
      <c r="F194" s="2">
        <v>140800</v>
      </c>
      <c r="G194" t="s">
        <v>17</v>
      </c>
      <c r="H194" s="2">
        <v>1189.07</v>
      </c>
      <c r="I194" s="2">
        <v>140163.16</v>
      </c>
      <c r="J194">
        <v>9.5500000000000002E-2</v>
      </c>
      <c r="K194">
        <v>9</v>
      </c>
      <c r="L194">
        <v>351</v>
      </c>
      <c r="M194" t="str">
        <f t="shared" si="39"/>
        <v>30 Year Fixed</v>
      </c>
      <c r="N194" s="2">
        <v>1115.47</v>
      </c>
      <c r="O194" t="str">
        <f t="shared" ref="O194:O257" si="54">IF((0.85*E194)&gt;(I194*1.015),"Cash Out","Refi")</f>
        <v>Cash Out</v>
      </c>
      <c r="P194" s="3">
        <f t="shared" si="40"/>
        <v>7226.0025615763734</v>
      </c>
      <c r="Q194" s="4">
        <v>149600</v>
      </c>
      <c r="R194" s="4" t="s">
        <v>41</v>
      </c>
      <c r="S194" s="6">
        <v>531</v>
      </c>
      <c r="T194">
        <v>7.625</v>
      </c>
      <c r="U194" s="7">
        <f t="shared" ref="U194:U257" si="55">(Q194*((T194/1200)/(1-(1+(T194/1200))^-AI194)))+((Q194*0.005)/12)</f>
        <v>1121.1927778798693</v>
      </c>
      <c r="V194" s="2">
        <f t="shared" si="41"/>
        <v>67.877222120130682</v>
      </c>
      <c r="W194" s="9">
        <f t="shared" si="42"/>
        <v>0</v>
      </c>
      <c r="X194" s="3">
        <v>149600</v>
      </c>
      <c r="Y194" s="3">
        <f t="shared" si="43"/>
        <v>7226.0025615763734</v>
      </c>
      <c r="Z194" s="7">
        <f t="shared" si="44"/>
        <v>1121.1927778798693</v>
      </c>
      <c r="AA194" s="2">
        <f t="shared" ref="AA194:AA257" si="56">H194-Z194</f>
        <v>67.877222120130682</v>
      </c>
      <c r="AB194" s="8">
        <f t="shared" si="45"/>
        <v>0</v>
      </c>
      <c r="AC194" s="10">
        <v>7.625</v>
      </c>
      <c r="AD194" s="7">
        <f t="shared" si="46"/>
        <v>1121.1927778798693</v>
      </c>
      <c r="AE194" s="2">
        <f t="shared" si="47"/>
        <v>67.877222120130682</v>
      </c>
      <c r="AF194" s="10">
        <v>0</v>
      </c>
      <c r="AG194" s="3">
        <f t="shared" si="48"/>
        <v>0</v>
      </c>
      <c r="AH194" s="7">
        <v>0</v>
      </c>
      <c r="AI194">
        <f t="shared" si="49"/>
        <v>360</v>
      </c>
      <c r="AJ194" t="e">
        <f>VLOOKUP(A194,'Borrower Details'!$A$1:$H$1493,8,FALSE)</f>
        <v>#N/A</v>
      </c>
      <c r="AK194" s="4" t="e">
        <f t="shared" si="50"/>
        <v>#N/A</v>
      </c>
      <c r="AL194" s="10">
        <v>7.625</v>
      </c>
      <c r="AM194" s="3">
        <f t="shared" si="51"/>
        <v>142265.60739999998</v>
      </c>
      <c r="AN194">
        <v>7.625</v>
      </c>
      <c r="AO194" s="7">
        <f t="shared" si="52"/>
        <v>1066.2244088073053</v>
      </c>
      <c r="AP194" s="2">
        <f t="shared" si="53"/>
        <v>122.84559119269466</v>
      </c>
    </row>
    <row r="195" spans="1:42" x14ac:dyDescent="0.15">
      <c r="A195" s="8">
        <v>1068357</v>
      </c>
      <c r="B195" t="s">
        <v>35</v>
      </c>
      <c r="C195" t="s">
        <v>16</v>
      </c>
      <c r="D195" s="1">
        <v>39003</v>
      </c>
      <c r="E195" s="2">
        <v>141000</v>
      </c>
      <c r="F195" s="2">
        <v>133000</v>
      </c>
      <c r="G195" t="s">
        <v>17</v>
      </c>
      <c r="H195" s="2">
        <v>1162.26</v>
      </c>
      <c r="I195" s="2">
        <v>131850.66</v>
      </c>
      <c r="J195">
        <v>9.9500000000000005E-2</v>
      </c>
      <c r="K195">
        <v>18</v>
      </c>
      <c r="L195">
        <v>342</v>
      </c>
      <c r="M195" t="str">
        <f t="shared" ref="M195:M258" si="57">(IF((L195+K195)&lt;180,"15 Year Fixed","30 Year Fixed"))</f>
        <v>30 Year Fixed</v>
      </c>
      <c r="N195" s="2">
        <v>1093.26</v>
      </c>
      <c r="O195" t="str">
        <f t="shared" si="54"/>
        <v>Refi</v>
      </c>
      <c r="P195" s="3">
        <f t="shared" ref="P195:P258" si="58">IF((0.85*E195)&gt;(I195*1.015),((0.85*E195)/1.015)-(I195),0)</f>
        <v>0</v>
      </c>
      <c r="Q195" s="4">
        <v>133828</v>
      </c>
      <c r="R195" s="4" t="s">
        <v>41</v>
      </c>
      <c r="S195" s="6">
        <v>577</v>
      </c>
      <c r="T195">
        <v>7.625</v>
      </c>
      <c r="U195" s="7">
        <f t="shared" si="55"/>
        <v>1002.9878815381494</v>
      </c>
      <c r="V195" s="2">
        <f t="shared" ref="V195:V258" si="59">H195-U195</f>
        <v>159.2721184618506</v>
      </c>
      <c r="W195" s="9">
        <f t="shared" ref="W195:W258" si="60">IF(AND(O195="Cash Out",V195&lt;0),1,0)</f>
        <v>0</v>
      </c>
      <c r="X195" s="3">
        <v>133829</v>
      </c>
      <c r="Y195" s="3">
        <f t="shared" ref="Y195:Y258" si="61">(X195/1.015)-(I195)</f>
        <v>0.57152709361980669</v>
      </c>
      <c r="Z195" s="7">
        <f t="shared" ref="Z195:Z258" si="62">(X195*((AL195/1200)/(1-(1+(AL195/1200))^-AI195)))+((X195*0.005)/12)</f>
        <v>1002.9953761422796</v>
      </c>
      <c r="AA195" s="2">
        <f t="shared" si="56"/>
        <v>159.26462385772038</v>
      </c>
      <c r="AB195" s="8">
        <f t="shared" ref="AB195:AB258" si="63">IF(I195=0,0,IF(AND(AH195&gt;0,(AP195/AO195)&lt;0.07),1,IF(AND(AH195=0,(AP195/AO195)&lt;0.1),1,0)))</f>
        <v>0</v>
      </c>
      <c r="AC195" s="10">
        <v>7.625</v>
      </c>
      <c r="AD195" s="7">
        <f t="shared" ref="AD195:AD258" si="64">(X195*((AC195/1200)/(1-(1+(AC195/1200))^-AI195)))+((X195*0.005)/12)</f>
        <v>1002.9953761422796</v>
      </c>
      <c r="AE195" s="2">
        <f t="shared" ref="AE195:AE258" si="65">H195-AD195</f>
        <v>159.26462385772038</v>
      </c>
      <c r="AF195" s="10">
        <v>0</v>
      </c>
      <c r="AG195" s="3">
        <f t="shared" ref="AG195:AG258" si="66">AF195*X195/100</f>
        <v>0</v>
      </c>
      <c r="AH195" s="7">
        <v>6616.75</v>
      </c>
      <c r="AI195">
        <f t="shared" ref="AI195:AI258" si="67">IF(M195="30 Year Fixed",360,180)</f>
        <v>360</v>
      </c>
      <c r="AJ195" t="e">
        <f>VLOOKUP(A195,'Borrower Details'!$A$1:$H$1493,8,FALSE)</f>
        <v>#N/A</v>
      </c>
      <c r="AK195" s="4" t="e">
        <f t="shared" ref="AK195:AK258" si="68">IF(AJ195&gt;360,PV((J195/12),AJ195-AI195,-H195),"NA")</f>
        <v>#N/A</v>
      </c>
      <c r="AL195" s="10">
        <v>7.625</v>
      </c>
      <c r="AM195" s="3">
        <f t="shared" ref="AM195:AM258" si="69">I195*1.015</f>
        <v>133828.41989999998</v>
      </c>
      <c r="AN195">
        <v>7.625</v>
      </c>
      <c r="AO195" s="7">
        <f t="shared" ref="AO195:AO258" si="70">(AM195*((AN195/1200)/(1-(1+(AN195/1200))^-AI195)))+((AM195*0.005)/12)</f>
        <v>1002.9910285224236</v>
      </c>
      <c r="AP195" s="2">
        <f t="shared" ref="AP195:AP258" si="71">H195-AO195</f>
        <v>159.26897147757643</v>
      </c>
    </row>
    <row r="196" spans="1:42" x14ac:dyDescent="0.15">
      <c r="A196" s="8">
        <v>1176986</v>
      </c>
      <c r="B196" t="s">
        <v>36</v>
      </c>
      <c r="C196" t="s">
        <v>19</v>
      </c>
      <c r="D196" s="1">
        <v>39162</v>
      </c>
      <c r="E196" s="2">
        <v>77000</v>
      </c>
      <c r="F196" s="2">
        <v>69300</v>
      </c>
      <c r="G196" t="s">
        <v>15</v>
      </c>
      <c r="H196" s="2">
        <v>667.83</v>
      </c>
      <c r="I196" s="2">
        <v>68970.95</v>
      </c>
      <c r="J196">
        <v>0.1115</v>
      </c>
      <c r="K196">
        <v>13</v>
      </c>
      <c r="L196">
        <v>347</v>
      </c>
      <c r="M196" t="str">
        <f t="shared" si="57"/>
        <v>30 Year Fixed</v>
      </c>
      <c r="N196" s="2">
        <v>640.86</v>
      </c>
      <c r="O196" t="str">
        <f t="shared" si="54"/>
        <v>Refi</v>
      </c>
      <c r="P196" s="3">
        <f t="shared" si="58"/>
        <v>0</v>
      </c>
      <c r="Q196" s="4">
        <v>70006</v>
      </c>
      <c r="R196" s="4" t="s">
        <v>41</v>
      </c>
      <c r="S196" s="6">
        <v>543</v>
      </c>
      <c r="T196">
        <v>7.625</v>
      </c>
      <c r="U196" s="7">
        <f t="shared" si="55"/>
        <v>524.66725673969336</v>
      </c>
      <c r="V196" s="2">
        <f t="shared" si="59"/>
        <v>143.16274326030668</v>
      </c>
      <c r="W196" s="9">
        <f t="shared" si="60"/>
        <v>0</v>
      </c>
      <c r="X196" s="3">
        <v>70006</v>
      </c>
      <c r="Y196" s="3">
        <f t="shared" si="61"/>
        <v>0.47857142858265433</v>
      </c>
      <c r="Z196" s="7">
        <f t="shared" si="62"/>
        <v>524.66725673969336</v>
      </c>
      <c r="AA196" s="2">
        <f t="shared" si="56"/>
        <v>143.16274326030668</v>
      </c>
      <c r="AB196" s="8">
        <f t="shared" si="63"/>
        <v>0</v>
      </c>
      <c r="AC196" s="10">
        <v>7.625</v>
      </c>
      <c r="AD196" s="7">
        <f t="shared" si="64"/>
        <v>524.66725673969336</v>
      </c>
      <c r="AE196" s="2">
        <f t="shared" si="65"/>
        <v>143.16274326030668</v>
      </c>
      <c r="AF196" s="10">
        <v>0</v>
      </c>
      <c r="AG196" s="3">
        <f t="shared" si="66"/>
        <v>0</v>
      </c>
      <c r="AH196" s="7">
        <v>1386</v>
      </c>
      <c r="AI196">
        <f t="shared" si="67"/>
        <v>360</v>
      </c>
      <c r="AJ196" t="e">
        <f>VLOOKUP(A196,'Borrower Details'!$A$1:$H$1493,8,FALSE)</f>
        <v>#N/A</v>
      </c>
      <c r="AK196" s="4" t="e">
        <f t="shared" si="68"/>
        <v>#N/A</v>
      </c>
      <c r="AL196" s="10">
        <v>7.625</v>
      </c>
      <c r="AM196" s="3">
        <f t="shared" si="69"/>
        <v>70005.514249999993</v>
      </c>
      <c r="AN196">
        <v>7.625</v>
      </c>
      <c r="AO196" s="7">
        <f t="shared" si="70"/>
        <v>524.66361623573709</v>
      </c>
      <c r="AP196" s="2">
        <f t="shared" si="71"/>
        <v>143.16638376426295</v>
      </c>
    </row>
    <row r="197" spans="1:42" x14ac:dyDescent="0.15">
      <c r="A197" s="8">
        <v>410101422</v>
      </c>
      <c r="B197" t="s">
        <v>36</v>
      </c>
      <c r="C197" t="s">
        <v>19</v>
      </c>
      <c r="D197" s="1">
        <v>39197</v>
      </c>
      <c r="E197" s="2">
        <v>455000</v>
      </c>
      <c r="F197" s="2">
        <v>409500</v>
      </c>
      <c r="G197" t="s">
        <v>15</v>
      </c>
      <c r="H197" s="2">
        <v>3221.28</v>
      </c>
      <c r="I197" s="2">
        <v>409112.48</v>
      </c>
      <c r="J197">
        <v>9.35E-2</v>
      </c>
      <c r="K197">
        <v>12</v>
      </c>
      <c r="L197">
        <v>348</v>
      </c>
      <c r="M197" t="str">
        <f t="shared" si="57"/>
        <v>30 Year Fixed</v>
      </c>
      <c r="N197" s="2">
        <v>3187.67</v>
      </c>
      <c r="O197" t="str">
        <f t="shared" si="54"/>
        <v>Refi</v>
      </c>
      <c r="P197" s="3">
        <f t="shared" si="58"/>
        <v>0</v>
      </c>
      <c r="Q197" s="4">
        <v>415249</v>
      </c>
      <c r="R197" s="4" t="s">
        <v>41</v>
      </c>
      <c r="S197" s="6">
        <v>604</v>
      </c>
      <c r="T197">
        <v>7.625</v>
      </c>
      <c r="U197" s="7">
        <f t="shared" si="55"/>
        <v>3112.126870466831</v>
      </c>
      <c r="V197" s="2">
        <f t="shared" si="59"/>
        <v>109.15312953316925</v>
      </c>
      <c r="W197" s="9">
        <f t="shared" si="60"/>
        <v>0</v>
      </c>
      <c r="X197" s="3">
        <v>415249</v>
      </c>
      <c r="Y197" s="3">
        <f t="shared" si="61"/>
        <v>-0.16472906398121268</v>
      </c>
      <c r="Z197" s="7">
        <f t="shared" si="62"/>
        <v>3112.126870466831</v>
      </c>
      <c r="AA197" s="2">
        <f t="shared" si="56"/>
        <v>109.15312953316925</v>
      </c>
      <c r="AB197" s="8">
        <f t="shared" si="63"/>
        <v>1</v>
      </c>
      <c r="AC197" s="10">
        <v>6.875</v>
      </c>
      <c r="AD197" s="7">
        <f t="shared" si="64"/>
        <v>2900.9107461661115</v>
      </c>
      <c r="AE197" s="2">
        <f t="shared" si="65"/>
        <v>320.36925383388871</v>
      </c>
      <c r="AF197" s="10">
        <v>1</v>
      </c>
      <c r="AG197" s="3">
        <f t="shared" si="66"/>
        <v>4152.49</v>
      </c>
      <c r="AH197" s="7">
        <v>8190</v>
      </c>
      <c r="AI197">
        <f t="shared" si="67"/>
        <v>360</v>
      </c>
      <c r="AJ197" t="e">
        <f>VLOOKUP(A197,'Borrower Details'!$A$1:$H$1493,8,FALSE)</f>
        <v>#N/A</v>
      </c>
      <c r="AK197" s="4" t="e">
        <f t="shared" si="68"/>
        <v>#N/A</v>
      </c>
      <c r="AL197" s="10">
        <v>7.625</v>
      </c>
      <c r="AM197" s="3">
        <f t="shared" si="69"/>
        <v>415249.16719999997</v>
      </c>
      <c r="AN197">
        <v>7.625</v>
      </c>
      <c r="AO197" s="7">
        <f t="shared" si="70"/>
        <v>3112.1281235646411</v>
      </c>
      <c r="AP197" s="2">
        <f t="shared" si="71"/>
        <v>109.1518764353591</v>
      </c>
    </row>
    <row r="198" spans="1:42" x14ac:dyDescent="0.15">
      <c r="A198" s="8">
        <v>410690432</v>
      </c>
      <c r="B198" t="s">
        <v>38</v>
      </c>
      <c r="C198" t="s">
        <v>18</v>
      </c>
      <c r="D198" s="1">
        <v>39300</v>
      </c>
      <c r="E198" s="2">
        <v>153000</v>
      </c>
      <c r="F198" s="2">
        <v>129700</v>
      </c>
      <c r="G198" t="s">
        <v>17</v>
      </c>
      <c r="H198" s="2">
        <v>1076.81</v>
      </c>
      <c r="I198" s="2">
        <v>127639.78</v>
      </c>
      <c r="J198">
        <v>7.9000000000000001E-2</v>
      </c>
      <c r="K198">
        <v>8</v>
      </c>
      <c r="L198">
        <v>231</v>
      </c>
      <c r="M198" t="str">
        <f t="shared" si="57"/>
        <v>30 Year Fixed</v>
      </c>
      <c r="N198" s="2">
        <v>840.3</v>
      </c>
      <c r="O198" t="str">
        <f t="shared" si="54"/>
        <v>Cash Out</v>
      </c>
      <c r="P198" s="3">
        <f t="shared" si="58"/>
        <v>488.2988177340012</v>
      </c>
      <c r="Q198" s="4">
        <v>130050</v>
      </c>
      <c r="R198" s="4" t="s">
        <v>41</v>
      </c>
      <c r="S198" s="6">
        <v>600</v>
      </c>
      <c r="T198">
        <v>6.875</v>
      </c>
      <c r="U198" s="7">
        <f t="shared" si="55"/>
        <v>908.52342218500894</v>
      </c>
      <c r="V198" s="2">
        <f t="shared" si="59"/>
        <v>168.28657781499101</v>
      </c>
      <c r="W198" s="9">
        <f t="shared" si="60"/>
        <v>0</v>
      </c>
      <c r="X198" s="3">
        <v>130050</v>
      </c>
      <c r="Y198" s="3">
        <f t="shared" si="61"/>
        <v>488.2988177340012</v>
      </c>
      <c r="Z198" s="7">
        <f t="shared" si="62"/>
        <v>908.52342218500894</v>
      </c>
      <c r="AA198" s="2">
        <f t="shared" si="56"/>
        <v>168.28657781499101</v>
      </c>
      <c r="AB198" s="8">
        <f t="shared" si="63"/>
        <v>0</v>
      </c>
      <c r="AC198" s="10">
        <v>6.875</v>
      </c>
      <c r="AD198" s="7">
        <f t="shared" si="64"/>
        <v>908.52342218500894</v>
      </c>
      <c r="AE198" s="2">
        <f t="shared" si="65"/>
        <v>168.28657781499101</v>
      </c>
      <c r="AF198" s="10">
        <v>0</v>
      </c>
      <c r="AG198" s="3">
        <f t="shared" si="66"/>
        <v>0</v>
      </c>
      <c r="AH198" s="7">
        <v>0</v>
      </c>
      <c r="AI198">
        <f t="shared" si="67"/>
        <v>360</v>
      </c>
      <c r="AJ198" t="e">
        <f>VLOOKUP(A198,'Borrower Details'!$A$1:$H$1493,8,FALSE)</f>
        <v>#N/A</v>
      </c>
      <c r="AK198" s="4" t="e">
        <f t="shared" si="68"/>
        <v>#N/A</v>
      </c>
      <c r="AL198" s="10">
        <v>6.875</v>
      </c>
      <c r="AM198" s="3">
        <f t="shared" si="69"/>
        <v>129554.37669999999</v>
      </c>
      <c r="AN198">
        <v>6.875</v>
      </c>
      <c r="AO198" s="7">
        <f t="shared" si="70"/>
        <v>905.06102021168613</v>
      </c>
      <c r="AP198" s="2">
        <f t="shared" si="71"/>
        <v>171.74897978831382</v>
      </c>
    </row>
    <row r="199" spans="1:42" x14ac:dyDescent="0.15">
      <c r="A199" s="8">
        <v>1149804</v>
      </c>
      <c r="B199" t="s">
        <v>35</v>
      </c>
      <c r="C199" t="s">
        <v>16</v>
      </c>
      <c r="D199" s="1">
        <v>39139</v>
      </c>
      <c r="E199" s="2">
        <v>145000</v>
      </c>
      <c r="F199" s="2">
        <v>134900</v>
      </c>
      <c r="G199" t="s">
        <v>15</v>
      </c>
      <c r="H199" s="2">
        <v>1168.92</v>
      </c>
      <c r="I199" s="2">
        <v>133988.57</v>
      </c>
      <c r="J199">
        <v>9.8500000000000004E-2</v>
      </c>
      <c r="K199">
        <v>14</v>
      </c>
      <c r="L199">
        <v>346</v>
      </c>
      <c r="M199" t="str">
        <f t="shared" si="57"/>
        <v>30 Year Fixed</v>
      </c>
      <c r="N199" s="2">
        <v>1099.82</v>
      </c>
      <c r="O199" t="str">
        <f t="shared" si="54"/>
        <v>Refi</v>
      </c>
      <c r="P199" s="3">
        <f t="shared" si="58"/>
        <v>0</v>
      </c>
      <c r="Q199" s="4">
        <v>135998</v>
      </c>
      <c r="R199" s="4" t="s">
        <v>41</v>
      </c>
      <c r="S199" s="6">
        <v>576</v>
      </c>
      <c r="T199">
        <v>7.625</v>
      </c>
      <c r="U199" s="7">
        <f t="shared" si="55"/>
        <v>1019.2511725007117</v>
      </c>
      <c r="V199" s="2">
        <f t="shared" si="59"/>
        <v>149.66882749928834</v>
      </c>
      <c r="W199" s="9">
        <f t="shared" si="60"/>
        <v>0</v>
      </c>
      <c r="X199" s="3">
        <v>135999</v>
      </c>
      <c r="Y199" s="3">
        <f t="shared" si="61"/>
        <v>0.59256157636991702</v>
      </c>
      <c r="Z199" s="7">
        <f t="shared" si="62"/>
        <v>1019.2586671048419</v>
      </c>
      <c r="AA199" s="2">
        <f t="shared" si="56"/>
        <v>149.66133289515813</v>
      </c>
      <c r="AB199" s="8">
        <f t="shared" si="63"/>
        <v>0</v>
      </c>
      <c r="AC199" s="10">
        <v>7.625</v>
      </c>
      <c r="AD199" s="7">
        <f t="shared" si="64"/>
        <v>1019.2586671048419</v>
      </c>
      <c r="AE199" s="2">
        <f t="shared" si="65"/>
        <v>149.66133289515813</v>
      </c>
      <c r="AF199" s="10">
        <v>0</v>
      </c>
      <c r="AG199" s="3">
        <f t="shared" si="66"/>
        <v>0</v>
      </c>
      <c r="AH199" s="7">
        <v>6643.8250000000007</v>
      </c>
      <c r="AI199">
        <f t="shared" si="67"/>
        <v>360</v>
      </c>
      <c r="AJ199" t="e">
        <f>VLOOKUP(A199,'Borrower Details'!$A$1:$H$1493,8,FALSE)</f>
        <v>#N/A</v>
      </c>
      <c r="AK199" s="4" t="e">
        <f t="shared" si="68"/>
        <v>#N/A</v>
      </c>
      <c r="AL199" s="10">
        <v>7.625</v>
      </c>
      <c r="AM199" s="3">
        <f t="shared" si="69"/>
        <v>135998.39854999998</v>
      </c>
      <c r="AN199">
        <v>7.625</v>
      </c>
      <c r="AO199" s="7">
        <f t="shared" si="70"/>
        <v>1019.2541594751876</v>
      </c>
      <c r="AP199" s="2">
        <f t="shared" si="71"/>
        <v>149.66584052481244</v>
      </c>
    </row>
    <row r="200" spans="1:42" x14ac:dyDescent="0.15">
      <c r="A200" s="8">
        <v>1164764</v>
      </c>
      <c r="B200" t="s">
        <v>36</v>
      </c>
      <c r="C200" t="s">
        <v>19</v>
      </c>
      <c r="D200" s="1">
        <v>39154</v>
      </c>
      <c r="E200" s="2">
        <v>161000</v>
      </c>
      <c r="F200" s="2">
        <v>143000</v>
      </c>
      <c r="G200" t="s">
        <v>15</v>
      </c>
      <c r="H200" s="2">
        <v>975.52</v>
      </c>
      <c r="I200" s="2">
        <v>141495.15</v>
      </c>
      <c r="J200">
        <v>7.2499999999999995E-2</v>
      </c>
      <c r="K200">
        <v>13</v>
      </c>
      <c r="L200">
        <v>347</v>
      </c>
      <c r="M200" t="str">
        <f t="shared" si="57"/>
        <v>30 Year Fixed</v>
      </c>
      <c r="N200" s="2">
        <v>854.87</v>
      </c>
      <c r="O200" t="str">
        <f t="shared" si="54"/>
        <v>Refi</v>
      </c>
      <c r="P200" s="3">
        <f t="shared" si="58"/>
        <v>0</v>
      </c>
      <c r="Q200" s="4">
        <v>143618</v>
      </c>
      <c r="R200" s="4" t="s">
        <v>41</v>
      </c>
      <c r="S200" s="6">
        <v>607</v>
      </c>
      <c r="T200">
        <v>6.875</v>
      </c>
      <c r="U200" s="7">
        <f t="shared" si="55"/>
        <v>1003.3088569578364</v>
      </c>
      <c r="V200" s="2">
        <f t="shared" si="59"/>
        <v>-27.788856957836401</v>
      </c>
      <c r="W200" s="9">
        <f t="shared" si="60"/>
        <v>0</v>
      </c>
      <c r="X200" s="3">
        <v>143617</v>
      </c>
      <c r="Y200" s="3">
        <f t="shared" si="61"/>
        <v>-0.56871921179117635</v>
      </c>
      <c r="Z200" s="7">
        <f t="shared" si="62"/>
        <v>1003.3018710030329</v>
      </c>
      <c r="AA200" s="2">
        <f t="shared" si="56"/>
        <v>-27.781871003032961</v>
      </c>
      <c r="AB200" s="8">
        <f t="shared" si="63"/>
        <v>1</v>
      </c>
      <c r="AC200" s="10">
        <v>6.25</v>
      </c>
      <c r="AD200" s="7">
        <f t="shared" si="64"/>
        <v>944.11498840304023</v>
      </c>
      <c r="AE200" s="2">
        <f t="shared" si="65"/>
        <v>31.405011596959753</v>
      </c>
      <c r="AF200" s="10">
        <v>2.5</v>
      </c>
      <c r="AG200" s="3">
        <f t="shared" si="66"/>
        <v>3590.4250000000002</v>
      </c>
      <c r="AH200" s="7">
        <v>2860</v>
      </c>
      <c r="AI200">
        <f t="shared" si="67"/>
        <v>360</v>
      </c>
      <c r="AJ200" t="e">
        <f>VLOOKUP(A200,'Borrower Details'!$A$1:$H$1493,8,FALSE)</f>
        <v>#N/A</v>
      </c>
      <c r="AK200" s="4" t="e">
        <f t="shared" si="68"/>
        <v>#N/A</v>
      </c>
      <c r="AL200" s="10">
        <v>6.875</v>
      </c>
      <c r="AM200" s="3">
        <f t="shared" si="69"/>
        <v>143617.57724999997</v>
      </c>
      <c r="AN200">
        <v>6.875</v>
      </c>
      <c r="AO200" s="7">
        <f t="shared" si="70"/>
        <v>1003.3059036454431</v>
      </c>
      <c r="AP200" s="2">
        <f t="shared" si="71"/>
        <v>-27.785903645443113</v>
      </c>
    </row>
    <row r="201" spans="1:42" x14ac:dyDescent="0.15">
      <c r="A201" s="8">
        <v>410390124</v>
      </c>
      <c r="B201" t="s">
        <v>36</v>
      </c>
      <c r="C201" t="s">
        <v>19</v>
      </c>
      <c r="D201" s="1">
        <v>39247</v>
      </c>
      <c r="E201" s="2">
        <v>146000</v>
      </c>
      <c r="F201" s="2">
        <v>132905</v>
      </c>
      <c r="G201" t="s">
        <v>15</v>
      </c>
      <c r="H201" s="2">
        <v>794.6</v>
      </c>
      <c r="I201" s="2">
        <v>132649.85</v>
      </c>
      <c r="J201">
        <v>6.9500000000000006E-2</v>
      </c>
      <c r="K201">
        <v>10</v>
      </c>
      <c r="L201">
        <v>350</v>
      </c>
      <c r="M201" t="str">
        <f t="shared" si="57"/>
        <v>30 Year Fixed</v>
      </c>
      <c r="N201" s="2">
        <v>768.26</v>
      </c>
      <c r="O201" t="str">
        <f t="shared" si="54"/>
        <v>Refi</v>
      </c>
      <c r="P201" s="3">
        <f t="shared" si="58"/>
        <v>0</v>
      </c>
      <c r="Q201" s="4">
        <v>134640</v>
      </c>
      <c r="R201" s="4" t="s">
        <v>41</v>
      </c>
      <c r="S201" s="6">
        <v>654</v>
      </c>
      <c r="T201">
        <v>6.75</v>
      </c>
      <c r="U201" s="7">
        <f t="shared" si="55"/>
        <v>929.37247721944311</v>
      </c>
      <c r="V201" s="2">
        <f t="shared" si="59"/>
        <v>-134.77247721944309</v>
      </c>
      <c r="W201" s="9">
        <f t="shared" si="60"/>
        <v>0</v>
      </c>
      <c r="X201" s="3">
        <v>134640</v>
      </c>
      <c r="Y201" s="3">
        <f t="shared" si="61"/>
        <v>0.39630541871883906</v>
      </c>
      <c r="Z201" s="7">
        <f t="shared" si="62"/>
        <v>929.37247721944311</v>
      </c>
      <c r="AA201" s="2">
        <f t="shared" si="56"/>
        <v>-134.77247721944309</v>
      </c>
      <c r="AB201" s="8">
        <f t="shared" si="63"/>
        <v>1</v>
      </c>
      <c r="AC201" s="10">
        <v>6.125</v>
      </c>
      <c r="AD201" s="7">
        <f t="shared" si="64"/>
        <v>874.18683049144045</v>
      </c>
      <c r="AE201" s="2">
        <f t="shared" si="65"/>
        <v>-79.586830491440423</v>
      </c>
      <c r="AF201" s="10">
        <v>3</v>
      </c>
      <c r="AG201" s="3">
        <f t="shared" si="66"/>
        <v>4039.2</v>
      </c>
      <c r="AH201" s="7">
        <v>2658.1</v>
      </c>
      <c r="AI201">
        <f t="shared" si="67"/>
        <v>360</v>
      </c>
      <c r="AJ201" t="e">
        <f>VLOOKUP(A201,'Borrower Details'!$A$1:$H$1493,8,FALSE)</f>
        <v>#N/A</v>
      </c>
      <c r="AK201" s="4" t="e">
        <f t="shared" si="68"/>
        <v>#N/A</v>
      </c>
      <c r="AL201" s="10">
        <v>6.75</v>
      </c>
      <c r="AM201" s="3">
        <f t="shared" si="69"/>
        <v>134639.59774999999</v>
      </c>
      <c r="AN201">
        <v>6.75</v>
      </c>
      <c r="AO201" s="7">
        <f t="shared" si="70"/>
        <v>929.36970062943294</v>
      </c>
      <c r="AP201" s="2">
        <f t="shared" si="71"/>
        <v>-134.76970062943292</v>
      </c>
    </row>
    <row r="202" spans="1:42" x14ac:dyDescent="0.15">
      <c r="A202" s="8">
        <v>411233646</v>
      </c>
      <c r="B202" t="s">
        <v>36</v>
      </c>
      <c r="C202" t="s">
        <v>16</v>
      </c>
      <c r="D202" s="1">
        <v>39476</v>
      </c>
      <c r="E202" s="2">
        <v>515000</v>
      </c>
      <c r="F202" s="2">
        <v>463500</v>
      </c>
      <c r="G202" t="s">
        <v>17</v>
      </c>
      <c r="H202" s="2">
        <v>3813.11</v>
      </c>
      <c r="I202" s="2">
        <v>462375.94</v>
      </c>
      <c r="J202">
        <v>9.2499999999999999E-2</v>
      </c>
      <c r="K202">
        <v>3</v>
      </c>
      <c r="L202">
        <v>357</v>
      </c>
      <c r="M202" t="str">
        <f t="shared" si="57"/>
        <v>30 Year Fixed</v>
      </c>
      <c r="N202" s="2">
        <v>3564.15</v>
      </c>
      <c r="O202" t="str">
        <f t="shared" si="54"/>
        <v>Refi</v>
      </c>
      <c r="P202" s="3">
        <f t="shared" si="58"/>
        <v>0</v>
      </c>
      <c r="Q202" s="4">
        <v>469312</v>
      </c>
      <c r="R202" s="4" t="s">
        <v>41</v>
      </c>
      <c r="S202" s="6">
        <v>668</v>
      </c>
      <c r="T202">
        <v>7.375</v>
      </c>
      <c r="U202" s="7">
        <f t="shared" si="55"/>
        <v>3436.9680153586846</v>
      </c>
      <c r="V202" s="2">
        <f t="shared" si="59"/>
        <v>376.1419846413155</v>
      </c>
      <c r="W202" s="9">
        <f t="shared" si="60"/>
        <v>0</v>
      </c>
      <c r="X202" s="3">
        <v>469312</v>
      </c>
      <c r="Y202" s="3">
        <f t="shared" si="61"/>
        <v>0.41467980301240459</v>
      </c>
      <c r="Z202" s="7">
        <f t="shared" si="62"/>
        <v>3436.9680153586846</v>
      </c>
      <c r="AA202" s="2">
        <f t="shared" si="56"/>
        <v>376.1419846413155</v>
      </c>
      <c r="AB202" s="8">
        <f t="shared" si="63"/>
        <v>0</v>
      </c>
      <c r="AC202" s="10">
        <v>7.375</v>
      </c>
      <c r="AD202" s="7">
        <f t="shared" si="64"/>
        <v>3436.9680153586846</v>
      </c>
      <c r="AE202" s="2">
        <f t="shared" si="65"/>
        <v>376.1419846413155</v>
      </c>
      <c r="AF202" s="10">
        <v>0</v>
      </c>
      <c r="AG202" s="3">
        <f t="shared" si="66"/>
        <v>0</v>
      </c>
      <c r="AH202" s="7">
        <v>9270</v>
      </c>
      <c r="AI202">
        <f t="shared" si="67"/>
        <v>360</v>
      </c>
      <c r="AJ202" t="e">
        <f>VLOOKUP(A202,'Borrower Details'!$A$1:$H$1493,8,FALSE)</f>
        <v>#N/A</v>
      </c>
      <c r="AK202" s="4" t="e">
        <f t="shared" si="68"/>
        <v>#N/A</v>
      </c>
      <c r="AL202" s="10">
        <v>7.375</v>
      </c>
      <c r="AM202" s="3">
        <f t="shared" si="69"/>
        <v>469311.57909999997</v>
      </c>
      <c r="AN202">
        <v>7.375</v>
      </c>
      <c r="AO202" s="7">
        <f t="shared" si="70"/>
        <v>3436.9649329319882</v>
      </c>
      <c r="AP202" s="2">
        <f t="shared" si="71"/>
        <v>376.14506706801194</v>
      </c>
    </row>
    <row r="203" spans="1:42" x14ac:dyDescent="0.15">
      <c r="A203" s="8">
        <v>410903892</v>
      </c>
      <c r="B203" t="s">
        <v>37</v>
      </c>
      <c r="C203" t="s">
        <v>16</v>
      </c>
      <c r="D203" s="1">
        <v>39330</v>
      </c>
      <c r="E203" s="2">
        <v>167000</v>
      </c>
      <c r="F203" s="2">
        <v>133600</v>
      </c>
      <c r="G203" t="s">
        <v>20</v>
      </c>
      <c r="H203" s="2">
        <v>1074.02</v>
      </c>
      <c r="I203" s="2">
        <v>133076.43</v>
      </c>
      <c r="J203">
        <v>8.9899999999999994E-2</v>
      </c>
      <c r="K203">
        <v>7</v>
      </c>
      <c r="L203">
        <v>353</v>
      </c>
      <c r="M203" t="str">
        <f t="shared" si="57"/>
        <v>30 Year Fixed</v>
      </c>
      <c r="N203" s="2">
        <v>996.96</v>
      </c>
      <c r="O203" t="str">
        <f t="shared" si="54"/>
        <v>Cash Out</v>
      </c>
      <c r="P203" s="3">
        <f t="shared" si="58"/>
        <v>6775.7867487684998</v>
      </c>
      <c r="Q203" s="4">
        <v>141950</v>
      </c>
      <c r="R203" s="4" t="s">
        <v>41</v>
      </c>
      <c r="S203" s="6">
        <v>665</v>
      </c>
      <c r="T203">
        <v>6.75</v>
      </c>
      <c r="U203" s="7">
        <f t="shared" si="55"/>
        <v>979.83083141191287</v>
      </c>
      <c r="V203" s="2">
        <f t="shared" si="59"/>
        <v>94.189168588087114</v>
      </c>
      <c r="W203" s="9">
        <f t="shared" si="60"/>
        <v>0</v>
      </c>
      <c r="X203" s="3">
        <v>141950</v>
      </c>
      <c r="Y203" s="3">
        <f t="shared" si="61"/>
        <v>6775.7867487684998</v>
      </c>
      <c r="Z203" s="7">
        <f t="shared" si="62"/>
        <v>979.83083141191287</v>
      </c>
      <c r="AA203" s="2">
        <f t="shared" si="56"/>
        <v>94.189168588087114</v>
      </c>
      <c r="AB203" s="8">
        <f t="shared" si="63"/>
        <v>0</v>
      </c>
      <c r="AC203" s="10">
        <v>6.75</v>
      </c>
      <c r="AD203" s="7">
        <f t="shared" si="64"/>
        <v>979.83083141191287</v>
      </c>
      <c r="AE203" s="2">
        <f t="shared" si="65"/>
        <v>94.189168588087114</v>
      </c>
      <c r="AF203" s="10">
        <v>0</v>
      </c>
      <c r="AG203" s="3">
        <f t="shared" si="66"/>
        <v>0</v>
      </c>
      <c r="AH203" s="7">
        <v>0</v>
      </c>
      <c r="AI203">
        <f t="shared" si="67"/>
        <v>360</v>
      </c>
      <c r="AJ203" t="e">
        <f>VLOOKUP(A203,'Borrower Details'!$A$1:$H$1493,8,FALSE)</f>
        <v>#N/A</v>
      </c>
      <c r="AK203" s="4" t="e">
        <f t="shared" si="68"/>
        <v>#N/A</v>
      </c>
      <c r="AL203" s="10">
        <v>6.75</v>
      </c>
      <c r="AM203" s="3">
        <f t="shared" si="69"/>
        <v>135072.57644999999</v>
      </c>
      <c r="AN203">
        <v>6.75</v>
      </c>
      <c r="AO203" s="7">
        <f t="shared" si="70"/>
        <v>932.35840002784539</v>
      </c>
      <c r="AP203" s="2">
        <f t="shared" si="71"/>
        <v>141.66159997215459</v>
      </c>
    </row>
    <row r="204" spans="1:42" x14ac:dyDescent="0.15">
      <c r="A204" s="8">
        <v>410843940</v>
      </c>
      <c r="B204" t="s">
        <v>35</v>
      </c>
      <c r="C204" t="s">
        <v>16</v>
      </c>
      <c r="D204" s="1">
        <v>39351</v>
      </c>
      <c r="E204" s="2">
        <v>278000</v>
      </c>
      <c r="F204" s="2">
        <v>208500</v>
      </c>
      <c r="G204" t="s">
        <v>17</v>
      </c>
      <c r="H204" s="2">
        <v>1581.08</v>
      </c>
      <c r="I204" s="2">
        <v>207839.53</v>
      </c>
      <c r="J204">
        <v>8.3500000000000005E-2</v>
      </c>
      <c r="K204">
        <v>7</v>
      </c>
      <c r="L204">
        <v>355</v>
      </c>
      <c r="M204" t="str">
        <f t="shared" si="57"/>
        <v>30 Year Fixed</v>
      </c>
      <c r="N204" s="2">
        <v>1446.22</v>
      </c>
      <c r="O204" t="str">
        <f t="shared" si="54"/>
        <v>Cash Out</v>
      </c>
      <c r="P204" s="3">
        <f t="shared" si="58"/>
        <v>24968.351773399045</v>
      </c>
      <c r="Q204" s="4">
        <v>236300</v>
      </c>
      <c r="R204" s="4" t="s">
        <v>41</v>
      </c>
      <c r="S204" s="6">
        <v>594</v>
      </c>
      <c r="T204">
        <v>7.375</v>
      </c>
      <c r="U204" s="7">
        <f t="shared" si="55"/>
        <v>1730.5237071058425</v>
      </c>
      <c r="V204" s="2">
        <f t="shared" si="59"/>
        <v>-149.44370710584258</v>
      </c>
      <c r="W204" s="9">
        <f t="shared" si="60"/>
        <v>1</v>
      </c>
      <c r="X204" s="3">
        <v>215820</v>
      </c>
      <c r="Y204" s="3">
        <f t="shared" si="61"/>
        <v>4791.0118719211896</v>
      </c>
      <c r="Z204" s="7">
        <f t="shared" si="62"/>
        <v>1580.5401035445743</v>
      </c>
      <c r="AA204" s="2">
        <f t="shared" si="56"/>
        <v>0.53989645542560538</v>
      </c>
      <c r="AB204" s="8">
        <f t="shared" si="63"/>
        <v>1</v>
      </c>
      <c r="AC204" s="10">
        <v>6.625</v>
      </c>
      <c r="AD204" s="7">
        <f t="shared" si="64"/>
        <v>1471.844116192319</v>
      </c>
      <c r="AE204" s="2">
        <f t="shared" si="65"/>
        <v>109.23588380768092</v>
      </c>
      <c r="AF204" s="10">
        <v>1.875</v>
      </c>
      <c r="AG204" s="3">
        <f t="shared" si="66"/>
        <v>4046.625</v>
      </c>
      <c r="AH204" s="7">
        <v>8704.875</v>
      </c>
      <c r="AI204">
        <f t="shared" si="67"/>
        <v>360</v>
      </c>
      <c r="AJ204" t="e">
        <f>VLOOKUP(A204,'Borrower Details'!$A$1:$H$1493,8,FALSE)</f>
        <v>#N/A</v>
      </c>
      <c r="AK204" s="4" t="e">
        <f t="shared" si="68"/>
        <v>#N/A</v>
      </c>
      <c r="AL204" s="10">
        <v>7.375</v>
      </c>
      <c r="AM204" s="3">
        <f t="shared" si="69"/>
        <v>210957.12294999999</v>
      </c>
      <c r="AN204">
        <v>7.375</v>
      </c>
      <c r="AO204" s="7">
        <f t="shared" si="70"/>
        <v>1544.9272215311764</v>
      </c>
      <c r="AP204" s="2">
        <f t="shared" si="71"/>
        <v>36.152778468823499</v>
      </c>
    </row>
    <row r="205" spans="1:42" x14ac:dyDescent="0.15">
      <c r="A205" s="8">
        <v>411215338</v>
      </c>
      <c r="B205" t="s">
        <v>35</v>
      </c>
      <c r="C205" t="s">
        <v>16</v>
      </c>
      <c r="D205" s="1">
        <v>39475</v>
      </c>
      <c r="E205" s="2">
        <v>121000</v>
      </c>
      <c r="F205" s="2">
        <v>96800</v>
      </c>
      <c r="G205" t="s">
        <v>20</v>
      </c>
      <c r="H205" s="2">
        <v>950.49</v>
      </c>
      <c r="I205" s="2">
        <v>96704</v>
      </c>
      <c r="J205">
        <v>0.1139</v>
      </c>
      <c r="K205">
        <v>3</v>
      </c>
      <c r="L205">
        <v>357</v>
      </c>
      <c r="M205" t="str">
        <f t="shared" si="57"/>
        <v>30 Year Fixed</v>
      </c>
      <c r="N205" s="2">
        <v>917.88</v>
      </c>
      <c r="O205" t="str">
        <f t="shared" si="54"/>
        <v>Cash Out</v>
      </c>
      <c r="P205" s="3">
        <f t="shared" si="58"/>
        <v>4626.0492610837537</v>
      </c>
      <c r="Q205" s="4">
        <v>102850</v>
      </c>
      <c r="R205" s="4" t="s">
        <v>41</v>
      </c>
      <c r="S205" s="6">
        <v>521</v>
      </c>
      <c r="T205">
        <v>7.625</v>
      </c>
      <c r="U205" s="7">
        <f t="shared" si="55"/>
        <v>770.82003479241018</v>
      </c>
      <c r="V205" s="2">
        <f t="shared" si="59"/>
        <v>179.66996520758983</v>
      </c>
      <c r="W205" s="9">
        <f t="shared" si="60"/>
        <v>0</v>
      </c>
      <c r="X205" s="3">
        <v>102850</v>
      </c>
      <c r="Y205" s="3">
        <f t="shared" si="61"/>
        <v>4626.0492610837537</v>
      </c>
      <c r="Z205" s="7">
        <f t="shared" si="62"/>
        <v>770.82003479241018</v>
      </c>
      <c r="AA205" s="2">
        <f t="shared" si="56"/>
        <v>179.66996520758983</v>
      </c>
      <c r="AB205" s="8">
        <f t="shared" si="63"/>
        <v>0</v>
      </c>
      <c r="AC205" s="10">
        <v>7.625</v>
      </c>
      <c r="AD205" s="7">
        <f t="shared" si="64"/>
        <v>770.82003479241018</v>
      </c>
      <c r="AE205" s="2">
        <f t="shared" si="65"/>
        <v>179.66996520758983</v>
      </c>
      <c r="AF205" s="10">
        <v>0</v>
      </c>
      <c r="AG205" s="3">
        <f t="shared" si="66"/>
        <v>0</v>
      </c>
      <c r="AH205" s="7">
        <v>5512.76</v>
      </c>
      <c r="AI205">
        <f t="shared" si="67"/>
        <v>360</v>
      </c>
      <c r="AJ205" t="e">
        <f>VLOOKUP(A205,'Borrower Details'!$A$1:$H$1493,8,FALSE)</f>
        <v>#N/A</v>
      </c>
      <c r="AK205" s="4" t="e">
        <f t="shared" si="68"/>
        <v>#N/A</v>
      </c>
      <c r="AL205" s="10">
        <v>7.625</v>
      </c>
      <c r="AM205" s="3">
        <f t="shared" si="69"/>
        <v>98154.559999999998</v>
      </c>
      <c r="AN205">
        <v>7.625</v>
      </c>
      <c r="AO205" s="7">
        <f t="shared" si="70"/>
        <v>735.62957077524277</v>
      </c>
      <c r="AP205" s="2">
        <f t="shared" si="71"/>
        <v>214.86042922475724</v>
      </c>
    </row>
    <row r="206" spans="1:42" x14ac:dyDescent="0.15">
      <c r="A206" s="8">
        <v>410584254</v>
      </c>
      <c r="B206" t="s">
        <v>35</v>
      </c>
      <c r="C206" t="s">
        <v>16</v>
      </c>
      <c r="D206" s="1">
        <v>39294</v>
      </c>
      <c r="E206" s="2">
        <v>140000</v>
      </c>
      <c r="F206" s="2">
        <v>108000</v>
      </c>
      <c r="G206" t="s">
        <v>17</v>
      </c>
      <c r="H206" s="2">
        <v>841.94</v>
      </c>
      <c r="I206" s="2">
        <v>107405.88</v>
      </c>
      <c r="J206">
        <v>8.6499999999999994E-2</v>
      </c>
      <c r="K206">
        <v>9</v>
      </c>
      <c r="L206">
        <v>351</v>
      </c>
      <c r="M206" t="str">
        <f t="shared" si="57"/>
        <v>30 Year Fixed</v>
      </c>
      <c r="N206" s="2">
        <v>774.22</v>
      </c>
      <c r="O206" t="str">
        <f t="shared" si="54"/>
        <v>Cash Out</v>
      </c>
      <c r="P206" s="3">
        <f t="shared" si="58"/>
        <v>9835.499310344836</v>
      </c>
      <c r="Q206" s="4">
        <v>119000</v>
      </c>
      <c r="R206" s="4" t="s">
        <v>41</v>
      </c>
      <c r="S206" s="6">
        <v>587</v>
      </c>
      <c r="T206">
        <v>7.375</v>
      </c>
      <c r="U206" s="7">
        <f t="shared" si="55"/>
        <v>871.48675897416535</v>
      </c>
      <c r="V206" s="2">
        <f t="shared" si="59"/>
        <v>-29.5467589741653</v>
      </c>
      <c r="W206" s="9">
        <f t="shared" si="60"/>
        <v>1</v>
      </c>
      <c r="X206" s="3">
        <v>114890</v>
      </c>
      <c r="Y206" s="3">
        <f t="shared" si="61"/>
        <v>5786.2382266009954</v>
      </c>
      <c r="Z206" s="7">
        <f t="shared" si="62"/>
        <v>841.38751040791476</v>
      </c>
      <c r="AA206" s="2">
        <f t="shared" si="56"/>
        <v>0.55248959208529413</v>
      </c>
      <c r="AB206" s="8">
        <f t="shared" si="63"/>
        <v>1</v>
      </c>
      <c r="AC206" s="10">
        <v>6.625</v>
      </c>
      <c r="AD206" s="7">
        <f t="shared" si="64"/>
        <v>783.52409651253606</v>
      </c>
      <c r="AE206" s="2">
        <f t="shared" si="65"/>
        <v>58.415903487463993</v>
      </c>
      <c r="AF206" s="10">
        <v>1.875</v>
      </c>
      <c r="AG206" s="3">
        <f t="shared" si="66"/>
        <v>2154.1875</v>
      </c>
      <c r="AH206" s="7">
        <v>4671</v>
      </c>
      <c r="AI206">
        <f t="shared" si="67"/>
        <v>360</v>
      </c>
      <c r="AJ206" t="e">
        <f>VLOOKUP(A206,'Borrower Details'!$A$1:$H$1493,8,FALSE)</f>
        <v>#N/A</v>
      </c>
      <c r="AK206" s="4" t="e">
        <f t="shared" si="68"/>
        <v>#N/A</v>
      </c>
      <c r="AL206" s="10">
        <v>7.375</v>
      </c>
      <c r="AM206" s="3">
        <f t="shared" si="69"/>
        <v>109016.96819999999</v>
      </c>
      <c r="AN206">
        <v>7.375</v>
      </c>
      <c r="AO206" s="7">
        <f t="shared" si="70"/>
        <v>798.37684277149276</v>
      </c>
      <c r="AP206" s="2">
        <f t="shared" si="71"/>
        <v>43.563157228507293</v>
      </c>
    </row>
    <row r="207" spans="1:42" x14ac:dyDescent="0.15">
      <c r="A207" s="8">
        <v>1155346</v>
      </c>
      <c r="B207" t="s">
        <v>35</v>
      </c>
      <c r="C207" t="s">
        <v>16</v>
      </c>
      <c r="D207" s="1">
        <v>39160</v>
      </c>
      <c r="E207" s="2">
        <v>135000</v>
      </c>
      <c r="F207" s="2">
        <v>120000</v>
      </c>
      <c r="G207" t="s">
        <v>17</v>
      </c>
      <c r="H207" s="2">
        <v>959.39</v>
      </c>
      <c r="I207" s="2">
        <v>117031.74</v>
      </c>
      <c r="J207">
        <v>7.3999999999999996E-2</v>
      </c>
      <c r="K207">
        <v>13</v>
      </c>
      <c r="L207">
        <v>227</v>
      </c>
      <c r="M207" t="str">
        <f t="shared" si="57"/>
        <v>30 Year Fixed</v>
      </c>
      <c r="N207" s="2">
        <v>721.7</v>
      </c>
      <c r="O207" t="str">
        <f t="shared" si="54"/>
        <v>Refi</v>
      </c>
      <c r="P207" s="3">
        <f t="shared" si="58"/>
        <v>0</v>
      </c>
      <c r="Q207" s="4">
        <v>118787</v>
      </c>
      <c r="R207" s="4" t="s">
        <v>41</v>
      </c>
      <c r="S207" s="6">
        <v>672</v>
      </c>
      <c r="T207">
        <v>6.75</v>
      </c>
      <c r="U207" s="7">
        <f t="shared" si="55"/>
        <v>819.94480430381748</v>
      </c>
      <c r="V207" s="2">
        <f t="shared" si="59"/>
        <v>139.44519569618251</v>
      </c>
      <c r="W207" s="9">
        <f t="shared" si="60"/>
        <v>0</v>
      </c>
      <c r="X207" s="3">
        <v>118787</v>
      </c>
      <c r="Y207" s="3">
        <f t="shared" si="61"/>
        <v>-0.21290640393272042</v>
      </c>
      <c r="Z207" s="7">
        <f t="shared" si="62"/>
        <v>819.94480430381748</v>
      </c>
      <c r="AA207" s="2">
        <f t="shared" si="56"/>
        <v>139.44519569618251</v>
      </c>
      <c r="AB207" s="8">
        <f t="shared" si="63"/>
        <v>0</v>
      </c>
      <c r="AC207" s="10">
        <v>6.75</v>
      </c>
      <c r="AD207" s="7">
        <f t="shared" si="64"/>
        <v>819.94480430381748</v>
      </c>
      <c r="AE207" s="2">
        <f t="shared" si="65"/>
        <v>139.44519569618251</v>
      </c>
      <c r="AF207" s="10">
        <v>0</v>
      </c>
      <c r="AG207" s="3">
        <f t="shared" si="66"/>
        <v>0</v>
      </c>
      <c r="AH207" s="7">
        <v>4440</v>
      </c>
      <c r="AI207">
        <f t="shared" si="67"/>
        <v>360</v>
      </c>
      <c r="AJ207" t="e">
        <f>VLOOKUP(A207,'Borrower Details'!$A$1:$H$1493,8,FALSE)</f>
        <v>#N/A</v>
      </c>
      <c r="AK207" s="4" t="e">
        <f t="shared" si="68"/>
        <v>#N/A</v>
      </c>
      <c r="AL207" s="10">
        <v>6.75</v>
      </c>
      <c r="AM207" s="3">
        <f t="shared" si="69"/>
        <v>118787.21609999999</v>
      </c>
      <c r="AN207">
        <v>6.75</v>
      </c>
      <c r="AO207" s="7">
        <f t="shared" si="70"/>
        <v>819.94629596597076</v>
      </c>
      <c r="AP207" s="2">
        <f t="shared" si="71"/>
        <v>139.44370403402922</v>
      </c>
    </row>
    <row r="208" spans="1:42" x14ac:dyDescent="0.15">
      <c r="A208" s="8">
        <v>1168535</v>
      </c>
      <c r="B208" t="s">
        <v>35</v>
      </c>
      <c r="C208" t="s">
        <v>16</v>
      </c>
      <c r="D208" s="1">
        <v>39181</v>
      </c>
      <c r="E208" s="2">
        <v>90000</v>
      </c>
      <c r="F208" s="2">
        <v>76500</v>
      </c>
      <c r="G208" t="s">
        <v>15</v>
      </c>
      <c r="H208" s="2">
        <v>598.71</v>
      </c>
      <c r="I208" s="2">
        <v>76426.929999999993</v>
      </c>
      <c r="J208">
        <v>9.2999999999999999E-2</v>
      </c>
      <c r="K208">
        <v>12</v>
      </c>
      <c r="L208">
        <v>348</v>
      </c>
      <c r="M208" t="str">
        <f t="shared" si="57"/>
        <v>30 Year Fixed</v>
      </c>
      <c r="N208" s="2">
        <v>592.30999999999995</v>
      </c>
      <c r="O208" t="str">
        <f t="shared" si="54"/>
        <v>Refi</v>
      </c>
      <c r="P208" s="3">
        <f t="shared" si="58"/>
        <v>0</v>
      </c>
      <c r="Q208" s="4">
        <v>77573</v>
      </c>
      <c r="R208" s="4" t="s">
        <v>41</v>
      </c>
      <c r="S208" s="6">
        <v>560</v>
      </c>
      <c r="T208">
        <v>7.625</v>
      </c>
      <c r="U208" s="7">
        <f t="shared" si="55"/>
        <v>581.37892619301545</v>
      </c>
      <c r="V208" s="2">
        <f t="shared" si="59"/>
        <v>17.331073806984591</v>
      </c>
      <c r="W208" s="9">
        <f t="shared" si="60"/>
        <v>0</v>
      </c>
      <c r="X208" s="3">
        <v>77573</v>
      </c>
      <c r="Y208" s="3">
        <f t="shared" si="61"/>
        <v>-0.32901477831183001</v>
      </c>
      <c r="Z208" s="7">
        <f t="shared" si="62"/>
        <v>581.37892619301545</v>
      </c>
      <c r="AA208" s="2">
        <f t="shared" si="56"/>
        <v>17.331073806984591</v>
      </c>
      <c r="AB208" s="8">
        <f t="shared" si="63"/>
        <v>1</v>
      </c>
      <c r="AC208" s="10">
        <v>6.875</v>
      </c>
      <c r="AD208" s="7">
        <f t="shared" si="64"/>
        <v>541.92147196584165</v>
      </c>
      <c r="AE208" s="2">
        <f t="shared" si="65"/>
        <v>56.788528034158389</v>
      </c>
      <c r="AF208" s="10">
        <v>1.25</v>
      </c>
      <c r="AG208" s="3">
        <f t="shared" si="66"/>
        <v>969.66250000000002</v>
      </c>
      <c r="AH208" s="7">
        <v>3557.25</v>
      </c>
      <c r="AI208">
        <f t="shared" si="67"/>
        <v>360</v>
      </c>
      <c r="AJ208" t="e">
        <f>VLOOKUP(A208,'Borrower Details'!$A$1:$H$1493,8,FALSE)</f>
        <v>#N/A</v>
      </c>
      <c r="AK208" s="4" t="e">
        <f t="shared" si="68"/>
        <v>#N/A</v>
      </c>
      <c r="AL208" s="10">
        <v>7.625</v>
      </c>
      <c r="AM208" s="3">
        <f t="shared" si="69"/>
        <v>77573.333949999986</v>
      </c>
      <c r="AN208">
        <v>7.625</v>
      </c>
      <c r="AO208" s="7">
        <f t="shared" si="70"/>
        <v>581.38142901606454</v>
      </c>
      <c r="AP208" s="2">
        <f t="shared" si="71"/>
        <v>17.328570983935492</v>
      </c>
    </row>
    <row r="209" spans="1:42" x14ac:dyDescent="0.15">
      <c r="A209" s="8">
        <v>1159188</v>
      </c>
      <c r="B209" t="s">
        <v>36</v>
      </c>
      <c r="C209" t="s">
        <v>19</v>
      </c>
      <c r="D209" s="1">
        <v>39155</v>
      </c>
      <c r="E209" s="2">
        <v>264000</v>
      </c>
      <c r="F209" s="2">
        <v>236000</v>
      </c>
      <c r="G209" t="s">
        <v>17</v>
      </c>
      <c r="H209" s="2">
        <v>1823.01</v>
      </c>
      <c r="I209" s="2">
        <v>233703.01</v>
      </c>
      <c r="J209">
        <v>8.5500000000000007E-2</v>
      </c>
      <c r="K209">
        <v>13</v>
      </c>
      <c r="L209">
        <v>347</v>
      </c>
      <c r="M209" t="str">
        <f t="shared" si="57"/>
        <v>30 Year Fixed</v>
      </c>
      <c r="N209" s="2">
        <v>1665.13</v>
      </c>
      <c r="O209" t="str">
        <f t="shared" si="54"/>
        <v>Refi</v>
      </c>
      <c r="P209" s="3">
        <f t="shared" si="58"/>
        <v>0</v>
      </c>
      <c r="Q209" s="4">
        <v>237209</v>
      </c>
      <c r="R209" s="4" t="s">
        <v>41</v>
      </c>
      <c r="S209" s="6">
        <v>589</v>
      </c>
      <c r="T209">
        <v>7.375</v>
      </c>
      <c r="U209" s="7">
        <f t="shared" si="55"/>
        <v>1737.1806941975024</v>
      </c>
      <c r="V209" s="2">
        <f t="shared" si="59"/>
        <v>85.829305802497629</v>
      </c>
      <c r="W209" s="9">
        <f t="shared" si="60"/>
        <v>0</v>
      </c>
      <c r="X209" s="3">
        <v>237209</v>
      </c>
      <c r="Y209" s="3">
        <f t="shared" si="61"/>
        <v>0.43827586207771674</v>
      </c>
      <c r="Z209" s="7">
        <f t="shared" si="62"/>
        <v>1737.1806941975024</v>
      </c>
      <c r="AA209" s="2">
        <f t="shared" si="56"/>
        <v>85.829305802497629</v>
      </c>
      <c r="AB209" s="8">
        <f t="shared" si="63"/>
        <v>1</v>
      </c>
      <c r="AC209" s="10">
        <v>6.625</v>
      </c>
      <c r="AD209" s="7">
        <f t="shared" si="64"/>
        <v>1617.7123109900092</v>
      </c>
      <c r="AE209" s="2">
        <f t="shared" si="65"/>
        <v>205.29768900999079</v>
      </c>
      <c r="AF209" s="10">
        <v>1.875</v>
      </c>
      <c r="AG209" s="3">
        <f t="shared" si="66"/>
        <v>4447.6687499999998</v>
      </c>
      <c r="AH209" s="7">
        <v>4720</v>
      </c>
      <c r="AI209">
        <f t="shared" si="67"/>
        <v>360</v>
      </c>
      <c r="AJ209" t="e">
        <f>VLOOKUP(A209,'Borrower Details'!$A$1:$H$1493,8,FALSE)</f>
        <v>#N/A</v>
      </c>
      <c r="AK209" s="4" t="e">
        <f t="shared" si="68"/>
        <v>#N/A</v>
      </c>
      <c r="AL209" s="10">
        <v>7.375</v>
      </c>
      <c r="AM209" s="3">
        <f t="shared" si="69"/>
        <v>237208.55515</v>
      </c>
      <c r="AN209">
        <v>7.375</v>
      </c>
      <c r="AO209" s="7">
        <f t="shared" si="70"/>
        <v>1737.1774363749416</v>
      </c>
      <c r="AP209" s="2">
        <f t="shared" si="71"/>
        <v>85.832563625058356</v>
      </c>
    </row>
    <row r="210" spans="1:42" x14ac:dyDescent="0.15">
      <c r="A210" s="8">
        <v>410325138</v>
      </c>
      <c r="B210" t="s">
        <v>36</v>
      </c>
      <c r="C210" t="s">
        <v>19</v>
      </c>
      <c r="D210" s="1">
        <v>39237</v>
      </c>
      <c r="E210" s="2">
        <v>380000</v>
      </c>
      <c r="F210" s="2">
        <v>188000</v>
      </c>
      <c r="G210" t="s">
        <v>15</v>
      </c>
      <c r="H210" s="2">
        <v>1251.25</v>
      </c>
      <c r="I210" s="2">
        <v>187020.67</v>
      </c>
      <c r="J210">
        <v>7.825E-2</v>
      </c>
      <c r="K210">
        <v>10</v>
      </c>
      <c r="L210">
        <v>350</v>
      </c>
      <c r="M210" t="str">
        <f t="shared" si="57"/>
        <v>30 Year Fixed</v>
      </c>
      <c r="N210" s="2">
        <v>1219.74</v>
      </c>
      <c r="O210" t="str">
        <f t="shared" si="54"/>
        <v>Cash Out</v>
      </c>
      <c r="P210" s="3">
        <f t="shared" si="58"/>
        <v>131205.93098522167</v>
      </c>
      <c r="Q210" s="4">
        <v>323000</v>
      </c>
      <c r="R210" s="4" t="s">
        <v>41</v>
      </c>
      <c r="S210" s="6">
        <v>612</v>
      </c>
      <c r="T210">
        <v>6.875</v>
      </c>
      <c r="U210" s="7">
        <f t="shared" si="55"/>
        <v>2256.4634015052511</v>
      </c>
      <c r="V210" s="2">
        <f t="shared" si="59"/>
        <v>-1005.2134015052511</v>
      </c>
      <c r="W210" s="9">
        <f t="shared" si="60"/>
        <v>1</v>
      </c>
      <c r="X210" s="3">
        <v>189826</v>
      </c>
      <c r="Y210" s="3">
        <f t="shared" si="61"/>
        <v>1.9655172422062606E-2</v>
      </c>
      <c r="Z210" s="7">
        <f t="shared" si="62"/>
        <v>1326.1158565143523</v>
      </c>
      <c r="AA210" s="2">
        <f t="shared" si="56"/>
        <v>-74.865856514352345</v>
      </c>
      <c r="AB210" s="8">
        <f t="shared" si="63"/>
        <v>1</v>
      </c>
      <c r="AC210" s="10">
        <v>6.25</v>
      </c>
      <c r="AD210" s="7">
        <f t="shared" si="64"/>
        <v>1247.8854995480726</v>
      </c>
      <c r="AE210" s="2">
        <f t="shared" si="65"/>
        <v>3.3645004519273698</v>
      </c>
      <c r="AF210" s="10">
        <v>2.5</v>
      </c>
      <c r="AG210" s="3">
        <f t="shared" si="66"/>
        <v>4745.6499999999996</v>
      </c>
      <c r="AH210" s="7">
        <v>3760</v>
      </c>
      <c r="AI210">
        <f t="shared" si="67"/>
        <v>360</v>
      </c>
      <c r="AJ210" t="e">
        <f>VLOOKUP(A210,'Borrower Details'!$A$1:$H$1493,8,FALSE)</f>
        <v>#N/A</v>
      </c>
      <c r="AK210" s="4" t="e">
        <f t="shared" si="68"/>
        <v>#N/A</v>
      </c>
      <c r="AL210" s="10">
        <v>6.875</v>
      </c>
      <c r="AM210" s="3">
        <f t="shared" si="69"/>
        <v>189825.98004999998</v>
      </c>
      <c r="AN210">
        <v>6.875</v>
      </c>
      <c r="AO210" s="7">
        <f t="shared" si="70"/>
        <v>1326.1157171445539</v>
      </c>
      <c r="AP210" s="2">
        <f t="shared" si="71"/>
        <v>-74.865717144553855</v>
      </c>
    </row>
    <row r="211" spans="1:42" x14ac:dyDescent="0.15">
      <c r="A211" s="8">
        <v>1178270</v>
      </c>
      <c r="B211" t="s">
        <v>37</v>
      </c>
      <c r="C211" t="s">
        <v>19</v>
      </c>
      <c r="D211" s="1">
        <v>39167</v>
      </c>
      <c r="E211" s="2">
        <v>153200</v>
      </c>
      <c r="F211" s="2">
        <v>130220</v>
      </c>
      <c r="G211" t="s">
        <v>15</v>
      </c>
      <c r="H211" s="2">
        <v>1046.8499999999999</v>
      </c>
      <c r="I211" s="2">
        <v>128961.61</v>
      </c>
      <c r="J211">
        <v>8.9899999999999994E-2</v>
      </c>
      <c r="K211">
        <v>13</v>
      </c>
      <c r="L211">
        <v>346</v>
      </c>
      <c r="M211" t="str">
        <f t="shared" si="57"/>
        <v>30 Year Fixed</v>
      </c>
      <c r="N211" s="2">
        <v>966.14</v>
      </c>
      <c r="O211" t="str">
        <f t="shared" si="54"/>
        <v>Refi</v>
      </c>
      <c r="P211" s="3">
        <f t="shared" si="58"/>
        <v>0</v>
      </c>
      <c r="Q211" s="4">
        <v>130896</v>
      </c>
      <c r="R211" s="4" t="s">
        <v>41</v>
      </c>
      <c r="S211" s="6">
        <v>529</v>
      </c>
      <c r="T211">
        <v>7.625</v>
      </c>
      <c r="U211" s="7">
        <f t="shared" si="55"/>
        <v>981.01370222836476</v>
      </c>
      <c r="V211" s="2">
        <f t="shared" si="59"/>
        <v>65.836297771635145</v>
      </c>
      <c r="W211" s="9">
        <f t="shared" si="60"/>
        <v>0</v>
      </c>
      <c r="X211" s="3">
        <v>130896</v>
      </c>
      <c r="Y211" s="3">
        <f t="shared" si="61"/>
        <v>-3.364532018895261E-2</v>
      </c>
      <c r="Z211" s="7">
        <f t="shared" si="62"/>
        <v>981.01370222836476</v>
      </c>
      <c r="AA211" s="2">
        <f t="shared" si="56"/>
        <v>65.836297771635145</v>
      </c>
      <c r="AB211" s="8">
        <f t="shared" si="63"/>
        <v>1</v>
      </c>
      <c r="AC211" s="10">
        <v>6.625</v>
      </c>
      <c r="AD211" s="7">
        <f t="shared" si="64"/>
        <v>892.68143560888598</v>
      </c>
      <c r="AE211" s="2">
        <f t="shared" si="65"/>
        <v>154.16856439111393</v>
      </c>
      <c r="AF211" s="10">
        <v>2.875</v>
      </c>
      <c r="AG211" s="3">
        <f t="shared" si="66"/>
        <v>3763.26</v>
      </c>
      <c r="AH211" s="7">
        <v>0</v>
      </c>
      <c r="AI211">
        <f t="shared" si="67"/>
        <v>360</v>
      </c>
      <c r="AJ211" t="e">
        <f>VLOOKUP(A211,'Borrower Details'!$A$1:$H$1493,8,FALSE)</f>
        <v>#N/A</v>
      </c>
      <c r="AK211" s="4" t="e">
        <f t="shared" si="68"/>
        <v>#N/A</v>
      </c>
      <c r="AL211" s="10">
        <v>7.625</v>
      </c>
      <c r="AM211" s="3">
        <f t="shared" si="69"/>
        <v>130896.03414999999</v>
      </c>
      <c r="AN211">
        <v>7.625</v>
      </c>
      <c r="AO211" s="7">
        <f t="shared" si="70"/>
        <v>981.01395816909587</v>
      </c>
      <c r="AP211" s="2">
        <f t="shared" si="71"/>
        <v>65.836041830904037</v>
      </c>
    </row>
    <row r="212" spans="1:42" x14ac:dyDescent="0.15">
      <c r="A212" s="8">
        <v>411150162</v>
      </c>
      <c r="B212" t="s">
        <v>36</v>
      </c>
      <c r="C212" t="s">
        <v>18</v>
      </c>
      <c r="D212" s="1">
        <v>39426</v>
      </c>
      <c r="E212" s="2">
        <v>138000</v>
      </c>
      <c r="F212" s="2">
        <v>103500</v>
      </c>
      <c r="G212" t="s">
        <v>17</v>
      </c>
      <c r="H212" s="2">
        <v>881.64</v>
      </c>
      <c r="I212" s="2">
        <v>103300.3</v>
      </c>
      <c r="J212">
        <v>9.6500000000000002E-2</v>
      </c>
      <c r="K212">
        <v>4</v>
      </c>
      <c r="L212">
        <v>356</v>
      </c>
      <c r="M212" t="str">
        <f t="shared" si="57"/>
        <v>30 Year Fixed</v>
      </c>
      <c r="N212" s="2">
        <v>830.71</v>
      </c>
      <c r="O212" t="str">
        <f t="shared" si="54"/>
        <v>Cash Out</v>
      </c>
      <c r="P212" s="3">
        <f t="shared" si="58"/>
        <v>12266.2024630542</v>
      </c>
      <c r="Q212" s="4">
        <v>117300</v>
      </c>
      <c r="R212" s="4" t="s">
        <v>41</v>
      </c>
      <c r="S212" s="6">
        <v>539</v>
      </c>
      <c r="T212">
        <v>7.625</v>
      </c>
      <c r="U212" s="7">
        <f t="shared" si="55"/>
        <v>879.11706447398853</v>
      </c>
      <c r="V212" s="2">
        <f t="shared" si="59"/>
        <v>2.5229355260114517</v>
      </c>
      <c r="W212" s="9">
        <f t="shared" si="60"/>
        <v>0</v>
      </c>
      <c r="X212" s="3">
        <v>117300</v>
      </c>
      <c r="Y212" s="3">
        <f t="shared" si="61"/>
        <v>12266.2024630542</v>
      </c>
      <c r="Z212" s="7">
        <f t="shared" si="62"/>
        <v>879.11706447398853</v>
      </c>
      <c r="AA212" s="2">
        <f t="shared" si="56"/>
        <v>2.5229355260114517</v>
      </c>
      <c r="AB212" s="8">
        <f t="shared" si="63"/>
        <v>0</v>
      </c>
      <c r="AC212" s="10">
        <v>7.625</v>
      </c>
      <c r="AD212" s="7">
        <f t="shared" si="64"/>
        <v>879.11706447398853</v>
      </c>
      <c r="AE212" s="2">
        <f t="shared" si="65"/>
        <v>2.5229355260114517</v>
      </c>
      <c r="AF212" s="10">
        <v>0</v>
      </c>
      <c r="AG212" s="3">
        <f t="shared" si="66"/>
        <v>0</v>
      </c>
      <c r="AH212" s="7">
        <v>2070</v>
      </c>
      <c r="AI212">
        <f t="shared" si="67"/>
        <v>360</v>
      </c>
      <c r="AJ212" t="e">
        <f>VLOOKUP(A212,'Borrower Details'!$A$1:$H$1493,8,FALSE)</f>
        <v>#N/A</v>
      </c>
      <c r="AK212" s="4" t="e">
        <f t="shared" si="68"/>
        <v>#N/A</v>
      </c>
      <c r="AL212" s="10">
        <v>7.625</v>
      </c>
      <c r="AM212" s="3">
        <f t="shared" si="69"/>
        <v>104849.8045</v>
      </c>
      <c r="AN212">
        <v>7.625</v>
      </c>
      <c r="AO212" s="7">
        <f t="shared" si="70"/>
        <v>785.80777785772887</v>
      </c>
      <c r="AP212" s="2">
        <f t="shared" si="71"/>
        <v>95.832222142271121</v>
      </c>
    </row>
    <row r="213" spans="1:42" x14ac:dyDescent="0.15">
      <c r="A213" s="8">
        <v>1183257</v>
      </c>
      <c r="B213" t="s">
        <v>37</v>
      </c>
      <c r="C213" t="s">
        <v>19</v>
      </c>
      <c r="D213" s="1">
        <v>39202</v>
      </c>
      <c r="E213" s="2">
        <v>274000</v>
      </c>
      <c r="F213" s="2">
        <v>182000</v>
      </c>
      <c r="G213" t="s">
        <v>17</v>
      </c>
      <c r="H213" s="2">
        <v>1344.98</v>
      </c>
      <c r="I213" s="2">
        <v>180371.77</v>
      </c>
      <c r="J213">
        <v>8.0750000000000002E-2</v>
      </c>
      <c r="K213">
        <v>12</v>
      </c>
      <c r="L213">
        <v>347</v>
      </c>
      <c r="M213" t="str">
        <f t="shared" si="57"/>
        <v>30 Year Fixed</v>
      </c>
      <c r="N213" s="2">
        <v>1214.6300000000001</v>
      </c>
      <c r="O213" t="str">
        <f t="shared" si="54"/>
        <v>Cash Out</v>
      </c>
      <c r="P213" s="3">
        <f t="shared" si="58"/>
        <v>49086.358078817779</v>
      </c>
      <c r="Q213" s="4">
        <v>232900</v>
      </c>
      <c r="R213" s="4" t="s">
        <v>41</v>
      </c>
      <c r="S213" s="6">
        <v>593</v>
      </c>
      <c r="T213">
        <v>7.375</v>
      </c>
      <c r="U213" s="7">
        <f t="shared" si="55"/>
        <v>1705.6240854208665</v>
      </c>
      <c r="V213" s="2">
        <f t="shared" si="59"/>
        <v>-360.64408542086653</v>
      </c>
      <c r="W213" s="9">
        <f t="shared" si="60"/>
        <v>1</v>
      </c>
      <c r="X213" s="3">
        <v>183580</v>
      </c>
      <c r="Y213" s="3">
        <f t="shared" si="61"/>
        <v>495.22507389166276</v>
      </c>
      <c r="Z213" s="7">
        <f t="shared" si="62"/>
        <v>1344.4331026258592</v>
      </c>
      <c r="AA213" s="2">
        <f t="shared" si="56"/>
        <v>0.54689737414082629</v>
      </c>
      <c r="AB213" s="8">
        <f t="shared" si="63"/>
        <v>1</v>
      </c>
      <c r="AC213" s="10">
        <v>6.625</v>
      </c>
      <c r="AD213" s="7">
        <f t="shared" si="64"/>
        <v>1251.9745290083677</v>
      </c>
      <c r="AE213" s="2">
        <f t="shared" si="65"/>
        <v>93.005470991632365</v>
      </c>
      <c r="AF213" s="10">
        <v>1.875</v>
      </c>
      <c r="AG213" s="3">
        <f t="shared" si="66"/>
        <v>3442.125</v>
      </c>
      <c r="AH213" s="7">
        <v>1820</v>
      </c>
      <c r="AI213">
        <f t="shared" si="67"/>
        <v>360</v>
      </c>
      <c r="AJ213" t="e">
        <f>VLOOKUP(A213,'Borrower Details'!$A$1:$H$1493,8,FALSE)</f>
        <v>#N/A</v>
      </c>
      <c r="AK213" s="4" t="e">
        <f t="shared" si="68"/>
        <v>#N/A</v>
      </c>
      <c r="AL213" s="10">
        <v>7.375</v>
      </c>
      <c r="AM213" s="3">
        <f t="shared" si="69"/>
        <v>183077.34654999996</v>
      </c>
      <c r="AN213">
        <v>7.375</v>
      </c>
      <c r="AO213" s="7">
        <f t="shared" si="70"/>
        <v>1340.7519612306685</v>
      </c>
      <c r="AP213" s="2">
        <f t="shared" si="71"/>
        <v>4.2280387693315333</v>
      </c>
    </row>
    <row r="214" spans="1:42" x14ac:dyDescent="0.15">
      <c r="A214" s="8">
        <v>410513444</v>
      </c>
      <c r="B214" t="s">
        <v>36</v>
      </c>
      <c r="C214" t="s">
        <v>19</v>
      </c>
      <c r="D214" s="1">
        <v>39265</v>
      </c>
      <c r="E214" s="2">
        <v>240000</v>
      </c>
      <c r="F214" s="2">
        <v>216000</v>
      </c>
      <c r="G214" t="s">
        <v>15</v>
      </c>
      <c r="H214" s="2">
        <v>1526.82</v>
      </c>
      <c r="I214" s="2">
        <v>215746.76</v>
      </c>
      <c r="J214">
        <v>8.3500000000000005E-2</v>
      </c>
      <c r="K214">
        <v>10</v>
      </c>
      <c r="L214">
        <v>350</v>
      </c>
      <c r="M214" t="str">
        <f t="shared" si="57"/>
        <v>30 Year Fixed</v>
      </c>
      <c r="N214" s="2">
        <v>1501.24</v>
      </c>
      <c r="O214" t="str">
        <f t="shared" si="54"/>
        <v>Refi</v>
      </c>
      <c r="P214" s="3">
        <f t="shared" si="58"/>
        <v>0</v>
      </c>
      <c r="Q214" s="4">
        <v>218983</v>
      </c>
      <c r="R214" s="4" t="s">
        <v>41</v>
      </c>
      <c r="S214" s="6">
        <v>643</v>
      </c>
      <c r="T214">
        <v>6.75</v>
      </c>
      <c r="U214" s="7">
        <f t="shared" si="55"/>
        <v>1511.5624864746383</v>
      </c>
      <c r="V214" s="2">
        <f t="shared" si="59"/>
        <v>15.257513525361674</v>
      </c>
      <c r="W214" s="9">
        <f t="shared" si="60"/>
        <v>0</v>
      </c>
      <c r="X214" s="3">
        <v>218983</v>
      </c>
      <c r="Y214" s="3">
        <f t="shared" si="61"/>
        <v>3.8029556657420471E-2</v>
      </c>
      <c r="Z214" s="7">
        <f t="shared" si="62"/>
        <v>1511.5624864746383</v>
      </c>
      <c r="AA214" s="2">
        <f t="shared" si="56"/>
        <v>15.257513525361674</v>
      </c>
      <c r="AB214" s="8">
        <f t="shared" si="63"/>
        <v>1</v>
      </c>
      <c r="AC214" s="10">
        <v>6.125</v>
      </c>
      <c r="AD214" s="7">
        <f t="shared" si="64"/>
        <v>1421.8067045566481</v>
      </c>
      <c r="AE214" s="2">
        <f t="shared" si="65"/>
        <v>105.01329544335181</v>
      </c>
      <c r="AF214" s="10">
        <v>3</v>
      </c>
      <c r="AG214" s="3">
        <f t="shared" si="66"/>
        <v>6569.49</v>
      </c>
      <c r="AH214" s="7">
        <v>4320</v>
      </c>
      <c r="AI214">
        <f t="shared" si="67"/>
        <v>360</v>
      </c>
      <c r="AJ214" t="e">
        <f>VLOOKUP(A214,'Borrower Details'!$A$1:$H$1493,8,FALSE)</f>
        <v>#N/A</v>
      </c>
      <c r="AK214" s="4" t="e">
        <f t="shared" si="68"/>
        <v>#N/A</v>
      </c>
      <c r="AL214" s="10">
        <v>6.75</v>
      </c>
      <c r="AM214" s="3">
        <f t="shared" si="69"/>
        <v>218982.9614</v>
      </c>
      <c r="AN214">
        <v>6.75</v>
      </c>
      <c r="AO214" s="7">
        <f t="shared" si="70"/>
        <v>1511.5622200324397</v>
      </c>
      <c r="AP214" s="2">
        <f t="shared" si="71"/>
        <v>15.257779967560282</v>
      </c>
    </row>
    <row r="215" spans="1:42" x14ac:dyDescent="0.15">
      <c r="A215" s="8">
        <v>410580534</v>
      </c>
      <c r="B215" t="s">
        <v>35</v>
      </c>
      <c r="C215" t="s">
        <v>16</v>
      </c>
      <c r="D215" s="1">
        <v>39280</v>
      </c>
      <c r="E215" s="2">
        <v>191000</v>
      </c>
      <c r="F215" s="2">
        <v>181450</v>
      </c>
      <c r="G215" t="s">
        <v>17</v>
      </c>
      <c r="H215" s="2">
        <v>1446.96</v>
      </c>
      <c r="I215" s="2">
        <v>180403.49</v>
      </c>
      <c r="J215">
        <v>8.8999999999999996E-2</v>
      </c>
      <c r="K215">
        <v>9</v>
      </c>
      <c r="L215">
        <v>350</v>
      </c>
      <c r="M215" t="str">
        <f t="shared" si="57"/>
        <v>30 Year Fixed</v>
      </c>
      <c r="N215" s="2">
        <v>1337.99</v>
      </c>
      <c r="O215" t="str">
        <f t="shared" si="54"/>
        <v>Refi</v>
      </c>
      <c r="P215" s="3">
        <f t="shared" si="58"/>
        <v>0</v>
      </c>
      <c r="Q215" s="4">
        <v>183110</v>
      </c>
      <c r="R215" s="4" t="s">
        <v>41</v>
      </c>
      <c r="S215" s="6">
        <v>607</v>
      </c>
      <c r="T215">
        <v>6.875</v>
      </c>
      <c r="U215" s="7">
        <f t="shared" si="55"/>
        <v>1279.1981840545714</v>
      </c>
      <c r="V215" s="2">
        <f t="shared" si="59"/>
        <v>167.76181594542868</v>
      </c>
      <c r="W215" s="9">
        <f t="shared" si="60"/>
        <v>0</v>
      </c>
      <c r="X215" s="3">
        <v>183110</v>
      </c>
      <c r="Y215" s="3">
        <f t="shared" si="61"/>
        <v>0.45088669954566285</v>
      </c>
      <c r="Z215" s="7">
        <f t="shared" si="62"/>
        <v>1279.1981840545714</v>
      </c>
      <c r="AA215" s="2">
        <f t="shared" si="56"/>
        <v>167.76181594542868</v>
      </c>
      <c r="AB215" s="8">
        <f t="shared" si="63"/>
        <v>0</v>
      </c>
      <c r="AC215" s="10">
        <v>6.875</v>
      </c>
      <c r="AD215" s="7">
        <f t="shared" si="64"/>
        <v>1279.1981840545714</v>
      </c>
      <c r="AE215" s="2">
        <f t="shared" si="65"/>
        <v>167.76181594542868</v>
      </c>
      <c r="AF215" s="10">
        <v>0</v>
      </c>
      <c r="AG215" s="3">
        <f t="shared" si="66"/>
        <v>0</v>
      </c>
      <c r="AH215" s="7">
        <v>8074.5249999999996</v>
      </c>
      <c r="AI215">
        <f t="shared" si="67"/>
        <v>360</v>
      </c>
      <c r="AJ215" t="e">
        <f>VLOOKUP(A215,'Borrower Details'!$A$1:$H$1493,8,FALSE)</f>
        <v>#N/A</v>
      </c>
      <c r="AK215" s="4" t="e">
        <f t="shared" si="68"/>
        <v>#N/A</v>
      </c>
      <c r="AL215" s="10">
        <v>6.875</v>
      </c>
      <c r="AM215" s="3">
        <f t="shared" si="69"/>
        <v>183109.54234999997</v>
      </c>
      <c r="AN215">
        <v>6.875</v>
      </c>
      <c r="AO215" s="7">
        <f t="shared" si="70"/>
        <v>1279.1949869323553</v>
      </c>
      <c r="AP215" s="2">
        <f t="shared" si="71"/>
        <v>167.76501306764476</v>
      </c>
    </row>
    <row r="216" spans="1:42" x14ac:dyDescent="0.15">
      <c r="A216" s="8">
        <v>1185558</v>
      </c>
      <c r="B216" t="s">
        <v>35</v>
      </c>
      <c r="C216" t="s">
        <v>16</v>
      </c>
      <c r="D216" s="1">
        <v>39176</v>
      </c>
      <c r="E216" s="2">
        <v>233000</v>
      </c>
      <c r="F216" s="2">
        <v>177500</v>
      </c>
      <c r="G216" t="s">
        <v>17</v>
      </c>
      <c r="H216" s="2">
        <v>1301.2</v>
      </c>
      <c r="I216" s="2">
        <v>0</v>
      </c>
      <c r="J216">
        <v>7.9899999999999999E-2</v>
      </c>
      <c r="K216">
        <v>12</v>
      </c>
      <c r="L216">
        <v>349</v>
      </c>
      <c r="M216" t="str">
        <f t="shared" si="57"/>
        <v>30 Year Fixed</v>
      </c>
      <c r="N216" s="2">
        <v>1172.82</v>
      </c>
      <c r="O216" t="str">
        <f t="shared" si="54"/>
        <v>Cash Out</v>
      </c>
      <c r="P216" s="3">
        <f t="shared" si="58"/>
        <v>195123.15270935962</v>
      </c>
      <c r="Q216" s="4">
        <v>198050</v>
      </c>
      <c r="R216" s="4" t="s">
        <v>41</v>
      </c>
      <c r="S216" s="6">
        <v>628</v>
      </c>
      <c r="T216">
        <v>6.75</v>
      </c>
      <c r="U216" s="7">
        <f t="shared" si="55"/>
        <v>1367.0693635866808</v>
      </c>
      <c r="V216" s="2">
        <f t="shared" si="59"/>
        <v>-65.86936358668072</v>
      </c>
      <c r="W216" s="9">
        <f t="shared" si="60"/>
        <v>1</v>
      </c>
      <c r="X216" s="3">
        <v>188430</v>
      </c>
      <c r="Y216" s="3">
        <f t="shared" si="61"/>
        <v>185645.32019704435</v>
      </c>
      <c r="Z216" s="7">
        <f t="shared" si="62"/>
        <v>1300.6658933634853</v>
      </c>
      <c r="AA216" s="2">
        <f t="shared" si="56"/>
        <v>0.53410663651470713</v>
      </c>
      <c r="AB216" s="8">
        <f t="shared" si="63"/>
        <v>0</v>
      </c>
      <c r="AC216" s="10">
        <v>7.125</v>
      </c>
      <c r="AD216" s="7">
        <f t="shared" si="64"/>
        <v>1348.0003134563301</v>
      </c>
      <c r="AE216" s="2">
        <f t="shared" si="65"/>
        <v>-46.800313456330059</v>
      </c>
      <c r="AF216" s="10">
        <v>0</v>
      </c>
      <c r="AG216" s="3">
        <f t="shared" si="66"/>
        <v>0</v>
      </c>
      <c r="AH216" s="7">
        <v>7091.125</v>
      </c>
      <c r="AI216">
        <f t="shared" si="67"/>
        <v>360</v>
      </c>
      <c r="AJ216" t="e">
        <f>VLOOKUP(A216,'Borrower Details'!$A$1:$H$1493,8,FALSE)</f>
        <v>#N/A</v>
      </c>
      <c r="AK216" s="4" t="e">
        <f t="shared" si="68"/>
        <v>#N/A</v>
      </c>
      <c r="AL216" s="10">
        <v>6.75</v>
      </c>
      <c r="AM216" s="3">
        <f t="shared" si="69"/>
        <v>0</v>
      </c>
      <c r="AN216">
        <v>7.125</v>
      </c>
      <c r="AO216" s="7">
        <f t="shared" si="70"/>
        <v>0</v>
      </c>
      <c r="AP216" s="2">
        <f t="shared" si="71"/>
        <v>1301.2</v>
      </c>
    </row>
    <row r="217" spans="1:42" x14ac:dyDescent="0.15">
      <c r="A217" s="8">
        <v>1150064</v>
      </c>
      <c r="B217" t="s">
        <v>35</v>
      </c>
      <c r="C217" t="s">
        <v>16</v>
      </c>
      <c r="D217" s="1">
        <v>39139</v>
      </c>
      <c r="E217" s="2">
        <v>230000</v>
      </c>
      <c r="F217" s="2">
        <v>184000</v>
      </c>
      <c r="G217" t="s">
        <v>17</v>
      </c>
      <c r="H217" s="2">
        <v>1169.07</v>
      </c>
      <c r="I217" s="2">
        <v>181610.03</v>
      </c>
      <c r="J217">
        <v>6.5500000000000003E-2</v>
      </c>
      <c r="K217">
        <v>14</v>
      </c>
      <c r="L217">
        <v>346</v>
      </c>
      <c r="M217" t="str">
        <f t="shared" si="57"/>
        <v>30 Year Fixed</v>
      </c>
      <c r="N217" s="2">
        <v>991.29</v>
      </c>
      <c r="O217" t="str">
        <f t="shared" si="54"/>
        <v>Cash Out</v>
      </c>
      <c r="P217" s="3">
        <f t="shared" si="58"/>
        <v>11000.807438423653</v>
      </c>
      <c r="Q217" s="4">
        <v>195500</v>
      </c>
      <c r="R217" s="4" t="s">
        <v>41</v>
      </c>
      <c r="S217" s="6">
        <v>650</v>
      </c>
      <c r="T217">
        <v>6.75</v>
      </c>
      <c r="U217" s="7">
        <f t="shared" si="55"/>
        <v>1349.4676121241912</v>
      </c>
      <c r="V217" s="2">
        <f t="shared" si="59"/>
        <v>-180.39761212419126</v>
      </c>
      <c r="W217" s="9">
        <f t="shared" si="60"/>
        <v>1</v>
      </c>
      <c r="X217" s="3">
        <v>184334</v>
      </c>
      <c r="Y217" s="3">
        <f t="shared" si="61"/>
        <v>-0.17778325121616945</v>
      </c>
      <c r="Z217" s="7">
        <f t="shared" si="62"/>
        <v>1272.3926486613846</v>
      </c>
      <c r="AA217" s="2">
        <f t="shared" si="56"/>
        <v>-103.32264866138462</v>
      </c>
      <c r="AB217" s="8">
        <f t="shared" si="63"/>
        <v>1</v>
      </c>
      <c r="AC217" s="10">
        <v>6.125</v>
      </c>
      <c r="AD217" s="7">
        <f t="shared" si="64"/>
        <v>1196.8386453640016</v>
      </c>
      <c r="AE217" s="2">
        <f t="shared" si="65"/>
        <v>-27.768645364001713</v>
      </c>
      <c r="AF217" s="10">
        <v>3</v>
      </c>
      <c r="AG217" s="3">
        <f t="shared" si="66"/>
        <v>5530.02</v>
      </c>
      <c r="AH217" s="7">
        <v>6026</v>
      </c>
      <c r="AI217">
        <f t="shared" si="67"/>
        <v>360</v>
      </c>
      <c r="AJ217" t="e">
        <f>VLOOKUP(A217,'Borrower Details'!$A$1:$H$1493,8,FALSE)</f>
        <v>#N/A</v>
      </c>
      <c r="AK217" s="4" t="e">
        <f t="shared" si="68"/>
        <v>#N/A</v>
      </c>
      <c r="AL217" s="10">
        <v>6.75</v>
      </c>
      <c r="AM217" s="3">
        <f t="shared" si="69"/>
        <v>184334.18044999999</v>
      </c>
      <c r="AN217">
        <v>6.75</v>
      </c>
      <c r="AO217" s="7">
        <f t="shared" si="70"/>
        <v>1272.3938942441498</v>
      </c>
      <c r="AP217" s="2">
        <f t="shared" si="71"/>
        <v>-103.32389424414987</v>
      </c>
    </row>
    <row r="218" spans="1:42" x14ac:dyDescent="0.15">
      <c r="A218" s="8">
        <v>410482418</v>
      </c>
      <c r="B218" t="s">
        <v>35</v>
      </c>
      <c r="C218" t="s">
        <v>16</v>
      </c>
      <c r="D218" s="1">
        <v>39260</v>
      </c>
      <c r="E218" s="2">
        <v>63500</v>
      </c>
      <c r="F218" s="2">
        <v>52000</v>
      </c>
      <c r="G218" t="s">
        <v>20</v>
      </c>
      <c r="H218" s="2">
        <v>401.68</v>
      </c>
      <c r="I218" s="2">
        <v>51644.53</v>
      </c>
      <c r="J218">
        <v>8.5500000000000007E-2</v>
      </c>
      <c r="K218">
        <v>10</v>
      </c>
      <c r="L218">
        <v>349</v>
      </c>
      <c r="M218" t="str">
        <f t="shared" si="57"/>
        <v>30 Year Fixed</v>
      </c>
      <c r="N218" s="2">
        <v>367.97</v>
      </c>
      <c r="O218" t="str">
        <f t="shared" si="54"/>
        <v>Cash Out</v>
      </c>
      <c r="P218" s="3">
        <f t="shared" si="58"/>
        <v>1532.8099014778418</v>
      </c>
      <c r="Q218" s="4">
        <v>53975</v>
      </c>
      <c r="R218" s="4" t="s">
        <v>41</v>
      </c>
      <c r="S218" s="6">
        <v>629</v>
      </c>
      <c r="T218">
        <v>6.875</v>
      </c>
      <c r="U218" s="7">
        <f t="shared" si="55"/>
        <v>377.06691051469323</v>
      </c>
      <c r="V218" s="2">
        <f t="shared" si="59"/>
        <v>24.613089485306773</v>
      </c>
      <c r="W218" s="9">
        <f t="shared" si="60"/>
        <v>0</v>
      </c>
      <c r="X218" s="3">
        <v>53975</v>
      </c>
      <c r="Y218" s="3">
        <f t="shared" si="61"/>
        <v>1532.8099014778418</v>
      </c>
      <c r="Z218" s="7">
        <f t="shared" si="62"/>
        <v>377.06691051469323</v>
      </c>
      <c r="AA218" s="2">
        <f t="shared" si="56"/>
        <v>24.613089485306773</v>
      </c>
      <c r="AB218" s="8">
        <f t="shared" si="63"/>
        <v>0</v>
      </c>
      <c r="AC218" s="10">
        <v>6.875</v>
      </c>
      <c r="AD218" s="7">
        <f t="shared" si="64"/>
        <v>377.06691051469323</v>
      </c>
      <c r="AE218" s="2">
        <f t="shared" si="65"/>
        <v>24.613089485306773</v>
      </c>
      <c r="AF218" s="10">
        <v>0</v>
      </c>
      <c r="AG218" s="3">
        <f t="shared" si="66"/>
        <v>0</v>
      </c>
      <c r="AH218" s="7">
        <v>2223</v>
      </c>
      <c r="AI218">
        <f t="shared" si="67"/>
        <v>360</v>
      </c>
      <c r="AJ218" t="e">
        <f>VLOOKUP(A218,'Borrower Details'!$A$1:$H$1493,8,FALSE)</f>
        <v>#N/A</v>
      </c>
      <c r="AK218" s="4" t="e">
        <f t="shared" si="68"/>
        <v>#N/A</v>
      </c>
      <c r="AL218" s="10">
        <v>6.875</v>
      </c>
      <c r="AM218" s="3">
        <f t="shared" si="69"/>
        <v>52419.197949999994</v>
      </c>
      <c r="AN218">
        <v>6.875</v>
      </c>
      <c r="AO218" s="7">
        <f t="shared" si="70"/>
        <v>366.19814771032219</v>
      </c>
      <c r="AP218" s="2">
        <f t="shared" si="71"/>
        <v>35.481852289677818</v>
      </c>
    </row>
    <row r="219" spans="1:42" x14ac:dyDescent="0.15">
      <c r="A219" s="8">
        <v>410554752</v>
      </c>
      <c r="B219" t="s">
        <v>37</v>
      </c>
      <c r="C219" t="s">
        <v>18</v>
      </c>
      <c r="D219" s="1">
        <v>39280</v>
      </c>
      <c r="E219" s="2">
        <v>66000</v>
      </c>
      <c r="F219" s="2">
        <v>62700</v>
      </c>
      <c r="G219" t="s">
        <v>17</v>
      </c>
      <c r="H219" s="2">
        <v>606.61</v>
      </c>
      <c r="I219" s="2">
        <v>62476.67</v>
      </c>
      <c r="J219">
        <v>0.112</v>
      </c>
      <c r="K219">
        <v>9</v>
      </c>
      <c r="L219">
        <v>350</v>
      </c>
      <c r="M219" t="str">
        <f t="shared" si="57"/>
        <v>30 Year Fixed</v>
      </c>
      <c r="N219" s="2">
        <v>583.12</v>
      </c>
      <c r="O219" t="str">
        <f t="shared" si="54"/>
        <v>Refi</v>
      </c>
      <c r="P219" s="3">
        <f t="shared" si="58"/>
        <v>0</v>
      </c>
      <c r="Q219" s="4">
        <v>63414</v>
      </c>
      <c r="R219" s="4" t="s">
        <v>41</v>
      </c>
      <c r="S219" s="6">
        <v>586</v>
      </c>
      <c r="T219">
        <v>7.625</v>
      </c>
      <c r="U219" s="7">
        <f t="shared" si="55"/>
        <v>475.26282631332913</v>
      </c>
      <c r="V219" s="2">
        <f t="shared" si="59"/>
        <v>131.34717368667089</v>
      </c>
      <c r="W219" s="9">
        <f t="shared" si="60"/>
        <v>0</v>
      </c>
      <c r="X219" s="3">
        <v>63414</v>
      </c>
      <c r="Y219" s="3">
        <f t="shared" si="61"/>
        <v>0.17729064040031517</v>
      </c>
      <c r="Z219" s="7">
        <f t="shared" si="62"/>
        <v>475.26282631332913</v>
      </c>
      <c r="AA219" s="2">
        <f t="shared" si="56"/>
        <v>131.34717368667089</v>
      </c>
      <c r="AB219" s="8">
        <f t="shared" si="63"/>
        <v>0</v>
      </c>
      <c r="AC219" s="10">
        <v>7.625</v>
      </c>
      <c r="AD219" s="7">
        <f t="shared" si="64"/>
        <v>475.26282631332913</v>
      </c>
      <c r="AE219" s="2">
        <f t="shared" si="65"/>
        <v>131.34717368667089</v>
      </c>
      <c r="AF219" s="10">
        <v>0</v>
      </c>
      <c r="AG219" s="3">
        <f t="shared" si="66"/>
        <v>0</v>
      </c>
      <c r="AH219" s="7">
        <v>0</v>
      </c>
      <c r="AI219">
        <f t="shared" si="67"/>
        <v>360</v>
      </c>
      <c r="AJ219" t="e">
        <f>VLOOKUP(A219,'Borrower Details'!$A$1:$H$1493,8,FALSE)</f>
        <v>#N/A</v>
      </c>
      <c r="AK219" s="4" t="e">
        <f t="shared" si="68"/>
        <v>#N/A</v>
      </c>
      <c r="AL219" s="10">
        <v>7.625</v>
      </c>
      <c r="AM219" s="3">
        <f t="shared" si="69"/>
        <v>63413.820049999995</v>
      </c>
      <c r="AN219">
        <v>7.625</v>
      </c>
      <c r="AO219" s="7">
        <f t="shared" si="70"/>
        <v>475.26147765931586</v>
      </c>
      <c r="AP219" s="2">
        <f t="shared" si="71"/>
        <v>131.34852234068416</v>
      </c>
    </row>
    <row r="220" spans="1:42" x14ac:dyDescent="0.15">
      <c r="A220" s="8">
        <v>410695704</v>
      </c>
      <c r="B220" t="s">
        <v>36</v>
      </c>
      <c r="C220" t="s">
        <v>16</v>
      </c>
      <c r="D220" s="1">
        <v>39302</v>
      </c>
      <c r="E220" s="2">
        <v>140000</v>
      </c>
      <c r="F220" s="2">
        <v>133000</v>
      </c>
      <c r="G220" t="s">
        <v>17</v>
      </c>
      <c r="H220" s="2">
        <v>1398.85</v>
      </c>
      <c r="I220" s="2">
        <v>132704.78</v>
      </c>
      <c r="J220">
        <v>0.123</v>
      </c>
      <c r="K220">
        <v>8</v>
      </c>
      <c r="L220">
        <v>352</v>
      </c>
      <c r="M220" t="str">
        <f t="shared" si="57"/>
        <v>30 Year Fixed</v>
      </c>
      <c r="N220" s="2">
        <v>1360.22</v>
      </c>
      <c r="O220" t="str">
        <f t="shared" si="54"/>
        <v>Refi</v>
      </c>
      <c r="P220" s="3">
        <f t="shared" si="58"/>
        <v>0</v>
      </c>
      <c r="Q220" s="4">
        <v>134695</v>
      </c>
      <c r="R220" s="4" t="s">
        <v>41</v>
      </c>
      <c r="S220" s="6">
        <v>593</v>
      </c>
      <c r="T220">
        <v>7.375</v>
      </c>
      <c r="U220" s="7">
        <f t="shared" si="55"/>
        <v>986.42780672290087</v>
      </c>
      <c r="V220" s="2">
        <f t="shared" si="59"/>
        <v>412.42219327709904</v>
      </c>
      <c r="W220" s="9">
        <f t="shared" si="60"/>
        <v>0</v>
      </c>
      <c r="X220" s="3">
        <v>134696</v>
      </c>
      <c r="Y220" s="3">
        <f t="shared" si="61"/>
        <v>0.6387192118272651</v>
      </c>
      <c r="Z220" s="7">
        <f t="shared" si="62"/>
        <v>986.43513014104349</v>
      </c>
      <c r="AA220" s="2">
        <f t="shared" si="56"/>
        <v>412.41486985895642</v>
      </c>
      <c r="AB220" s="8">
        <f t="shared" si="63"/>
        <v>0</v>
      </c>
      <c r="AC220" s="10">
        <v>7.375</v>
      </c>
      <c r="AD220" s="7">
        <f t="shared" si="64"/>
        <v>986.43513014104349</v>
      </c>
      <c r="AE220" s="2">
        <f t="shared" si="65"/>
        <v>412.41486985895642</v>
      </c>
      <c r="AF220" s="10">
        <v>0</v>
      </c>
      <c r="AG220" s="3">
        <f t="shared" si="66"/>
        <v>0</v>
      </c>
      <c r="AH220" s="7">
        <v>2660</v>
      </c>
      <c r="AI220">
        <f t="shared" si="67"/>
        <v>360</v>
      </c>
      <c r="AJ220" t="e">
        <f>VLOOKUP(A220,'Borrower Details'!$A$1:$H$1493,8,FALSE)</f>
        <v>#N/A</v>
      </c>
      <c r="AK220" s="4" t="e">
        <f t="shared" si="68"/>
        <v>#N/A</v>
      </c>
      <c r="AL220" s="10">
        <v>7.375</v>
      </c>
      <c r="AM220" s="3">
        <f t="shared" si="69"/>
        <v>134695.3517</v>
      </c>
      <c r="AN220">
        <v>7.375</v>
      </c>
      <c r="AO220" s="7">
        <f t="shared" si="70"/>
        <v>986.43038236906148</v>
      </c>
      <c r="AP220" s="2">
        <f t="shared" si="71"/>
        <v>412.41961763093843</v>
      </c>
    </row>
    <row r="221" spans="1:42" x14ac:dyDescent="0.15">
      <c r="A221" s="8">
        <v>410384358</v>
      </c>
      <c r="B221" t="s">
        <v>37</v>
      </c>
      <c r="C221" t="s">
        <v>19</v>
      </c>
      <c r="D221" s="1">
        <v>39260</v>
      </c>
      <c r="E221" s="2">
        <v>235000</v>
      </c>
      <c r="F221" s="2">
        <v>157000</v>
      </c>
      <c r="G221" t="s">
        <v>15</v>
      </c>
      <c r="H221" s="2">
        <v>1185.02</v>
      </c>
      <c r="I221" s="2">
        <v>155977.54999999999</v>
      </c>
      <c r="J221">
        <v>8.3000000000000004E-2</v>
      </c>
      <c r="K221">
        <v>10</v>
      </c>
      <c r="L221">
        <v>350</v>
      </c>
      <c r="M221" t="str">
        <f t="shared" si="57"/>
        <v>30 Year Fixed</v>
      </c>
      <c r="N221" s="2">
        <v>1078.8399999999999</v>
      </c>
      <c r="O221" t="str">
        <f t="shared" si="54"/>
        <v>Cash Out</v>
      </c>
      <c r="P221" s="3">
        <f t="shared" si="58"/>
        <v>40820.479556650273</v>
      </c>
      <c r="Q221" s="4">
        <v>199750</v>
      </c>
      <c r="R221" s="4" t="s">
        <v>41</v>
      </c>
      <c r="S221" s="6">
        <v>562</v>
      </c>
      <c r="T221">
        <v>7.625</v>
      </c>
      <c r="U221" s="7">
        <f t="shared" si="55"/>
        <v>1497.047175010053</v>
      </c>
      <c r="V221" s="2">
        <f t="shared" si="59"/>
        <v>-312.02717501005304</v>
      </c>
      <c r="W221" s="9">
        <f t="shared" si="60"/>
        <v>1</v>
      </c>
      <c r="X221" s="3">
        <v>158318</v>
      </c>
      <c r="Y221" s="3">
        <f t="shared" si="61"/>
        <v>0.77512315273634158</v>
      </c>
      <c r="Z221" s="7">
        <f t="shared" si="62"/>
        <v>1186.5307366870666</v>
      </c>
      <c r="AA221" s="2">
        <f t="shared" si="56"/>
        <v>-1.5107366870665828</v>
      </c>
      <c r="AB221" s="8">
        <f t="shared" si="63"/>
        <v>1</v>
      </c>
      <c r="AC221" s="10">
        <v>6.875</v>
      </c>
      <c r="AD221" s="7">
        <f t="shared" si="64"/>
        <v>1106.0023925681373</v>
      </c>
      <c r="AE221" s="2">
        <f t="shared" si="65"/>
        <v>79.017607431862643</v>
      </c>
      <c r="AF221" s="10">
        <v>1</v>
      </c>
      <c r="AG221" s="3">
        <f t="shared" si="66"/>
        <v>1583.18</v>
      </c>
      <c r="AH221" s="7">
        <v>1570</v>
      </c>
      <c r="AI221">
        <f t="shared" si="67"/>
        <v>360</v>
      </c>
      <c r="AJ221" t="e">
        <f>VLOOKUP(A221,'Borrower Details'!$A$1:$H$1493,8,FALSE)</f>
        <v>#N/A</v>
      </c>
      <c r="AK221" s="4" t="e">
        <f t="shared" si="68"/>
        <v>#N/A</v>
      </c>
      <c r="AL221" s="10">
        <v>7.625</v>
      </c>
      <c r="AM221" s="3">
        <f t="shared" si="69"/>
        <v>158317.21324999997</v>
      </c>
      <c r="AN221">
        <v>7.625</v>
      </c>
      <c r="AO221" s="7">
        <f t="shared" si="70"/>
        <v>1186.5248403072669</v>
      </c>
      <c r="AP221" s="2">
        <f t="shared" si="71"/>
        <v>-1.5048403072669316</v>
      </c>
    </row>
    <row r="222" spans="1:42" x14ac:dyDescent="0.15">
      <c r="A222" s="8">
        <v>410977524</v>
      </c>
      <c r="B222" t="s">
        <v>36</v>
      </c>
      <c r="C222" t="s">
        <v>16</v>
      </c>
      <c r="D222" s="1">
        <v>39356</v>
      </c>
      <c r="E222" s="2">
        <v>198000</v>
      </c>
      <c r="F222" s="2">
        <v>178200</v>
      </c>
      <c r="G222" t="s">
        <v>17</v>
      </c>
      <c r="H222" s="2">
        <v>1616.76</v>
      </c>
      <c r="I222" s="2">
        <v>177680.11</v>
      </c>
      <c r="J222">
        <v>0.104</v>
      </c>
      <c r="K222">
        <v>7</v>
      </c>
      <c r="L222">
        <v>353</v>
      </c>
      <c r="M222" t="str">
        <f t="shared" si="57"/>
        <v>30 Year Fixed</v>
      </c>
      <c r="N222" s="2">
        <v>1539.89</v>
      </c>
      <c r="O222" t="str">
        <f t="shared" si="54"/>
        <v>Refi</v>
      </c>
      <c r="P222" s="3">
        <f t="shared" si="58"/>
        <v>0</v>
      </c>
      <c r="Q222" s="4">
        <v>180345</v>
      </c>
      <c r="R222" s="4" t="s">
        <v>41</v>
      </c>
      <c r="S222" s="6">
        <v>612</v>
      </c>
      <c r="T222">
        <v>6.875</v>
      </c>
      <c r="U222" s="7">
        <f t="shared" si="55"/>
        <v>1259.8820190231099</v>
      </c>
      <c r="V222" s="2">
        <f t="shared" si="59"/>
        <v>356.87798097689006</v>
      </c>
      <c r="W222" s="9">
        <f t="shared" si="60"/>
        <v>0</v>
      </c>
      <c r="X222" s="3">
        <v>180345</v>
      </c>
      <c r="Y222" s="3">
        <f t="shared" si="61"/>
        <v>-0.30704433494247496</v>
      </c>
      <c r="Z222" s="7">
        <f t="shared" si="62"/>
        <v>1259.8820190231099</v>
      </c>
      <c r="AA222" s="2">
        <f t="shared" si="56"/>
        <v>356.87798097689006</v>
      </c>
      <c r="AB222" s="8">
        <f t="shared" si="63"/>
        <v>0</v>
      </c>
      <c r="AC222" s="10">
        <v>6.875</v>
      </c>
      <c r="AD222" s="7">
        <f t="shared" si="64"/>
        <v>1259.8820190231099</v>
      </c>
      <c r="AE222" s="2">
        <f t="shared" si="65"/>
        <v>356.87798097689006</v>
      </c>
      <c r="AF222" s="10">
        <v>0</v>
      </c>
      <c r="AG222" s="3">
        <f t="shared" si="66"/>
        <v>0</v>
      </c>
      <c r="AH222" s="7">
        <v>3564</v>
      </c>
      <c r="AI222">
        <f t="shared" si="67"/>
        <v>360</v>
      </c>
      <c r="AJ222" t="e">
        <f>VLOOKUP(A222,'Borrower Details'!$A$1:$H$1493,8,FALSE)</f>
        <v>#N/A</v>
      </c>
      <c r="AK222" s="4" t="e">
        <f t="shared" si="68"/>
        <v>#N/A</v>
      </c>
      <c r="AL222" s="10">
        <v>6.875</v>
      </c>
      <c r="AM222" s="3">
        <f t="shared" si="69"/>
        <v>180345.31164999996</v>
      </c>
      <c r="AN222">
        <v>6.875</v>
      </c>
      <c r="AO222" s="7">
        <f t="shared" si="70"/>
        <v>1259.8841961959242</v>
      </c>
      <c r="AP222" s="2">
        <f t="shared" si="71"/>
        <v>356.87580380407576</v>
      </c>
    </row>
    <row r="223" spans="1:42" x14ac:dyDescent="0.15">
      <c r="A223" s="8">
        <v>410413942</v>
      </c>
      <c r="B223" t="s">
        <v>37</v>
      </c>
      <c r="C223" t="s">
        <v>19</v>
      </c>
      <c r="D223" s="1">
        <v>39266</v>
      </c>
      <c r="E223" s="2">
        <v>162000</v>
      </c>
      <c r="F223" s="2">
        <v>145800</v>
      </c>
      <c r="G223" t="s">
        <v>17</v>
      </c>
      <c r="H223" s="2">
        <v>1068.82</v>
      </c>
      <c r="I223" s="2">
        <v>144477.49</v>
      </c>
      <c r="J223">
        <v>7.9899999999999999E-2</v>
      </c>
      <c r="K223">
        <v>9</v>
      </c>
      <c r="L223">
        <v>351</v>
      </c>
      <c r="M223" t="str">
        <f t="shared" si="57"/>
        <v>30 Year Fixed</v>
      </c>
      <c r="N223" s="2">
        <v>961.98</v>
      </c>
      <c r="O223" t="str">
        <f t="shared" si="54"/>
        <v>Refi</v>
      </c>
      <c r="P223" s="3">
        <f t="shared" si="58"/>
        <v>0</v>
      </c>
      <c r="Q223" s="4">
        <v>146645</v>
      </c>
      <c r="R223" s="4" t="s">
        <v>41</v>
      </c>
      <c r="S223" s="6">
        <v>653</v>
      </c>
      <c r="T223">
        <v>6.75</v>
      </c>
      <c r="U223" s="7">
        <f t="shared" si="55"/>
        <v>1012.2387620457905</v>
      </c>
      <c r="V223" s="2">
        <f t="shared" si="59"/>
        <v>56.581237954209428</v>
      </c>
      <c r="W223" s="9">
        <f t="shared" si="60"/>
        <v>0</v>
      </c>
      <c r="X223" s="3">
        <v>146645</v>
      </c>
      <c r="Y223" s="3">
        <f t="shared" si="61"/>
        <v>0.34251231528469361</v>
      </c>
      <c r="Z223" s="7">
        <f t="shared" si="62"/>
        <v>1012.2387620457905</v>
      </c>
      <c r="AA223" s="2">
        <f t="shared" si="56"/>
        <v>56.581237954209428</v>
      </c>
      <c r="AB223" s="8">
        <f t="shared" si="63"/>
        <v>1</v>
      </c>
      <c r="AC223" s="10">
        <v>6.125</v>
      </c>
      <c r="AD223" s="7">
        <f t="shared" si="64"/>
        <v>952.13255910143562</v>
      </c>
      <c r="AE223" s="2">
        <f t="shared" si="65"/>
        <v>116.68744089856432</v>
      </c>
      <c r="AF223" s="10">
        <v>3</v>
      </c>
      <c r="AG223" s="3">
        <f t="shared" si="66"/>
        <v>4399.3500000000004</v>
      </c>
      <c r="AH223" s="7">
        <v>0</v>
      </c>
      <c r="AI223">
        <f t="shared" si="67"/>
        <v>360</v>
      </c>
      <c r="AJ223" t="e">
        <f>VLOOKUP(A223,'Borrower Details'!$A$1:$H$1493,8,FALSE)</f>
        <v>#N/A</v>
      </c>
      <c r="AK223" s="4" t="e">
        <f t="shared" si="68"/>
        <v>#N/A</v>
      </c>
      <c r="AL223" s="10">
        <v>6.75</v>
      </c>
      <c r="AM223" s="3">
        <f t="shared" si="69"/>
        <v>146644.65234999999</v>
      </c>
      <c r="AN223">
        <v>6.75</v>
      </c>
      <c r="AO223" s="7">
        <f t="shared" si="70"/>
        <v>1012.236362340341</v>
      </c>
      <c r="AP223" s="2">
        <f t="shared" si="71"/>
        <v>56.583637659658962</v>
      </c>
    </row>
    <row r="224" spans="1:42" x14ac:dyDescent="0.15">
      <c r="A224" s="8">
        <v>410584510</v>
      </c>
      <c r="B224" t="s">
        <v>36</v>
      </c>
      <c r="C224" t="s">
        <v>18</v>
      </c>
      <c r="D224" s="1">
        <v>39281</v>
      </c>
      <c r="E224" s="2">
        <v>300000</v>
      </c>
      <c r="F224" s="2">
        <v>240000</v>
      </c>
      <c r="G224" t="s">
        <v>15</v>
      </c>
      <c r="H224" s="2">
        <v>1759.43</v>
      </c>
      <c r="I224" s="2">
        <v>239449.74</v>
      </c>
      <c r="J224">
        <v>8.5000000000000006E-2</v>
      </c>
      <c r="K224">
        <v>9</v>
      </c>
      <c r="L224">
        <v>351</v>
      </c>
      <c r="M224" t="str">
        <f t="shared" si="57"/>
        <v>30 Year Fixed</v>
      </c>
      <c r="N224" s="2">
        <v>1696.1</v>
      </c>
      <c r="O224" t="str">
        <f t="shared" si="54"/>
        <v>Cash Out</v>
      </c>
      <c r="P224" s="3">
        <f t="shared" si="58"/>
        <v>11781.787093596096</v>
      </c>
      <c r="Q224" s="4">
        <v>255000</v>
      </c>
      <c r="R224" s="4" t="s">
        <v>41</v>
      </c>
      <c r="S224" s="6">
        <v>584</v>
      </c>
      <c r="T224">
        <v>7.375</v>
      </c>
      <c r="U224" s="7">
        <f t="shared" si="55"/>
        <v>1867.4716263732114</v>
      </c>
      <c r="V224" s="2">
        <f t="shared" si="59"/>
        <v>-108.04162637321133</v>
      </c>
      <c r="W224" s="9">
        <f t="shared" si="60"/>
        <v>1</v>
      </c>
      <c r="X224" s="3">
        <v>243042</v>
      </c>
      <c r="Y224" s="3">
        <f t="shared" si="61"/>
        <v>0.50630541876307689</v>
      </c>
      <c r="Z224" s="7">
        <f t="shared" si="62"/>
        <v>1779.8981922235216</v>
      </c>
      <c r="AA224" s="2">
        <f t="shared" si="56"/>
        <v>-20.468192223521555</v>
      </c>
      <c r="AB224" s="8">
        <f t="shared" si="63"/>
        <v>1</v>
      </c>
      <c r="AC224" s="10">
        <v>6.625</v>
      </c>
      <c r="AD224" s="7">
        <f t="shared" si="64"/>
        <v>1657.4920660161874</v>
      </c>
      <c r="AE224" s="2">
        <f t="shared" si="65"/>
        <v>101.93793398381263</v>
      </c>
      <c r="AF224" s="10">
        <v>1.875</v>
      </c>
      <c r="AG224" s="3">
        <f t="shared" si="66"/>
        <v>4557.0375000000004</v>
      </c>
      <c r="AH224" s="7">
        <v>4800</v>
      </c>
      <c r="AI224">
        <f t="shared" si="67"/>
        <v>360</v>
      </c>
      <c r="AJ224" t="e">
        <f>VLOOKUP(A224,'Borrower Details'!$A$1:$H$1493,8,FALSE)</f>
        <v>#N/A</v>
      </c>
      <c r="AK224" s="4" t="e">
        <f t="shared" si="68"/>
        <v>#N/A</v>
      </c>
      <c r="AL224" s="10">
        <v>7.375</v>
      </c>
      <c r="AM224" s="3">
        <f t="shared" si="69"/>
        <v>243041.48609999998</v>
      </c>
      <c r="AN224">
        <v>7.375</v>
      </c>
      <c r="AO224" s="7">
        <f t="shared" si="70"/>
        <v>1779.8944287189381</v>
      </c>
      <c r="AP224" s="2">
        <f t="shared" si="71"/>
        <v>-20.464428718938052</v>
      </c>
    </row>
    <row r="225" spans="1:42" x14ac:dyDescent="0.15">
      <c r="A225" s="8">
        <v>410112940</v>
      </c>
      <c r="B225" t="s">
        <v>36</v>
      </c>
      <c r="C225" t="s">
        <v>19</v>
      </c>
      <c r="D225" s="1">
        <v>39204</v>
      </c>
      <c r="E225" s="2">
        <v>193000</v>
      </c>
      <c r="F225" s="2">
        <v>173700</v>
      </c>
      <c r="G225" t="s">
        <v>15</v>
      </c>
      <c r="H225" s="2">
        <v>1293.25</v>
      </c>
      <c r="I225" s="2">
        <v>173230.52</v>
      </c>
      <c r="J225">
        <v>8.6499999999999994E-2</v>
      </c>
      <c r="K225">
        <v>11</v>
      </c>
      <c r="L225">
        <v>349</v>
      </c>
      <c r="M225" t="str">
        <f t="shared" si="57"/>
        <v>30 Year Fixed</v>
      </c>
      <c r="N225" s="2">
        <v>1248.7</v>
      </c>
      <c r="O225" t="str">
        <f t="shared" si="54"/>
        <v>Refi</v>
      </c>
      <c r="P225" s="3">
        <f t="shared" si="58"/>
        <v>0</v>
      </c>
      <c r="Q225" s="4">
        <v>175829</v>
      </c>
      <c r="R225" s="4" t="s">
        <v>41</v>
      </c>
      <c r="S225" s="6">
        <v>629</v>
      </c>
      <c r="T225">
        <v>6.75</v>
      </c>
      <c r="U225" s="7">
        <f t="shared" si="55"/>
        <v>1213.6856305482579</v>
      </c>
      <c r="V225" s="2">
        <f t="shared" si="59"/>
        <v>79.564369451742095</v>
      </c>
      <c r="W225" s="9">
        <f t="shared" si="60"/>
        <v>0</v>
      </c>
      <c r="X225" s="3">
        <v>175829</v>
      </c>
      <c r="Y225" s="3">
        <f t="shared" si="61"/>
        <v>2.187192119890824E-2</v>
      </c>
      <c r="Z225" s="7">
        <f t="shared" si="62"/>
        <v>1213.6856305482579</v>
      </c>
      <c r="AA225" s="2">
        <f t="shared" si="56"/>
        <v>79.564369451742095</v>
      </c>
      <c r="AB225" s="8">
        <f t="shared" si="63"/>
        <v>1</v>
      </c>
      <c r="AC225" s="10">
        <v>6.125</v>
      </c>
      <c r="AD225" s="7">
        <f t="shared" si="64"/>
        <v>1141.6176189726641</v>
      </c>
      <c r="AE225" s="2">
        <f t="shared" si="65"/>
        <v>151.6323810273359</v>
      </c>
      <c r="AF225" s="10">
        <v>3</v>
      </c>
      <c r="AG225" s="3">
        <f t="shared" si="66"/>
        <v>5274.87</v>
      </c>
      <c r="AH225" s="7">
        <v>3474</v>
      </c>
      <c r="AI225">
        <f t="shared" si="67"/>
        <v>360</v>
      </c>
      <c r="AJ225" t="e">
        <f>VLOOKUP(A225,'Borrower Details'!$A$1:$H$1493,8,FALSE)</f>
        <v>#N/A</v>
      </c>
      <c r="AK225" s="4" t="e">
        <f t="shared" si="68"/>
        <v>#N/A</v>
      </c>
      <c r="AL225" s="10">
        <v>6.75</v>
      </c>
      <c r="AM225" s="3">
        <f t="shared" si="69"/>
        <v>175828.97779999996</v>
      </c>
      <c r="AN225">
        <v>6.75</v>
      </c>
      <c r="AO225" s="7">
        <f t="shared" si="70"/>
        <v>1213.6854773094803</v>
      </c>
      <c r="AP225" s="2">
        <f t="shared" si="71"/>
        <v>79.564522690519652</v>
      </c>
    </row>
    <row r="226" spans="1:42" x14ac:dyDescent="0.15">
      <c r="A226" s="8">
        <v>1157476</v>
      </c>
      <c r="B226" t="s">
        <v>36</v>
      </c>
      <c r="C226" t="s">
        <v>18</v>
      </c>
      <c r="D226" s="1">
        <v>39150</v>
      </c>
      <c r="E226" s="2">
        <v>140000</v>
      </c>
      <c r="F226" s="2">
        <v>101500</v>
      </c>
      <c r="G226" t="s">
        <v>17</v>
      </c>
      <c r="H226" s="2">
        <v>730.67</v>
      </c>
      <c r="I226" s="2">
        <v>100541.23</v>
      </c>
      <c r="J226">
        <v>7.8E-2</v>
      </c>
      <c r="K226">
        <v>13</v>
      </c>
      <c r="L226">
        <v>347</v>
      </c>
      <c r="M226" t="str">
        <f t="shared" si="57"/>
        <v>30 Year Fixed</v>
      </c>
      <c r="N226" s="2">
        <v>653.52</v>
      </c>
      <c r="O226" t="str">
        <f t="shared" si="54"/>
        <v>Cash Out</v>
      </c>
      <c r="P226" s="3">
        <f t="shared" si="58"/>
        <v>16700.149310344845</v>
      </c>
      <c r="Q226" s="4">
        <v>119000</v>
      </c>
      <c r="R226" s="4" t="s">
        <v>41</v>
      </c>
      <c r="S226" s="6">
        <v>619</v>
      </c>
      <c r="T226">
        <v>6.875</v>
      </c>
      <c r="U226" s="7">
        <f t="shared" si="55"/>
        <v>831.32862160719776</v>
      </c>
      <c r="V226" s="2">
        <f t="shared" si="59"/>
        <v>-100.6586216071978</v>
      </c>
      <c r="W226" s="9">
        <f t="shared" si="60"/>
        <v>1</v>
      </c>
      <c r="X226" s="3">
        <v>104510</v>
      </c>
      <c r="Y226" s="3">
        <f t="shared" si="61"/>
        <v>2424.2872413793229</v>
      </c>
      <c r="Z226" s="7">
        <f t="shared" si="62"/>
        <v>730.10213650561548</v>
      </c>
      <c r="AA226" s="2">
        <f t="shared" si="56"/>
        <v>0.56786349438448269</v>
      </c>
      <c r="AB226" s="8">
        <f t="shared" si="63"/>
        <v>1</v>
      </c>
      <c r="AC226" s="10">
        <v>6.25</v>
      </c>
      <c r="AD226" s="7">
        <f t="shared" si="64"/>
        <v>687.03187949895721</v>
      </c>
      <c r="AE226" s="2">
        <f t="shared" si="65"/>
        <v>43.638120501042749</v>
      </c>
      <c r="AF226" s="10">
        <v>2.5</v>
      </c>
      <c r="AG226" s="3">
        <f t="shared" si="66"/>
        <v>2612.75</v>
      </c>
      <c r="AH226" s="7">
        <v>2030</v>
      </c>
      <c r="AI226">
        <f t="shared" si="67"/>
        <v>360</v>
      </c>
      <c r="AJ226" t="e">
        <f>VLOOKUP(A226,'Borrower Details'!$A$1:$H$1493,8,FALSE)</f>
        <v>#N/A</v>
      </c>
      <c r="AK226" s="4" t="e">
        <f t="shared" si="68"/>
        <v>#N/A</v>
      </c>
      <c r="AL226" s="10">
        <v>6.875</v>
      </c>
      <c r="AM226" s="3">
        <f t="shared" si="69"/>
        <v>102049.34844999999</v>
      </c>
      <c r="AN226">
        <v>6.875</v>
      </c>
      <c r="AO226" s="7">
        <f t="shared" si="70"/>
        <v>712.91213599034552</v>
      </c>
      <c r="AP226" s="2">
        <f t="shared" si="71"/>
        <v>17.75786400965444</v>
      </c>
    </row>
    <row r="227" spans="1:42" x14ac:dyDescent="0.15">
      <c r="A227" s="8">
        <v>410427686</v>
      </c>
      <c r="B227" t="s">
        <v>37</v>
      </c>
      <c r="C227" t="s">
        <v>18</v>
      </c>
      <c r="D227" s="1">
        <v>39279</v>
      </c>
      <c r="E227" s="2">
        <v>168000</v>
      </c>
      <c r="F227" s="2">
        <v>151150</v>
      </c>
      <c r="G227" t="s">
        <v>17</v>
      </c>
      <c r="H227" s="2">
        <v>1125.3599999999999</v>
      </c>
      <c r="I227" s="2">
        <v>150810.76999999999</v>
      </c>
      <c r="J227">
        <v>8.6499999999999994E-2</v>
      </c>
      <c r="K227">
        <v>9</v>
      </c>
      <c r="L227">
        <v>351</v>
      </c>
      <c r="M227" t="str">
        <f t="shared" si="57"/>
        <v>30 Year Fixed</v>
      </c>
      <c r="N227" s="2">
        <v>1087.0899999999999</v>
      </c>
      <c r="O227" t="str">
        <f t="shared" si="54"/>
        <v>Refi</v>
      </c>
      <c r="P227" s="3">
        <f t="shared" si="58"/>
        <v>0</v>
      </c>
      <c r="Q227" s="4">
        <v>153073</v>
      </c>
      <c r="R227" s="4" t="s">
        <v>41</v>
      </c>
      <c r="S227" s="6">
        <v>600</v>
      </c>
      <c r="T227">
        <v>6.875</v>
      </c>
      <c r="U227" s="7">
        <f t="shared" si="55"/>
        <v>1069.3610596241897</v>
      </c>
      <c r="V227" s="2">
        <f t="shared" si="59"/>
        <v>55.998940375810207</v>
      </c>
      <c r="W227" s="9">
        <f t="shared" si="60"/>
        <v>0</v>
      </c>
      <c r="X227" s="3">
        <v>153073</v>
      </c>
      <c r="Y227" s="3">
        <f t="shared" si="61"/>
        <v>6.743842366267927E-2</v>
      </c>
      <c r="Z227" s="7">
        <f t="shared" si="62"/>
        <v>1069.3610596241897</v>
      </c>
      <c r="AA227" s="2">
        <f t="shared" si="56"/>
        <v>55.998940375810207</v>
      </c>
      <c r="AB227" s="8">
        <f t="shared" si="63"/>
        <v>1</v>
      </c>
      <c r="AC227" s="10">
        <v>6.25</v>
      </c>
      <c r="AD227" s="7">
        <f t="shared" si="64"/>
        <v>1006.27720687536</v>
      </c>
      <c r="AE227" s="2">
        <f t="shared" si="65"/>
        <v>119.08279312463992</v>
      </c>
      <c r="AF227" s="10">
        <v>2.5</v>
      </c>
      <c r="AG227" s="3">
        <f t="shared" si="66"/>
        <v>3826.8249999999998</v>
      </c>
      <c r="AH227" s="7">
        <v>1511.5</v>
      </c>
      <c r="AI227">
        <f t="shared" si="67"/>
        <v>360</v>
      </c>
      <c r="AJ227" t="e">
        <f>VLOOKUP(A227,'Borrower Details'!$A$1:$H$1493,8,FALSE)</f>
        <v>#N/A</v>
      </c>
      <c r="AK227" s="4" t="e">
        <f t="shared" si="68"/>
        <v>#N/A</v>
      </c>
      <c r="AL227" s="10">
        <v>6.875</v>
      </c>
      <c r="AM227" s="3">
        <f t="shared" si="69"/>
        <v>153072.93154999998</v>
      </c>
      <c r="AN227">
        <v>6.875</v>
      </c>
      <c r="AO227" s="7">
        <f t="shared" si="70"/>
        <v>1069.3605814355833</v>
      </c>
      <c r="AP227" s="2">
        <f t="shared" si="71"/>
        <v>55.999418564416601</v>
      </c>
    </row>
    <row r="228" spans="1:42" x14ac:dyDescent="0.15">
      <c r="A228" s="8">
        <v>410399406</v>
      </c>
      <c r="B228" t="s">
        <v>37</v>
      </c>
      <c r="C228" t="s">
        <v>18</v>
      </c>
      <c r="D228" s="1">
        <v>39251</v>
      </c>
      <c r="E228" s="2">
        <v>163000</v>
      </c>
      <c r="F228" s="2">
        <v>143000</v>
      </c>
      <c r="G228" t="s">
        <v>15</v>
      </c>
      <c r="H228" s="2">
        <v>1099.55</v>
      </c>
      <c r="I228" s="2">
        <v>142102.82999999999</v>
      </c>
      <c r="J228">
        <v>8.5000000000000006E-2</v>
      </c>
      <c r="K228">
        <v>10</v>
      </c>
      <c r="L228">
        <v>350</v>
      </c>
      <c r="M228" t="str">
        <f t="shared" si="57"/>
        <v>30 Year Fixed</v>
      </c>
      <c r="N228" s="2">
        <v>1006.56</v>
      </c>
      <c r="O228" t="str">
        <f t="shared" si="54"/>
        <v>Refi</v>
      </c>
      <c r="P228" s="3">
        <f t="shared" si="58"/>
        <v>0</v>
      </c>
      <c r="Q228" s="4">
        <v>144234</v>
      </c>
      <c r="R228" s="4" t="s">
        <v>41</v>
      </c>
      <c r="S228" s="6">
        <v>627</v>
      </c>
      <c r="T228">
        <v>6.75</v>
      </c>
      <c r="U228" s="7">
        <f t="shared" si="55"/>
        <v>995.5964786041975</v>
      </c>
      <c r="V228" s="2">
        <f t="shared" si="59"/>
        <v>103.95352139580245</v>
      </c>
      <c r="W228" s="9">
        <f t="shared" si="60"/>
        <v>0</v>
      </c>
      <c r="X228" s="3">
        <v>144235</v>
      </c>
      <c r="Y228" s="3">
        <f t="shared" si="61"/>
        <v>0.61827586209983565</v>
      </c>
      <c r="Z228" s="7">
        <f t="shared" si="62"/>
        <v>995.60338125182989</v>
      </c>
      <c r="AA228" s="2">
        <f t="shared" si="56"/>
        <v>103.94661874817007</v>
      </c>
      <c r="AB228" s="8">
        <f t="shared" si="63"/>
        <v>0</v>
      </c>
      <c r="AC228" s="10">
        <v>6.75</v>
      </c>
      <c r="AD228" s="7">
        <f t="shared" si="64"/>
        <v>995.60338125182989</v>
      </c>
      <c r="AE228" s="2">
        <f t="shared" si="65"/>
        <v>103.94661874817007</v>
      </c>
      <c r="AF228" s="10">
        <v>0</v>
      </c>
      <c r="AG228" s="3">
        <f t="shared" si="66"/>
        <v>0</v>
      </c>
      <c r="AH228" s="7">
        <v>0</v>
      </c>
      <c r="AI228">
        <f t="shared" si="67"/>
        <v>360</v>
      </c>
      <c r="AJ228" t="e">
        <f>VLOOKUP(A228,'Borrower Details'!$A$1:$H$1493,8,FALSE)</f>
        <v>#N/A</v>
      </c>
      <c r="AK228" s="4" t="e">
        <f t="shared" si="68"/>
        <v>#N/A</v>
      </c>
      <c r="AL228" s="10">
        <v>6.75</v>
      </c>
      <c r="AM228" s="3">
        <f t="shared" si="69"/>
        <v>144234.37244999997</v>
      </c>
      <c r="AN228">
        <v>6.75</v>
      </c>
      <c r="AO228" s="7">
        <f t="shared" si="70"/>
        <v>995.5990494953079</v>
      </c>
      <c r="AP228" s="2">
        <f t="shared" si="71"/>
        <v>103.95095050469206</v>
      </c>
    </row>
    <row r="229" spans="1:42" x14ac:dyDescent="0.15">
      <c r="A229" s="8">
        <v>411166622</v>
      </c>
      <c r="B229" t="s">
        <v>35</v>
      </c>
      <c r="C229" t="s">
        <v>16</v>
      </c>
      <c r="D229" s="1">
        <v>39433</v>
      </c>
      <c r="E229" s="2">
        <v>105000</v>
      </c>
      <c r="F229" s="2">
        <v>89250</v>
      </c>
      <c r="G229" t="s">
        <v>17</v>
      </c>
      <c r="H229" s="2">
        <v>686.26</v>
      </c>
      <c r="I229" s="2">
        <v>89031.4</v>
      </c>
      <c r="J229">
        <v>8.5000000000000006E-2</v>
      </c>
      <c r="K229">
        <v>4</v>
      </c>
      <c r="L229">
        <v>356</v>
      </c>
      <c r="M229" t="str">
        <f t="shared" si="57"/>
        <v>30 Year Fixed</v>
      </c>
      <c r="N229" s="2">
        <v>630.64</v>
      </c>
      <c r="O229" t="str">
        <f t="shared" si="54"/>
        <v>Refi</v>
      </c>
      <c r="P229" s="3">
        <f t="shared" si="58"/>
        <v>0</v>
      </c>
      <c r="Q229" s="4">
        <v>90367</v>
      </c>
      <c r="R229" s="4" t="s">
        <v>41</v>
      </c>
      <c r="S229" s="6">
        <v>700</v>
      </c>
      <c r="T229">
        <v>6.875</v>
      </c>
      <c r="U229" s="7">
        <f t="shared" si="55"/>
        <v>631.29977772082054</v>
      </c>
      <c r="V229" s="2">
        <f t="shared" si="59"/>
        <v>54.960222279179447</v>
      </c>
      <c r="W229" s="9">
        <f t="shared" si="60"/>
        <v>0</v>
      </c>
      <c r="X229" s="3">
        <v>90367</v>
      </c>
      <c r="Y229" s="3">
        <f t="shared" si="61"/>
        <v>0.12709359607833903</v>
      </c>
      <c r="Z229" s="7">
        <f t="shared" si="62"/>
        <v>631.29977772082054</v>
      </c>
      <c r="AA229" s="2">
        <f t="shared" si="56"/>
        <v>54.960222279179447</v>
      </c>
      <c r="AB229" s="8">
        <f t="shared" si="63"/>
        <v>0</v>
      </c>
      <c r="AC229" s="10">
        <v>6.875</v>
      </c>
      <c r="AD229" s="7">
        <f t="shared" si="64"/>
        <v>631.29977772082054</v>
      </c>
      <c r="AE229" s="2">
        <f t="shared" si="65"/>
        <v>54.960222279179447</v>
      </c>
      <c r="AF229" s="10">
        <v>0</v>
      </c>
      <c r="AG229" s="3">
        <f t="shared" si="66"/>
        <v>0</v>
      </c>
      <c r="AH229" s="7">
        <v>3793.1250000000005</v>
      </c>
      <c r="AI229">
        <f t="shared" si="67"/>
        <v>360</v>
      </c>
      <c r="AJ229" t="e">
        <f>VLOOKUP(A229,'Borrower Details'!$A$1:$H$1493,8,FALSE)</f>
        <v>#N/A</v>
      </c>
      <c r="AK229" s="4" t="e">
        <f t="shared" si="68"/>
        <v>#N/A</v>
      </c>
      <c r="AL229" s="10">
        <v>6.875</v>
      </c>
      <c r="AM229" s="3">
        <f t="shared" si="69"/>
        <v>90366.870999999985</v>
      </c>
      <c r="AN229">
        <v>6.875</v>
      </c>
      <c r="AO229" s="7">
        <f t="shared" si="70"/>
        <v>631.29887653265075</v>
      </c>
      <c r="AP229" s="2">
        <f t="shared" si="71"/>
        <v>54.961123467349239</v>
      </c>
    </row>
    <row r="230" spans="1:42" x14ac:dyDescent="0.15">
      <c r="A230" s="8">
        <v>410669014</v>
      </c>
      <c r="B230" t="s">
        <v>38</v>
      </c>
      <c r="C230" t="s">
        <v>16</v>
      </c>
      <c r="D230" s="1">
        <v>39309</v>
      </c>
      <c r="E230" s="2">
        <v>155000</v>
      </c>
      <c r="F230" s="2">
        <v>124000</v>
      </c>
      <c r="G230" t="s">
        <v>17</v>
      </c>
      <c r="H230" s="2">
        <v>845.9</v>
      </c>
      <c r="I230" s="2">
        <v>123108.06</v>
      </c>
      <c r="J230">
        <v>7.2499999999999995E-2</v>
      </c>
      <c r="K230">
        <v>8</v>
      </c>
      <c r="L230">
        <v>351</v>
      </c>
      <c r="M230" t="str">
        <f t="shared" si="57"/>
        <v>30 Year Fixed</v>
      </c>
      <c r="N230" s="2">
        <v>743.78</v>
      </c>
      <c r="O230" t="str">
        <f t="shared" si="54"/>
        <v>Cash Out</v>
      </c>
      <c r="P230" s="3">
        <f t="shared" si="58"/>
        <v>6694.89566502464</v>
      </c>
      <c r="Q230" s="4">
        <v>131750</v>
      </c>
      <c r="R230" s="4" t="s">
        <v>41</v>
      </c>
      <c r="S230" s="6">
        <v>658</v>
      </c>
      <c r="T230">
        <v>6.75</v>
      </c>
      <c r="U230" s="7">
        <f t="shared" si="55"/>
        <v>909.42382556195503</v>
      </c>
      <c r="V230" s="2">
        <f t="shared" si="59"/>
        <v>-63.52382556195505</v>
      </c>
      <c r="W230" s="9">
        <f t="shared" si="60"/>
        <v>1</v>
      </c>
      <c r="X230" s="3">
        <v>124955</v>
      </c>
      <c r="Y230" s="3">
        <f t="shared" si="61"/>
        <v>0.31438423646613955</v>
      </c>
      <c r="Z230" s="7">
        <f t="shared" si="62"/>
        <v>862.52033490014492</v>
      </c>
      <c r="AA230" s="2">
        <f t="shared" si="56"/>
        <v>-16.62033490014494</v>
      </c>
      <c r="AB230" s="8">
        <f t="shared" si="63"/>
        <v>1</v>
      </c>
      <c r="AC230" s="10">
        <v>6.125</v>
      </c>
      <c r="AD230" s="7">
        <f t="shared" si="64"/>
        <v>811.30433306638395</v>
      </c>
      <c r="AE230" s="2">
        <f t="shared" si="65"/>
        <v>34.59566693361603</v>
      </c>
      <c r="AF230" s="10">
        <v>3</v>
      </c>
      <c r="AG230" s="3">
        <f t="shared" si="66"/>
        <v>3748.65</v>
      </c>
      <c r="AH230" s="7">
        <v>0</v>
      </c>
      <c r="AI230">
        <f t="shared" si="67"/>
        <v>360</v>
      </c>
      <c r="AJ230" t="e">
        <f>VLOOKUP(A230,'Borrower Details'!$A$1:$H$1493,8,FALSE)</f>
        <v>#N/A</v>
      </c>
      <c r="AK230" s="4" t="e">
        <f t="shared" si="68"/>
        <v>#N/A</v>
      </c>
      <c r="AL230" s="10">
        <v>6.75</v>
      </c>
      <c r="AM230" s="3">
        <f t="shared" si="69"/>
        <v>124954.68089999999</v>
      </c>
      <c r="AN230">
        <v>6.75</v>
      </c>
      <c r="AO230" s="7">
        <f t="shared" si="70"/>
        <v>862.51813226528532</v>
      </c>
      <c r="AP230" s="2">
        <f t="shared" si="71"/>
        <v>-16.61813226528534</v>
      </c>
    </row>
    <row r="231" spans="1:42" x14ac:dyDescent="0.15">
      <c r="A231" s="8">
        <v>410503098</v>
      </c>
      <c r="B231" t="s">
        <v>37</v>
      </c>
      <c r="C231" t="s">
        <v>18</v>
      </c>
      <c r="D231" s="1">
        <v>39301</v>
      </c>
      <c r="E231" s="2">
        <v>187000</v>
      </c>
      <c r="F231" s="2">
        <v>149000</v>
      </c>
      <c r="G231" t="s">
        <v>17</v>
      </c>
      <c r="H231" s="2">
        <v>1046.94</v>
      </c>
      <c r="I231" s="2">
        <v>148104.62</v>
      </c>
      <c r="J231">
        <v>7.5499999999999998E-2</v>
      </c>
      <c r="K231">
        <v>8</v>
      </c>
      <c r="L231">
        <v>352</v>
      </c>
      <c r="M231" t="str">
        <f t="shared" si="57"/>
        <v>30 Year Fixed</v>
      </c>
      <c r="N231" s="2">
        <v>931.82</v>
      </c>
      <c r="O231" t="str">
        <f t="shared" si="54"/>
        <v>Cash Out</v>
      </c>
      <c r="P231" s="3">
        <f t="shared" si="58"/>
        <v>8496.3652216749033</v>
      </c>
      <c r="Q231" s="4">
        <v>158950</v>
      </c>
      <c r="R231" s="4" t="s">
        <v>41</v>
      </c>
      <c r="S231" s="6">
        <v>705</v>
      </c>
      <c r="T231">
        <v>6.75</v>
      </c>
      <c r="U231" s="7">
        <f t="shared" si="55"/>
        <v>1097.1758411618425</v>
      </c>
      <c r="V231" s="2">
        <f t="shared" si="59"/>
        <v>-50.235841161842473</v>
      </c>
      <c r="W231" s="9">
        <f t="shared" si="60"/>
        <v>1</v>
      </c>
      <c r="X231" s="3">
        <v>151590</v>
      </c>
      <c r="Y231" s="3">
        <f t="shared" si="61"/>
        <v>1245.1336945813091</v>
      </c>
      <c r="Z231" s="7">
        <f t="shared" si="62"/>
        <v>1046.3723545877554</v>
      </c>
      <c r="AA231" s="2">
        <f t="shared" si="56"/>
        <v>0.56764541224470122</v>
      </c>
      <c r="AB231" s="8">
        <f t="shared" si="63"/>
        <v>1</v>
      </c>
      <c r="AC231" s="10">
        <v>6.125</v>
      </c>
      <c r="AD231" s="7">
        <f t="shared" si="64"/>
        <v>984.23931695036742</v>
      </c>
      <c r="AE231" s="2">
        <f t="shared" si="65"/>
        <v>62.70068304963263</v>
      </c>
      <c r="AF231" s="10">
        <v>3</v>
      </c>
      <c r="AG231" s="3">
        <f t="shared" si="66"/>
        <v>4547.7</v>
      </c>
      <c r="AH231" s="7">
        <v>0</v>
      </c>
      <c r="AI231">
        <f t="shared" si="67"/>
        <v>360</v>
      </c>
      <c r="AJ231" t="e">
        <f>VLOOKUP(A231,'Borrower Details'!$A$1:$H$1493,8,FALSE)</f>
        <v>#N/A</v>
      </c>
      <c r="AK231" s="4" t="e">
        <f t="shared" si="68"/>
        <v>#N/A</v>
      </c>
      <c r="AL231" s="10">
        <v>6.75</v>
      </c>
      <c r="AM231" s="3">
        <f t="shared" si="69"/>
        <v>150326.18929999997</v>
      </c>
      <c r="AN231">
        <v>6.75</v>
      </c>
      <c r="AO231" s="7">
        <f t="shared" si="70"/>
        <v>1037.6487146516631</v>
      </c>
      <c r="AP231" s="2">
        <f t="shared" si="71"/>
        <v>9.2912853483369418</v>
      </c>
    </row>
    <row r="232" spans="1:42" x14ac:dyDescent="0.15">
      <c r="A232" s="8">
        <v>410660286</v>
      </c>
      <c r="B232" t="s">
        <v>38</v>
      </c>
      <c r="C232" t="s">
        <v>19</v>
      </c>
      <c r="D232" s="1">
        <v>39294</v>
      </c>
      <c r="E232" s="2">
        <v>135000</v>
      </c>
      <c r="F232" s="2">
        <v>121500</v>
      </c>
      <c r="G232" t="s">
        <v>20</v>
      </c>
      <c r="H232" s="2">
        <v>942.86</v>
      </c>
      <c r="I232" s="2">
        <v>120823.4</v>
      </c>
      <c r="J232">
        <v>8.5999999999999993E-2</v>
      </c>
      <c r="K232">
        <v>9</v>
      </c>
      <c r="L232">
        <v>351</v>
      </c>
      <c r="M232" t="str">
        <f t="shared" si="57"/>
        <v>30 Year Fixed</v>
      </c>
      <c r="N232" s="2">
        <v>865.9</v>
      </c>
      <c r="O232" t="str">
        <f t="shared" si="54"/>
        <v>Refi</v>
      </c>
      <c r="P232" s="3">
        <f t="shared" si="58"/>
        <v>0</v>
      </c>
      <c r="Q232" s="4">
        <v>122636</v>
      </c>
      <c r="R232" s="4" t="s">
        <v>41</v>
      </c>
      <c r="S232" s="6">
        <v>617</v>
      </c>
      <c r="T232">
        <v>6.875</v>
      </c>
      <c r="U232" s="7">
        <f t="shared" si="55"/>
        <v>856.72955327243949</v>
      </c>
      <c r="V232" s="2">
        <f t="shared" si="59"/>
        <v>86.130446727560525</v>
      </c>
      <c r="W232" s="9">
        <f t="shared" si="60"/>
        <v>0</v>
      </c>
      <c r="X232" s="3">
        <v>122636</v>
      </c>
      <c r="Y232" s="3">
        <f t="shared" si="61"/>
        <v>0.24532019706384744</v>
      </c>
      <c r="Z232" s="7">
        <f t="shared" si="62"/>
        <v>856.72955327243949</v>
      </c>
      <c r="AA232" s="2">
        <f t="shared" si="56"/>
        <v>86.130446727560525</v>
      </c>
      <c r="AB232" s="8">
        <f t="shared" si="63"/>
        <v>0</v>
      </c>
      <c r="AC232" s="10">
        <v>6.875</v>
      </c>
      <c r="AD232" s="7">
        <f t="shared" si="64"/>
        <v>856.72955327243949</v>
      </c>
      <c r="AE232" s="2">
        <f t="shared" si="65"/>
        <v>86.130446727560525</v>
      </c>
      <c r="AF232" s="10">
        <v>0</v>
      </c>
      <c r="AG232" s="3">
        <f t="shared" si="66"/>
        <v>0</v>
      </c>
      <c r="AH232" s="7">
        <v>0</v>
      </c>
      <c r="AI232">
        <f t="shared" si="67"/>
        <v>360</v>
      </c>
      <c r="AJ232" t="e">
        <f>VLOOKUP(A232,'Borrower Details'!$A$1:$H$1493,8,FALSE)</f>
        <v>#N/A</v>
      </c>
      <c r="AK232" s="4" t="e">
        <f t="shared" si="68"/>
        <v>#N/A</v>
      </c>
      <c r="AL232" s="10">
        <v>6.875</v>
      </c>
      <c r="AM232" s="3">
        <f t="shared" si="69"/>
        <v>122635.75099999999</v>
      </c>
      <c r="AN232">
        <v>6.875</v>
      </c>
      <c r="AO232" s="7">
        <f t="shared" si="70"/>
        <v>856.7278137696934</v>
      </c>
      <c r="AP232" s="2">
        <f t="shared" si="71"/>
        <v>86.132186230306615</v>
      </c>
    </row>
    <row r="233" spans="1:42" x14ac:dyDescent="0.15">
      <c r="A233" s="8">
        <v>411270812</v>
      </c>
      <c r="B233" t="s">
        <v>35</v>
      </c>
      <c r="C233" t="s">
        <v>16</v>
      </c>
      <c r="D233" s="1">
        <v>39483</v>
      </c>
      <c r="E233" s="2">
        <v>145000</v>
      </c>
      <c r="F233" s="2">
        <v>123250</v>
      </c>
      <c r="G233" t="s">
        <v>17</v>
      </c>
      <c r="H233" s="2">
        <v>991.7</v>
      </c>
      <c r="I233" s="2">
        <v>122394.44</v>
      </c>
      <c r="J233">
        <v>0.09</v>
      </c>
      <c r="K233">
        <v>3</v>
      </c>
      <c r="L233">
        <v>357</v>
      </c>
      <c r="M233" t="str">
        <f t="shared" si="57"/>
        <v>30 Year Fixed</v>
      </c>
      <c r="N233" s="2">
        <v>917.96</v>
      </c>
      <c r="O233" t="str">
        <f t="shared" si="54"/>
        <v>Refi</v>
      </c>
      <c r="P233" s="3">
        <f t="shared" si="58"/>
        <v>0</v>
      </c>
      <c r="Q233" s="4">
        <v>124230</v>
      </c>
      <c r="R233" s="4" t="s">
        <v>41</v>
      </c>
      <c r="S233" s="6">
        <v>679</v>
      </c>
      <c r="T233">
        <v>6.75</v>
      </c>
      <c r="U233" s="7">
        <f t="shared" si="55"/>
        <v>857.51591536669207</v>
      </c>
      <c r="V233" s="2">
        <f t="shared" si="59"/>
        <v>134.18408463330798</v>
      </c>
      <c r="W233" s="9">
        <f t="shared" si="60"/>
        <v>0</v>
      </c>
      <c r="X233" s="3">
        <v>124230</v>
      </c>
      <c r="Y233" s="3">
        <f t="shared" si="61"/>
        <v>-0.35133004924864508</v>
      </c>
      <c r="Z233" s="7">
        <f t="shared" si="62"/>
        <v>857.51591536669207</v>
      </c>
      <c r="AA233" s="2">
        <f t="shared" si="56"/>
        <v>134.18408463330798</v>
      </c>
      <c r="AB233" s="8">
        <f t="shared" si="63"/>
        <v>0</v>
      </c>
      <c r="AC233" s="10">
        <v>6.75</v>
      </c>
      <c r="AD233" s="7">
        <f t="shared" si="64"/>
        <v>857.51591536669207</v>
      </c>
      <c r="AE233" s="2">
        <f t="shared" si="65"/>
        <v>134.18408463330798</v>
      </c>
      <c r="AF233" s="10">
        <v>0</v>
      </c>
      <c r="AG233" s="3">
        <f t="shared" si="66"/>
        <v>0</v>
      </c>
      <c r="AH233" s="7">
        <v>5546.25</v>
      </c>
      <c r="AI233">
        <f t="shared" si="67"/>
        <v>360</v>
      </c>
      <c r="AJ233" t="e">
        <f>VLOOKUP(A233,'Borrower Details'!$A$1:$H$1493,8,FALSE)</f>
        <v>#N/A</v>
      </c>
      <c r="AK233" s="4" t="e">
        <f t="shared" si="68"/>
        <v>#N/A</v>
      </c>
      <c r="AL233" s="10">
        <v>6.75</v>
      </c>
      <c r="AM233" s="3">
        <f t="shared" si="69"/>
        <v>124230.35659999998</v>
      </c>
      <c r="AN233">
        <v>6.75</v>
      </c>
      <c r="AO233" s="7">
        <f t="shared" si="70"/>
        <v>857.51837685083763</v>
      </c>
      <c r="AP233" s="2">
        <f t="shared" si="71"/>
        <v>134.18162314916242</v>
      </c>
    </row>
    <row r="234" spans="1:42" x14ac:dyDescent="0.15">
      <c r="A234" s="8">
        <v>410545354</v>
      </c>
      <c r="B234" t="s">
        <v>36</v>
      </c>
      <c r="C234" t="s">
        <v>18</v>
      </c>
      <c r="D234" s="1">
        <v>39286</v>
      </c>
      <c r="E234" s="2">
        <v>314000</v>
      </c>
      <c r="F234" s="2">
        <v>282600</v>
      </c>
      <c r="G234" t="s">
        <v>15</v>
      </c>
      <c r="H234" s="2">
        <v>2058.84</v>
      </c>
      <c r="I234" s="2">
        <v>281940.13</v>
      </c>
      <c r="J234">
        <v>8.4400000000000003E-2</v>
      </c>
      <c r="K234">
        <v>9</v>
      </c>
      <c r="L234">
        <v>351</v>
      </c>
      <c r="M234" t="str">
        <f t="shared" si="57"/>
        <v>30 Year Fixed</v>
      </c>
      <c r="N234" s="2">
        <v>1982.98</v>
      </c>
      <c r="O234" t="str">
        <f t="shared" si="54"/>
        <v>Refi</v>
      </c>
      <c r="P234" s="3">
        <f t="shared" si="58"/>
        <v>0</v>
      </c>
      <c r="Q234" s="4">
        <v>286169</v>
      </c>
      <c r="R234" s="4" t="s">
        <v>41</v>
      </c>
      <c r="S234" s="6">
        <v>609</v>
      </c>
      <c r="T234">
        <v>6.875</v>
      </c>
      <c r="U234" s="7">
        <f t="shared" si="55"/>
        <v>1999.1637001404217</v>
      </c>
      <c r="V234" s="2">
        <f t="shared" si="59"/>
        <v>59.676299859578421</v>
      </c>
      <c r="W234" s="9">
        <f t="shared" si="60"/>
        <v>0</v>
      </c>
      <c r="X234" s="3">
        <v>286169</v>
      </c>
      <c r="Y234" s="3">
        <f t="shared" si="61"/>
        <v>-0.22852216748287901</v>
      </c>
      <c r="Z234" s="7">
        <f t="shared" si="62"/>
        <v>1999.1637001404217</v>
      </c>
      <c r="AA234" s="2">
        <f t="shared" si="56"/>
        <v>59.676299859578421</v>
      </c>
      <c r="AB234" s="8">
        <f t="shared" si="63"/>
        <v>1</v>
      </c>
      <c r="AC234" s="10">
        <v>6.25</v>
      </c>
      <c r="AD234" s="7">
        <f t="shared" si="64"/>
        <v>1881.2288386215396</v>
      </c>
      <c r="AE234" s="2">
        <f t="shared" si="65"/>
        <v>177.61116137846057</v>
      </c>
      <c r="AF234" s="10">
        <v>2.5</v>
      </c>
      <c r="AG234" s="3">
        <f t="shared" si="66"/>
        <v>7154.2250000000004</v>
      </c>
      <c r="AH234" s="7">
        <v>5652</v>
      </c>
      <c r="AI234">
        <f t="shared" si="67"/>
        <v>360</v>
      </c>
      <c r="AJ234" t="e">
        <f>VLOOKUP(A234,'Borrower Details'!$A$1:$H$1493,8,FALSE)</f>
        <v>#N/A</v>
      </c>
      <c r="AK234" s="4" t="e">
        <f t="shared" si="68"/>
        <v>#N/A</v>
      </c>
      <c r="AL234" s="10">
        <v>6.875</v>
      </c>
      <c r="AM234" s="3">
        <f t="shared" si="69"/>
        <v>286169.23194999999</v>
      </c>
      <c r="AN234">
        <v>6.875</v>
      </c>
      <c r="AO234" s="7">
        <f t="shared" si="70"/>
        <v>1999.1653205326384</v>
      </c>
      <c r="AP234" s="2">
        <f t="shared" si="71"/>
        <v>59.674679467361784</v>
      </c>
    </row>
    <row r="235" spans="1:42" x14ac:dyDescent="0.15">
      <c r="A235" s="8">
        <v>1176798</v>
      </c>
      <c r="B235" t="s">
        <v>35</v>
      </c>
      <c r="C235" t="s">
        <v>16</v>
      </c>
      <c r="D235" s="1">
        <v>39188</v>
      </c>
      <c r="E235" s="2">
        <v>125000</v>
      </c>
      <c r="F235" s="2">
        <v>112500</v>
      </c>
      <c r="G235" t="s">
        <v>17</v>
      </c>
      <c r="H235" s="2">
        <v>841.23</v>
      </c>
      <c r="I235" s="2">
        <v>111069.38</v>
      </c>
      <c r="J235">
        <v>8.2000000000000003E-2</v>
      </c>
      <c r="K235">
        <v>12</v>
      </c>
      <c r="L235">
        <v>347</v>
      </c>
      <c r="M235" t="str">
        <f t="shared" si="57"/>
        <v>30 Year Fixed</v>
      </c>
      <c r="N235" s="2">
        <v>758.97</v>
      </c>
      <c r="O235" t="str">
        <f t="shared" si="54"/>
        <v>Refi</v>
      </c>
      <c r="P235" s="3">
        <f t="shared" si="58"/>
        <v>0</v>
      </c>
      <c r="Q235" s="4">
        <v>112735</v>
      </c>
      <c r="R235" s="4" t="s">
        <v>41</v>
      </c>
      <c r="S235" s="6">
        <v>635</v>
      </c>
      <c r="T235">
        <v>6.75</v>
      </c>
      <c r="U235" s="7">
        <f t="shared" si="55"/>
        <v>778.16998083284261</v>
      </c>
      <c r="V235" s="2">
        <f t="shared" si="59"/>
        <v>63.060019167157407</v>
      </c>
      <c r="W235" s="9">
        <f t="shared" si="60"/>
        <v>0</v>
      </c>
      <c r="X235" s="3">
        <v>112735</v>
      </c>
      <c r="Y235" s="3">
        <f t="shared" si="61"/>
        <v>-0.4144827586133033</v>
      </c>
      <c r="Z235" s="7">
        <f t="shared" si="62"/>
        <v>778.16998083284261</v>
      </c>
      <c r="AA235" s="2">
        <f t="shared" si="56"/>
        <v>63.060019167157407</v>
      </c>
      <c r="AB235" s="8">
        <f t="shared" si="63"/>
        <v>0</v>
      </c>
      <c r="AC235" s="10">
        <v>6.75</v>
      </c>
      <c r="AD235" s="7">
        <f t="shared" si="64"/>
        <v>778.16998083284261</v>
      </c>
      <c r="AE235" s="2">
        <f t="shared" si="65"/>
        <v>63.060019167157407</v>
      </c>
      <c r="AF235" s="10">
        <v>0</v>
      </c>
      <c r="AG235" s="3">
        <f t="shared" si="66"/>
        <v>0</v>
      </c>
      <c r="AH235" s="7">
        <v>4612.5</v>
      </c>
      <c r="AI235">
        <f t="shared" si="67"/>
        <v>360</v>
      </c>
      <c r="AJ235" t="e">
        <f>VLOOKUP(A235,'Borrower Details'!$A$1:$H$1493,8,FALSE)</f>
        <v>#N/A</v>
      </c>
      <c r="AK235" s="4" t="e">
        <f t="shared" si="68"/>
        <v>#N/A</v>
      </c>
      <c r="AL235" s="10">
        <v>6.75</v>
      </c>
      <c r="AM235" s="3">
        <f t="shared" si="69"/>
        <v>112735.42069999999</v>
      </c>
      <c r="AN235">
        <v>6.75</v>
      </c>
      <c r="AO235" s="7">
        <f t="shared" si="70"/>
        <v>778.17288477670127</v>
      </c>
      <c r="AP235" s="2">
        <f t="shared" si="71"/>
        <v>63.057115223298752</v>
      </c>
    </row>
    <row r="236" spans="1:42" x14ac:dyDescent="0.15">
      <c r="A236" s="8">
        <v>410551212</v>
      </c>
      <c r="B236" t="s">
        <v>37</v>
      </c>
      <c r="C236" t="s">
        <v>19</v>
      </c>
      <c r="D236" s="1">
        <v>39293</v>
      </c>
      <c r="E236" s="2">
        <v>257000</v>
      </c>
      <c r="F236" s="2">
        <v>205600</v>
      </c>
      <c r="G236" t="s">
        <v>20</v>
      </c>
      <c r="H236" s="2">
        <v>1508.48</v>
      </c>
      <c r="I236" s="2">
        <v>204322.08</v>
      </c>
      <c r="J236">
        <v>7.9990000000000006E-2</v>
      </c>
      <c r="K236">
        <v>9</v>
      </c>
      <c r="L236">
        <v>351</v>
      </c>
      <c r="M236" t="str">
        <f t="shared" si="57"/>
        <v>30 Year Fixed</v>
      </c>
      <c r="N236" s="2">
        <v>1361.98</v>
      </c>
      <c r="O236" t="str">
        <f t="shared" si="54"/>
        <v>Cash Out</v>
      </c>
      <c r="P236" s="3">
        <f t="shared" si="58"/>
        <v>10899.594876847317</v>
      </c>
      <c r="Q236" s="4">
        <v>218450</v>
      </c>
      <c r="R236" s="4" t="s">
        <v>41</v>
      </c>
      <c r="S236" s="6">
        <v>607</v>
      </c>
      <c r="T236">
        <v>6.875</v>
      </c>
      <c r="U236" s="7">
        <f t="shared" si="55"/>
        <v>1526.0818268074986</v>
      </c>
      <c r="V236" s="2">
        <f t="shared" si="59"/>
        <v>-17.601826807498583</v>
      </c>
      <c r="W236" s="9">
        <f t="shared" si="60"/>
        <v>1</v>
      </c>
      <c r="X236" s="3">
        <v>215850</v>
      </c>
      <c r="Y236" s="3">
        <f t="shared" si="61"/>
        <v>8338.0185221675201</v>
      </c>
      <c r="Z236" s="7">
        <f t="shared" si="62"/>
        <v>1507.9183443186021</v>
      </c>
      <c r="AA236" s="2">
        <f t="shared" si="56"/>
        <v>0.56165568139795141</v>
      </c>
      <c r="AB236" s="8">
        <f t="shared" si="63"/>
        <v>1</v>
      </c>
      <c r="AC236" s="10">
        <v>6.25</v>
      </c>
      <c r="AD236" s="7">
        <f t="shared" si="64"/>
        <v>1418.9630771203704</v>
      </c>
      <c r="AE236" s="2">
        <f t="shared" si="65"/>
        <v>89.516922879629647</v>
      </c>
      <c r="AF236" s="10">
        <v>2.5</v>
      </c>
      <c r="AG236" s="3">
        <f t="shared" si="66"/>
        <v>5396.25</v>
      </c>
      <c r="AH236" s="7">
        <v>2056</v>
      </c>
      <c r="AI236">
        <f t="shared" si="67"/>
        <v>360</v>
      </c>
      <c r="AJ236" t="e">
        <f>VLOOKUP(A236,'Borrower Details'!$A$1:$H$1493,8,FALSE)</f>
        <v>#N/A</v>
      </c>
      <c r="AK236" s="4" t="e">
        <f t="shared" si="68"/>
        <v>#N/A</v>
      </c>
      <c r="AL236" s="10">
        <v>6.875</v>
      </c>
      <c r="AM236" s="3">
        <f t="shared" si="69"/>
        <v>207386.91119999997</v>
      </c>
      <c r="AN236">
        <v>6.875</v>
      </c>
      <c r="AO236" s="7">
        <f t="shared" si="70"/>
        <v>1448.7955884644564</v>
      </c>
      <c r="AP236" s="2">
        <f t="shared" si="71"/>
        <v>59.684411535543632</v>
      </c>
    </row>
    <row r="237" spans="1:42" x14ac:dyDescent="0.15">
      <c r="A237" s="8">
        <v>411036858</v>
      </c>
      <c r="B237" t="s">
        <v>35</v>
      </c>
      <c r="C237" t="s">
        <v>16</v>
      </c>
      <c r="D237" s="1">
        <v>39377</v>
      </c>
      <c r="E237" s="2">
        <v>100000</v>
      </c>
      <c r="F237" s="2">
        <v>85000</v>
      </c>
      <c r="G237" t="s">
        <v>17</v>
      </c>
      <c r="H237" s="2">
        <v>799.86</v>
      </c>
      <c r="I237" s="2">
        <v>84905.04</v>
      </c>
      <c r="J237">
        <v>0.1085</v>
      </c>
      <c r="K237">
        <v>6</v>
      </c>
      <c r="L237">
        <v>357</v>
      </c>
      <c r="M237" t="str">
        <f t="shared" si="57"/>
        <v>30 Year Fixed</v>
      </c>
      <c r="N237" s="2">
        <v>767.68</v>
      </c>
      <c r="O237" t="str">
        <f t="shared" si="54"/>
        <v>Refi</v>
      </c>
      <c r="P237" s="3">
        <f t="shared" si="58"/>
        <v>0</v>
      </c>
      <c r="Q237" s="4">
        <v>86179</v>
      </c>
      <c r="R237" s="4" t="s">
        <v>41</v>
      </c>
      <c r="S237" s="6">
        <v>596</v>
      </c>
      <c r="T237">
        <v>7.625</v>
      </c>
      <c r="U237" s="7">
        <f t="shared" si="55"/>
        <v>645.87748933762873</v>
      </c>
      <c r="V237" s="2">
        <f t="shared" si="59"/>
        <v>153.98251066237128</v>
      </c>
      <c r="W237" s="9">
        <f t="shared" si="60"/>
        <v>0</v>
      </c>
      <c r="X237" s="3">
        <v>86179</v>
      </c>
      <c r="Y237" s="3">
        <f t="shared" si="61"/>
        <v>0.37871921183250379</v>
      </c>
      <c r="Z237" s="7">
        <f t="shared" si="62"/>
        <v>645.87748933762873</v>
      </c>
      <c r="AA237" s="2">
        <f t="shared" si="56"/>
        <v>153.98251066237128</v>
      </c>
      <c r="AB237" s="8">
        <f t="shared" si="63"/>
        <v>0</v>
      </c>
      <c r="AC237" s="10">
        <v>7.625</v>
      </c>
      <c r="AD237" s="7">
        <f t="shared" si="64"/>
        <v>645.87748933762873</v>
      </c>
      <c r="AE237" s="2">
        <f t="shared" si="65"/>
        <v>153.98251066237128</v>
      </c>
      <c r="AF237" s="10">
        <v>0</v>
      </c>
      <c r="AG237" s="3">
        <f t="shared" si="66"/>
        <v>0</v>
      </c>
      <c r="AH237" s="7">
        <v>4611.25</v>
      </c>
      <c r="AI237">
        <f t="shared" si="67"/>
        <v>360</v>
      </c>
      <c r="AJ237" t="e">
        <f>VLOOKUP(A237,'Borrower Details'!$A$1:$H$1493,8,FALSE)</f>
        <v>#N/A</v>
      </c>
      <c r="AK237" s="4" t="e">
        <f t="shared" si="68"/>
        <v>#N/A</v>
      </c>
      <c r="AL237" s="10">
        <v>7.625</v>
      </c>
      <c r="AM237" s="3">
        <f t="shared" si="69"/>
        <v>86178.61559999999</v>
      </c>
      <c r="AN237">
        <v>7.625</v>
      </c>
      <c r="AO237" s="7">
        <f t="shared" si="70"/>
        <v>645.87460841180109</v>
      </c>
      <c r="AP237" s="2">
        <f t="shared" si="71"/>
        <v>153.98539158819892</v>
      </c>
    </row>
    <row r="238" spans="1:42" x14ac:dyDescent="0.15">
      <c r="A238" s="8">
        <v>411279326</v>
      </c>
      <c r="B238" t="s">
        <v>36</v>
      </c>
      <c r="C238" t="s">
        <v>16</v>
      </c>
      <c r="D238" s="1">
        <v>39489</v>
      </c>
      <c r="E238" s="2">
        <v>135800</v>
      </c>
      <c r="F238" s="2">
        <v>100000</v>
      </c>
      <c r="G238" t="s">
        <v>17</v>
      </c>
      <c r="H238" s="2">
        <v>709.52</v>
      </c>
      <c r="I238" s="2">
        <v>99770.25</v>
      </c>
      <c r="J238">
        <v>7.6499999999999999E-2</v>
      </c>
      <c r="K238">
        <v>2</v>
      </c>
      <c r="L238">
        <v>357</v>
      </c>
      <c r="M238" t="str">
        <f t="shared" si="57"/>
        <v>30 Year Fixed</v>
      </c>
      <c r="N238" s="2">
        <v>636.04</v>
      </c>
      <c r="O238" t="str">
        <f t="shared" si="54"/>
        <v>Cash Out</v>
      </c>
      <c r="P238" s="3">
        <f t="shared" si="58"/>
        <v>13953.887931034493</v>
      </c>
      <c r="Q238" s="4">
        <v>115430</v>
      </c>
      <c r="R238" s="4" t="s">
        <v>41</v>
      </c>
      <c r="S238" s="6">
        <v>637</v>
      </c>
      <c r="T238">
        <v>6.75</v>
      </c>
      <c r="U238" s="7">
        <f t="shared" si="55"/>
        <v>796.7726162020225</v>
      </c>
      <c r="V238" s="2">
        <f t="shared" si="59"/>
        <v>-87.252616202022523</v>
      </c>
      <c r="W238" s="9">
        <f t="shared" si="60"/>
        <v>1</v>
      </c>
      <c r="X238" s="3">
        <v>102710</v>
      </c>
      <c r="Y238" s="3">
        <f t="shared" si="61"/>
        <v>1421.8682266010001</v>
      </c>
      <c r="Z238" s="7">
        <f t="shared" si="62"/>
        <v>708.97093831854579</v>
      </c>
      <c r="AA238" s="2">
        <f t="shared" si="56"/>
        <v>0.54906168145419088</v>
      </c>
      <c r="AB238" s="8">
        <f t="shared" si="63"/>
        <v>1</v>
      </c>
      <c r="AC238" s="10">
        <v>6.125</v>
      </c>
      <c r="AD238" s="7">
        <f t="shared" si="64"/>
        <v>666.87261853665962</v>
      </c>
      <c r="AE238" s="2">
        <f t="shared" si="65"/>
        <v>42.647381463340366</v>
      </c>
      <c r="AF238" s="10">
        <v>3</v>
      </c>
      <c r="AG238" s="3">
        <f t="shared" si="66"/>
        <v>3081.3</v>
      </c>
      <c r="AH238" s="7">
        <v>2000</v>
      </c>
      <c r="AI238">
        <f t="shared" si="67"/>
        <v>360</v>
      </c>
      <c r="AJ238" t="e">
        <f>VLOOKUP(A238,'Borrower Details'!$A$1:$H$1493,8,FALSE)</f>
        <v>#N/A</v>
      </c>
      <c r="AK238" s="4" t="e">
        <f t="shared" si="68"/>
        <v>#N/A</v>
      </c>
      <c r="AL238" s="10">
        <v>6.75</v>
      </c>
      <c r="AM238" s="3">
        <f t="shared" si="69"/>
        <v>101266.80374999999</v>
      </c>
      <c r="AN238">
        <v>6.75</v>
      </c>
      <c r="AO238" s="7">
        <f t="shared" si="70"/>
        <v>699.00906314046858</v>
      </c>
      <c r="AP238" s="2">
        <f t="shared" si="71"/>
        <v>10.510936859531398</v>
      </c>
    </row>
    <row r="239" spans="1:42" x14ac:dyDescent="0.15">
      <c r="A239" s="8">
        <v>410450738</v>
      </c>
      <c r="B239" t="s">
        <v>36</v>
      </c>
      <c r="C239" t="s">
        <v>19</v>
      </c>
      <c r="D239" s="1">
        <v>39276</v>
      </c>
      <c r="E239" s="2">
        <v>300000</v>
      </c>
      <c r="F239" s="2">
        <v>225000</v>
      </c>
      <c r="G239" t="s">
        <v>15</v>
      </c>
      <c r="H239" s="2">
        <v>1325.31</v>
      </c>
      <c r="I239" s="2">
        <v>224105.98</v>
      </c>
      <c r="J239">
        <v>6.5500000000000003E-2</v>
      </c>
      <c r="K239">
        <v>9</v>
      </c>
      <c r="L239">
        <v>351</v>
      </c>
      <c r="M239" t="str">
        <f t="shared" si="57"/>
        <v>30 Year Fixed</v>
      </c>
      <c r="N239" s="2">
        <v>1223.25</v>
      </c>
      <c r="O239" t="str">
        <f t="shared" si="54"/>
        <v>Cash Out</v>
      </c>
      <c r="P239" s="3">
        <f t="shared" si="58"/>
        <v>27125.547093596077</v>
      </c>
      <c r="Q239" s="4">
        <v>255000</v>
      </c>
      <c r="R239" s="4" t="s">
        <v>41</v>
      </c>
      <c r="S239" s="6">
        <v>601</v>
      </c>
      <c r="T239">
        <v>6.875</v>
      </c>
      <c r="U239" s="7">
        <f t="shared" si="55"/>
        <v>1781.4184748725665</v>
      </c>
      <c r="V239" s="2">
        <f t="shared" si="59"/>
        <v>-456.1084748725666</v>
      </c>
      <c r="W239" s="9">
        <f t="shared" si="60"/>
        <v>1</v>
      </c>
      <c r="X239" s="3">
        <v>227468</v>
      </c>
      <c r="Y239" s="3">
        <f t="shared" si="61"/>
        <v>0.42394088671426289</v>
      </c>
      <c r="Z239" s="7">
        <f t="shared" si="62"/>
        <v>1589.0811672247569</v>
      </c>
      <c r="AA239" s="2">
        <f t="shared" si="56"/>
        <v>-263.77116722475694</v>
      </c>
      <c r="AB239" s="8">
        <f t="shared" si="63"/>
        <v>1</v>
      </c>
      <c r="AC239" s="10">
        <v>6.25</v>
      </c>
      <c r="AD239" s="7">
        <f t="shared" si="64"/>
        <v>1495.3379347992422</v>
      </c>
      <c r="AE239" s="2">
        <f t="shared" si="65"/>
        <v>-170.0279347992423</v>
      </c>
      <c r="AF239" s="10">
        <v>2.5</v>
      </c>
      <c r="AG239" s="3">
        <f t="shared" si="66"/>
        <v>5686.7</v>
      </c>
      <c r="AH239" s="7">
        <v>4500</v>
      </c>
      <c r="AI239">
        <f t="shared" si="67"/>
        <v>360</v>
      </c>
      <c r="AJ239" t="e">
        <f>VLOOKUP(A239,'Borrower Details'!$A$1:$H$1493,8,FALSE)</f>
        <v>#N/A</v>
      </c>
      <c r="AK239" s="4" t="e">
        <f t="shared" si="68"/>
        <v>#N/A</v>
      </c>
      <c r="AL239" s="10">
        <v>6.875</v>
      </c>
      <c r="AM239" s="3">
        <f t="shared" si="69"/>
        <v>227467.56969999999</v>
      </c>
      <c r="AN239">
        <v>6.875</v>
      </c>
      <c r="AO239" s="7">
        <f t="shared" si="70"/>
        <v>1589.0781611684049</v>
      </c>
      <c r="AP239" s="2">
        <f t="shared" si="71"/>
        <v>-263.76816116840496</v>
      </c>
    </row>
    <row r="240" spans="1:42" x14ac:dyDescent="0.15">
      <c r="A240" s="8">
        <v>411170798</v>
      </c>
      <c r="B240" t="s">
        <v>36</v>
      </c>
      <c r="C240" t="s">
        <v>16</v>
      </c>
      <c r="D240" s="1">
        <v>39433</v>
      </c>
      <c r="E240" s="2">
        <v>137000</v>
      </c>
      <c r="F240" s="2">
        <v>116450</v>
      </c>
      <c r="G240" t="s">
        <v>17</v>
      </c>
      <c r="H240" s="2">
        <v>1026.24</v>
      </c>
      <c r="I240" s="2">
        <v>116243.54</v>
      </c>
      <c r="J240">
        <v>0.10050000000000001</v>
      </c>
      <c r="K240">
        <v>4</v>
      </c>
      <c r="L240">
        <v>356</v>
      </c>
      <c r="M240" t="str">
        <f t="shared" si="57"/>
        <v>30 Year Fixed</v>
      </c>
      <c r="N240" s="2">
        <v>973.54</v>
      </c>
      <c r="O240" t="str">
        <f t="shared" si="54"/>
        <v>Refi</v>
      </c>
      <c r="P240" s="3">
        <f t="shared" si="58"/>
        <v>0</v>
      </c>
      <c r="Q240" s="4">
        <v>117987</v>
      </c>
      <c r="R240" s="4" t="s">
        <v>41</v>
      </c>
      <c r="S240" s="6">
        <v>581</v>
      </c>
      <c r="T240">
        <v>7.375</v>
      </c>
      <c r="U240" s="7">
        <f t="shared" si="55"/>
        <v>864.06813639567099</v>
      </c>
      <c r="V240" s="2">
        <f t="shared" si="59"/>
        <v>162.17186360432902</v>
      </c>
      <c r="W240" s="9">
        <f t="shared" si="60"/>
        <v>0</v>
      </c>
      <c r="X240" s="3">
        <v>117988</v>
      </c>
      <c r="Y240" s="3">
        <f t="shared" si="61"/>
        <v>0.79497536947019398</v>
      </c>
      <c r="Z240" s="7">
        <f t="shared" si="62"/>
        <v>864.0754598138135</v>
      </c>
      <c r="AA240" s="2">
        <f t="shared" si="56"/>
        <v>162.16454018618651</v>
      </c>
      <c r="AB240" s="8">
        <f t="shared" si="63"/>
        <v>0</v>
      </c>
      <c r="AC240" s="10">
        <v>7.375</v>
      </c>
      <c r="AD240" s="7">
        <f t="shared" si="64"/>
        <v>864.0754598138135</v>
      </c>
      <c r="AE240" s="2">
        <f t="shared" si="65"/>
        <v>162.16454018618651</v>
      </c>
      <c r="AF240" s="10">
        <v>0</v>
      </c>
      <c r="AG240" s="3">
        <f t="shared" si="66"/>
        <v>0</v>
      </c>
      <c r="AH240" s="7">
        <v>2329</v>
      </c>
      <c r="AI240">
        <f t="shared" si="67"/>
        <v>360</v>
      </c>
      <c r="AJ240" t="e">
        <f>VLOOKUP(A240,'Borrower Details'!$A$1:$H$1493,8,FALSE)</f>
        <v>#N/A</v>
      </c>
      <c r="AK240" s="4" t="e">
        <f t="shared" si="68"/>
        <v>#N/A</v>
      </c>
      <c r="AL240" s="10">
        <v>7.375</v>
      </c>
      <c r="AM240" s="3">
        <f t="shared" si="69"/>
        <v>117987.19309999997</v>
      </c>
      <c r="AN240">
        <v>7.375</v>
      </c>
      <c r="AO240" s="7">
        <f t="shared" si="70"/>
        <v>864.06955054771402</v>
      </c>
      <c r="AP240" s="2">
        <f t="shared" si="71"/>
        <v>162.17044945228599</v>
      </c>
    </row>
    <row r="241" spans="1:42" x14ac:dyDescent="0.15">
      <c r="A241" s="8">
        <v>410734396</v>
      </c>
      <c r="B241" t="s">
        <v>37</v>
      </c>
      <c r="C241" t="s">
        <v>16</v>
      </c>
      <c r="D241" s="1">
        <v>39309</v>
      </c>
      <c r="E241" s="2">
        <v>220000</v>
      </c>
      <c r="F241" s="2">
        <v>208050</v>
      </c>
      <c r="G241" t="s">
        <v>20</v>
      </c>
      <c r="H241" s="2">
        <v>1942.11</v>
      </c>
      <c r="I241" s="2">
        <v>207397.22</v>
      </c>
      <c r="J241">
        <v>0.1075</v>
      </c>
      <c r="K241">
        <v>8</v>
      </c>
      <c r="L241">
        <v>352</v>
      </c>
      <c r="M241" t="str">
        <f t="shared" si="57"/>
        <v>30 Year Fixed</v>
      </c>
      <c r="N241" s="2">
        <v>1857.93</v>
      </c>
      <c r="O241" t="str">
        <f t="shared" si="54"/>
        <v>Refi</v>
      </c>
      <c r="P241" s="3">
        <f t="shared" si="58"/>
        <v>0</v>
      </c>
      <c r="Q241" s="4">
        <v>210508</v>
      </c>
      <c r="R241" s="4" t="s">
        <v>41</v>
      </c>
      <c r="S241" s="6">
        <v>625</v>
      </c>
      <c r="T241">
        <v>6.75</v>
      </c>
      <c r="U241" s="7">
        <f t="shared" si="55"/>
        <v>1453.0625477904821</v>
      </c>
      <c r="V241" s="2">
        <f t="shared" si="59"/>
        <v>489.04745220951781</v>
      </c>
      <c r="W241" s="9">
        <f t="shared" si="60"/>
        <v>0</v>
      </c>
      <c r="X241" s="3">
        <v>210508</v>
      </c>
      <c r="Y241" s="3">
        <f t="shared" si="61"/>
        <v>-0.17566502460977063</v>
      </c>
      <c r="Z241" s="7">
        <f t="shared" si="62"/>
        <v>1453.0625477904821</v>
      </c>
      <c r="AA241" s="2">
        <f t="shared" si="56"/>
        <v>489.04745220951781</v>
      </c>
      <c r="AB241" s="8">
        <f t="shared" si="63"/>
        <v>0</v>
      </c>
      <c r="AC241" s="10">
        <v>6.75</v>
      </c>
      <c r="AD241" s="7">
        <f t="shared" si="64"/>
        <v>1453.0625477904821</v>
      </c>
      <c r="AE241" s="2">
        <f t="shared" si="65"/>
        <v>489.04745220951781</v>
      </c>
      <c r="AF241" s="10">
        <v>0</v>
      </c>
      <c r="AG241" s="3">
        <f t="shared" si="66"/>
        <v>0</v>
      </c>
      <c r="AH241" s="7">
        <v>2080.5</v>
      </c>
      <c r="AI241">
        <f t="shared" si="67"/>
        <v>360</v>
      </c>
      <c r="AJ241" t="e">
        <f>VLOOKUP(A241,'Borrower Details'!$A$1:$H$1493,8,FALSE)</f>
        <v>#N/A</v>
      </c>
      <c r="AK241" s="4" t="e">
        <f t="shared" si="68"/>
        <v>#N/A</v>
      </c>
      <c r="AL241" s="10">
        <v>6.75</v>
      </c>
      <c r="AM241" s="3">
        <f t="shared" si="69"/>
        <v>210508.17829999997</v>
      </c>
      <c r="AN241">
        <v>6.75</v>
      </c>
      <c r="AO241" s="7">
        <f t="shared" si="70"/>
        <v>1453.0637785325548</v>
      </c>
      <c r="AP241" s="2">
        <f t="shared" si="71"/>
        <v>489.04622146744509</v>
      </c>
    </row>
    <row r="242" spans="1:42" x14ac:dyDescent="0.15">
      <c r="A242" s="8">
        <v>411126626</v>
      </c>
      <c r="B242" t="s">
        <v>36</v>
      </c>
      <c r="C242" t="s">
        <v>16</v>
      </c>
      <c r="D242" s="1">
        <v>39416</v>
      </c>
      <c r="E242" s="2">
        <v>264000</v>
      </c>
      <c r="F242" s="2">
        <v>211200</v>
      </c>
      <c r="G242" t="s">
        <v>17</v>
      </c>
      <c r="H242" s="2">
        <v>1737.5</v>
      </c>
      <c r="I242" s="2">
        <v>210644</v>
      </c>
      <c r="J242">
        <v>9.2499999999999999E-2</v>
      </c>
      <c r="K242">
        <v>5</v>
      </c>
      <c r="L242">
        <v>355</v>
      </c>
      <c r="M242" t="str">
        <f t="shared" si="57"/>
        <v>30 Year Fixed</v>
      </c>
      <c r="N242" s="2">
        <v>1623.71</v>
      </c>
      <c r="O242" t="str">
        <f t="shared" si="54"/>
        <v>Cash Out</v>
      </c>
      <c r="P242" s="3">
        <f t="shared" si="58"/>
        <v>10439.743842364551</v>
      </c>
      <c r="Q242" s="4">
        <v>224400</v>
      </c>
      <c r="R242" s="4" t="s">
        <v>41</v>
      </c>
      <c r="S242" s="6">
        <v>562</v>
      </c>
      <c r="T242">
        <v>7.625</v>
      </c>
      <c r="U242" s="7">
        <f t="shared" si="55"/>
        <v>1681.789166819804</v>
      </c>
      <c r="V242" s="2">
        <f t="shared" si="59"/>
        <v>55.710833180196005</v>
      </c>
      <c r="W242" s="9">
        <f t="shared" si="60"/>
        <v>0</v>
      </c>
      <c r="X242" s="3">
        <v>224400</v>
      </c>
      <c r="Y242" s="3">
        <f t="shared" si="61"/>
        <v>10439.743842364551</v>
      </c>
      <c r="Z242" s="7">
        <f t="shared" si="62"/>
        <v>1681.789166819804</v>
      </c>
      <c r="AA242" s="2">
        <f t="shared" si="56"/>
        <v>55.710833180196005</v>
      </c>
      <c r="AB242" s="8">
        <f t="shared" si="63"/>
        <v>0</v>
      </c>
      <c r="AC242" s="10">
        <v>7.625</v>
      </c>
      <c r="AD242" s="7">
        <f t="shared" si="64"/>
        <v>1681.789166819804</v>
      </c>
      <c r="AE242" s="2">
        <f t="shared" si="65"/>
        <v>55.710833180196005</v>
      </c>
      <c r="AF242" s="10">
        <v>0</v>
      </c>
      <c r="AG242" s="3">
        <f t="shared" si="66"/>
        <v>0</v>
      </c>
      <c r="AH242" s="7">
        <v>4224</v>
      </c>
      <c r="AI242">
        <f t="shared" si="67"/>
        <v>360</v>
      </c>
      <c r="AJ242" t="e">
        <f>VLOOKUP(A242,'Borrower Details'!$A$1:$H$1493,8,FALSE)</f>
        <v>#N/A</v>
      </c>
      <c r="AK242" s="4" t="e">
        <f t="shared" si="68"/>
        <v>#N/A</v>
      </c>
      <c r="AL242" s="10">
        <v>7.625</v>
      </c>
      <c r="AM242" s="3">
        <f t="shared" si="69"/>
        <v>213803.65999999997</v>
      </c>
      <c r="AN242">
        <v>7.625</v>
      </c>
      <c r="AO242" s="7">
        <f t="shared" si="70"/>
        <v>1602.3737932906624</v>
      </c>
      <c r="AP242" s="2">
        <f t="shared" si="71"/>
        <v>135.12620670933757</v>
      </c>
    </row>
    <row r="243" spans="1:42" x14ac:dyDescent="0.15">
      <c r="A243" s="8">
        <v>1162059</v>
      </c>
      <c r="B243" t="s">
        <v>36</v>
      </c>
      <c r="C243" t="s">
        <v>19</v>
      </c>
      <c r="D243" s="1">
        <v>39160</v>
      </c>
      <c r="E243" s="2">
        <v>244300</v>
      </c>
      <c r="F243" s="2">
        <v>169800</v>
      </c>
      <c r="G243" t="s">
        <v>15</v>
      </c>
      <c r="H243" s="2">
        <v>1234.1199999999999</v>
      </c>
      <c r="I243" s="2">
        <v>168100.68</v>
      </c>
      <c r="J243">
        <v>7.9000000000000001E-2</v>
      </c>
      <c r="K243">
        <v>13</v>
      </c>
      <c r="L243">
        <v>346</v>
      </c>
      <c r="M243" t="str">
        <f t="shared" si="57"/>
        <v>30 Year Fixed</v>
      </c>
      <c r="N243" s="2">
        <v>1107.5</v>
      </c>
      <c r="O243" t="str">
        <f t="shared" si="54"/>
        <v>Cash Out</v>
      </c>
      <c r="P243" s="3">
        <f t="shared" si="58"/>
        <v>36485.526896551746</v>
      </c>
      <c r="Q243" s="4">
        <v>207655</v>
      </c>
      <c r="R243" s="4" t="s">
        <v>41</v>
      </c>
      <c r="S243" s="6">
        <v>560</v>
      </c>
      <c r="T243">
        <v>7.625</v>
      </c>
      <c r="U243" s="7">
        <f t="shared" si="55"/>
        <v>1556.2920206593867</v>
      </c>
      <c r="V243" s="2">
        <f t="shared" si="59"/>
        <v>-322.17202065938682</v>
      </c>
      <c r="W243" s="9">
        <f t="shared" si="60"/>
        <v>1</v>
      </c>
      <c r="X243" s="3">
        <v>170623</v>
      </c>
      <c r="Y243" s="3">
        <f t="shared" si="61"/>
        <v>0.79783251232584007</v>
      </c>
      <c r="Z243" s="7">
        <f t="shared" si="62"/>
        <v>1278.7518405093381</v>
      </c>
      <c r="AA243" s="2">
        <f t="shared" si="56"/>
        <v>-44.63184050933819</v>
      </c>
      <c r="AB243" s="8">
        <f t="shared" si="63"/>
        <v>1</v>
      </c>
      <c r="AC243" s="10">
        <v>6.875</v>
      </c>
      <c r="AD243" s="7">
        <f t="shared" si="64"/>
        <v>1191.964566424243</v>
      </c>
      <c r="AE243" s="2">
        <f t="shared" si="65"/>
        <v>42.155433575756888</v>
      </c>
      <c r="AF243" s="10">
        <v>1</v>
      </c>
      <c r="AG243" s="3">
        <f t="shared" si="66"/>
        <v>1706.23</v>
      </c>
      <c r="AH243" s="7">
        <v>3396</v>
      </c>
      <c r="AI243">
        <f t="shared" si="67"/>
        <v>360</v>
      </c>
      <c r="AJ243" t="e">
        <f>VLOOKUP(A243,'Borrower Details'!$A$1:$H$1493,8,FALSE)</f>
        <v>#N/A</v>
      </c>
      <c r="AK243" s="4" t="e">
        <f t="shared" si="68"/>
        <v>#N/A</v>
      </c>
      <c r="AL243" s="10">
        <v>7.625</v>
      </c>
      <c r="AM243" s="3">
        <f t="shared" si="69"/>
        <v>170622.19019999998</v>
      </c>
      <c r="AN243">
        <v>7.625</v>
      </c>
      <c r="AO243" s="7">
        <f t="shared" si="70"/>
        <v>1278.7457713789131</v>
      </c>
      <c r="AP243" s="2">
        <f t="shared" si="71"/>
        <v>-44.625771378913214</v>
      </c>
    </row>
    <row r="244" spans="1:42" x14ac:dyDescent="0.15">
      <c r="A244" s="8">
        <v>411181654</v>
      </c>
      <c r="B244" t="s">
        <v>35</v>
      </c>
      <c r="C244" t="s">
        <v>16</v>
      </c>
      <c r="D244" s="1">
        <v>39434</v>
      </c>
      <c r="E244" s="2">
        <v>207000</v>
      </c>
      <c r="F244" s="2">
        <v>165600</v>
      </c>
      <c r="G244" t="s">
        <v>17</v>
      </c>
      <c r="H244" s="2">
        <v>1552.08</v>
      </c>
      <c r="I244" s="2">
        <v>165349.92000000001</v>
      </c>
      <c r="J244">
        <v>0.108</v>
      </c>
      <c r="K244">
        <v>4</v>
      </c>
      <c r="L244">
        <v>356</v>
      </c>
      <c r="M244" t="str">
        <f t="shared" si="57"/>
        <v>30 Year Fixed</v>
      </c>
      <c r="N244" s="2">
        <v>1488.15</v>
      </c>
      <c r="O244" t="str">
        <f t="shared" si="54"/>
        <v>Cash Out</v>
      </c>
      <c r="P244" s="3">
        <f t="shared" si="58"/>
        <v>7999.8336945812916</v>
      </c>
      <c r="Q244" s="4">
        <v>175950</v>
      </c>
      <c r="R244" s="4" t="s">
        <v>41</v>
      </c>
      <c r="S244" s="6">
        <v>538</v>
      </c>
      <c r="T244">
        <v>7.625</v>
      </c>
      <c r="U244" s="7">
        <f t="shared" si="55"/>
        <v>1318.6755967109827</v>
      </c>
      <c r="V244" s="2">
        <f t="shared" si="59"/>
        <v>233.40440328901718</v>
      </c>
      <c r="W244" s="9">
        <f t="shared" si="60"/>
        <v>0</v>
      </c>
      <c r="X244" s="3">
        <v>175950</v>
      </c>
      <c r="Y244" s="3">
        <f t="shared" si="61"/>
        <v>7999.8336945812916</v>
      </c>
      <c r="Z244" s="7">
        <f t="shared" si="62"/>
        <v>1318.6755967109827</v>
      </c>
      <c r="AA244" s="2">
        <f t="shared" si="56"/>
        <v>233.40440328901718</v>
      </c>
      <c r="AB244" s="8">
        <f t="shared" si="63"/>
        <v>0</v>
      </c>
      <c r="AC244" s="10">
        <v>7.625</v>
      </c>
      <c r="AD244" s="7">
        <f t="shared" si="64"/>
        <v>1318.6755967109827</v>
      </c>
      <c r="AE244" s="2">
        <f t="shared" si="65"/>
        <v>233.40440328901718</v>
      </c>
      <c r="AF244" s="10">
        <v>0</v>
      </c>
      <c r="AG244" s="3">
        <f t="shared" si="66"/>
        <v>0</v>
      </c>
      <c r="AH244" s="7">
        <v>8942.4</v>
      </c>
      <c r="AI244">
        <f t="shared" si="67"/>
        <v>360</v>
      </c>
      <c r="AJ244" t="e">
        <f>VLOOKUP(A244,'Borrower Details'!$A$1:$H$1493,8,FALSE)</f>
        <v>#N/A</v>
      </c>
      <c r="AK244" s="4" t="e">
        <f t="shared" si="68"/>
        <v>#N/A</v>
      </c>
      <c r="AL244" s="10">
        <v>7.625</v>
      </c>
      <c r="AM244" s="3">
        <f t="shared" si="69"/>
        <v>167830.16879999998</v>
      </c>
      <c r="AN244">
        <v>7.625</v>
      </c>
      <c r="AO244" s="7">
        <f t="shared" si="70"/>
        <v>1257.8206762628301</v>
      </c>
      <c r="AP244" s="2">
        <f t="shared" si="71"/>
        <v>294.25932373716978</v>
      </c>
    </row>
    <row r="245" spans="1:42" x14ac:dyDescent="0.15">
      <c r="A245" s="8">
        <v>410678684</v>
      </c>
      <c r="B245" t="s">
        <v>36</v>
      </c>
      <c r="C245" t="s">
        <v>18</v>
      </c>
      <c r="D245" s="1">
        <v>39286</v>
      </c>
      <c r="E245" s="2">
        <v>430000</v>
      </c>
      <c r="F245" s="2">
        <v>343900</v>
      </c>
      <c r="G245" t="s">
        <v>17</v>
      </c>
      <c r="H245" s="2">
        <v>2264.9299999999998</v>
      </c>
      <c r="I245" s="2">
        <v>340949.41</v>
      </c>
      <c r="J245">
        <v>6.9000000000000006E-2</v>
      </c>
      <c r="K245">
        <v>9</v>
      </c>
      <c r="L245">
        <v>350</v>
      </c>
      <c r="M245" t="str">
        <f t="shared" si="57"/>
        <v>30 Year Fixed</v>
      </c>
      <c r="N245" s="2">
        <v>1960.46</v>
      </c>
      <c r="O245" t="str">
        <f t="shared" si="54"/>
        <v>Cash Out</v>
      </c>
      <c r="P245" s="3">
        <f t="shared" si="58"/>
        <v>19149.112167487736</v>
      </c>
      <c r="Q245" s="4">
        <v>365500</v>
      </c>
      <c r="R245" s="4" t="s">
        <v>41</v>
      </c>
      <c r="S245" s="6">
        <v>672</v>
      </c>
      <c r="T245">
        <v>7.375</v>
      </c>
      <c r="U245" s="7">
        <f t="shared" si="55"/>
        <v>2676.7093311349363</v>
      </c>
      <c r="V245" s="2">
        <f t="shared" si="59"/>
        <v>-411.77933113493646</v>
      </c>
      <c r="W245" s="9">
        <f t="shared" si="60"/>
        <v>1</v>
      </c>
      <c r="X245" s="3">
        <v>346063</v>
      </c>
      <c r="Y245" s="3">
        <f t="shared" si="61"/>
        <v>-0.64152709353948012</v>
      </c>
      <c r="Z245" s="7">
        <f t="shared" si="62"/>
        <v>2388.7509475935244</v>
      </c>
      <c r="AA245" s="2">
        <f t="shared" si="56"/>
        <v>-123.82094759352458</v>
      </c>
      <c r="AB245" s="8">
        <f t="shared" si="63"/>
        <v>1</v>
      </c>
      <c r="AC245" s="10">
        <v>6.125</v>
      </c>
      <c r="AD245" s="7">
        <f t="shared" si="64"/>
        <v>2246.9081782557887</v>
      </c>
      <c r="AE245" s="2">
        <f t="shared" si="65"/>
        <v>18.021821744211138</v>
      </c>
      <c r="AF245" s="10">
        <v>3</v>
      </c>
      <c r="AG245" s="3">
        <f t="shared" si="66"/>
        <v>10381.89</v>
      </c>
      <c r="AH245" s="7">
        <v>6878</v>
      </c>
      <c r="AI245">
        <f t="shared" si="67"/>
        <v>360</v>
      </c>
      <c r="AJ245" t="e">
        <f>VLOOKUP(A245,'Borrower Details'!$A$1:$H$1493,8,FALSE)</f>
        <v>#N/A</v>
      </c>
      <c r="AK245" s="4" t="e">
        <f t="shared" si="68"/>
        <v>#N/A</v>
      </c>
      <c r="AL245" s="10">
        <v>6.75</v>
      </c>
      <c r="AM245" s="3">
        <f t="shared" si="69"/>
        <v>346063.65114999993</v>
      </c>
      <c r="AN245">
        <v>6.75</v>
      </c>
      <c r="AO245" s="7">
        <f t="shared" si="70"/>
        <v>2388.75544225253</v>
      </c>
      <c r="AP245" s="2">
        <f t="shared" si="71"/>
        <v>-123.82544225253014</v>
      </c>
    </row>
    <row r="246" spans="1:42" x14ac:dyDescent="0.15">
      <c r="A246" s="8">
        <v>411179252</v>
      </c>
      <c r="B246" t="s">
        <v>35</v>
      </c>
      <c r="C246" t="s">
        <v>16</v>
      </c>
      <c r="D246" s="1">
        <v>39443</v>
      </c>
      <c r="E246" s="2">
        <v>80000</v>
      </c>
      <c r="F246" s="2">
        <v>64000</v>
      </c>
      <c r="G246" t="s">
        <v>17</v>
      </c>
      <c r="H246" s="2">
        <v>597.42999999999995</v>
      </c>
      <c r="I246" s="2">
        <v>63902.31</v>
      </c>
      <c r="J246">
        <v>0.1075</v>
      </c>
      <c r="K246">
        <v>4</v>
      </c>
      <c r="L246">
        <v>356</v>
      </c>
      <c r="M246" t="str">
        <f t="shared" si="57"/>
        <v>30 Year Fixed</v>
      </c>
      <c r="N246" s="2">
        <v>572.46</v>
      </c>
      <c r="O246" t="str">
        <f t="shared" si="54"/>
        <v>Cash Out</v>
      </c>
      <c r="P246" s="3">
        <f t="shared" si="58"/>
        <v>3092.7638916256255</v>
      </c>
      <c r="Q246" s="4">
        <v>68000</v>
      </c>
      <c r="R246" s="4" t="s">
        <v>41</v>
      </c>
      <c r="S246" s="6">
        <v>601</v>
      </c>
      <c r="T246">
        <v>7</v>
      </c>
      <c r="U246" s="7">
        <f t="shared" si="55"/>
        <v>480.73903005517752</v>
      </c>
      <c r="V246" s="2">
        <f t="shared" si="59"/>
        <v>116.69096994482243</v>
      </c>
      <c r="W246" s="9">
        <f t="shared" si="60"/>
        <v>0</v>
      </c>
      <c r="X246" s="3">
        <v>68000</v>
      </c>
      <c r="Y246" s="3">
        <f t="shared" si="61"/>
        <v>3092.7638916256255</v>
      </c>
      <c r="Z246" s="7">
        <f t="shared" si="62"/>
        <v>480.73903005517752</v>
      </c>
      <c r="AA246" s="2">
        <f t="shared" si="56"/>
        <v>116.69096994482243</v>
      </c>
      <c r="AB246" s="8">
        <f t="shared" si="63"/>
        <v>0</v>
      </c>
      <c r="AC246" s="10">
        <v>7</v>
      </c>
      <c r="AD246" s="7">
        <f t="shared" si="64"/>
        <v>480.73903005517752</v>
      </c>
      <c r="AE246" s="2">
        <f t="shared" si="65"/>
        <v>116.69096994482243</v>
      </c>
      <c r="AF246" s="10">
        <v>0</v>
      </c>
      <c r="AG246" s="3">
        <f t="shared" si="66"/>
        <v>0</v>
      </c>
      <c r="AH246" s="7">
        <v>3440</v>
      </c>
      <c r="AI246">
        <f t="shared" si="67"/>
        <v>360</v>
      </c>
      <c r="AJ246" t="e">
        <f>VLOOKUP(A246,'Borrower Details'!$A$1:$H$1493,8,FALSE)</f>
        <v>#N/A</v>
      </c>
      <c r="AK246" s="4" t="e">
        <f t="shared" si="68"/>
        <v>#N/A</v>
      </c>
      <c r="AL246" s="10">
        <v>7</v>
      </c>
      <c r="AM246" s="3">
        <f t="shared" si="69"/>
        <v>64860.844649999992</v>
      </c>
      <c r="AN246">
        <v>7</v>
      </c>
      <c r="AO246" s="7">
        <f t="shared" si="70"/>
        <v>458.54616978824333</v>
      </c>
      <c r="AP246" s="2">
        <f t="shared" si="71"/>
        <v>138.88383021175662</v>
      </c>
    </row>
    <row r="247" spans="1:42" x14ac:dyDescent="0.15">
      <c r="A247" s="8">
        <v>1187179</v>
      </c>
      <c r="B247" t="s">
        <v>36</v>
      </c>
      <c r="C247" t="s">
        <v>19</v>
      </c>
      <c r="D247" s="1">
        <v>39181</v>
      </c>
      <c r="E247" s="2">
        <v>165500</v>
      </c>
      <c r="F247" s="2">
        <v>132400</v>
      </c>
      <c r="G247" t="s">
        <v>17</v>
      </c>
      <c r="H247" s="2">
        <v>948.53</v>
      </c>
      <c r="I247" s="2">
        <v>131136.99</v>
      </c>
      <c r="J247">
        <v>7.7499999999999999E-2</v>
      </c>
      <c r="K247">
        <v>12</v>
      </c>
      <c r="L247">
        <v>347</v>
      </c>
      <c r="M247" t="str">
        <f t="shared" si="57"/>
        <v>30 Year Fixed</v>
      </c>
      <c r="N247" s="2">
        <v>847.58</v>
      </c>
      <c r="O247" t="str">
        <f t="shared" si="54"/>
        <v>Cash Out</v>
      </c>
      <c r="P247" s="3">
        <f t="shared" si="58"/>
        <v>7459.0691133005021</v>
      </c>
      <c r="Q247" s="4">
        <v>140675</v>
      </c>
      <c r="R247" s="4" t="s">
        <v>41</v>
      </c>
      <c r="S247" s="6">
        <v>594</v>
      </c>
      <c r="T247">
        <v>7.375</v>
      </c>
      <c r="U247" s="7">
        <f t="shared" si="55"/>
        <v>1030.2218472158881</v>
      </c>
      <c r="V247" s="2">
        <f t="shared" si="59"/>
        <v>-81.691847215888174</v>
      </c>
      <c r="W247" s="9">
        <f t="shared" si="60"/>
        <v>1</v>
      </c>
      <c r="X247" s="3">
        <v>133104</v>
      </c>
      <c r="Y247" s="3">
        <f t="shared" si="61"/>
        <v>-4.4187192106619477E-2</v>
      </c>
      <c r="Z247" s="7">
        <f t="shared" si="62"/>
        <v>974.77624845796049</v>
      </c>
      <c r="AA247" s="2">
        <f t="shared" si="56"/>
        <v>-26.246248457960519</v>
      </c>
      <c r="AB247" s="8">
        <f t="shared" si="63"/>
        <v>1</v>
      </c>
      <c r="AC247" s="10">
        <v>6.625</v>
      </c>
      <c r="AD247" s="7">
        <f t="shared" si="64"/>
        <v>907.73950162942469</v>
      </c>
      <c r="AE247" s="2">
        <f t="shared" si="65"/>
        <v>40.790498370575278</v>
      </c>
      <c r="AF247" s="10">
        <v>1.875</v>
      </c>
      <c r="AG247" s="3">
        <f t="shared" si="66"/>
        <v>2495.6999999999998</v>
      </c>
      <c r="AH247" s="7">
        <v>2648</v>
      </c>
      <c r="AI247">
        <f t="shared" si="67"/>
        <v>360</v>
      </c>
      <c r="AJ247" t="e">
        <f>VLOOKUP(A247,'Borrower Details'!$A$1:$H$1493,8,FALSE)</f>
        <v>#N/A</v>
      </c>
      <c r="AK247" s="4" t="e">
        <f t="shared" si="68"/>
        <v>#N/A</v>
      </c>
      <c r="AL247" s="10">
        <v>7.375</v>
      </c>
      <c r="AM247" s="3">
        <f t="shared" si="69"/>
        <v>133104.04484999998</v>
      </c>
      <c r="AN247">
        <v>7.375</v>
      </c>
      <c r="AO247" s="7">
        <f t="shared" si="70"/>
        <v>974.77657691326408</v>
      </c>
      <c r="AP247" s="2">
        <f t="shared" si="71"/>
        <v>-26.246576913264107</v>
      </c>
    </row>
    <row r="248" spans="1:42" x14ac:dyDescent="0.15">
      <c r="A248" s="8">
        <v>411182413</v>
      </c>
      <c r="B248" t="s">
        <v>37</v>
      </c>
      <c r="C248" t="s">
        <v>18</v>
      </c>
      <c r="D248" s="1">
        <v>39436</v>
      </c>
      <c r="E248" s="2">
        <v>139900</v>
      </c>
      <c r="F248" s="2">
        <v>125910</v>
      </c>
      <c r="G248" t="s">
        <v>17</v>
      </c>
      <c r="H248" s="2">
        <v>1058.72</v>
      </c>
      <c r="I248" s="2">
        <v>125659.31</v>
      </c>
      <c r="J248">
        <v>9.5000000000000001E-2</v>
      </c>
      <c r="K248">
        <v>4</v>
      </c>
      <c r="L248">
        <v>356</v>
      </c>
      <c r="M248" t="str">
        <f t="shared" si="57"/>
        <v>30 Year Fixed</v>
      </c>
      <c r="N248" s="2">
        <v>995.3</v>
      </c>
      <c r="O248" t="str">
        <f t="shared" si="54"/>
        <v>Refi</v>
      </c>
      <c r="P248" s="3">
        <f t="shared" si="58"/>
        <v>0</v>
      </c>
      <c r="Q248" s="4">
        <v>127544</v>
      </c>
      <c r="R248" s="4" t="s">
        <v>41</v>
      </c>
      <c r="S248" s="6">
        <v>646</v>
      </c>
      <c r="T248">
        <v>6.75</v>
      </c>
      <c r="U248" s="7">
        <f t="shared" si="55"/>
        <v>880.39128962029599</v>
      </c>
      <c r="V248" s="2">
        <f t="shared" si="59"/>
        <v>178.32871037970403</v>
      </c>
      <c r="W248" s="9">
        <f t="shared" si="60"/>
        <v>0</v>
      </c>
      <c r="X248" s="3">
        <v>127544</v>
      </c>
      <c r="Y248" s="3">
        <f t="shared" si="61"/>
        <v>-0.19669950737443287</v>
      </c>
      <c r="Z248" s="7">
        <f t="shared" si="62"/>
        <v>880.39128962029599</v>
      </c>
      <c r="AA248" s="2">
        <f t="shared" si="56"/>
        <v>178.32871037970403</v>
      </c>
      <c r="AB248" s="8">
        <f t="shared" si="63"/>
        <v>0</v>
      </c>
      <c r="AC248" s="10">
        <v>6.75</v>
      </c>
      <c r="AD248" s="7">
        <f t="shared" si="64"/>
        <v>880.39128962029599</v>
      </c>
      <c r="AE248" s="2">
        <f t="shared" si="65"/>
        <v>178.32871037970403</v>
      </c>
      <c r="AF248" s="10">
        <v>0</v>
      </c>
      <c r="AG248" s="3">
        <f t="shared" si="66"/>
        <v>0</v>
      </c>
      <c r="AH248" s="7">
        <v>0</v>
      </c>
      <c r="AI248">
        <f t="shared" si="67"/>
        <v>360</v>
      </c>
      <c r="AJ248" t="e">
        <f>VLOOKUP(A248,'Borrower Details'!$A$1:$H$1493,8,FALSE)</f>
        <v>#N/A</v>
      </c>
      <c r="AK248" s="4" t="e">
        <f t="shared" si="68"/>
        <v>#N/A</v>
      </c>
      <c r="AL248" s="10">
        <v>6.75</v>
      </c>
      <c r="AM248" s="3">
        <f t="shared" si="69"/>
        <v>127544.19964999998</v>
      </c>
      <c r="AN248">
        <v>6.75</v>
      </c>
      <c r="AO248" s="7">
        <f t="shared" si="70"/>
        <v>880.39266773389556</v>
      </c>
      <c r="AP248" s="2">
        <f t="shared" si="71"/>
        <v>178.32733226610446</v>
      </c>
    </row>
    <row r="249" spans="1:42" x14ac:dyDescent="0.15">
      <c r="A249" s="8">
        <v>411139397</v>
      </c>
      <c r="B249" t="s">
        <v>35</v>
      </c>
      <c r="C249" t="s">
        <v>16</v>
      </c>
      <c r="D249" s="1">
        <v>39419</v>
      </c>
      <c r="E249" s="2">
        <v>111000</v>
      </c>
      <c r="F249" s="2">
        <v>88800</v>
      </c>
      <c r="G249" t="s">
        <v>17</v>
      </c>
      <c r="H249" s="2">
        <v>910</v>
      </c>
      <c r="I249" s="2">
        <v>88668.91</v>
      </c>
      <c r="J249">
        <v>0.1195</v>
      </c>
      <c r="K249">
        <v>5</v>
      </c>
      <c r="L249">
        <v>355</v>
      </c>
      <c r="M249" t="str">
        <f t="shared" si="57"/>
        <v>30 Year Fixed</v>
      </c>
      <c r="N249" s="2">
        <v>882.99</v>
      </c>
      <c r="O249" t="str">
        <f t="shared" si="54"/>
        <v>Cash Out</v>
      </c>
      <c r="P249" s="3">
        <f t="shared" si="58"/>
        <v>4286.7550246305473</v>
      </c>
      <c r="Q249" s="4">
        <v>94350</v>
      </c>
      <c r="R249" s="4" t="s">
        <v>41</v>
      </c>
      <c r="S249" s="6">
        <v>528</v>
      </c>
      <c r="T249">
        <v>7.625</v>
      </c>
      <c r="U249" s="7">
        <f t="shared" si="55"/>
        <v>707.1158996855994</v>
      </c>
      <c r="V249" s="2">
        <f t="shared" si="59"/>
        <v>202.8841003144006</v>
      </c>
      <c r="W249" s="9">
        <f t="shared" si="60"/>
        <v>0</v>
      </c>
      <c r="X249" s="3">
        <v>94350</v>
      </c>
      <c r="Y249" s="3">
        <f t="shared" si="61"/>
        <v>4286.7550246305473</v>
      </c>
      <c r="Z249" s="7">
        <f t="shared" si="62"/>
        <v>707.1158996855994</v>
      </c>
      <c r="AA249" s="2">
        <f t="shared" si="56"/>
        <v>202.8841003144006</v>
      </c>
      <c r="AB249" s="8">
        <f t="shared" si="63"/>
        <v>0</v>
      </c>
      <c r="AC249" s="10">
        <v>7.625</v>
      </c>
      <c r="AD249" s="7">
        <f t="shared" si="64"/>
        <v>707.1158996855994</v>
      </c>
      <c r="AE249" s="2">
        <f t="shared" si="65"/>
        <v>202.8841003144006</v>
      </c>
      <c r="AF249" s="10">
        <v>0</v>
      </c>
      <c r="AG249" s="3">
        <f t="shared" si="66"/>
        <v>0</v>
      </c>
      <c r="AH249" s="7">
        <v>5305.8</v>
      </c>
      <c r="AI249">
        <f t="shared" si="67"/>
        <v>360</v>
      </c>
      <c r="AJ249" t="e">
        <f>VLOOKUP(A249,'Borrower Details'!$A$1:$H$1493,8,FALSE)</f>
        <v>#N/A</v>
      </c>
      <c r="AK249" s="4" t="e">
        <f t="shared" si="68"/>
        <v>#N/A</v>
      </c>
      <c r="AL249" s="10">
        <v>7.625</v>
      </c>
      <c r="AM249" s="3">
        <f t="shared" si="69"/>
        <v>89998.943650000001</v>
      </c>
      <c r="AN249">
        <v>7.625</v>
      </c>
      <c r="AO249" s="7">
        <f t="shared" si="70"/>
        <v>674.5064547940998</v>
      </c>
      <c r="AP249" s="2">
        <f t="shared" si="71"/>
        <v>235.4935452059002</v>
      </c>
    </row>
    <row r="250" spans="1:42" x14ac:dyDescent="0.15">
      <c r="A250" s="8">
        <v>411249915</v>
      </c>
      <c r="B250" t="s">
        <v>36</v>
      </c>
      <c r="C250" t="s">
        <v>16</v>
      </c>
      <c r="D250" s="1">
        <v>39471</v>
      </c>
      <c r="E250" s="2">
        <v>175000</v>
      </c>
      <c r="F250" s="2">
        <v>115000</v>
      </c>
      <c r="G250" t="s">
        <v>17</v>
      </c>
      <c r="H250" s="2">
        <v>1043.3699999999999</v>
      </c>
      <c r="I250" s="2">
        <v>114767.16</v>
      </c>
      <c r="J250">
        <v>0.104</v>
      </c>
      <c r="K250">
        <v>3</v>
      </c>
      <c r="L250">
        <v>356</v>
      </c>
      <c r="M250" t="str">
        <f t="shared" si="57"/>
        <v>30 Year Fixed</v>
      </c>
      <c r="N250" s="2">
        <v>995.07</v>
      </c>
      <c r="O250" t="str">
        <f t="shared" si="54"/>
        <v>Cash Out</v>
      </c>
      <c r="P250" s="3">
        <f t="shared" si="58"/>
        <v>31784.56413793104</v>
      </c>
      <c r="Q250" s="4">
        <v>148750</v>
      </c>
      <c r="R250" s="4" t="s">
        <v>41</v>
      </c>
      <c r="S250" s="6">
        <v>535</v>
      </c>
      <c r="T250">
        <v>7.625</v>
      </c>
      <c r="U250" s="7">
        <f t="shared" si="55"/>
        <v>1114.8223643691883</v>
      </c>
      <c r="V250" s="2">
        <f t="shared" si="59"/>
        <v>-71.452364369188444</v>
      </c>
      <c r="W250" s="9">
        <f t="shared" si="60"/>
        <v>1</v>
      </c>
      <c r="X250" s="3">
        <v>139140</v>
      </c>
      <c r="Y250" s="3">
        <f t="shared" si="61"/>
        <v>22316.583842364547</v>
      </c>
      <c r="Z250" s="7">
        <f t="shared" si="62"/>
        <v>1042.7992186778411</v>
      </c>
      <c r="AA250" s="2">
        <f t="shared" si="56"/>
        <v>0.5707813221588367</v>
      </c>
      <c r="AB250" s="8">
        <f t="shared" si="63"/>
        <v>0</v>
      </c>
      <c r="AC250" s="10">
        <v>7.625</v>
      </c>
      <c r="AD250" s="7">
        <f t="shared" si="64"/>
        <v>1042.7992186778411</v>
      </c>
      <c r="AE250" s="2">
        <f t="shared" si="65"/>
        <v>0.5707813221588367</v>
      </c>
      <c r="AF250" s="10">
        <v>0</v>
      </c>
      <c r="AG250" s="3">
        <f t="shared" si="66"/>
        <v>0</v>
      </c>
      <c r="AH250" s="7">
        <v>2300</v>
      </c>
      <c r="AI250">
        <f t="shared" si="67"/>
        <v>360</v>
      </c>
      <c r="AJ250" t="e">
        <f>VLOOKUP(A250,'Borrower Details'!$A$1:$H$1493,8,FALSE)</f>
        <v>#N/A</v>
      </c>
      <c r="AK250" s="4" t="e">
        <f t="shared" si="68"/>
        <v>#N/A</v>
      </c>
      <c r="AL250" s="10">
        <v>7.625</v>
      </c>
      <c r="AM250" s="3">
        <f t="shared" si="69"/>
        <v>116488.66739999999</v>
      </c>
      <c r="AN250">
        <v>7.625</v>
      </c>
      <c r="AO250" s="7">
        <f t="shared" si="70"/>
        <v>873.03644781905189</v>
      </c>
      <c r="AP250" s="2">
        <f t="shared" si="71"/>
        <v>170.333552180948</v>
      </c>
    </row>
    <row r="251" spans="1:42" x14ac:dyDescent="0.15">
      <c r="A251" s="8">
        <v>410974117</v>
      </c>
      <c r="B251" t="s">
        <v>35</v>
      </c>
      <c r="C251" t="s">
        <v>16</v>
      </c>
      <c r="D251" s="1">
        <v>39351</v>
      </c>
      <c r="E251" s="2">
        <v>95000</v>
      </c>
      <c r="F251" s="2">
        <v>80750</v>
      </c>
      <c r="G251" t="s">
        <v>17</v>
      </c>
      <c r="H251" s="2">
        <v>852.43</v>
      </c>
      <c r="I251" s="2">
        <v>80595.66</v>
      </c>
      <c r="J251">
        <v>0.1235</v>
      </c>
      <c r="K251">
        <v>7</v>
      </c>
      <c r="L251">
        <v>353</v>
      </c>
      <c r="M251" t="str">
        <f t="shared" si="57"/>
        <v>30 Year Fixed</v>
      </c>
      <c r="N251" s="2">
        <v>829.46</v>
      </c>
      <c r="O251" t="str">
        <f t="shared" si="54"/>
        <v>Refi</v>
      </c>
      <c r="P251" s="3">
        <f t="shared" si="58"/>
        <v>0</v>
      </c>
      <c r="Q251" s="4">
        <v>81805</v>
      </c>
      <c r="R251" s="4" t="s">
        <v>41</v>
      </c>
      <c r="S251" s="6">
        <v>547</v>
      </c>
      <c r="T251">
        <v>7.625</v>
      </c>
      <c r="U251" s="7">
        <f t="shared" si="55"/>
        <v>613.09609087207696</v>
      </c>
      <c r="V251" s="2">
        <f t="shared" si="59"/>
        <v>239.33390912792299</v>
      </c>
      <c r="W251" s="9">
        <f t="shared" si="60"/>
        <v>0</v>
      </c>
      <c r="X251" s="3">
        <v>81805</v>
      </c>
      <c r="Y251" s="3">
        <f t="shared" si="61"/>
        <v>0.39911330050381366</v>
      </c>
      <c r="Z251" s="7">
        <f t="shared" si="62"/>
        <v>613.09609087207696</v>
      </c>
      <c r="AA251" s="2">
        <f t="shared" si="56"/>
        <v>239.33390912792299</v>
      </c>
      <c r="AB251" s="8">
        <f t="shared" si="63"/>
        <v>0</v>
      </c>
      <c r="AC251" s="10">
        <v>7.625</v>
      </c>
      <c r="AD251" s="7">
        <f t="shared" si="64"/>
        <v>613.09609087207696</v>
      </c>
      <c r="AE251" s="2">
        <f t="shared" si="65"/>
        <v>239.33390912792299</v>
      </c>
      <c r="AF251" s="10">
        <v>0</v>
      </c>
      <c r="AG251" s="3">
        <f t="shared" si="66"/>
        <v>0</v>
      </c>
      <c r="AH251" s="7">
        <v>4986.3125</v>
      </c>
      <c r="AI251">
        <f t="shared" si="67"/>
        <v>360</v>
      </c>
      <c r="AJ251" t="e">
        <f>VLOOKUP(A251,'Borrower Details'!$A$1:$H$1493,8,FALSE)</f>
        <v>#N/A</v>
      </c>
      <c r="AK251" s="4" t="e">
        <f t="shared" si="68"/>
        <v>#N/A</v>
      </c>
      <c r="AL251" s="10">
        <v>7.625</v>
      </c>
      <c r="AM251" s="3">
        <f t="shared" si="69"/>
        <v>81804.594899999996</v>
      </c>
      <c r="AN251">
        <v>7.625</v>
      </c>
      <c r="AO251" s="7">
        <f t="shared" si="70"/>
        <v>613.09305480794387</v>
      </c>
      <c r="AP251" s="2">
        <f t="shared" si="71"/>
        <v>239.33694519205608</v>
      </c>
    </row>
    <row r="252" spans="1:42" x14ac:dyDescent="0.15">
      <c r="A252" s="8">
        <v>411028293</v>
      </c>
      <c r="B252" t="s">
        <v>36</v>
      </c>
      <c r="C252" t="s">
        <v>16</v>
      </c>
      <c r="D252" s="1">
        <v>39374</v>
      </c>
      <c r="E252" s="2">
        <v>184000</v>
      </c>
      <c r="F252" s="2">
        <v>112240</v>
      </c>
      <c r="G252" t="s">
        <v>21</v>
      </c>
      <c r="H252" s="2">
        <v>728.63</v>
      </c>
      <c r="I252" s="2">
        <v>112240</v>
      </c>
      <c r="J252">
        <v>7.7899999999999997E-2</v>
      </c>
      <c r="K252">
        <v>6</v>
      </c>
      <c r="L252">
        <v>354</v>
      </c>
      <c r="M252" t="str">
        <f t="shared" si="57"/>
        <v>30 Year Fixed</v>
      </c>
      <c r="N252" s="2">
        <v>728.62</v>
      </c>
      <c r="O252" t="str">
        <f t="shared" si="54"/>
        <v>Cash Out</v>
      </c>
      <c r="P252" s="3">
        <f t="shared" si="58"/>
        <v>41848.669950738928</v>
      </c>
      <c r="Q252" s="4">
        <v>156400</v>
      </c>
      <c r="R252" s="4" t="s">
        <v>41</v>
      </c>
      <c r="S252" s="6">
        <v>611</v>
      </c>
      <c r="T252">
        <v>6.875</v>
      </c>
      <c r="U252" s="7">
        <f t="shared" si="55"/>
        <v>1092.6033312551742</v>
      </c>
      <c r="V252" s="2">
        <f t="shared" si="59"/>
        <v>-363.97333125517423</v>
      </c>
      <c r="W252" s="9">
        <f t="shared" si="60"/>
        <v>1</v>
      </c>
      <c r="X252" s="3">
        <v>113924</v>
      </c>
      <c r="Y252" s="3">
        <f t="shared" si="61"/>
        <v>0.39408866995654535</v>
      </c>
      <c r="Z252" s="7">
        <f t="shared" si="62"/>
        <v>795.86791502502854</v>
      </c>
      <c r="AA252" s="2">
        <f t="shared" si="56"/>
        <v>-67.237915025028542</v>
      </c>
      <c r="AB252" s="8">
        <f t="shared" si="63"/>
        <v>1</v>
      </c>
      <c r="AC252" s="10">
        <v>6.25</v>
      </c>
      <c r="AD252" s="7">
        <f t="shared" si="64"/>
        <v>748.91799674709796</v>
      </c>
      <c r="AE252" s="2">
        <f t="shared" si="65"/>
        <v>-20.287996747097964</v>
      </c>
      <c r="AF252" s="10">
        <v>2.5</v>
      </c>
      <c r="AG252" s="3">
        <f t="shared" si="66"/>
        <v>2848.1</v>
      </c>
      <c r="AH252" s="7">
        <v>2244.8000000000002</v>
      </c>
      <c r="AI252">
        <f t="shared" si="67"/>
        <v>360</v>
      </c>
      <c r="AJ252" t="e">
        <f>VLOOKUP(A252,'Borrower Details'!$A$1:$H$1493,8,FALSE)</f>
        <v>#N/A</v>
      </c>
      <c r="AK252" s="4" t="e">
        <f t="shared" si="68"/>
        <v>#N/A</v>
      </c>
      <c r="AL252" s="10">
        <v>6.875</v>
      </c>
      <c r="AM252" s="3">
        <f t="shared" si="69"/>
        <v>113923.59999999999</v>
      </c>
      <c r="AN252">
        <v>6.875</v>
      </c>
      <c r="AO252" s="7">
        <f t="shared" si="70"/>
        <v>795.86512064310716</v>
      </c>
      <c r="AP252" s="2">
        <f t="shared" si="71"/>
        <v>-67.235120643107166</v>
      </c>
    </row>
    <row r="253" spans="1:42" x14ac:dyDescent="0.15">
      <c r="A253" s="8">
        <v>411171069</v>
      </c>
      <c r="B253" t="s">
        <v>37</v>
      </c>
      <c r="C253" t="s">
        <v>18</v>
      </c>
      <c r="D253" s="1">
        <v>39430</v>
      </c>
      <c r="E253" s="2">
        <v>77000</v>
      </c>
      <c r="F253" s="2">
        <v>65450</v>
      </c>
      <c r="G253" t="s">
        <v>17</v>
      </c>
      <c r="H253" s="2">
        <v>665.68</v>
      </c>
      <c r="I253" s="2">
        <v>65371.4</v>
      </c>
      <c r="J253">
        <v>0.11849999999999999</v>
      </c>
      <c r="K253">
        <v>4</v>
      </c>
      <c r="L253">
        <v>356</v>
      </c>
      <c r="M253" t="str">
        <f t="shared" si="57"/>
        <v>30 Year Fixed</v>
      </c>
      <c r="N253" s="2">
        <v>645.54</v>
      </c>
      <c r="O253" t="str">
        <f t="shared" si="54"/>
        <v>Refi</v>
      </c>
      <c r="P253" s="3">
        <f t="shared" si="58"/>
        <v>0</v>
      </c>
      <c r="Q253" s="4">
        <v>66352</v>
      </c>
      <c r="R253" s="4" t="s">
        <v>41</v>
      </c>
      <c r="S253" s="6">
        <v>574</v>
      </c>
      <c r="T253">
        <v>7.625</v>
      </c>
      <c r="U253" s="7">
        <f t="shared" si="55"/>
        <v>497.281973247895</v>
      </c>
      <c r="V253" s="2">
        <f t="shared" si="59"/>
        <v>168.39802675210495</v>
      </c>
      <c r="W253" s="9">
        <f t="shared" si="60"/>
        <v>0</v>
      </c>
      <c r="X253" s="3">
        <v>66352</v>
      </c>
      <c r="Y253" s="3">
        <f t="shared" si="61"/>
        <v>2.857142857828876E-2</v>
      </c>
      <c r="Z253" s="7">
        <f t="shared" si="62"/>
        <v>497.281973247895</v>
      </c>
      <c r="AA253" s="2">
        <f t="shared" si="56"/>
        <v>168.39802675210495</v>
      </c>
      <c r="AB253" s="8">
        <f t="shared" si="63"/>
        <v>0</v>
      </c>
      <c r="AC253" s="10">
        <v>7.625</v>
      </c>
      <c r="AD253" s="7">
        <f t="shared" si="64"/>
        <v>497.281973247895</v>
      </c>
      <c r="AE253" s="2">
        <f t="shared" si="65"/>
        <v>168.39802675210495</v>
      </c>
      <c r="AF253" s="10">
        <v>0</v>
      </c>
      <c r="AG253" s="3">
        <f t="shared" si="66"/>
        <v>0</v>
      </c>
      <c r="AH253" s="7">
        <v>0</v>
      </c>
      <c r="AI253">
        <f t="shared" si="67"/>
        <v>360</v>
      </c>
      <c r="AJ253" t="e">
        <f>VLOOKUP(A253,'Borrower Details'!$A$1:$H$1493,8,FALSE)</f>
        <v>#N/A</v>
      </c>
      <c r="AK253" s="4" t="e">
        <f t="shared" si="68"/>
        <v>#N/A</v>
      </c>
      <c r="AL253" s="10">
        <v>7.625</v>
      </c>
      <c r="AM253" s="3">
        <f t="shared" si="69"/>
        <v>66351.97099999999</v>
      </c>
      <c r="AN253">
        <v>7.625</v>
      </c>
      <c r="AO253" s="7">
        <f t="shared" si="70"/>
        <v>497.28175590437513</v>
      </c>
      <c r="AP253" s="2">
        <f t="shared" si="71"/>
        <v>168.39824409562482</v>
      </c>
    </row>
    <row r="254" spans="1:42" x14ac:dyDescent="0.15">
      <c r="A254" s="8">
        <v>410667067</v>
      </c>
      <c r="B254" t="s">
        <v>36</v>
      </c>
      <c r="C254" t="s">
        <v>19</v>
      </c>
      <c r="D254" s="1">
        <v>39286</v>
      </c>
      <c r="E254" s="2">
        <v>198000</v>
      </c>
      <c r="F254" s="2">
        <v>168300</v>
      </c>
      <c r="G254" t="s">
        <v>17</v>
      </c>
      <c r="H254" s="2">
        <v>1199.92</v>
      </c>
      <c r="I254" s="2">
        <v>167064.82</v>
      </c>
      <c r="J254">
        <v>7.6999999999999999E-2</v>
      </c>
      <c r="K254">
        <v>9</v>
      </c>
      <c r="L254">
        <v>350</v>
      </c>
      <c r="M254" t="str">
        <f t="shared" si="57"/>
        <v>30 Year Fixed</v>
      </c>
      <c r="N254" s="2">
        <v>1072</v>
      </c>
      <c r="O254" t="str">
        <f t="shared" si="54"/>
        <v>Refi</v>
      </c>
      <c r="P254" s="3">
        <f t="shared" si="58"/>
        <v>0</v>
      </c>
      <c r="Q254" s="4">
        <v>169571</v>
      </c>
      <c r="R254" s="4" t="s">
        <v>41</v>
      </c>
      <c r="S254" s="6">
        <v>625</v>
      </c>
      <c r="T254">
        <v>6.75</v>
      </c>
      <c r="U254" s="7">
        <f t="shared" si="55"/>
        <v>1170.4888616650192</v>
      </c>
      <c r="V254" s="2">
        <f t="shared" si="59"/>
        <v>29.431138334980915</v>
      </c>
      <c r="W254" s="9">
        <f t="shared" si="60"/>
        <v>0</v>
      </c>
      <c r="X254" s="3">
        <v>169571</v>
      </c>
      <c r="Y254" s="3">
        <f t="shared" si="61"/>
        <v>0.2046305418771226</v>
      </c>
      <c r="Z254" s="7">
        <f t="shared" si="62"/>
        <v>1170.4888616650192</v>
      </c>
      <c r="AA254" s="2">
        <f t="shared" si="56"/>
        <v>29.431138334980915</v>
      </c>
      <c r="AB254" s="8">
        <f t="shared" si="63"/>
        <v>1</v>
      </c>
      <c r="AC254" s="10">
        <v>6.125</v>
      </c>
      <c r="AD254" s="7">
        <f t="shared" si="64"/>
        <v>1100.9858514057046</v>
      </c>
      <c r="AE254" s="2">
        <f t="shared" si="65"/>
        <v>98.934148594295493</v>
      </c>
      <c r="AF254" s="10">
        <v>3</v>
      </c>
      <c r="AG254" s="3">
        <f t="shared" si="66"/>
        <v>5087.13</v>
      </c>
      <c r="AH254" s="7">
        <v>3366</v>
      </c>
      <c r="AI254">
        <f t="shared" si="67"/>
        <v>360</v>
      </c>
      <c r="AJ254" t="e">
        <f>VLOOKUP(A254,'Borrower Details'!$A$1:$H$1493,8,FALSE)</f>
        <v>#N/A</v>
      </c>
      <c r="AK254" s="4" t="e">
        <f t="shared" si="68"/>
        <v>#N/A</v>
      </c>
      <c r="AL254" s="10">
        <v>6.75</v>
      </c>
      <c r="AM254" s="3">
        <f t="shared" si="69"/>
        <v>169570.7923</v>
      </c>
      <c r="AN254">
        <v>6.75</v>
      </c>
      <c r="AO254" s="7">
        <f t="shared" si="70"/>
        <v>1170.4874279851058</v>
      </c>
      <c r="AP254" s="2">
        <f t="shared" si="71"/>
        <v>29.432572014894276</v>
      </c>
    </row>
    <row r="255" spans="1:42" x14ac:dyDescent="0.15">
      <c r="A255" s="8">
        <v>410055255</v>
      </c>
      <c r="B255" t="s">
        <v>36</v>
      </c>
      <c r="C255" t="s">
        <v>19</v>
      </c>
      <c r="D255" s="1">
        <v>39206</v>
      </c>
      <c r="E255" s="2">
        <v>180000</v>
      </c>
      <c r="F255" s="2">
        <v>162000</v>
      </c>
      <c r="G255" t="s">
        <v>17</v>
      </c>
      <c r="H255" s="2">
        <v>993.38</v>
      </c>
      <c r="I255" s="2">
        <v>161681.17000000001</v>
      </c>
      <c r="J255">
        <v>7.1499999999999994E-2</v>
      </c>
      <c r="K255">
        <v>11</v>
      </c>
      <c r="L255">
        <v>349</v>
      </c>
      <c r="M255" t="str">
        <f t="shared" si="57"/>
        <v>30 Year Fixed</v>
      </c>
      <c r="N255" s="2">
        <v>963.35</v>
      </c>
      <c r="O255" t="str">
        <f t="shared" si="54"/>
        <v>Refi</v>
      </c>
      <c r="P255" s="3">
        <f t="shared" si="58"/>
        <v>0</v>
      </c>
      <c r="Q255" s="4">
        <v>164106</v>
      </c>
      <c r="R255" s="4" t="s">
        <v>41</v>
      </c>
      <c r="S255" s="6">
        <v>631</v>
      </c>
      <c r="T255">
        <v>6.75</v>
      </c>
      <c r="U255" s="7">
        <f t="shared" si="55"/>
        <v>1132.7658923542331</v>
      </c>
      <c r="V255" s="2">
        <f t="shared" si="59"/>
        <v>-139.38589235423308</v>
      </c>
      <c r="W255" s="9">
        <f t="shared" si="60"/>
        <v>0</v>
      </c>
      <c r="X255" s="3">
        <v>164106</v>
      </c>
      <c r="Y255" s="3">
        <f t="shared" si="61"/>
        <v>-0.38182266009971499</v>
      </c>
      <c r="Z255" s="7">
        <f t="shared" si="62"/>
        <v>1132.7658923542331</v>
      </c>
      <c r="AA255" s="2">
        <f t="shared" si="56"/>
        <v>-139.38589235423308</v>
      </c>
      <c r="AB255" s="8">
        <f t="shared" si="63"/>
        <v>1</v>
      </c>
      <c r="AC255" s="10">
        <v>6.125</v>
      </c>
      <c r="AD255" s="7">
        <f t="shared" si="64"/>
        <v>1065.5028520842864</v>
      </c>
      <c r="AE255" s="2">
        <f t="shared" si="65"/>
        <v>-72.122852084286365</v>
      </c>
      <c r="AF255" s="10">
        <v>3</v>
      </c>
      <c r="AG255" s="3">
        <f t="shared" si="66"/>
        <v>4923.18</v>
      </c>
      <c r="AH255" s="7">
        <v>3240</v>
      </c>
      <c r="AI255">
        <f t="shared" si="67"/>
        <v>360</v>
      </c>
      <c r="AJ255" t="e">
        <f>VLOOKUP(A255,'Borrower Details'!$A$1:$H$1493,8,FALSE)</f>
        <v>#N/A</v>
      </c>
      <c r="AK255" s="4" t="e">
        <f t="shared" si="68"/>
        <v>#N/A</v>
      </c>
      <c r="AL255" s="10">
        <v>6.75</v>
      </c>
      <c r="AM255" s="3">
        <f t="shared" si="69"/>
        <v>164106.38754999998</v>
      </c>
      <c r="AN255">
        <v>6.75</v>
      </c>
      <c r="AO255" s="7">
        <f t="shared" si="70"/>
        <v>1132.7685674753227</v>
      </c>
      <c r="AP255" s="2">
        <f t="shared" si="71"/>
        <v>-139.3885674753227</v>
      </c>
    </row>
    <row r="256" spans="1:42" x14ac:dyDescent="0.15">
      <c r="A256" s="8">
        <v>410650881</v>
      </c>
      <c r="B256" t="s">
        <v>36</v>
      </c>
      <c r="C256" t="s">
        <v>18</v>
      </c>
      <c r="D256" s="1">
        <v>39294</v>
      </c>
      <c r="E256" s="2">
        <v>226000</v>
      </c>
      <c r="F256" s="2">
        <v>180000</v>
      </c>
      <c r="G256" t="s">
        <v>17</v>
      </c>
      <c r="H256" s="2">
        <v>1616.89</v>
      </c>
      <c r="I256" s="2">
        <v>174701.3</v>
      </c>
      <c r="J256">
        <v>6.9900000000000004E-2</v>
      </c>
      <c r="K256">
        <v>9</v>
      </c>
      <c r="L256">
        <v>171</v>
      </c>
      <c r="M256" t="str">
        <f t="shared" si="57"/>
        <v>30 Year Fixed</v>
      </c>
      <c r="N256" s="2">
        <v>1017.64</v>
      </c>
      <c r="O256" t="str">
        <f t="shared" si="54"/>
        <v>Cash Out</v>
      </c>
      <c r="P256" s="3">
        <f t="shared" si="58"/>
        <v>14559.783743842389</v>
      </c>
      <c r="Q256" s="4">
        <v>192100</v>
      </c>
      <c r="R256" s="4" t="s">
        <v>41</v>
      </c>
      <c r="S256" s="6">
        <v>636</v>
      </c>
      <c r="T256">
        <v>6.75</v>
      </c>
      <c r="U256" s="7">
        <f t="shared" si="55"/>
        <v>1325.9986101742054</v>
      </c>
      <c r="V256" s="2">
        <f t="shared" si="59"/>
        <v>290.8913898257947</v>
      </c>
      <c r="W256" s="9">
        <f t="shared" si="60"/>
        <v>0</v>
      </c>
      <c r="X256" s="3">
        <v>192100</v>
      </c>
      <c r="Y256" s="3">
        <f t="shared" si="61"/>
        <v>14559.783743842389</v>
      </c>
      <c r="Z256" s="7">
        <f t="shared" si="62"/>
        <v>1325.9986101742054</v>
      </c>
      <c r="AA256" s="2">
        <f t="shared" si="56"/>
        <v>290.8913898257947</v>
      </c>
      <c r="AB256" s="8">
        <f t="shared" si="63"/>
        <v>0</v>
      </c>
      <c r="AC256" s="10">
        <v>6.75</v>
      </c>
      <c r="AD256" s="7">
        <f t="shared" si="64"/>
        <v>1325.9986101742054</v>
      </c>
      <c r="AE256" s="2">
        <f t="shared" si="65"/>
        <v>290.8913898257947</v>
      </c>
      <c r="AF256" s="10">
        <v>0</v>
      </c>
      <c r="AG256" s="3">
        <f t="shared" si="66"/>
        <v>0</v>
      </c>
      <c r="AH256" s="7">
        <v>3600</v>
      </c>
      <c r="AI256">
        <f t="shared" si="67"/>
        <v>360</v>
      </c>
      <c r="AJ256" t="e">
        <f>VLOOKUP(A256,'Borrower Details'!$A$1:$H$1493,8,FALSE)</f>
        <v>#N/A</v>
      </c>
      <c r="AK256" s="4" t="e">
        <f t="shared" si="68"/>
        <v>#N/A</v>
      </c>
      <c r="AL256" s="10">
        <v>6.75</v>
      </c>
      <c r="AM256" s="3">
        <f t="shared" si="69"/>
        <v>177321.81949999998</v>
      </c>
      <c r="AN256">
        <v>6.75</v>
      </c>
      <c r="AO256" s="7">
        <f t="shared" si="70"/>
        <v>1223.9900375354571</v>
      </c>
      <c r="AP256" s="2">
        <f t="shared" si="71"/>
        <v>392.89996246454302</v>
      </c>
    </row>
    <row r="257" spans="1:42" x14ac:dyDescent="0.15">
      <c r="A257" s="8">
        <v>410837991</v>
      </c>
      <c r="B257" t="s">
        <v>37</v>
      </c>
      <c r="C257" t="s">
        <v>16</v>
      </c>
      <c r="D257" s="1">
        <v>39323</v>
      </c>
      <c r="E257" s="2">
        <v>168000</v>
      </c>
      <c r="F257" s="2">
        <v>149995</v>
      </c>
      <c r="G257" t="s">
        <v>20</v>
      </c>
      <c r="H257" s="2">
        <v>1220.4100000000001</v>
      </c>
      <c r="I257" s="2">
        <v>145625.81</v>
      </c>
      <c r="J257">
        <v>9.1249999999999998E-2</v>
      </c>
      <c r="K257">
        <v>8</v>
      </c>
      <c r="L257">
        <v>351</v>
      </c>
      <c r="M257" t="str">
        <f t="shared" si="57"/>
        <v>30 Year Fixed</v>
      </c>
      <c r="N257" s="2">
        <v>1107.3599999999999</v>
      </c>
      <c r="O257" t="str">
        <f t="shared" si="54"/>
        <v>Refi</v>
      </c>
      <c r="P257" s="3">
        <f t="shared" si="58"/>
        <v>0</v>
      </c>
      <c r="Q257" s="4">
        <v>147810</v>
      </c>
      <c r="R257" s="4" t="s">
        <v>41</v>
      </c>
      <c r="S257" s="6">
        <v>637</v>
      </c>
      <c r="T257">
        <v>6.75</v>
      </c>
      <c r="U257" s="7">
        <f t="shared" si="55"/>
        <v>1020.2803465374768</v>
      </c>
      <c r="V257" s="2">
        <f t="shared" si="59"/>
        <v>200.12965346252327</v>
      </c>
      <c r="W257" s="9">
        <f t="shared" si="60"/>
        <v>0</v>
      </c>
      <c r="X257" s="3">
        <v>147810</v>
      </c>
      <c r="Y257" s="3">
        <f t="shared" si="61"/>
        <v>-0.19423645318602212</v>
      </c>
      <c r="Z257" s="7">
        <f t="shared" si="62"/>
        <v>1020.2803465374768</v>
      </c>
      <c r="AA257" s="2">
        <f t="shared" si="56"/>
        <v>200.12965346252327</v>
      </c>
      <c r="AB257" s="8">
        <f t="shared" si="63"/>
        <v>0</v>
      </c>
      <c r="AC257" s="10">
        <v>6.75</v>
      </c>
      <c r="AD257" s="7">
        <f t="shared" si="64"/>
        <v>1020.2803465374768</v>
      </c>
      <c r="AE257" s="2">
        <f t="shared" si="65"/>
        <v>200.12965346252327</v>
      </c>
      <c r="AF257" s="10">
        <v>0</v>
      </c>
      <c r="AG257" s="3">
        <f t="shared" si="66"/>
        <v>0</v>
      </c>
      <c r="AH257" s="7">
        <v>0</v>
      </c>
      <c r="AI257">
        <f t="shared" si="67"/>
        <v>360</v>
      </c>
      <c r="AJ257" t="e">
        <f>VLOOKUP(A257,'Borrower Details'!$A$1:$H$1493,8,FALSE)</f>
        <v>#N/A</v>
      </c>
      <c r="AK257" s="4" t="e">
        <f t="shared" si="68"/>
        <v>#N/A</v>
      </c>
      <c r="AL257" s="10">
        <v>6.75</v>
      </c>
      <c r="AM257" s="3">
        <f t="shared" si="69"/>
        <v>147810.19714999999</v>
      </c>
      <c r="AN257">
        <v>6.75</v>
      </c>
      <c r="AO257" s="7">
        <f t="shared" si="70"/>
        <v>1020.2817073944575</v>
      </c>
      <c r="AP257" s="2">
        <f t="shared" si="71"/>
        <v>200.12829260554258</v>
      </c>
    </row>
    <row r="258" spans="1:42" x14ac:dyDescent="0.15">
      <c r="A258" s="8">
        <v>410348585</v>
      </c>
      <c r="B258" t="s">
        <v>35</v>
      </c>
      <c r="C258" t="s">
        <v>16</v>
      </c>
      <c r="D258" s="1">
        <v>39237</v>
      </c>
      <c r="E258" s="2">
        <v>103000</v>
      </c>
      <c r="F258" s="2">
        <v>82400</v>
      </c>
      <c r="G258" t="s">
        <v>17</v>
      </c>
      <c r="H258" s="2">
        <v>677.89</v>
      </c>
      <c r="I258" s="2">
        <v>81957.64</v>
      </c>
      <c r="J258">
        <v>9.2499999999999999E-2</v>
      </c>
      <c r="K258">
        <v>10</v>
      </c>
      <c r="L258">
        <v>350</v>
      </c>
      <c r="M258" t="str">
        <f t="shared" si="57"/>
        <v>30 Year Fixed</v>
      </c>
      <c r="N258" s="2">
        <v>631.76</v>
      </c>
      <c r="O258" t="str">
        <f t="shared" ref="O258:O321" si="72">IF((0.85*E258)&gt;(I258*1.015),"Cash Out","Refi")</f>
        <v>Cash Out</v>
      </c>
      <c r="P258" s="3">
        <f t="shared" si="58"/>
        <v>4298.5176354679861</v>
      </c>
      <c r="Q258" s="4">
        <v>87550</v>
      </c>
      <c r="R258" s="4" t="s">
        <v>41</v>
      </c>
      <c r="S258" s="6">
        <v>529</v>
      </c>
      <c r="T258">
        <v>7.625</v>
      </c>
      <c r="U258" s="7">
        <f t="shared" ref="U258:U321" si="73">(Q258*((T258/1200)/(1-(1+(T258/1200))^-AI258)))+((Q258*0.005)/12)</f>
        <v>656.1525916001508</v>
      </c>
      <c r="V258" s="2">
        <f t="shared" si="59"/>
        <v>21.737408399849187</v>
      </c>
      <c r="W258" s="9">
        <f t="shared" si="60"/>
        <v>0</v>
      </c>
      <c r="X258" s="3">
        <v>87550</v>
      </c>
      <c r="Y258" s="3">
        <f t="shared" si="61"/>
        <v>4298.5176354679861</v>
      </c>
      <c r="Z258" s="7">
        <f t="shared" si="62"/>
        <v>656.1525916001508</v>
      </c>
      <c r="AA258" s="2">
        <f t="shared" ref="AA258:AA321" si="74">H258-Z258</f>
        <v>21.737408399849187</v>
      </c>
      <c r="AB258" s="8">
        <f t="shared" si="63"/>
        <v>0</v>
      </c>
      <c r="AC258" s="10">
        <v>7.625</v>
      </c>
      <c r="AD258" s="7">
        <f t="shared" si="64"/>
        <v>656.1525916001508</v>
      </c>
      <c r="AE258" s="2">
        <f t="shared" si="65"/>
        <v>21.737408399849187</v>
      </c>
      <c r="AF258" s="10">
        <v>0</v>
      </c>
      <c r="AG258" s="3">
        <f t="shared" si="66"/>
        <v>0</v>
      </c>
      <c r="AH258" s="7">
        <v>3811</v>
      </c>
      <c r="AI258">
        <f t="shared" si="67"/>
        <v>360</v>
      </c>
      <c r="AJ258" t="e">
        <f>VLOOKUP(A258,'Borrower Details'!$A$1:$H$1493,8,FALSE)</f>
        <v>#N/A</v>
      </c>
      <c r="AK258" s="4" t="e">
        <f t="shared" si="68"/>
        <v>#N/A</v>
      </c>
      <c r="AL258" s="10">
        <v>7.625</v>
      </c>
      <c r="AM258" s="3">
        <f t="shared" si="69"/>
        <v>83187.004599999986</v>
      </c>
      <c r="AN258">
        <v>7.625</v>
      </c>
      <c r="AO258" s="7">
        <f t="shared" si="70"/>
        <v>623.45366825521023</v>
      </c>
      <c r="AP258" s="2">
        <f t="shared" si="71"/>
        <v>54.436331744789754</v>
      </c>
    </row>
    <row r="259" spans="1:42" x14ac:dyDescent="0.15">
      <c r="A259" s="8">
        <v>410552855</v>
      </c>
      <c r="B259" t="s">
        <v>35</v>
      </c>
      <c r="C259" t="s">
        <v>16</v>
      </c>
      <c r="D259" s="1">
        <v>39268</v>
      </c>
      <c r="E259" s="2">
        <v>153000</v>
      </c>
      <c r="F259" s="2">
        <v>137600</v>
      </c>
      <c r="G259" t="s">
        <v>17</v>
      </c>
      <c r="H259" s="2">
        <v>999.92</v>
      </c>
      <c r="I259" s="2">
        <v>137462.54</v>
      </c>
      <c r="J259">
        <v>8.5999999999999993E-2</v>
      </c>
      <c r="K259">
        <v>9</v>
      </c>
      <c r="L259">
        <v>351</v>
      </c>
      <c r="M259" t="str">
        <f t="shared" ref="M259:M322" si="75">(IF((L259+K259)&lt;180,"15 Year Fixed","30 Year Fixed"))</f>
        <v>30 Year Fixed</v>
      </c>
      <c r="N259" s="2">
        <v>985.15</v>
      </c>
      <c r="O259" t="str">
        <f t="shared" si="72"/>
        <v>Refi</v>
      </c>
      <c r="P259" s="3">
        <f t="shared" ref="P259:P322" si="76">IF((0.85*E259)&gt;(I259*1.015),((0.85*E259)/1.015)-(I259),0)</f>
        <v>0</v>
      </c>
      <c r="Q259" s="4">
        <v>139524</v>
      </c>
      <c r="R259" s="4" t="s">
        <v>41</v>
      </c>
      <c r="S259" s="6">
        <v>607</v>
      </c>
      <c r="T259">
        <v>6.875</v>
      </c>
      <c r="U259" s="7">
        <f t="shared" si="73"/>
        <v>974.70835799262738</v>
      </c>
      <c r="V259" s="2">
        <f t="shared" ref="V259:V322" si="77">H259-U259</f>
        <v>25.211642007372575</v>
      </c>
      <c r="W259" s="9">
        <f t="shared" ref="W259:W322" si="78">IF(AND(O259="Cash Out",V259&lt;0),1,0)</f>
        <v>0</v>
      </c>
      <c r="X259" s="3">
        <v>139525</v>
      </c>
      <c r="Y259" s="3">
        <f t="shared" ref="Y259:Y322" si="79">(X259/1.015)-(I259)</f>
        <v>0.51418719213688746</v>
      </c>
      <c r="Z259" s="7">
        <f t="shared" ref="Z259:Z322" si="80">(X259*((AL259/1200)/(1-(1+(AL259/1200))^-AI259)))+((X259*0.005)/12)</f>
        <v>974.71534394743071</v>
      </c>
      <c r="AA259" s="2">
        <f t="shared" si="74"/>
        <v>25.204656052569248</v>
      </c>
      <c r="AB259" s="8">
        <f t="shared" ref="AB259:AB322" si="81">IF(I259=0,0,IF(AND(AH259&gt;0,(AP259/AO259)&lt;0.07),1,IF(AND(AH259=0,(AP259/AO259)&lt;0.1),1,0)))</f>
        <v>1</v>
      </c>
      <c r="AC259" s="10">
        <v>6.25</v>
      </c>
      <c r="AD259" s="7">
        <f t="shared" ref="AD259:AD322" si="82">(X259*((AC259/1200)/(1-(1+(AC259/1200))^-AI259)))+((X259*0.005)/12)</f>
        <v>917.21484056159227</v>
      </c>
      <c r="AE259" s="2">
        <f t="shared" ref="AE259:AE322" si="83">H259-AD259</f>
        <v>82.705159438407691</v>
      </c>
      <c r="AF259" s="10">
        <v>2.5</v>
      </c>
      <c r="AG259" s="3">
        <f t="shared" ref="AG259:AG322" si="84">AF259*X259/100</f>
        <v>3488.125</v>
      </c>
      <c r="AH259" s="7">
        <v>5916.8</v>
      </c>
      <c r="AI259">
        <f t="shared" ref="AI259:AI322" si="85">IF(M259="30 Year Fixed",360,180)</f>
        <v>360</v>
      </c>
      <c r="AJ259" t="e">
        <f>VLOOKUP(A259,'Borrower Details'!$A$1:$H$1493,8,FALSE)</f>
        <v>#N/A</v>
      </c>
      <c r="AK259" s="4" t="e">
        <f t="shared" ref="AK259:AK322" si="86">IF(AJ259&gt;360,PV((J259/12),AJ259-AI259,-H259),"NA")</f>
        <v>#N/A</v>
      </c>
      <c r="AL259" s="10">
        <v>6.875</v>
      </c>
      <c r="AM259" s="3">
        <f t="shared" ref="AM259:AM322" si="87">I259*1.015</f>
        <v>139524.47810000001</v>
      </c>
      <c r="AN259">
        <v>6.875</v>
      </c>
      <c r="AO259" s="7">
        <f t="shared" ref="AO259:AO322" si="88">(AM259*((AN259/1200)/(1-(1+(AN259/1200))^-AI259)))+((AM259*0.005)/12)</f>
        <v>974.711697977619</v>
      </c>
      <c r="AP259" s="2">
        <f t="shared" ref="AP259:AP322" si="89">H259-AO259</f>
        <v>25.208302022380963</v>
      </c>
    </row>
    <row r="260" spans="1:42" x14ac:dyDescent="0.15">
      <c r="A260" s="8">
        <v>1167710</v>
      </c>
      <c r="B260" t="s">
        <v>37</v>
      </c>
      <c r="C260" t="s">
        <v>18</v>
      </c>
      <c r="D260" s="1">
        <v>39157</v>
      </c>
      <c r="E260" s="2">
        <v>260000</v>
      </c>
      <c r="F260" s="2">
        <v>247000</v>
      </c>
      <c r="G260" t="s">
        <v>15</v>
      </c>
      <c r="H260" s="2">
        <v>1913.24</v>
      </c>
      <c r="I260" s="2">
        <v>246733.5</v>
      </c>
      <c r="J260">
        <v>9.1999999999999998E-2</v>
      </c>
      <c r="K260">
        <v>13</v>
      </c>
      <c r="L260">
        <v>347</v>
      </c>
      <c r="M260" t="str">
        <f t="shared" si="75"/>
        <v>30 Year Fixed</v>
      </c>
      <c r="N260" s="2">
        <v>1891.79</v>
      </c>
      <c r="O260" t="str">
        <f t="shared" si="72"/>
        <v>Refi</v>
      </c>
      <c r="P260" s="3">
        <f t="shared" si="76"/>
        <v>0</v>
      </c>
      <c r="Q260" s="4">
        <v>250435</v>
      </c>
      <c r="R260" s="4" t="s">
        <v>41</v>
      </c>
      <c r="S260" s="6">
        <v>631</v>
      </c>
      <c r="T260">
        <v>6.75</v>
      </c>
      <c r="U260" s="7">
        <f t="shared" si="73"/>
        <v>1728.6645598072728</v>
      </c>
      <c r="V260" s="2">
        <f t="shared" si="77"/>
        <v>184.57544019272723</v>
      </c>
      <c r="W260" s="9">
        <f t="shared" si="78"/>
        <v>0</v>
      </c>
      <c r="X260" s="3">
        <v>250435</v>
      </c>
      <c r="Y260" s="3">
        <f t="shared" si="79"/>
        <v>0.49014778327546082</v>
      </c>
      <c r="Z260" s="7">
        <f t="shared" si="80"/>
        <v>1728.6645598072728</v>
      </c>
      <c r="AA260" s="2">
        <f t="shared" si="74"/>
        <v>184.57544019272723</v>
      </c>
      <c r="AB260" s="8">
        <f t="shared" si="81"/>
        <v>0</v>
      </c>
      <c r="AC260" s="10">
        <v>6.75</v>
      </c>
      <c r="AD260" s="7">
        <f t="shared" si="82"/>
        <v>1728.6645598072728</v>
      </c>
      <c r="AE260" s="2">
        <f t="shared" si="83"/>
        <v>184.57544019272723</v>
      </c>
      <c r="AF260" s="10">
        <v>0</v>
      </c>
      <c r="AG260" s="3">
        <f t="shared" si="84"/>
        <v>0</v>
      </c>
      <c r="AH260" s="7">
        <v>2470</v>
      </c>
      <c r="AI260">
        <f t="shared" si="85"/>
        <v>360</v>
      </c>
      <c r="AJ260" t="e">
        <f>VLOOKUP(A260,'Borrower Details'!$A$1:$H$1493,8,FALSE)</f>
        <v>#N/A</v>
      </c>
      <c r="AK260" s="4" t="e">
        <f t="shared" si="86"/>
        <v>#N/A</v>
      </c>
      <c r="AL260" s="10">
        <v>6.75</v>
      </c>
      <c r="AM260" s="3">
        <f t="shared" si="87"/>
        <v>250434.50249999997</v>
      </c>
      <c r="AN260">
        <v>6.75</v>
      </c>
      <c r="AO260" s="7">
        <f t="shared" si="88"/>
        <v>1728.6611257400757</v>
      </c>
      <c r="AP260" s="2">
        <f t="shared" si="89"/>
        <v>184.57887425992431</v>
      </c>
    </row>
    <row r="261" spans="1:42" x14ac:dyDescent="0.15">
      <c r="A261" s="8">
        <v>1142570</v>
      </c>
      <c r="B261" t="s">
        <v>38</v>
      </c>
      <c r="C261" t="s">
        <v>18</v>
      </c>
      <c r="D261" s="1">
        <v>39142</v>
      </c>
      <c r="E261" s="2">
        <v>110000</v>
      </c>
      <c r="F261" s="2">
        <v>82400</v>
      </c>
      <c r="G261" t="s">
        <v>17</v>
      </c>
      <c r="H261" s="2">
        <v>648.25</v>
      </c>
      <c r="I261" s="2">
        <v>81703.78</v>
      </c>
      <c r="J261">
        <v>8.7499999999999994E-2</v>
      </c>
      <c r="K261">
        <v>14</v>
      </c>
      <c r="L261">
        <v>346</v>
      </c>
      <c r="M261" t="str">
        <f t="shared" si="75"/>
        <v>30 Year Fixed</v>
      </c>
      <c r="N261" s="2">
        <v>595.76</v>
      </c>
      <c r="O261" t="str">
        <f t="shared" si="72"/>
        <v>Cash Out</v>
      </c>
      <c r="P261" s="3">
        <f t="shared" si="76"/>
        <v>10414.446600985233</v>
      </c>
      <c r="Q261" s="4">
        <v>93500</v>
      </c>
      <c r="R261" s="4" t="s">
        <v>41</v>
      </c>
      <c r="S261" s="6">
        <v>542</v>
      </c>
      <c r="T261">
        <v>7.625</v>
      </c>
      <c r="U261" s="7">
        <f t="shared" si="73"/>
        <v>700.74548617491837</v>
      </c>
      <c r="V261" s="2">
        <f t="shared" si="77"/>
        <v>-52.495486174918369</v>
      </c>
      <c r="W261" s="9">
        <f t="shared" si="78"/>
        <v>1</v>
      </c>
      <c r="X261" s="3">
        <v>86420</v>
      </c>
      <c r="Y261" s="3">
        <f t="shared" si="79"/>
        <v>3439.0771428571461</v>
      </c>
      <c r="Z261" s="7">
        <f t="shared" si="80"/>
        <v>647.6836889330101</v>
      </c>
      <c r="AA261" s="2">
        <f t="shared" si="74"/>
        <v>0.56631106698989697</v>
      </c>
      <c r="AB261" s="8">
        <f t="shared" si="81"/>
        <v>1</v>
      </c>
      <c r="AC261" s="10">
        <v>6.5</v>
      </c>
      <c r="AD261" s="7">
        <f t="shared" si="82"/>
        <v>582.24151923595457</v>
      </c>
      <c r="AE261" s="2">
        <f t="shared" si="83"/>
        <v>66.00848076404543</v>
      </c>
      <c r="AF261" s="10">
        <v>2.625</v>
      </c>
      <c r="AG261" s="3">
        <f t="shared" si="84"/>
        <v>2268.5250000000001</v>
      </c>
      <c r="AH261" s="7">
        <v>0</v>
      </c>
      <c r="AI261">
        <f t="shared" si="85"/>
        <v>360</v>
      </c>
      <c r="AJ261" t="e">
        <f>VLOOKUP(A261,'Borrower Details'!$A$1:$H$1493,8,FALSE)</f>
        <v>#N/A</v>
      </c>
      <c r="AK261" s="4" t="e">
        <f t="shared" si="86"/>
        <v>#N/A</v>
      </c>
      <c r="AL261" s="10">
        <v>7.625</v>
      </c>
      <c r="AM261" s="3">
        <f t="shared" si="87"/>
        <v>82929.336699999985</v>
      </c>
      <c r="AN261">
        <v>7.625</v>
      </c>
      <c r="AO261" s="7">
        <f t="shared" si="88"/>
        <v>621.52254934764699</v>
      </c>
      <c r="AP261" s="2">
        <f t="shared" si="89"/>
        <v>26.727450652353014</v>
      </c>
    </row>
    <row r="262" spans="1:42" x14ac:dyDescent="0.15">
      <c r="A262" s="8">
        <v>1158130</v>
      </c>
      <c r="B262" t="s">
        <v>37</v>
      </c>
      <c r="C262" t="s">
        <v>18</v>
      </c>
      <c r="D262" s="1">
        <v>39157</v>
      </c>
      <c r="E262" s="2">
        <v>200000</v>
      </c>
      <c r="F262" s="2">
        <v>180000</v>
      </c>
      <c r="G262" t="s">
        <v>15</v>
      </c>
      <c r="H262" s="2">
        <v>1506.98</v>
      </c>
      <c r="I262" s="2">
        <v>178633.64</v>
      </c>
      <c r="J262">
        <v>9.4500000000000001E-2</v>
      </c>
      <c r="K262">
        <v>13</v>
      </c>
      <c r="L262">
        <v>348</v>
      </c>
      <c r="M262" t="str">
        <f t="shared" si="75"/>
        <v>30 Year Fixed</v>
      </c>
      <c r="N262" s="2">
        <v>1406.74</v>
      </c>
      <c r="O262" t="str">
        <f t="shared" si="72"/>
        <v>Refi</v>
      </c>
      <c r="P262" s="3">
        <f t="shared" si="76"/>
        <v>0</v>
      </c>
      <c r="Q262" s="4">
        <v>181313</v>
      </c>
      <c r="R262" s="4" t="s">
        <v>41</v>
      </c>
      <c r="S262" s="6">
        <v>540</v>
      </c>
      <c r="T262">
        <v>7.625</v>
      </c>
      <c r="U262" s="7">
        <f t="shared" si="73"/>
        <v>1358.8691586613152</v>
      </c>
      <c r="V262" s="2">
        <f t="shared" si="77"/>
        <v>148.11084133868485</v>
      </c>
      <c r="W262" s="9">
        <f t="shared" si="78"/>
        <v>0</v>
      </c>
      <c r="X262" s="3">
        <v>181314</v>
      </c>
      <c r="Y262" s="3">
        <f t="shared" si="79"/>
        <v>0.84275862068170682</v>
      </c>
      <c r="Z262" s="7">
        <f t="shared" si="80"/>
        <v>1358.8766532654454</v>
      </c>
      <c r="AA262" s="2">
        <f t="shared" si="74"/>
        <v>148.10334673455463</v>
      </c>
      <c r="AB262" s="8">
        <f t="shared" si="81"/>
        <v>0</v>
      </c>
      <c r="AC262" s="10">
        <v>7.625</v>
      </c>
      <c r="AD262" s="7">
        <f t="shared" si="82"/>
        <v>1358.8766532654454</v>
      </c>
      <c r="AE262" s="2">
        <f t="shared" si="83"/>
        <v>148.10334673455463</v>
      </c>
      <c r="AF262" s="10">
        <v>0</v>
      </c>
      <c r="AG262" s="3">
        <f t="shared" si="84"/>
        <v>0</v>
      </c>
      <c r="AH262" s="7">
        <v>1800</v>
      </c>
      <c r="AI262">
        <f t="shared" si="85"/>
        <v>360</v>
      </c>
      <c r="AJ262" t="e">
        <f>VLOOKUP(A262,'Borrower Details'!$A$1:$H$1493,8,FALSE)</f>
        <v>#N/A</v>
      </c>
      <c r="AK262" s="4" t="e">
        <f t="shared" si="86"/>
        <v>#N/A</v>
      </c>
      <c r="AL262" s="10">
        <v>7.625</v>
      </c>
      <c r="AM262" s="3">
        <f t="shared" si="87"/>
        <v>181313.1446</v>
      </c>
      <c r="AN262">
        <v>7.625</v>
      </c>
      <c r="AO262" s="7">
        <f t="shared" si="88"/>
        <v>1358.8702423810723</v>
      </c>
      <c r="AP262" s="2">
        <f t="shared" si="89"/>
        <v>148.10975761892769</v>
      </c>
    </row>
    <row r="263" spans="1:42" x14ac:dyDescent="0.15">
      <c r="A263" s="8">
        <v>1153411</v>
      </c>
      <c r="B263" t="s">
        <v>36</v>
      </c>
      <c r="C263" t="s">
        <v>19</v>
      </c>
      <c r="D263" s="1">
        <v>39140</v>
      </c>
      <c r="E263" s="2">
        <v>430000</v>
      </c>
      <c r="F263" s="2">
        <v>300000</v>
      </c>
      <c r="G263" t="s">
        <v>15</v>
      </c>
      <c r="H263" s="2">
        <v>2199.21</v>
      </c>
      <c r="I263" s="2">
        <v>297037.3</v>
      </c>
      <c r="J263">
        <v>7.9899999999999999E-2</v>
      </c>
      <c r="K263">
        <v>14</v>
      </c>
      <c r="L263">
        <v>346</v>
      </c>
      <c r="M263" t="str">
        <f t="shared" si="75"/>
        <v>30 Year Fixed</v>
      </c>
      <c r="N263" s="2">
        <v>1977.77</v>
      </c>
      <c r="O263" t="str">
        <f t="shared" si="72"/>
        <v>Cash Out</v>
      </c>
      <c r="P263" s="3">
        <f t="shared" si="76"/>
        <v>63061.222167487722</v>
      </c>
      <c r="Q263" s="4">
        <v>365500</v>
      </c>
      <c r="R263" s="4" t="s">
        <v>41</v>
      </c>
      <c r="S263" s="6">
        <v>537</v>
      </c>
      <c r="T263">
        <v>7.625</v>
      </c>
      <c r="U263" s="7">
        <f t="shared" si="73"/>
        <v>2739.2778095928625</v>
      </c>
      <c r="V263" s="2">
        <f t="shared" si="77"/>
        <v>-540.06780959286243</v>
      </c>
      <c r="W263" s="9">
        <f t="shared" si="78"/>
        <v>1</v>
      </c>
      <c r="X263" s="3">
        <v>301493</v>
      </c>
      <c r="Y263" s="3">
        <f t="shared" si="79"/>
        <v>0.13842364534502849</v>
      </c>
      <c r="Z263" s="7">
        <f t="shared" si="80"/>
        <v>2259.570683030317</v>
      </c>
      <c r="AA263" s="2">
        <f t="shared" si="74"/>
        <v>-60.360683030316977</v>
      </c>
      <c r="AB263" s="8">
        <f t="shared" si="81"/>
        <v>1</v>
      </c>
      <c r="AC263" s="10">
        <v>6.875</v>
      </c>
      <c r="AD263" s="7">
        <f t="shared" si="82"/>
        <v>2106.2164715480576</v>
      </c>
      <c r="AE263" s="2">
        <f t="shared" si="83"/>
        <v>92.993528451942439</v>
      </c>
      <c r="AF263" s="10">
        <v>1</v>
      </c>
      <c r="AG263" s="3">
        <f t="shared" si="84"/>
        <v>3014.93</v>
      </c>
      <c r="AH263" s="7">
        <v>6000</v>
      </c>
      <c r="AI263">
        <f t="shared" si="85"/>
        <v>360</v>
      </c>
      <c r="AJ263" t="e">
        <f>VLOOKUP(A263,'Borrower Details'!$A$1:$H$1493,8,FALSE)</f>
        <v>#N/A</v>
      </c>
      <c r="AK263" s="4" t="e">
        <f t="shared" si="86"/>
        <v>#N/A</v>
      </c>
      <c r="AL263" s="10">
        <v>7.625</v>
      </c>
      <c r="AM263" s="3">
        <f t="shared" si="87"/>
        <v>301492.85949999996</v>
      </c>
      <c r="AN263">
        <v>7.625</v>
      </c>
      <c r="AO263" s="7">
        <f t="shared" si="88"/>
        <v>2259.5696300384366</v>
      </c>
      <c r="AP263" s="2">
        <f t="shared" si="89"/>
        <v>-60.359630038436535</v>
      </c>
    </row>
    <row r="264" spans="1:42" x14ac:dyDescent="0.15">
      <c r="A264" s="8">
        <v>1185786</v>
      </c>
      <c r="B264" t="s">
        <v>37</v>
      </c>
      <c r="C264" t="s">
        <v>18</v>
      </c>
      <c r="D264" s="1">
        <v>39185</v>
      </c>
      <c r="E264" s="2">
        <v>70000</v>
      </c>
      <c r="F264" s="2">
        <v>59500</v>
      </c>
      <c r="G264" t="s">
        <v>17</v>
      </c>
      <c r="H264" s="2">
        <v>500.31</v>
      </c>
      <c r="I264" s="2">
        <v>59100.9</v>
      </c>
      <c r="J264">
        <v>9.5000000000000001E-2</v>
      </c>
      <c r="K264">
        <v>12</v>
      </c>
      <c r="L264">
        <v>347</v>
      </c>
      <c r="M264" t="str">
        <f t="shared" si="75"/>
        <v>30 Year Fixed</v>
      </c>
      <c r="N264" s="2">
        <v>467.88</v>
      </c>
      <c r="O264" t="str">
        <f t="shared" si="72"/>
        <v>Refi</v>
      </c>
      <c r="P264" s="3">
        <f t="shared" si="76"/>
        <v>0</v>
      </c>
      <c r="Q264" s="4">
        <v>59987</v>
      </c>
      <c r="R264" s="4" t="s">
        <v>41</v>
      </c>
      <c r="S264" s="6">
        <v>565</v>
      </c>
      <c r="T264">
        <v>7.625</v>
      </c>
      <c r="U264" s="7">
        <f t="shared" si="73"/>
        <v>449.57881795908906</v>
      </c>
      <c r="V264" s="2">
        <f t="shared" si="77"/>
        <v>50.731182040910937</v>
      </c>
      <c r="W264" s="9">
        <f t="shared" si="78"/>
        <v>0</v>
      </c>
      <c r="X264" s="3">
        <v>59988</v>
      </c>
      <c r="Y264" s="3">
        <f t="shared" si="79"/>
        <v>0.57783251231739996</v>
      </c>
      <c r="Z264" s="7">
        <f t="shared" si="80"/>
        <v>449.58631256321928</v>
      </c>
      <c r="AA264" s="2">
        <f t="shared" si="74"/>
        <v>50.723687436780722</v>
      </c>
      <c r="AB264" s="8">
        <f t="shared" si="81"/>
        <v>0</v>
      </c>
      <c r="AC264" s="10">
        <v>7.625</v>
      </c>
      <c r="AD264" s="7">
        <f t="shared" si="82"/>
        <v>449.58631256321928</v>
      </c>
      <c r="AE264" s="2">
        <f t="shared" si="83"/>
        <v>50.723687436780722</v>
      </c>
      <c r="AF264" s="10">
        <v>0</v>
      </c>
      <c r="AG264" s="3">
        <f t="shared" si="84"/>
        <v>0</v>
      </c>
      <c r="AH264" s="7">
        <v>0</v>
      </c>
      <c r="AI264">
        <f t="shared" si="85"/>
        <v>360</v>
      </c>
      <c r="AJ264" t="e">
        <f>VLOOKUP(A264,'Borrower Details'!$A$1:$H$1493,8,FALSE)</f>
        <v>#N/A</v>
      </c>
      <c r="AK264" s="4" t="e">
        <f t="shared" si="86"/>
        <v>#N/A</v>
      </c>
      <c r="AL264" s="10">
        <v>7.625</v>
      </c>
      <c r="AM264" s="3">
        <f t="shared" si="87"/>
        <v>59987.413499999995</v>
      </c>
      <c r="AN264">
        <v>7.625</v>
      </c>
      <c r="AO264" s="7">
        <f t="shared" si="88"/>
        <v>449.58191697789687</v>
      </c>
      <c r="AP264" s="2">
        <f t="shared" si="89"/>
        <v>50.728083022103135</v>
      </c>
    </row>
    <row r="265" spans="1:42" x14ac:dyDescent="0.15">
      <c r="A265" s="8">
        <v>1187209</v>
      </c>
      <c r="B265" t="s">
        <v>35</v>
      </c>
      <c r="C265" t="s">
        <v>16</v>
      </c>
      <c r="D265" s="1">
        <v>39196</v>
      </c>
      <c r="E265" s="2">
        <v>130000</v>
      </c>
      <c r="F265" s="2">
        <v>110500</v>
      </c>
      <c r="G265" t="s">
        <v>17</v>
      </c>
      <c r="H265" s="2">
        <v>845.74</v>
      </c>
      <c r="I265" s="2">
        <v>109612.71</v>
      </c>
      <c r="J265">
        <v>8.4500000000000006E-2</v>
      </c>
      <c r="K265">
        <v>12</v>
      </c>
      <c r="L265">
        <v>348</v>
      </c>
      <c r="M265" t="str">
        <f t="shared" si="75"/>
        <v>30 Year Fixed</v>
      </c>
      <c r="N265" s="2">
        <v>771.86</v>
      </c>
      <c r="O265" t="str">
        <f t="shared" si="72"/>
        <v>Refi</v>
      </c>
      <c r="P265" s="3">
        <f t="shared" si="76"/>
        <v>0</v>
      </c>
      <c r="Q265" s="4">
        <v>111257</v>
      </c>
      <c r="R265" s="4" t="s">
        <v>41</v>
      </c>
      <c r="S265" s="6">
        <v>572</v>
      </c>
      <c r="T265">
        <v>7.625</v>
      </c>
      <c r="U265" s="7">
        <f t="shared" si="73"/>
        <v>833.82717171511115</v>
      </c>
      <c r="V265" s="2">
        <f t="shared" si="77"/>
        <v>11.91282828488886</v>
      </c>
      <c r="W265" s="9">
        <f t="shared" si="78"/>
        <v>0</v>
      </c>
      <c r="X265" s="3">
        <v>111257</v>
      </c>
      <c r="Y265" s="3">
        <f t="shared" si="79"/>
        <v>9.7881773399421945E-2</v>
      </c>
      <c r="Z265" s="7">
        <f t="shared" si="80"/>
        <v>833.82717171511115</v>
      </c>
      <c r="AA265" s="2">
        <f t="shared" si="74"/>
        <v>11.91282828488886</v>
      </c>
      <c r="AB265" s="8">
        <f t="shared" si="81"/>
        <v>1</v>
      </c>
      <c r="AC265" s="10">
        <v>6.875</v>
      </c>
      <c r="AD265" s="7">
        <f t="shared" si="82"/>
        <v>777.23637356430254</v>
      </c>
      <c r="AE265" s="2">
        <f t="shared" si="83"/>
        <v>68.50362643569747</v>
      </c>
      <c r="AF265" s="10">
        <v>1</v>
      </c>
      <c r="AG265" s="3">
        <f t="shared" si="84"/>
        <v>1112.57</v>
      </c>
      <c r="AH265" s="7">
        <v>4668.625</v>
      </c>
      <c r="AI265">
        <f t="shared" si="85"/>
        <v>360</v>
      </c>
      <c r="AJ265" t="e">
        <f>VLOOKUP(A265,'Borrower Details'!$A$1:$H$1493,8,FALSE)</f>
        <v>#N/A</v>
      </c>
      <c r="AK265" s="4" t="e">
        <f t="shared" si="86"/>
        <v>#N/A</v>
      </c>
      <c r="AL265" s="10">
        <v>7.625</v>
      </c>
      <c r="AM265" s="3">
        <f t="shared" si="87"/>
        <v>111256.90065</v>
      </c>
      <c r="AN265">
        <v>7.625</v>
      </c>
      <c r="AO265" s="7">
        <f t="shared" si="88"/>
        <v>833.82642712619077</v>
      </c>
      <c r="AP265" s="2">
        <f t="shared" si="89"/>
        <v>11.913572873809244</v>
      </c>
    </row>
    <row r="266" spans="1:42" x14ac:dyDescent="0.15">
      <c r="A266" s="8">
        <v>410949929</v>
      </c>
      <c r="B266" t="s">
        <v>37</v>
      </c>
      <c r="C266" t="s">
        <v>16</v>
      </c>
      <c r="D266" s="1">
        <v>39351</v>
      </c>
      <c r="E266" s="2">
        <v>170000</v>
      </c>
      <c r="F266" s="2">
        <v>144500</v>
      </c>
      <c r="G266" t="s">
        <v>21</v>
      </c>
      <c r="H266" s="2">
        <v>1324.13</v>
      </c>
      <c r="I266" s="2">
        <v>144373.26999999999</v>
      </c>
      <c r="J266">
        <v>0.1085</v>
      </c>
      <c r="K266">
        <v>7</v>
      </c>
      <c r="L266">
        <v>353</v>
      </c>
      <c r="M266" t="str">
        <f t="shared" si="75"/>
        <v>30 Year Fixed</v>
      </c>
      <c r="N266" s="2">
        <v>1305.3699999999999</v>
      </c>
      <c r="O266" t="str">
        <f t="shared" si="72"/>
        <v>Refi</v>
      </c>
      <c r="P266" s="3">
        <f t="shared" si="76"/>
        <v>0</v>
      </c>
      <c r="Q266" s="4">
        <v>146539</v>
      </c>
      <c r="R266" s="4" t="s">
        <v>41</v>
      </c>
      <c r="S266" s="6">
        <v>569</v>
      </c>
      <c r="T266">
        <v>7.625</v>
      </c>
      <c r="U266" s="7">
        <f t="shared" si="73"/>
        <v>1098.2517946372873</v>
      </c>
      <c r="V266" s="2">
        <f t="shared" si="77"/>
        <v>225.87820536271283</v>
      </c>
      <c r="W266" s="9">
        <f t="shared" si="78"/>
        <v>0</v>
      </c>
      <c r="X266" s="3">
        <v>146539</v>
      </c>
      <c r="Y266" s="3">
        <f t="shared" si="79"/>
        <v>0.12901477835839614</v>
      </c>
      <c r="Z266" s="7">
        <f t="shared" si="80"/>
        <v>1098.2517946372873</v>
      </c>
      <c r="AA266" s="2">
        <f t="shared" si="74"/>
        <v>225.87820536271283</v>
      </c>
      <c r="AB266" s="8">
        <f t="shared" si="81"/>
        <v>0</v>
      </c>
      <c r="AC266" s="10">
        <v>7.625</v>
      </c>
      <c r="AD266" s="7">
        <f t="shared" si="82"/>
        <v>1098.2517946372873</v>
      </c>
      <c r="AE266" s="2">
        <f t="shared" si="83"/>
        <v>225.87820536271283</v>
      </c>
      <c r="AF266" s="10">
        <v>0</v>
      </c>
      <c r="AG266" s="3">
        <f t="shared" si="84"/>
        <v>0</v>
      </c>
      <c r="AH266" s="7">
        <v>0</v>
      </c>
      <c r="AI266">
        <f t="shared" si="85"/>
        <v>360</v>
      </c>
      <c r="AJ266" t="e">
        <f>VLOOKUP(A266,'Borrower Details'!$A$1:$H$1493,8,FALSE)</f>
        <v>#N/A</v>
      </c>
      <c r="AK266" s="4" t="e">
        <f t="shared" si="86"/>
        <v>#N/A</v>
      </c>
      <c r="AL266" s="10">
        <v>7.625</v>
      </c>
      <c r="AM266" s="3">
        <f t="shared" si="87"/>
        <v>146538.86904999998</v>
      </c>
      <c r="AN266">
        <v>7.625</v>
      </c>
      <c r="AO266" s="7">
        <f t="shared" si="88"/>
        <v>1098.2508132188761</v>
      </c>
      <c r="AP266" s="2">
        <f t="shared" si="89"/>
        <v>225.87918678112396</v>
      </c>
    </row>
    <row r="267" spans="1:42" x14ac:dyDescent="0.15">
      <c r="A267" s="8">
        <v>410812655</v>
      </c>
      <c r="B267" t="s">
        <v>36</v>
      </c>
      <c r="C267" t="s">
        <v>18</v>
      </c>
      <c r="D267" s="1">
        <v>39322</v>
      </c>
      <c r="E267" s="2">
        <v>175100</v>
      </c>
      <c r="F267" s="2">
        <v>157000</v>
      </c>
      <c r="G267" t="s">
        <v>17</v>
      </c>
      <c r="H267" s="2">
        <v>1366.2</v>
      </c>
      <c r="I267" s="2">
        <v>156415.72</v>
      </c>
      <c r="J267">
        <v>9.9000000000000005E-2</v>
      </c>
      <c r="K267">
        <v>8</v>
      </c>
      <c r="L267">
        <v>352</v>
      </c>
      <c r="M267" t="str">
        <f t="shared" si="75"/>
        <v>30 Year Fixed</v>
      </c>
      <c r="N267" s="2">
        <v>1290.43</v>
      </c>
      <c r="O267" t="str">
        <f t="shared" si="72"/>
        <v>Refi</v>
      </c>
      <c r="P267" s="3">
        <f t="shared" si="76"/>
        <v>0</v>
      </c>
      <c r="Q267" s="4">
        <v>158762</v>
      </c>
      <c r="R267" s="4" t="s">
        <v>41</v>
      </c>
      <c r="S267" s="6">
        <v>609</v>
      </c>
      <c r="T267">
        <v>6.875</v>
      </c>
      <c r="U267" s="7">
        <f t="shared" si="73"/>
        <v>1109.1041565008566</v>
      </c>
      <c r="V267" s="2">
        <f t="shared" si="77"/>
        <v>257.09584349914348</v>
      </c>
      <c r="W267" s="9">
        <f t="shared" si="78"/>
        <v>0</v>
      </c>
      <c r="X267" s="3">
        <v>158762</v>
      </c>
      <c r="Y267" s="3">
        <f t="shared" si="79"/>
        <v>4.3546798056922853E-2</v>
      </c>
      <c r="Z267" s="7">
        <f t="shared" si="80"/>
        <v>1109.1041565008566</v>
      </c>
      <c r="AA267" s="2">
        <f t="shared" si="74"/>
        <v>257.09584349914348</v>
      </c>
      <c r="AB267" s="8">
        <f t="shared" si="81"/>
        <v>0</v>
      </c>
      <c r="AC267" s="10">
        <v>6.875</v>
      </c>
      <c r="AD267" s="7">
        <f t="shared" si="82"/>
        <v>1109.1041565008566</v>
      </c>
      <c r="AE267" s="2">
        <f t="shared" si="83"/>
        <v>257.09584349914348</v>
      </c>
      <c r="AF267" s="10">
        <v>0</v>
      </c>
      <c r="AG267" s="3">
        <f t="shared" si="84"/>
        <v>0</v>
      </c>
      <c r="AH267" s="7">
        <v>3140</v>
      </c>
      <c r="AI267">
        <f t="shared" si="85"/>
        <v>360</v>
      </c>
      <c r="AJ267" t="e">
        <f>VLOOKUP(A267,'Borrower Details'!$A$1:$H$1493,8,FALSE)</f>
        <v>#N/A</v>
      </c>
      <c r="AK267" s="4" t="e">
        <f t="shared" si="86"/>
        <v>#N/A</v>
      </c>
      <c r="AL267" s="10">
        <v>6.875</v>
      </c>
      <c r="AM267" s="3">
        <f t="shared" si="87"/>
        <v>158761.9558</v>
      </c>
      <c r="AN267">
        <v>6.875</v>
      </c>
      <c r="AO267" s="7">
        <f t="shared" si="88"/>
        <v>1109.1038477216541</v>
      </c>
      <c r="AP267" s="2">
        <f t="shared" si="89"/>
        <v>257.09615227834593</v>
      </c>
    </row>
    <row r="268" spans="1:42" x14ac:dyDescent="0.15">
      <c r="A268" s="8">
        <v>410529317</v>
      </c>
      <c r="B268" t="s">
        <v>35</v>
      </c>
      <c r="C268" t="s">
        <v>16</v>
      </c>
      <c r="D268" s="1">
        <v>39283</v>
      </c>
      <c r="E268" s="2">
        <v>91000</v>
      </c>
      <c r="F268" s="2">
        <v>72800</v>
      </c>
      <c r="G268" t="s">
        <v>17</v>
      </c>
      <c r="H268" s="2">
        <v>638.34</v>
      </c>
      <c r="I268" s="2">
        <v>72486.31</v>
      </c>
      <c r="J268">
        <v>9.9900000000000003E-2</v>
      </c>
      <c r="K268">
        <v>9</v>
      </c>
      <c r="L268">
        <v>351</v>
      </c>
      <c r="M268" t="str">
        <f t="shared" si="75"/>
        <v>30 Year Fixed</v>
      </c>
      <c r="N268" s="2">
        <v>603.45000000000005</v>
      </c>
      <c r="O268" t="str">
        <f t="shared" si="72"/>
        <v>Cash Out</v>
      </c>
      <c r="P268" s="3">
        <f t="shared" si="76"/>
        <v>3720.5865517241473</v>
      </c>
      <c r="Q268" s="4">
        <v>77350</v>
      </c>
      <c r="R268" s="4" t="s">
        <v>41</v>
      </c>
      <c r="S268" s="6">
        <v>562</v>
      </c>
      <c r="T268">
        <v>7.625</v>
      </c>
      <c r="U268" s="7">
        <f t="shared" si="73"/>
        <v>579.70762947197784</v>
      </c>
      <c r="V268" s="2">
        <f t="shared" si="77"/>
        <v>58.632370528022193</v>
      </c>
      <c r="W268" s="9">
        <f t="shared" si="78"/>
        <v>0</v>
      </c>
      <c r="X268" s="3">
        <v>77350</v>
      </c>
      <c r="Y268" s="3">
        <f t="shared" si="79"/>
        <v>3720.5865517241473</v>
      </c>
      <c r="Z268" s="7">
        <f t="shared" si="80"/>
        <v>579.70762947197784</v>
      </c>
      <c r="AA268" s="2">
        <f t="shared" si="74"/>
        <v>58.632370528022193</v>
      </c>
      <c r="AB268" s="8">
        <f t="shared" si="81"/>
        <v>0</v>
      </c>
      <c r="AC268" s="10">
        <v>7.625</v>
      </c>
      <c r="AD268" s="7">
        <f t="shared" si="82"/>
        <v>579.70762947197784</v>
      </c>
      <c r="AE268" s="2">
        <f t="shared" si="83"/>
        <v>58.632370528022193</v>
      </c>
      <c r="AF268" s="10">
        <v>0</v>
      </c>
      <c r="AG268" s="3">
        <f t="shared" si="84"/>
        <v>0</v>
      </c>
      <c r="AH268" s="7">
        <v>3636.36</v>
      </c>
      <c r="AI268">
        <f t="shared" si="85"/>
        <v>360</v>
      </c>
      <c r="AJ268" t="e">
        <f>VLOOKUP(A268,'Borrower Details'!$A$1:$H$1493,8,FALSE)</f>
        <v>#N/A</v>
      </c>
      <c r="AK268" s="4" t="e">
        <f t="shared" si="86"/>
        <v>#N/A</v>
      </c>
      <c r="AL268" s="10">
        <v>7.625</v>
      </c>
      <c r="AM268" s="3">
        <f t="shared" si="87"/>
        <v>73573.604649999994</v>
      </c>
      <c r="AN268">
        <v>7.625</v>
      </c>
      <c r="AO268" s="7">
        <f t="shared" si="88"/>
        <v>551.40504128455052</v>
      </c>
      <c r="AP268" s="2">
        <f t="shared" si="89"/>
        <v>86.934958715449511</v>
      </c>
    </row>
    <row r="269" spans="1:42" x14ac:dyDescent="0.15">
      <c r="A269" s="8">
        <v>410893473</v>
      </c>
      <c r="B269" t="s">
        <v>36</v>
      </c>
      <c r="C269" t="s">
        <v>18</v>
      </c>
      <c r="D269" s="1">
        <v>39360</v>
      </c>
      <c r="E269" s="2">
        <v>117000</v>
      </c>
      <c r="F269" s="2">
        <v>93600</v>
      </c>
      <c r="G269" t="s">
        <v>17</v>
      </c>
      <c r="H269" s="2">
        <v>868.14</v>
      </c>
      <c r="I269" s="2">
        <v>93520.57</v>
      </c>
      <c r="J269">
        <v>0.1099</v>
      </c>
      <c r="K269">
        <v>7</v>
      </c>
      <c r="L269">
        <v>353</v>
      </c>
      <c r="M269" t="str">
        <f t="shared" si="75"/>
        <v>30 Year Fixed</v>
      </c>
      <c r="N269" s="2">
        <v>856.49</v>
      </c>
      <c r="O269" t="str">
        <f t="shared" si="72"/>
        <v>Cash Out</v>
      </c>
      <c r="P269" s="3">
        <f t="shared" si="76"/>
        <v>4459.7255665024713</v>
      </c>
      <c r="Q269" s="4">
        <v>99450</v>
      </c>
      <c r="R269" s="4" t="s">
        <v>41</v>
      </c>
      <c r="S269" s="6">
        <v>582</v>
      </c>
      <c r="T269">
        <v>7.625</v>
      </c>
      <c r="U269" s="7">
        <f t="shared" si="73"/>
        <v>745.33838074968594</v>
      </c>
      <c r="V269" s="2">
        <f t="shared" si="77"/>
        <v>122.80161925031405</v>
      </c>
      <c r="W269" s="9">
        <f t="shared" si="78"/>
        <v>0</v>
      </c>
      <c r="X269" s="3">
        <v>99450</v>
      </c>
      <c r="Y269" s="3">
        <f t="shared" si="79"/>
        <v>4459.7255665024713</v>
      </c>
      <c r="Z269" s="7">
        <f t="shared" si="80"/>
        <v>745.33838074968594</v>
      </c>
      <c r="AA269" s="2">
        <f t="shared" si="74"/>
        <v>122.80161925031405</v>
      </c>
      <c r="AB269" s="8">
        <f t="shared" si="81"/>
        <v>0</v>
      </c>
      <c r="AC269" s="10">
        <v>7.625</v>
      </c>
      <c r="AD269" s="7">
        <f t="shared" si="82"/>
        <v>745.33838074968594</v>
      </c>
      <c r="AE269" s="2">
        <f t="shared" si="83"/>
        <v>122.80161925031405</v>
      </c>
      <c r="AF269" s="10">
        <v>0</v>
      </c>
      <c r="AG269" s="3">
        <f t="shared" si="84"/>
        <v>0</v>
      </c>
      <c r="AH269" s="7">
        <v>1872</v>
      </c>
      <c r="AI269">
        <f t="shared" si="85"/>
        <v>360</v>
      </c>
      <c r="AJ269" t="e">
        <f>VLOOKUP(A269,'Borrower Details'!$A$1:$H$1493,8,FALSE)</f>
        <v>#N/A</v>
      </c>
      <c r="AK269" s="4" t="e">
        <f t="shared" si="86"/>
        <v>#N/A</v>
      </c>
      <c r="AL269" s="10">
        <v>7.625</v>
      </c>
      <c r="AM269" s="3">
        <f t="shared" si="87"/>
        <v>94923.378549999994</v>
      </c>
      <c r="AN269">
        <v>7.625</v>
      </c>
      <c r="AO269" s="7">
        <f t="shared" si="88"/>
        <v>711.41314493460493</v>
      </c>
      <c r="AP269" s="2">
        <f t="shared" si="89"/>
        <v>156.72685506539506</v>
      </c>
    </row>
    <row r="270" spans="1:42" x14ac:dyDescent="0.15">
      <c r="A270" s="8">
        <v>411303027</v>
      </c>
      <c r="B270" t="s">
        <v>35</v>
      </c>
      <c r="C270" t="s">
        <v>16</v>
      </c>
      <c r="D270" s="1">
        <v>39500</v>
      </c>
      <c r="E270" s="2">
        <v>205000</v>
      </c>
      <c r="F270" s="2">
        <v>153750</v>
      </c>
      <c r="G270" t="s">
        <v>17</v>
      </c>
      <c r="H270" s="2">
        <v>1276.03</v>
      </c>
      <c r="I270" s="2">
        <v>153647.97</v>
      </c>
      <c r="J270">
        <v>9.35E-2</v>
      </c>
      <c r="K270">
        <v>2</v>
      </c>
      <c r="L270">
        <v>359</v>
      </c>
      <c r="M270" t="str">
        <f t="shared" si="75"/>
        <v>30 Year Fixed</v>
      </c>
      <c r="N270" s="2">
        <v>1197.17</v>
      </c>
      <c r="O270" t="str">
        <f t="shared" si="72"/>
        <v>Cash Out</v>
      </c>
      <c r="P270" s="3">
        <f t="shared" si="76"/>
        <v>18026.906847290666</v>
      </c>
      <c r="Q270" s="4">
        <v>174250</v>
      </c>
      <c r="R270" s="4" t="s">
        <v>41</v>
      </c>
      <c r="S270" s="6">
        <v>598</v>
      </c>
      <c r="T270">
        <v>7.375</v>
      </c>
      <c r="U270" s="7">
        <f t="shared" si="73"/>
        <v>1276.1056113550278</v>
      </c>
      <c r="V270" s="2">
        <f t="shared" si="77"/>
        <v>-7.5611355027831451E-2</v>
      </c>
      <c r="W270" s="9">
        <f t="shared" si="78"/>
        <v>1</v>
      </c>
      <c r="X270" s="3">
        <v>174170</v>
      </c>
      <c r="Y270" s="3">
        <f t="shared" si="79"/>
        <v>17948.089113300521</v>
      </c>
      <c r="Z270" s="7">
        <f t="shared" si="80"/>
        <v>1275.5197379036167</v>
      </c>
      <c r="AA270" s="2">
        <f t="shared" si="74"/>
        <v>0.51026209638325781</v>
      </c>
      <c r="AB270" s="8">
        <f t="shared" si="81"/>
        <v>0</v>
      </c>
      <c r="AC270" s="10">
        <v>7.375</v>
      </c>
      <c r="AD270" s="7">
        <f t="shared" si="82"/>
        <v>1275.5197379036167</v>
      </c>
      <c r="AE270" s="2">
        <f t="shared" si="83"/>
        <v>0.51026209638325781</v>
      </c>
      <c r="AF270" s="10">
        <v>0</v>
      </c>
      <c r="AG270" s="3">
        <f t="shared" si="84"/>
        <v>0</v>
      </c>
      <c r="AH270" s="7">
        <v>7187.8125</v>
      </c>
      <c r="AI270">
        <f t="shared" si="85"/>
        <v>360</v>
      </c>
      <c r="AJ270" t="e">
        <f>VLOOKUP(A270,'Borrower Details'!$A$1:$H$1493,8,FALSE)</f>
        <v>#N/A</v>
      </c>
      <c r="AK270" s="4" t="e">
        <f t="shared" si="86"/>
        <v>#N/A</v>
      </c>
      <c r="AL270" s="10">
        <v>7.375</v>
      </c>
      <c r="AM270" s="3">
        <f t="shared" si="87"/>
        <v>155952.68954999998</v>
      </c>
      <c r="AN270">
        <v>7.375</v>
      </c>
      <c r="AO270" s="7">
        <f t="shared" si="88"/>
        <v>1142.1067560439803</v>
      </c>
      <c r="AP270" s="2">
        <f t="shared" si="89"/>
        <v>133.92324395601963</v>
      </c>
    </row>
    <row r="271" spans="1:42" x14ac:dyDescent="0.15">
      <c r="A271" s="8">
        <v>410318513</v>
      </c>
      <c r="B271" t="s">
        <v>38</v>
      </c>
      <c r="C271" t="s">
        <v>18</v>
      </c>
      <c r="D271" s="1">
        <v>39231</v>
      </c>
      <c r="E271" s="2">
        <v>134000</v>
      </c>
      <c r="F271" s="2">
        <v>87100</v>
      </c>
      <c r="G271" t="s">
        <v>17</v>
      </c>
      <c r="H271" s="2">
        <v>631.54</v>
      </c>
      <c r="I271" s="2">
        <v>86354.09</v>
      </c>
      <c r="J271">
        <v>7.8750000000000001E-2</v>
      </c>
      <c r="K271">
        <v>11</v>
      </c>
      <c r="L271">
        <v>348</v>
      </c>
      <c r="M271" t="str">
        <f t="shared" si="75"/>
        <v>30 Year Fixed</v>
      </c>
      <c r="N271" s="2">
        <v>566.70000000000005</v>
      </c>
      <c r="O271" t="str">
        <f t="shared" si="72"/>
        <v>Cash Out</v>
      </c>
      <c r="P271" s="3">
        <f t="shared" si="76"/>
        <v>25862.658768472917</v>
      </c>
      <c r="Q271" s="4">
        <v>113900</v>
      </c>
      <c r="R271" s="4" t="s">
        <v>41</v>
      </c>
      <c r="S271" s="6">
        <v>591</v>
      </c>
      <c r="T271">
        <v>7.375</v>
      </c>
      <c r="U271" s="7">
        <f t="shared" si="73"/>
        <v>834.13732644670108</v>
      </c>
      <c r="V271" s="2">
        <f t="shared" si="77"/>
        <v>-202.59732644670112</v>
      </c>
      <c r="W271" s="9">
        <f t="shared" si="78"/>
        <v>1</v>
      </c>
      <c r="X271" s="3">
        <v>87649</v>
      </c>
      <c r="Y271" s="3">
        <f t="shared" si="79"/>
        <v>-0.39541871919936966</v>
      </c>
      <c r="Z271" s="7">
        <f t="shared" si="80"/>
        <v>656.89455740904191</v>
      </c>
      <c r="AA271" s="2">
        <f t="shared" si="74"/>
        <v>-25.354557409041945</v>
      </c>
      <c r="AB271" s="8">
        <f t="shared" si="81"/>
        <v>1</v>
      </c>
      <c r="AC271" s="10">
        <v>6.5</v>
      </c>
      <c r="AD271" s="7">
        <f t="shared" si="82"/>
        <v>590.52171857801636</v>
      </c>
      <c r="AE271" s="2">
        <f t="shared" si="83"/>
        <v>41.018281421983602</v>
      </c>
      <c r="AF271" s="10">
        <v>2.375</v>
      </c>
      <c r="AG271" s="3">
        <f t="shared" si="84"/>
        <v>2081.6637500000002</v>
      </c>
      <c r="AH271" s="7">
        <v>0</v>
      </c>
      <c r="AI271">
        <f t="shared" si="85"/>
        <v>360</v>
      </c>
      <c r="AJ271" t="e">
        <f>VLOOKUP(A271,'Borrower Details'!$A$1:$H$1493,8,FALSE)</f>
        <v>#N/A</v>
      </c>
      <c r="AK271" s="4" t="e">
        <f t="shared" si="86"/>
        <v>#N/A</v>
      </c>
      <c r="AL271" s="10">
        <v>7.625</v>
      </c>
      <c r="AM271" s="3">
        <f t="shared" si="87"/>
        <v>87649.401349999986</v>
      </c>
      <c r="AN271">
        <v>7.625</v>
      </c>
      <c r="AO271" s="7">
        <f t="shared" si="88"/>
        <v>656.89756536840946</v>
      </c>
      <c r="AP271" s="2">
        <f t="shared" si="89"/>
        <v>-25.357565368409496</v>
      </c>
    </row>
    <row r="272" spans="1:42" x14ac:dyDescent="0.15">
      <c r="A272" s="8">
        <v>410636971</v>
      </c>
      <c r="B272" t="s">
        <v>36</v>
      </c>
      <c r="C272" t="s">
        <v>19</v>
      </c>
      <c r="D272" s="1">
        <v>39279</v>
      </c>
      <c r="E272" s="2">
        <v>250000</v>
      </c>
      <c r="F272" s="2">
        <v>225000</v>
      </c>
      <c r="G272" t="s">
        <v>17</v>
      </c>
      <c r="H272" s="2">
        <v>1434.38</v>
      </c>
      <c r="I272" s="2">
        <v>225000</v>
      </c>
      <c r="J272">
        <v>7.6499999999999999E-2</v>
      </c>
      <c r="K272">
        <v>9</v>
      </c>
      <c r="L272">
        <v>351</v>
      </c>
      <c r="M272" t="str">
        <f t="shared" si="75"/>
        <v>30 Year Fixed</v>
      </c>
      <c r="N272" s="2">
        <v>1434.38</v>
      </c>
      <c r="O272" t="str">
        <f t="shared" si="72"/>
        <v>Refi</v>
      </c>
      <c r="P272" s="3">
        <f t="shared" si="76"/>
        <v>0</v>
      </c>
      <c r="Q272" s="4">
        <v>228375</v>
      </c>
      <c r="R272" s="4" t="s">
        <v>41</v>
      </c>
      <c r="S272" s="6">
        <v>658</v>
      </c>
      <c r="T272">
        <v>6.75</v>
      </c>
      <c r="U272" s="7">
        <f t="shared" si="73"/>
        <v>1576.3921530376583</v>
      </c>
      <c r="V272" s="2">
        <f t="shared" si="77"/>
        <v>-142.01215303765821</v>
      </c>
      <c r="W272" s="9">
        <f t="shared" si="78"/>
        <v>0</v>
      </c>
      <c r="X272" s="3">
        <v>228375</v>
      </c>
      <c r="Y272" s="3">
        <f t="shared" si="79"/>
        <v>0</v>
      </c>
      <c r="Z272" s="7">
        <f t="shared" si="80"/>
        <v>1576.3921530376583</v>
      </c>
      <c r="AA272" s="2">
        <f t="shared" si="74"/>
        <v>-142.01215303765821</v>
      </c>
      <c r="AB272" s="8">
        <f t="shared" si="81"/>
        <v>1</v>
      </c>
      <c r="AC272" s="10">
        <v>6.125</v>
      </c>
      <c r="AD272" s="7">
        <f t="shared" si="82"/>
        <v>1482.7868197673999</v>
      </c>
      <c r="AE272" s="2">
        <f t="shared" si="83"/>
        <v>-48.406819767399838</v>
      </c>
      <c r="AF272" s="10">
        <v>3</v>
      </c>
      <c r="AG272" s="3">
        <f t="shared" si="84"/>
        <v>6851.25</v>
      </c>
      <c r="AH272" s="7">
        <v>4500</v>
      </c>
      <c r="AI272">
        <f t="shared" si="85"/>
        <v>360</v>
      </c>
      <c r="AJ272" t="e">
        <f>VLOOKUP(A272,'Borrower Details'!$A$1:$H$1493,8,FALSE)</f>
        <v>#N/A</v>
      </c>
      <c r="AK272" s="4" t="e">
        <f t="shared" si="86"/>
        <v>#N/A</v>
      </c>
      <c r="AL272" s="10">
        <v>6.75</v>
      </c>
      <c r="AM272" s="3">
        <f t="shared" si="87"/>
        <v>228374.99999999997</v>
      </c>
      <c r="AN272">
        <v>6.75</v>
      </c>
      <c r="AO272" s="7">
        <f t="shared" si="88"/>
        <v>1576.3921530376581</v>
      </c>
      <c r="AP272" s="2">
        <f t="shared" si="89"/>
        <v>-142.01215303765798</v>
      </c>
    </row>
    <row r="273" spans="1:42" x14ac:dyDescent="0.15">
      <c r="A273" s="8">
        <v>410883961</v>
      </c>
      <c r="B273" t="s">
        <v>36</v>
      </c>
      <c r="C273" t="s">
        <v>18</v>
      </c>
      <c r="D273" s="1">
        <v>39322</v>
      </c>
      <c r="E273" s="2">
        <v>122000</v>
      </c>
      <c r="F273" s="2">
        <v>80000</v>
      </c>
      <c r="G273" t="s">
        <v>20</v>
      </c>
      <c r="H273" s="2">
        <v>678.69</v>
      </c>
      <c r="I273" s="2">
        <v>79888.81</v>
      </c>
      <c r="J273">
        <v>9.9900000000000003E-2</v>
      </c>
      <c r="K273">
        <v>8</v>
      </c>
      <c r="L273">
        <v>352</v>
      </c>
      <c r="M273" t="str">
        <f t="shared" si="75"/>
        <v>30 Year Fixed</v>
      </c>
      <c r="N273" s="2">
        <v>665.07</v>
      </c>
      <c r="O273" t="str">
        <f t="shared" si="72"/>
        <v>Cash Out</v>
      </c>
      <c r="P273" s="3">
        <f t="shared" si="76"/>
        <v>22278.677684729075</v>
      </c>
      <c r="Q273" s="4">
        <v>103700</v>
      </c>
      <c r="R273" s="4" t="s">
        <v>41</v>
      </c>
      <c r="S273" s="6">
        <v>524</v>
      </c>
      <c r="T273">
        <v>7.625</v>
      </c>
      <c r="U273" s="7">
        <f t="shared" si="73"/>
        <v>777.19044830309133</v>
      </c>
      <c r="V273" s="2">
        <f t="shared" si="77"/>
        <v>-98.500448303091275</v>
      </c>
      <c r="W273" s="9">
        <f t="shared" si="78"/>
        <v>1</v>
      </c>
      <c r="X273" s="3">
        <v>90490</v>
      </c>
      <c r="Y273" s="3">
        <f t="shared" si="79"/>
        <v>9263.8993596059154</v>
      </c>
      <c r="Z273" s="7">
        <f t="shared" si="80"/>
        <v>678.18672774297715</v>
      </c>
      <c r="AA273" s="2">
        <f t="shared" si="74"/>
        <v>0.50327225702289979</v>
      </c>
      <c r="AB273" s="8">
        <f t="shared" si="81"/>
        <v>0</v>
      </c>
      <c r="AC273" s="10">
        <v>7.625</v>
      </c>
      <c r="AD273" s="7">
        <f t="shared" si="82"/>
        <v>678.18672774297715</v>
      </c>
      <c r="AE273" s="2">
        <f t="shared" si="83"/>
        <v>0.50327225702289979</v>
      </c>
      <c r="AF273" s="10">
        <v>0</v>
      </c>
      <c r="AG273" s="3">
        <f t="shared" si="84"/>
        <v>0</v>
      </c>
      <c r="AH273" s="7">
        <v>1600</v>
      </c>
      <c r="AI273">
        <f t="shared" si="85"/>
        <v>360</v>
      </c>
      <c r="AJ273" t="e">
        <f>VLOOKUP(A273,'Borrower Details'!$A$1:$H$1493,8,FALSE)</f>
        <v>#N/A</v>
      </c>
      <c r="AK273" s="4" t="e">
        <f t="shared" si="86"/>
        <v>#N/A</v>
      </c>
      <c r="AL273" s="10">
        <v>7.625</v>
      </c>
      <c r="AM273" s="3">
        <f t="shared" si="87"/>
        <v>81087.142149999985</v>
      </c>
      <c r="AN273">
        <v>7.625</v>
      </c>
      <c r="AO273" s="7">
        <f t="shared" si="88"/>
        <v>607.71603046456107</v>
      </c>
      <c r="AP273" s="2">
        <f t="shared" si="89"/>
        <v>70.973969535438982</v>
      </c>
    </row>
    <row r="274" spans="1:42" x14ac:dyDescent="0.15">
      <c r="A274" s="8">
        <v>410393441</v>
      </c>
      <c r="B274" t="s">
        <v>37</v>
      </c>
      <c r="C274" t="s">
        <v>19</v>
      </c>
      <c r="D274" s="1">
        <v>39260</v>
      </c>
      <c r="E274" s="2">
        <v>234000</v>
      </c>
      <c r="F274" s="2">
        <v>197950</v>
      </c>
      <c r="G274" t="s">
        <v>20</v>
      </c>
      <c r="H274" s="2">
        <v>1700.7</v>
      </c>
      <c r="I274" s="2">
        <v>196577.3</v>
      </c>
      <c r="J274">
        <v>9.7500000000000003E-2</v>
      </c>
      <c r="K274">
        <v>10</v>
      </c>
      <c r="L274">
        <v>349</v>
      </c>
      <c r="M274" t="str">
        <f t="shared" si="75"/>
        <v>30 Year Fixed</v>
      </c>
      <c r="N274" s="2">
        <v>1597.19</v>
      </c>
      <c r="O274" t="str">
        <f t="shared" si="72"/>
        <v>Refi</v>
      </c>
      <c r="P274" s="3">
        <f t="shared" si="76"/>
        <v>0</v>
      </c>
      <c r="Q274" s="4">
        <v>199526</v>
      </c>
      <c r="R274" s="4" t="s">
        <v>41</v>
      </c>
      <c r="S274" s="6">
        <v>559</v>
      </c>
      <c r="T274">
        <v>7.625</v>
      </c>
      <c r="U274" s="7">
        <f t="shared" si="73"/>
        <v>1495.368383684885</v>
      </c>
      <c r="V274" s="2">
        <f t="shared" si="77"/>
        <v>205.33161631511507</v>
      </c>
      <c r="W274" s="9">
        <f t="shared" si="78"/>
        <v>0</v>
      </c>
      <c r="X274" s="3">
        <v>199526</v>
      </c>
      <c r="Y274" s="3">
        <f t="shared" si="79"/>
        <v>3.990147786680609E-2</v>
      </c>
      <c r="Z274" s="7">
        <f t="shared" si="80"/>
        <v>1495.368383684885</v>
      </c>
      <c r="AA274" s="2">
        <f t="shared" si="74"/>
        <v>205.33161631511507</v>
      </c>
      <c r="AB274" s="8">
        <f t="shared" si="81"/>
        <v>0</v>
      </c>
      <c r="AC274" s="10">
        <v>7.625</v>
      </c>
      <c r="AD274" s="7">
        <f t="shared" si="82"/>
        <v>1495.368383684885</v>
      </c>
      <c r="AE274" s="2">
        <f t="shared" si="83"/>
        <v>205.33161631511507</v>
      </c>
      <c r="AF274" s="10">
        <v>0</v>
      </c>
      <c r="AG274" s="3">
        <f t="shared" si="84"/>
        <v>0</v>
      </c>
      <c r="AH274" s="7">
        <v>1979.5</v>
      </c>
      <c r="AI274">
        <f t="shared" si="85"/>
        <v>360</v>
      </c>
      <c r="AJ274" t="e">
        <f>VLOOKUP(A274,'Borrower Details'!$A$1:$H$1493,8,FALSE)</f>
        <v>#N/A</v>
      </c>
      <c r="AK274" s="4" t="e">
        <f t="shared" si="86"/>
        <v>#N/A</v>
      </c>
      <c r="AL274" s="10">
        <v>7.625</v>
      </c>
      <c r="AM274" s="3">
        <f t="shared" si="87"/>
        <v>199525.95949999997</v>
      </c>
      <c r="AN274">
        <v>7.625</v>
      </c>
      <c r="AO274" s="7">
        <f t="shared" si="88"/>
        <v>1495.3680801534176</v>
      </c>
      <c r="AP274" s="2">
        <f t="shared" si="89"/>
        <v>205.33191984658242</v>
      </c>
    </row>
    <row r="275" spans="1:42" x14ac:dyDescent="0.15">
      <c r="A275" s="8">
        <v>1144831</v>
      </c>
      <c r="B275" t="s">
        <v>36</v>
      </c>
      <c r="C275" t="s">
        <v>19</v>
      </c>
      <c r="D275" s="1">
        <v>39143</v>
      </c>
      <c r="E275" s="2">
        <v>210000</v>
      </c>
      <c r="F275" s="2">
        <v>199500</v>
      </c>
      <c r="G275" t="s">
        <v>17</v>
      </c>
      <c r="H275" s="2">
        <v>1626.81</v>
      </c>
      <c r="I275" s="2">
        <v>198062.29</v>
      </c>
      <c r="J275">
        <v>9.1499999999999998E-2</v>
      </c>
      <c r="K275">
        <v>13</v>
      </c>
      <c r="L275">
        <v>347</v>
      </c>
      <c r="M275" t="str">
        <f t="shared" si="75"/>
        <v>30 Year Fixed</v>
      </c>
      <c r="N275" s="2">
        <v>1510.22</v>
      </c>
      <c r="O275" t="str">
        <f t="shared" si="72"/>
        <v>Refi</v>
      </c>
      <c r="P275" s="3">
        <f t="shared" si="76"/>
        <v>0</v>
      </c>
      <c r="Q275" s="4">
        <v>201033</v>
      </c>
      <c r="R275" s="4" t="s">
        <v>41</v>
      </c>
      <c r="S275" s="6">
        <v>607</v>
      </c>
      <c r="T275">
        <v>6.875</v>
      </c>
      <c r="U275" s="7">
        <f t="shared" si="73"/>
        <v>1404.4074519963008</v>
      </c>
      <c r="V275" s="2">
        <f t="shared" si="77"/>
        <v>222.40254800369917</v>
      </c>
      <c r="W275" s="9">
        <f t="shared" si="78"/>
        <v>0</v>
      </c>
      <c r="X275" s="3">
        <v>201033</v>
      </c>
      <c r="Y275" s="3">
        <f t="shared" si="79"/>
        <v>-0.22103448276175186</v>
      </c>
      <c r="Z275" s="7">
        <f t="shared" si="80"/>
        <v>1404.4074519963008</v>
      </c>
      <c r="AA275" s="2">
        <f t="shared" si="74"/>
        <v>222.40254800369917</v>
      </c>
      <c r="AB275" s="8">
        <f t="shared" si="81"/>
        <v>0</v>
      </c>
      <c r="AC275" s="10">
        <v>6.875</v>
      </c>
      <c r="AD275" s="7">
        <f t="shared" si="82"/>
        <v>1404.4074519963008</v>
      </c>
      <c r="AE275" s="2">
        <f t="shared" si="83"/>
        <v>222.40254800369917</v>
      </c>
      <c r="AF275" s="10">
        <v>0</v>
      </c>
      <c r="AG275" s="3">
        <f t="shared" si="84"/>
        <v>0</v>
      </c>
      <c r="AH275" s="7">
        <v>3990</v>
      </c>
      <c r="AI275">
        <f t="shared" si="85"/>
        <v>360</v>
      </c>
      <c r="AJ275" t="e">
        <f>VLOOKUP(A275,'Borrower Details'!$A$1:$H$1493,8,FALSE)</f>
        <v>#N/A</v>
      </c>
      <c r="AK275" s="4" t="e">
        <f t="shared" si="86"/>
        <v>#N/A</v>
      </c>
      <c r="AL275" s="10">
        <v>6.875</v>
      </c>
      <c r="AM275" s="3">
        <f t="shared" si="87"/>
        <v>201033.22434999997</v>
      </c>
      <c r="AN275">
        <v>6.875</v>
      </c>
      <c r="AO275" s="7">
        <f t="shared" si="88"/>
        <v>1404.4090192952606</v>
      </c>
      <c r="AP275" s="2">
        <f t="shared" si="89"/>
        <v>222.40098070473937</v>
      </c>
    </row>
    <row r="276" spans="1:42" x14ac:dyDescent="0.15">
      <c r="A276" s="8">
        <v>410899025</v>
      </c>
      <c r="B276" t="s">
        <v>35</v>
      </c>
      <c r="C276" t="s">
        <v>16</v>
      </c>
      <c r="D276" s="1">
        <v>39325</v>
      </c>
      <c r="E276" s="2">
        <v>160000</v>
      </c>
      <c r="F276" s="2">
        <v>120000</v>
      </c>
      <c r="G276" t="s">
        <v>17</v>
      </c>
      <c r="H276" s="2">
        <v>893.1</v>
      </c>
      <c r="I276" s="2">
        <v>119360.15</v>
      </c>
      <c r="J276">
        <v>8.1500000000000003E-2</v>
      </c>
      <c r="K276">
        <v>8</v>
      </c>
      <c r="L276">
        <v>352</v>
      </c>
      <c r="M276" t="str">
        <f t="shared" si="75"/>
        <v>30 Year Fixed</v>
      </c>
      <c r="N276" s="2">
        <v>810.65</v>
      </c>
      <c r="O276" t="str">
        <f t="shared" si="72"/>
        <v>Cash Out</v>
      </c>
      <c r="P276" s="3">
        <f t="shared" si="76"/>
        <v>14629.997783251252</v>
      </c>
      <c r="Q276" s="4">
        <v>136000</v>
      </c>
      <c r="R276" s="4" t="s">
        <v>41</v>
      </c>
      <c r="S276" s="6">
        <v>589</v>
      </c>
      <c r="T276">
        <v>7.375</v>
      </c>
      <c r="U276" s="7">
        <f t="shared" si="73"/>
        <v>995.98486739904604</v>
      </c>
      <c r="V276" s="2">
        <f t="shared" si="77"/>
        <v>-102.88486739904602</v>
      </c>
      <c r="W276" s="9">
        <f t="shared" si="78"/>
        <v>1</v>
      </c>
      <c r="X276" s="3">
        <v>121880</v>
      </c>
      <c r="Y276" s="3">
        <f t="shared" si="79"/>
        <v>718.66773399016529</v>
      </c>
      <c r="Z276" s="7">
        <f t="shared" si="80"/>
        <v>892.57820322496866</v>
      </c>
      <c r="AA276" s="2">
        <f t="shared" si="74"/>
        <v>0.5217967750313619</v>
      </c>
      <c r="AB276" s="8">
        <f t="shared" si="81"/>
        <v>1</v>
      </c>
      <c r="AC276" s="10">
        <v>6.625</v>
      </c>
      <c r="AD276" s="7">
        <f t="shared" si="82"/>
        <v>831.19433269168678</v>
      </c>
      <c r="AE276" s="2">
        <f t="shared" si="83"/>
        <v>61.905667308313241</v>
      </c>
      <c r="AF276" s="10">
        <v>1.875</v>
      </c>
      <c r="AG276" s="3">
        <f t="shared" si="84"/>
        <v>2285.25</v>
      </c>
      <c r="AH276" s="7">
        <v>4890</v>
      </c>
      <c r="AI276">
        <f t="shared" si="85"/>
        <v>360</v>
      </c>
      <c r="AJ276" t="e">
        <f>VLOOKUP(A276,'Borrower Details'!$A$1:$H$1493,8,FALSE)</f>
        <v>#N/A</v>
      </c>
      <c r="AK276" s="4" t="e">
        <f t="shared" si="86"/>
        <v>#N/A</v>
      </c>
      <c r="AL276" s="10">
        <v>7.375</v>
      </c>
      <c r="AM276" s="3">
        <f t="shared" si="87"/>
        <v>121150.55224999998</v>
      </c>
      <c r="AN276">
        <v>7.375</v>
      </c>
      <c r="AO276" s="7">
        <f t="shared" si="88"/>
        <v>887.23615233851046</v>
      </c>
      <c r="AP276" s="2">
        <f t="shared" si="89"/>
        <v>5.863847661489558</v>
      </c>
    </row>
    <row r="277" spans="1:42" x14ac:dyDescent="0.15">
      <c r="A277" s="8">
        <v>410384655</v>
      </c>
      <c r="B277" t="s">
        <v>35</v>
      </c>
      <c r="C277" t="s">
        <v>16</v>
      </c>
      <c r="D277" s="1">
        <v>39258</v>
      </c>
      <c r="E277" s="2">
        <v>97000</v>
      </c>
      <c r="F277" s="2">
        <v>77600</v>
      </c>
      <c r="G277" t="s">
        <v>17</v>
      </c>
      <c r="H277" s="2">
        <v>629.98</v>
      </c>
      <c r="I277" s="2">
        <v>77170.19</v>
      </c>
      <c r="J277">
        <v>9.0999999999999998E-2</v>
      </c>
      <c r="K277">
        <v>10</v>
      </c>
      <c r="L277">
        <v>350</v>
      </c>
      <c r="M277" t="str">
        <f t="shared" si="75"/>
        <v>30 Year Fixed</v>
      </c>
      <c r="N277" s="2">
        <v>585.21</v>
      </c>
      <c r="O277" t="str">
        <f t="shared" si="72"/>
        <v>Cash Out</v>
      </c>
      <c r="P277" s="3">
        <f t="shared" si="76"/>
        <v>4061.3370935960702</v>
      </c>
      <c r="Q277" s="4">
        <v>82450</v>
      </c>
      <c r="R277" s="4" t="s">
        <v>41</v>
      </c>
      <c r="S277" s="6">
        <v>592</v>
      </c>
      <c r="T277">
        <v>7.625</v>
      </c>
      <c r="U277" s="7">
        <f t="shared" si="73"/>
        <v>617.93011053606438</v>
      </c>
      <c r="V277" s="2">
        <f t="shared" si="77"/>
        <v>12.049889463935642</v>
      </c>
      <c r="W277" s="9">
        <f t="shared" si="78"/>
        <v>0</v>
      </c>
      <c r="X277" s="3">
        <v>82450</v>
      </c>
      <c r="Y277" s="3">
        <f t="shared" si="79"/>
        <v>4061.3370935960702</v>
      </c>
      <c r="Z277" s="7">
        <f t="shared" si="80"/>
        <v>617.93011053606438</v>
      </c>
      <c r="AA277" s="2">
        <f t="shared" si="74"/>
        <v>12.049889463935642</v>
      </c>
      <c r="AB277" s="8">
        <f t="shared" si="81"/>
        <v>0</v>
      </c>
      <c r="AC277" s="10">
        <v>7.625</v>
      </c>
      <c r="AD277" s="7">
        <f t="shared" si="82"/>
        <v>617.93011053606438</v>
      </c>
      <c r="AE277" s="2">
        <f t="shared" si="83"/>
        <v>12.049889463935642</v>
      </c>
      <c r="AF277" s="10">
        <v>0</v>
      </c>
      <c r="AG277" s="3">
        <f t="shared" si="84"/>
        <v>0</v>
      </c>
      <c r="AH277" s="7">
        <v>3530.8</v>
      </c>
      <c r="AI277">
        <f t="shared" si="85"/>
        <v>360</v>
      </c>
      <c r="AJ277" t="e">
        <f>VLOOKUP(A277,'Borrower Details'!$A$1:$H$1493,8,FALSE)</f>
        <v>#N/A</v>
      </c>
      <c r="AK277" s="4" t="e">
        <f t="shared" si="86"/>
        <v>#N/A</v>
      </c>
      <c r="AL277" s="10">
        <v>7.625</v>
      </c>
      <c r="AM277" s="3">
        <f t="shared" si="87"/>
        <v>78327.742849999995</v>
      </c>
      <c r="AN277">
        <v>7.625</v>
      </c>
      <c r="AO277" s="7">
        <f t="shared" si="88"/>
        <v>587.03542507387408</v>
      </c>
      <c r="AP277" s="2">
        <f t="shared" si="89"/>
        <v>42.944574926125938</v>
      </c>
    </row>
    <row r="278" spans="1:42" x14ac:dyDescent="0.15">
      <c r="A278" s="8">
        <v>1166355</v>
      </c>
      <c r="B278" t="s">
        <v>36</v>
      </c>
      <c r="C278" t="s">
        <v>19</v>
      </c>
      <c r="D278" s="1">
        <v>39162</v>
      </c>
      <c r="E278" s="2">
        <v>170000</v>
      </c>
      <c r="F278" s="2">
        <v>125000</v>
      </c>
      <c r="G278" t="s">
        <v>17</v>
      </c>
      <c r="H278" s="2">
        <v>1151.68</v>
      </c>
      <c r="I278" s="2">
        <v>119449.05</v>
      </c>
      <c r="J278">
        <v>7.3999999999999996E-2</v>
      </c>
      <c r="K278">
        <v>13</v>
      </c>
      <c r="L278">
        <v>166</v>
      </c>
      <c r="M278" t="str">
        <f t="shared" si="75"/>
        <v>15 Year Fixed</v>
      </c>
      <c r="N278" s="2">
        <v>739.15</v>
      </c>
      <c r="O278" t="str">
        <f t="shared" si="72"/>
        <v>Cash Out</v>
      </c>
      <c r="P278" s="3">
        <f t="shared" si="76"/>
        <v>22915.482019704432</v>
      </c>
      <c r="Q278" s="4">
        <v>144500</v>
      </c>
      <c r="R278" s="4" t="s">
        <v>41</v>
      </c>
      <c r="S278" s="6">
        <v>635</v>
      </c>
      <c r="T278">
        <v>6.5</v>
      </c>
      <c r="U278" s="7">
        <f t="shared" si="73"/>
        <v>1318.9584761880287</v>
      </c>
      <c r="V278" s="2">
        <f t="shared" si="77"/>
        <v>-167.27847618802866</v>
      </c>
      <c r="W278" s="9">
        <f t="shared" si="78"/>
        <v>1</v>
      </c>
      <c r="X278" s="3">
        <v>126110</v>
      </c>
      <c r="Y278" s="3">
        <f t="shared" si="79"/>
        <v>4797.2554187192145</v>
      </c>
      <c r="Z278" s="7">
        <f t="shared" si="80"/>
        <v>1151.099331709843</v>
      </c>
      <c r="AA278" s="2">
        <f t="shared" si="74"/>
        <v>0.58066829015706389</v>
      </c>
      <c r="AB278" s="8">
        <f t="shared" si="81"/>
        <v>1</v>
      </c>
      <c r="AC278" s="10">
        <v>6</v>
      </c>
      <c r="AD278" s="7">
        <f t="shared" si="82"/>
        <v>1116.7336791852551</v>
      </c>
      <c r="AE278" s="2">
        <f t="shared" si="83"/>
        <v>34.946320814744922</v>
      </c>
      <c r="AF278" s="10">
        <v>2</v>
      </c>
      <c r="AG278" s="3">
        <f t="shared" si="84"/>
        <v>2522.1999999999998</v>
      </c>
      <c r="AH278" s="7">
        <v>2500</v>
      </c>
      <c r="AI278">
        <f t="shared" si="85"/>
        <v>180</v>
      </c>
      <c r="AJ278" t="e">
        <f>VLOOKUP(A278,'Borrower Details'!$A$1:$H$1493,8,FALSE)</f>
        <v>#N/A</v>
      </c>
      <c r="AK278" s="4" t="e">
        <f t="shared" si="86"/>
        <v>#N/A</v>
      </c>
      <c r="AL278" s="10">
        <v>6.5</v>
      </c>
      <c r="AM278" s="3">
        <f t="shared" si="87"/>
        <v>121240.78575</v>
      </c>
      <c r="AN278">
        <v>6.5</v>
      </c>
      <c r="AO278" s="7">
        <f t="shared" si="88"/>
        <v>1106.6544084751508</v>
      </c>
      <c r="AP278" s="2">
        <f t="shared" si="89"/>
        <v>45.025591524849233</v>
      </c>
    </row>
    <row r="279" spans="1:42" x14ac:dyDescent="0.15">
      <c r="A279" s="8">
        <v>1152442</v>
      </c>
      <c r="B279" t="s">
        <v>35</v>
      </c>
      <c r="C279" t="s">
        <v>16</v>
      </c>
      <c r="D279" s="1">
        <v>39141</v>
      </c>
      <c r="E279" s="2">
        <v>189000</v>
      </c>
      <c r="F279" s="2">
        <v>170100</v>
      </c>
      <c r="G279" t="s">
        <v>15</v>
      </c>
      <c r="H279" s="2">
        <v>1246.95</v>
      </c>
      <c r="I279" s="2">
        <v>168427.67</v>
      </c>
      <c r="J279">
        <v>7.9899999999999999E-2</v>
      </c>
      <c r="K279">
        <v>14</v>
      </c>
      <c r="L279">
        <v>346</v>
      </c>
      <c r="M279" t="str">
        <f t="shared" si="75"/>
        <v>30 Year Fixed</v>
      </c>
      <c r="N279" s="2">
        <v>1121.45</v>
      </c>
      <c r="O279" t="str">
        <f t="shared" si="72"/>
        <v>Refi</v>
      </c>
      <c r="P279" s="3">
        <f t="shared" si="76"/>
        <v>0</v>
      </c>
      <c r="Q279" s="4">
        <v>170954</v>
      </c>
      <c r="R279" s="4" t="s">
        <v>41</v>
      </c>
      <c r="S279" s="6">
        <v>605</v>
      </c>
      <c r="T279">
        <v>6.875</v>
      </c>
      <c r="U279" s="7">
        <f t="shared" si="73"/>
        <v>1194.2769174641755</v>
      </c>
      <c r="V279" s="2">
        <f t="shared" si="77"/>
        <v>52.673082535824506</v>
      </c>
      <c r="W279" s="9">
        <f t="shared" si="78"/>
        <v>0</v>
      </c>
      <c r="X279" s="3">
        <v>170954</v>
      </c>
      <c r="Y279" s="3">
        <f t="shared" si="79"/>
        <v>-8.3793103432981297E-2</v>
      </c>
      <c r="Z279" s="7">
        <f t="shared" si="80"/>
        <v>1194.2769174641755</v>
      </c>
      <c r="AA279" s="2">
        <f t="shared" si="74"/>
        <v>52.673082535824506</v>
      </c>
      <c r="AB279" s="8">
        <f t="shared" si="81"/>
        <v>1</v>
      </c>
      <c r="AC279" s="10">
        <v>6.25</v>
      </c>
      <c r="AD279" s="7">
        <f t="shared" si="82"/>
        <v>1123.8240161502702</v>
      </c>
      <c r="AE279" s="2">
        <f t="shared" si="83"/>
        <v>123.12598384972989</v>
      </c>
      <c r="AF279" s="10">
        <v>2.5</v>
      </c>
      <c r="AG279" s="3">
        <f t="shared" si="84"/>
        <v>4273.8500000000004</v>
      </c>
      <c r="AH279" s="7">
        <v>6795.4949999999999</v>
      </c>
      <c r="AI279">
        <f t="shared" si="85"/>
        <v>360</v>
      </c>
      <c r="AJ279" t="e">
        <f>VLOOKUP(A279,'Borrower Details'!$A$1:$H$1493,8,FALSE)</f>
        <v>#N/A</v>
      </c>
      <c r="AK279" s="4" t="e">
        <f t="shared" si="86"/>
        <v>#N/A</v>
      </c>
      <c r="AL279" s="10">
        <v>6.875</v>
      </c>
      <c r="AM279" s="3">
        <f t="shared" si="87"/>
        <v>170954.08504999999</v>
      </c>
      <c r="AN279">
        <v>6.875</v>
      </c>
      <c r="AO279" s="7">
        <f t="shared" si="88"/>
        <v>1194.2775116196315</v>
      </c>
      <c r="AP279" s="2">
        <f t="shared" si="89"/>
        <v>52.672488380368577</v>
      </c>
    </row>
    <row r="280" spans="1:42" x14ac:dyDescent="0.15">
      <c r="A280" s="8">
        <v>1148893</v>
      </c>
      <c r="B280" t="s">
        <v>37</v>
      </c>
      <c r="C280" t="s">
        <v>18</v>
      </c>
      <c r="D280" s="1">
        <v>39150</v>
      </c>
      <c r="E280" s="2">
        <v>136000</v>
      </c>
      <c r="F280" s="2">
        <v>108800</v>
      </c>
      <c r="G280" t="s">
        <v>17</v>
      </c>
      <c r="H280" s="2">
        <v>797.58</v>
      </c>
      <c r="I280" s="2">
        <v>107794.72</v>
      </c>
      <c r="J280">
        <v>7.9899999999999999E-2</v>
      </c>
      <c r="K280">
        <v>13</v>
      </c>
      <c r="L280">
        <v>347</v>
      </c>
      <c r="M280" t="str">
        <f t="shared" si="75"/>
        <v>30 Year Fixed</v>
      </c>
      <c r="N280" s="2">
        <v>717.73</v>
      </c>
      <c r="O280" t="str">
        <f t="shared" si="72"/>
        <v>Cash Out</v>
      </c>
      <c r="P280" s="3">
        <f t="shared" si="76"/>
        <v>6096.9056157635496</v>
      </c>
      <c r="Q280" s="4">
        <v>115600</v>
      </c>
      <c r="R280" s="4" t="s">
        <v>41</v>
      </c>
      <c r="S280" s="6">
        <v>625</v>
      </c>
      <c r="T280">
        <v>6.75</v>
      </c>
      <c r="U280" s="7">
        <f t="shared" si="73"/>
        <v>797.94606629952182</v>
      </c>
      <c r="V280" s="2">
        <f t="shared" si="77"/>
        <v>-0.36606629952177627</v>
      </c>
      <c r="W280" s="9">
        <f t="shared" si="78"/>
        <v>1</v>
      </c>
      <c r="X280" s="3">
        <v>115470</v>
      </c>
      <c r="Y280" s="3">
        <f t="shared" si="79"/>
        <v>5968.8267980295641</v>
      </c>
      <c r="Z280" s="7">
        <f t="shared" si="80"/>
        <v>797.04872210731639</v>
      </c>
      <c r="AA280" s="2">
        <f t="shared" si="74"/>
        <v>0.53127789268364722</v>
      </c>
      <c r="AB280" s="8">
        <f t="shared" si="81"/>
        <v>1</v>
      </c>
      <c r="AC280" s="10">
        <v>6.125</v>
      </c>
      <c r="AD280" s="7">
        <f t="shared" si="82"/>
        <v>749.72039005382226</v>
      </c>
      <c r="AE280" s="2">
        <f t="shared" si="83"/>
        <v>47.859609946177784</v>
      </c>
      <c r="AF280" s="10">
        <v>3</v>
      </c>
      <c r="AG280" s="3">
        <f t="shared" si="84"/>
        <v>3464.1</v>
      </c>
      <c r="AH280" s="7">
        <v>0</v>
      </c>
      <c r="AI280">
        <f t="shared" si="85"/>
        <v>360</v>
      </c>
      <c r="AJ280" t="e">
        <f>VLOOKUP(A280,'Borrower Details'!$A$1:$H$1493,8,FALSE)</f>
        <v>#N/A</v>
      </c>
      <c r="AK280" s="4" t="e">
        <f t="shared" si="86"/>
        <v>#N/A</v>
      </c>
      <c r="AL280" s="10">
        <v>6.75</v>
      </c>
      <c r="AM280" s="3">
        <f t="shared" si="87"/>
        <v>109411.64079999999</v>
      </c>
      <c r="AN280">
        <v>6.75</v>
      </c>
      <c r="AO280" s="7">
        <f t="shared" si="88"/>
        <v>755.23000331951778</v>
      </c>
      <c r="AP280" s="2">
        <f t="shared" si="89"/>
        <v>42.349996680482263</v>
      </c>
    </row>
    <row r="281" spans="1:42" x14ac:dyDescent="0.15">
      <c r="A281" s="8">
        <v>1167805</v>
      </c>
      <c r="B281" t="s">
        <v>37</v>
      </c>
      <c r="C281" t="s">
        <v>19</v>
      </c>
      <c r="D281" s="1">
        <v>39190</v>
      </c>
      <c r="E281" s="2">
        <v>154000</v>
      </c>
      <c r="F281" s="2">
        <v>138600</v>
      </c>
      <c r="G281" t="s">
        <v>17</v>
      </c>
      <c r="H281" s="2">
        <v>926.77</v>
      </c>
      <c r="I281" s="2">
        <v>136230.54999999999</v>
      </c>
      <c r="J281">
        <v>7.0499999999999993E-2</v>
      </c>
      <c r="K281">
        <v>12</v>
      </c>
      <c r="L281">
        <v>348</v>
      </c>
      <c r="M281" t="str">
        <f t="shared" si="75"/>
        <v>30 Year Fixed</v>
      </c>
      <c r="N281" s="2">
        <v>800.35</v>
      </c>
      <c r="O281" t="str">
        <f t="shared" si="72"/>
        <v>Refi</v>
      </c>
      <c r="P281" s="3">
        <f t="shared" si="76"/>
        <v>0</v>
      </c>
      <c r="Q281" s="4">
        <v>138274</v>
      </c>
      <c r="R281" s="4" t="s">
        <v>41</v>
      </c>
      <c r="S281" s="6">
        <v>683</v>
      </c>
      <c r="T281">
        <v>6.75</v>
      </c>
      <c r="U281" s="7">
        <f t="shared" si="73"/>
        <v>954.4566987153986</v>
      </c>
      <c r="V281" s="2">
        <f t="shared" si="77"/>
        <v>-27.68669871539862</v>
      </c>
      <c r="W281" s="9">
        <f t="shared" si="78"/>
        <v>0</v>
      </c>
      <c r="X281" s="3">
        <v>138274</v>
      </c>
      <c r="Y281" s="3">
        <f t="shared" si="79"/>
        <v>-8.1280787999276072E-3</v>
      </c>
      <c r="Z281" s="7">
        <f t="shared" si="80"/>
        <v>954.4566987153986</v>
      </c>
      <c r="AA281" s="2">
        <f t="shared" si="74"/>
        <v>-27.68669871539862</v>
      </c>
      <c r="AB281" s="8">
        <f t="shared" si="81"/>
        <v>1</v>
      </c>
      <c r="AC281" s="10">
        <v>6.125</v>
      </c>
      <c r="AD281" s="7">
        <f t="shared" si="82"/>
        <v>897.78156416646937</v>
      </c>
      <c r="AE281" s="2">
        <f t="shared" si="83"/>
        <v>28.988435833530616</v>
      </c>
      <c r="AF281" s="10">
        <v>3</v>
      </c>
      <c r="AG281" s="3">
        <f t="shared" si="84"/>
        <v>4148.22</v>
      </c>
      <c r="AH281" s="7">
        <v>0</v>
      </c>
      <c r="AI281">
        <f t="shared" si="85"/>
        <v>360</v>
      </c>
      <c r="AJ281" t="e">
        <f>VLOOKUP(A281,'Borrower Details'!$A$1:$H$1493,8,FALSE)</f>
        <v>#N/A</v>
      </c>
      <c r="AK281" s="4" t="e">
        <f t="shared" si="86"/>
        <v>#N/A</v>
      </c>
      <c r="AL281" s="10">
        <v>6.75</v>
      </c>
      <c r="AM281" s="3">
        <f t="shared" si="87"/>
        <v>138274.00824999998</v>
      </c>
      <c r="AN281">
        <v>6.75</v>
      </c>
      <c r="AO281" s="7">
        <f t="shared" si="88"/>
        <v>954.45675566224145</v>
      </c>
      <c r="AP281" s="2">
        <f t="shared" si="89"/>
        <v>-27.686755662241467</v>
      </c>
    </row>
    <row r="282" spans="1:42" x14ac:dyDescent="0.15">
      <c r="A282" s="8">
        <v>1173484</v>
      </c>
      <c r="B282" t="s">
        <v>37</v>
      </c>
      <c r="C282" t="s">
        <v>18</v>
      </c>
      <c r="D282" s="1">
        <v>39169</v>
      </c>
      <c r="E282" s="2">
        <v>210000</v>
      </c>
      <c r="F282" s="2">
        <v>178500</v>
      </c>
      <c r="G282" t="s">
        <v>17</v>
      </c>
      <c r="H282" s="2">
        <v>1449.12</v>
      </c>
      <c r="I282" s="2">
        <v>177200.49</v>
      </c>
      <c r="J282">
        <v>9.0999999999999998E-2</v>
      </c>
      <c r="K282">
        <v>13</v>
      </c>
      <c r="L282">
        <v>347</v>
      </c>
      <c r="M282" t="str">
        <f t="shared" si="75"/>
        <v>30 Year Fixed</v>
      </c>
      <c r="N282" s="2">
        <v>1343.77</v>
      </c>
      <c r="O282" t="str">
        <f t="shared" si="72"/>
        <v>Refi</v>
      </c>
      <c r="P282" s="3">
        <f t="shared" si="76"/>
        <v>0</v>
      </c>
      <c r="Q282" s="4">
        <v>179858</v>
      </c>
      <c r="R282" s="4" t="s">
        <v>41</v>
      </c>
      <c r="S282" s="6">
        <v>554</v>
      </c>
      <c r="T282">
        <v>7.625</v>
      </c>
      <c r="U282" s="7">
        <f t="shared" si="73"/>
        <v>1347.9645096518552</v>
      </c>
      <c r="V282" s="2">
        <f t="shared" si="77"/>
        <v>101.15549034814467</v>
      </c>
      <c r="W282" s="9">
        <f t="shared" si="78"/>
        <v>0</v>
      </c>
      <c r="X282" s="3">
        <v>179858</v>
      </c>
      <c r="Y282" s="3">
        <f t="shared" si="79"/>
        <v>-0.48999999996158294</v>
      </c>
      <c r="Z282" s="7">
        <f t="shared" si="80"/>
        <v>1347.9645096518552</v>
      </c>
      <c r="AA282" s="2">
        <f t="shared" si="74"/>
        <v>101.15549034814467</v>
      </c>
      <c r="AB282" s="8">
        <f t="shared" si="81"/>
        <v>0</v>
      </c>
      <c r="AC282" s="10">
        <v>7.625</v>
      </c>
      <c r="AD282" s="7">
        <f t="shared" si="82"/>
        <v>1347.9645096518552</v>
      </c>
      <c r="AE282" s="2">
        <f t="shared" si="83"/>
        <v>101.15549034814467</v>
      </c>
      <c r="AF282" s="10">
        <v>0</v>
      </c>
      <c r="AG282" s="3">
        <f t="shared" si="84"/>
        <v>0</v>
      </c>
      <c r="AH282" s="7">
        <v>1785</v>
      </c>
      <c r="AI282">
        <f t="shared" si="85"/>
        <v>360</v>
      </c>
      <c r="AJ282" t="e">
        <f>VLOOKUP(A282,'Borrower Details'!$A$1:$H$1493,8,FALSE)</f>
        <v>#N/A</v>
      </c>
      <c r="AK282" s="4" t="e">
        <f t="shared" si="86"/>
        <v>#N/A</v>
      </c>
      <c r="AL282" s="10">
        <v>7.625</v>
      </c>
      <c r="AM282" s="3">
        <f t="shared" si="87"/>
        <v>179858.49734999996</v>
      </c>
      <c r="AN282">
        <v>7.625</v>
      </c>
      <c r="AO282" s="7">
        <f t="shared" si="88"/>
        <v>1347.9682370932189</v>
      </c>
      <c r="AP282" s="2">
        <f t="shared" si="89"/>
        <v>101.15176290678096</v>
      </c>
    </row>
    <row r="283" spans="1:42" x14ac:dyDescent="0.15">
      <c r="A283" s="8">
        <v>411143621</v>
      </c>
      <c r="B283" t="s">
        <v>36</v>
      </c>
      <c r="C283" t="s">
        <v>16</v>
      </c>
      <c r="D283" s="1">
        <v>39434</v>
      </c>
      <c r="E283" s="2">
        <v>242000</v>
      </c>
      <c r="F283" s="2">
        <v>181500</v>
      </c>
      <c r="G283" t="s">
        <v>21</v>
      </c>
      <c r="H283" s="2">
        <v>1395.58</v>
      </c>
      <c r="I283" s="2">
        <v>180942.38</v>
      </c>
      <c r="J283">
        <v>8.5000000000000006E-2</v>
      </c>
      <c r="K283">
        <v>4</v>
      </c>
      <c r="L283">
        <v>355</v>
      </c>
      <c r="M283" t="str">
        <f t="shared" si="75"/>
        <v>30 Year Fixed</v>
      </c>
      <c r="N283" s="2">
        <v>1282.48</v>
      </c>
      <c r="O283" t="str">
        <f t="shared" si="72"/>
        <v>Cash Out</v>
      </c>
      <c r="P283" s="3">
        <f t="shared" si="76"/>
        <v>21717.718522167503</v>
      </c>
      <c r="Q283" s="4">
        <v>205700</v>
      </c>
      <c r="R283" s="4" t="s">
        <v>41</v>
      </c>
      <c r="S283" s="6">
        <v>628</v>
      </c>
      <c r="T283">
        <v>6.75</v>
      </c>
      <c r="U283" s="7">
        <f t="shared" si="73"/>
        <v>1419.874617974149</v>
      </c>
      <c r="V283" s="2">
        <f t="shared" si="77"/>
        <v>-24.294617974149105</v>
      </c>
      <c r="W283" s="9">
        <f t="shared" si="78"/>
        <v>1</v>
      </c>
      <c r="X283" s="3">
        <v>202100</v>
      </c>
      <c r="Y283" s="3">
        <f t="shared" si="79"/>
        <v>18170.920492610865</v>
      </c>
      <c r="Z283" s="7">
        <f t="shared" si="80"/>
        <v>1395.0250864976933</v>
      </c>
      <c r="AA283" s="2">
        <f t="shared" si="74"/>
        <v>0.55491350230659009</v>
      </c>
      <c r="AB283" s="8">
        <f t="shared" si="81"/>
        <v>0</v>
      </c>
      <c r="AC283" s="10">
        <v>6.75</v>
      </c>
      <c r="AD283" s="7">
        <f t="shared" si="82"/>
        <v>1395.0250864976933</v>
      </c>
      <c r="AE283" s="2">
        <f t="shared" si="83"/>
        <v>0.55491350230659009</v>
      </c>
      <c r="AF283" s="10">
        <v>0</v>
      </c>
      <c r="AG283" s="3">
        <f t="shared" si="84"/>
        <v>0</v>
      </c>
      <c r="AH283" s="7">
        <v>3630</v>
      </c>
      <c r="AI283">
        <f t="shared" si="85"/>
        <v>360</v>
      </c>
      <c r="AJ283" t="e">
        <f>VLOOKUP(A283,'Borrower Details'!$A$1:$H$1493,8,FALSE)</f>
        <v>#N/A</v>
      </c>
      <c r="AK283" s="4" t="e">
        <f t="shared" si="86"/>
        <v>#N/A</v>
      </c>
      <c r="AL283" s="10">
        <v>6.75</v>
      </c>
      <c r="AM283" s="3">
        <f t="shared" si="87"/>
        <v>183656.51569999999</v>
      </c>
      <c r="AN283">
        <v>6.75</v>
      </c>
      <c r="AO283" s="7">
        <f t="shared" si="88"/>
        <v>1267.716213262036</v>
      </c>
      <c r="AP283" s="2">
        <f t="shared" si="89"/>
        <v>127.86378673796389</v>
      </c>
    </row>
    <row r="284" spans="1:42" x14ac:dyDescent="0.15">
      <c r="A284" s="8">
        <v>410875603</v>
      </c>
      <c r="B284" t="s">
        <v>37</v>
      </c>
      <c r="C284" t="s">
        <v>16</v>
      </c>
      <c r="D284" s="1">
        <v>39357</v>
      </c>
      <c r="E284" s="2">
        <v>125000</v>
      </c>
      <c r="F284" s="2">
        <v>103000</v>
      </c>
      <c r="G284" t="s">
        <v>17</v>
      </c>
      <c r="H284" s="2">
        <v>884.93</v>
      </c>
      <c r="I284" s="2">
        <v>102655.29</v>
      </c>
      <c r="J284">
        <v>9.7500000000000003E-2</v>
      </c>
      <c r="K284">
        <v>6</v>
      </c>
      <c r="L284">
        <v>353</v>
      </c>
      <c r="M284" t="str">
        <f t="shared" si="75"/>
        <v>30 Year Fixed</v>
      </c>
      <c r="N284" s="2">
        <v>834.48</v>
      </c>
      <c r="O284" t="str">
        <f t="shared" si="72"/>
        <v>Cash Out</v>
      </c>
      <c r="P284" s="3">
        <f t="shared" si="76"/>
        <v>2024.5129556650354</v>
      </c>
      <c r="Q284" s="4">
        <v>106250</v>
      </c>
      <c r="R284" s="4" t="s">
        <v>41</v>
      </c>
      <c r="S284" s="6">
        <v>631</v>
      </c>
      <c r="T284">
        <v>6.75</v>
      </c>
      <c r="U284" s="7">
        <f t="shared" si="73"/>
        <v>733.40631093706054</v>
      </c>
      <c r="V284" s="2">
        <f t="shared" si="77"/>
        <v>151.52368906293941</v>
      </c>
      <c r="W284" s="9">
        <f t="shared" si="78"/>
        <v>0</v>
      </c>
      <c r="X284" s="3">
        <v>106250</v>
      </c>
      <c r="Y284" s="3">
        <f t="shared" si="79"/>
        <v>2024.5129556650354</v>
      </c>
      <c r="Z284" s="7">
        <f t="shared" si="80"/>
        <v>733.40631093706054</v>
      </c>
      <c r="AA284" s="2">
        <f t="shared" si="74"/>
        <v>151.52368906293941</v>
      </c>
      <c r="AB284" s="8">
        <f t="shared" si="81"/>
        <v>0</v>
      </c>
      <c r="AC284" s="10">
        <v>6.75</v>
      </c>
      <c r="AD284" s="7">
        <f t="shared" si="82"/>
        <v>733.40631093706054</v>
      </c>
      <c r="AE284" s="2">
        <f t="shared" si="83"/>
        <v>151.52368906293941</v>
      </c>
      <c r="AF284" s="10">
        <v>0</v>
      </c>
      <c r="AG284" s="3">
        <f t="shared" si="84"/>
        <v>0</v>
      </c>
      <c r="AH284" s="7">
        <v>0</v>
      </c>
      <c r="AI284">
        <f t="shared" si="85"/>
        <v>360</v>
      </c>
      <c r="AJ284" t="e">
        <f>VLOOKUP(A284,'Borrower Details'!$A$1:$H$1493,8,FALSE)</f>
        <v>#N/A</v>
      </c>
      <c r="AK284" s="4" t="e">
        <f t="shared" si="86"/>
        <v>#N/A</v>
      </c>
      <c r="AL284" s="10">
        <v>6.75</v>
      </c>
      <c r="AM284" s="3">
        <f t="shared" si="87"/>
        <v>104195.11934999998</v>
      </c>
      <c r="AN284">
        <v>6.75</v>
      </c>
      <c r="AO284" s="7">
        <f t="shared" si="88"/>
        <v>719.22219388357848</v>
      </c>
      <c r="AP284" s="2">
        <f t="shared" si="89"/>
        <v>165.70780611642147</v>
      </c>
    </row>
    <row r="285" spans="1:42" x14ac:dyDescent="0.15">
      <c r="A285" s="8">
        <v>1179577</v>
      </c>
      <c r="B285" t="s">
        <v>36</v>
      </c>
      <c r="C285" t="s">
        <v>19</v>
      </c>
      <c r="D285" s="1">
        <v>39181</v>
      </c>
      <c r="E285" s="2">
        <v>129000</v>
      </c>
      <c r="F285" s="2">
        <v>90300</v>
      </c>
      <c r="G285" t="s">
        <v>17</v>
      </c>
      <c r="H285" s="2">
        <v>681.26</v>
      </c>
      <c r="I285" s="2">
        <v>87617.3</v>
      </c>
      <c r="J285">
        <v>6.6500000000000004E-2</v>
      </c>
      <c r="K285">
        <v>12</v>
      </c>
      <c r="L285">
        <v>227</v>
      </c>
      <c r="M285" t="str">
        <f t="shared" si="75"/>
        <v>30 Year Fixed</v>
      </c>
      <c r="N285" s="2">
        <v>485.55</v>
      </c>
      <c r="O285" t="str">
        <f t="shared" si="72"/>
        <v>Cash Out</v>
      </c>
      <c r="P285" s="3">
        <f t="shared" si="76"/>
        <v>20412.256650246316</v>
      </c>
      <c r="Q285" s="4">
        <v>109650</v>
      </c>
      <c r="R285" s="4" t="s">
        <v>41</v>
      </c>
      <c r="S285" s="6">
        <v>639</v>
      </c>
      <c r="T285">
        <v>6.75</v>
      </c>
      <c r="U285" s="7">
        <f t="shared" si="73"/>
        <v>756.87531288704645</v>
      </c>
      <c r="V285" s="2">
        <f t="shared" si="77"/>
        <v>-75.615312887046457</v>
      </c>
      <c r="W285" s="9">
        <f t="shared" si="78"/>
        <v>1</v>
      </c>
      <c r="X285" s="3">
        <v>98620</v>
      </c>
      <c r="Y285" s="3">
        <f t="shared" si="79"/>
        <v>9545.2615763546928</v>
      </c>
      <c r="Z285" s="7">
        <f t="shared" si="80"/>
        <v>688.9548627134609</v>
      </c>
      <c r="AA285" s="2">
        <f t="shared" si="74"/>
        <v>-7.6948627134609069</v>
      </c>
      <c r="AB285" s="8">
        <f t="shared" si="81"/>
        <v>0</v>
      </c>
      <c r="AC285" s="10">
        <v>6.875</v>
      </c>
      <c r="AD285" s="7">
        <f t="shared" si="82"/>
        <v>688.9548627134609</v>
      </c>
      <c r="AE285" s="2">
        <f t="shared" si="83"/>
        <v>-7.6948627134609069</v>
      </c>
      <c r="AF285" s="10">
        <v>0</v>
      </c>
      <c r="AG285" s="3">
        <f t="shared" si="84"/>
        <v>0</v>
      </c>
      <c r="AH285" s="7">
        <v>1806</v>
      </c>
      <c r="AI285">
        <f t="shared" si="85"/>
        <v>360</v>
      </c>
      <c r="AJ285" t="e">
        <f>VLOOKUP(A285,'Borrower Details'!$A$1:$H$1493,8,FALSE)</f>
        <v>#N/A</v>
      </c>
      <c r="AK285" s="4" t="e">
        <f t="shared" si="86"/>
        <v>#N/A</v>
      </c>
      <c r="AL285" s="10">
        <v>6.875</v>
      </c>
      <c r="AM285" s="3">
        <f t="shared" si="87"/>
        <v>88931.559499999988</v>
      </c>
      <c r="AN285">
        <v>6.875</v>
      </c>
      <c r="AO285" s="7">
        <f t="shared" si="88"/>
        <v>621.27185526481924</v>
      </c>
      <c r="AP285" s="2">
        <f t="shared" si="89"/>
        <v>59.988144735180754</v>
      </c>
    </row>
    <row r="286" spans="1:42" x14ac:dyDescent="0.15">
      <c r="A286" s="8">
        <v>410064091</v>
      </c>
      <c r="B286" t="s">
        <v>35</v>
      </c>
      <c r="C286" t="s">
        <v>16</v>
      </c>
      <c r="D286" s="1">
        <v>39199</v>
      </c>
      <c r="E286" s="2">
        <v>125000</v>
      </c>
      <c r="F286" s="2">
        <v>105000</v>
      </c>
      <c r="G286" t="s">
        <v>15</v>
      </c>
      <c r="H286" s="2">
        <v>809.13</v>
      </c>
      <c r="I286" s="2">
        <v>104693.93</v>
      </c>
      <c r="J286">
        <v>8.9899999999999994E-2</v>
      </c>
      <c r="K286">
        <v>12</v>
      </c>
      <c r="L286">
        <v>347</v>
      </c>
      <c r="M286" t="str">
        <f t="shared" si="75"/>
        <v>30 Year Fixed</v>
      </c>
      <c r="N286" s="2">
        <v>784.33</v>
      </c>
      <c r="O286" t="str">
        <f t="shared" si="72"/>
        <v>Refi</v>
      </c>
      <c r="P286" s="3">
        <f t="shared" si="76"/>
        <v>0</v>
      </c>
      <c r="Q286" s="4">
        <v>106264</v>
      </c>
      <c r="R286" s="4" t="s">
        <v>41</v>
      </c>
      <c r="S286" s="6">
        <v>610</v>
      </c>
      <c r="T286">
        <v>6.875</v>
      </c>
      <c r="U286" s="7">
        <f t="shared" si="73"/>
        <v>742.35550123081725</v>
      </c>
      <c r="V286" s="2">
        <f t="shared" si="77"/>
        <v>66.774498769182742</v>
      </c>
      <c r="W286" s="9">
        <f t="shared" si="78"/>
        <v>0</v>
      </c>
      <c r="X286" s="3">
        <v>106264</v>
      </c>
      <c r="Y286" s="3">
        <f t="shared" si="79"/>
        <v>-0.33394088668865152</v>
      </c>
      <c r="Z286" s="7">
        <f t="shared" si="80"/>
        <v>742.35550123081725</v>
      </c>
      <c r="AA286" s="2">
        <f t="shared" si="74"/>
        <v>66.774498769182742</v>
      </c>
      <c r="AB286" s="8">
        <f t="shared" si="81"/>
        <v>0</v>
      </c>
      <c r="AC286" s="10">
        <v>6.875</v>
      </c>
      <c r="AD286" s="7">
        <f t="shared" si="82"/>
        <v>742.35550123081725</v>
      </c>
      <c r="AE286" s="2">
        <f t="shared" si="83"/>
        <v>66.774498769182742</v>
      </c>
      <c r="AF286" s="10">
        <v>0</v>
      </c>
      <c r="AG286" s="3">
        <f t="shared" si="84"/>
        <v>0</v>
      </c>
      <c r="AH286" s="7">
        <v>4719.75</v>
      </c>
      <c r="AI286">
        <f t="shared" si="85"/>
        <v>360</v>
      </c>
      <c r="AJ286" t="e">
        <f>VLOOKUP(A286,'Borrower Details'!$A$1:$H$1493,8,FALSE)</f>
        <v>#N/A</v>
      </c>
      <c r="AK286" s="4" t="e">
        <f t="shared" si="86"/>
        <v>#N/A</v>
      </c>
      <c r="AL286" s="10">
        <v>6.875</v>
      </c>
      <c r="AM286" s="3">
        <f t="shared" si="87"/>
        <v>106264.33894999998</v>
      </c>
      <c r="AN286">
        <v>6.875</v>
      </c>
      <c r="AO286" s="7">
        <f t="shared" si="88"/>
        <v>742.35786912019785</v>
      </c>
      <c r="AP286" s="2">
        <f t="shared" si="89"/>
        <v>66.772130879802148</v>
      </c>
    </row>
    <row r="287" spans="1:42" x14ac:dyDescent="0.15">
      <c r="A287" s="8">
        <v>410083919</v>
      </c>
      <c r="B287" t="s">
        <v>36</v>
      </c>
      <c r="C287" t="s">
        <v>18</v>
      </c>
      <c r="D287" s="1">
        <v>39197</v>
      </c>
      <c r="E287" s="2">
        <v>110000</v>
      </c>
      <c r="F287" s="2">
        <v>99000</v>
      </c>
      <c r="G287" t="s">
        <v>17</v>
      </c>
      <c r="H287" s="2">
        <v>722.98</v>
      </c>
      <c r="I287" s="2">
        <v>98149.66</v>
      </c>
      <c r="J287">
        <v>7.9500000000000001E-2</v>
      </c>
      <c r="K287">
        <v>12</v>
      </c>
      <c r="L287">
        <v>348</v>
      </c>
      <c r="M287" t="str">
        <f t="shared" si="75"/>
        <v>30 Year Fixed</v>
      </c>
      <c r="N287" s="2">
        <v>650.24</v>
      </c>
      <c r="O287" t="str">
        <f t="shared" si="72"/>
        <v>Refi</v>
      </c>
      <c r="P287" s="3">
        <f t="shared" si="76"/>
        <v>0</v>
      </c>
      <c r="Q287" s="4">
        <v>99622</v>
      </c>
      <c r="R287" s="4" t="s">
        <v>41</v>
      </c>
      <c r="S287" s="6">
        <v>667</v>
      </c>
      <c r="T287">
        <v>6.875</v>
      </c>
      <c r="U287" s="7">
        <f t="shared" si="73"/>
        <v>695.95478942648958</v>
      </c>
      <c r="V287" s="2">
        <f t="shared" si="77"/>
        <v>27.025210573510435</v>
      </c>
      <c r="W287" s="9">
        <f t="shared" si="78"/>
        <v>0</v>
      </c>
      <c r="X287" s="3">
        <v>99622</v>
      </c>
      <c r="Y287" s="3">
        <f t="shared" si="79"/>
        <v>9.3694581286399625E-2</v>
      </c>
      <c r="Z287" s="7">
        <f t="shared" si="80"/>
        <v>695.95478942648958</v>
      </c>
      <c r="AA287" s="2">
        <f t="shared" si="74"/>
        <v>27.025210573510435</v>
      </c>
      <c r="AB287" s="8">
        <f t="shared" si="81"/>
        <v>1</v>
      </c>
      <c r="AC287" s="10">
        <v>6.25</v>
      </c>
      <c r="AD287" s="7">
        <f t="shared" si="82"/>
        <v>654.8989560754485</v>
      </c>
      <c r="AE287" s="2">
        <f t="shared" si="83"/>
        <v>68.081043924551523</v>
      </c>
      <c r="AF287" s="10">
        <v>2.5</v>
      </c>
      <c r="AG287" s="3">
        <f t="shared" si="84"/>
        <v>2490.5500000000002</v>
      </c>
      <c r="AH287" s="7">
        <v>1980</v>
      </c>
      <c r="AI287">
        <f t="shared" si="85"/>
        <v>360</v>
      </c>
      <c r="AJ287" t="e">
        <f>VLOOKUP(A287,'Borrower Details'!$A$1:$H$1493,8,FALSE)</f>
        <v>#N/A</v>
      </c>
      <c r="AK287" s="4" t="e">
        <f t="shared" si="86"/>
        <v>#N/A</v>
      </c>
      <c r="AL287" s="10">
        <v>6.875</v>
      </c>
      <c r="AM287" s="3">
        <f t="shared" si="87"/>
        <v>99621.904899999994</v>
      </c>
      <c r="AN287">
        <v>6.875</v>
      </c>
      <c r="AO287" s="7">
        <f t="shared" si="88"/>
        <v>695.9541250621877</v>
      </c>
      <c r="AP287" s="2">
        <f t="shared" si="89"/>
        <v>27.025874937812318</v>
      </c>
    </row>
    <row r="288" spans="1:42" x14ac:dyDescent="0.15">
      <c r="A288" s="8">
        <v>410091433</v>
      </c>
      <c r="B288" t="s">
        <v>36</v>
      </c>
      <c r="C288" t="s">
        <v>18</v>
      </c>
      <c r="D288" s="1">
        <v>39195</v>
      </c>
      <c r="E288" s="2">
        <v>139000</v>
      </c>
      <c r="F288" s="2">
        <v>118150</v>
      </c>
      <c r="G288" t="s">
        <v>15</v>
      </c>
      <c r="H288" s="2">
        <v>891.78</v>
      </c>
      <c r="I288" s="2">
        <v>116987.38</v>
      </c>
      <c r="J288">
        <v>8.3000000000000004E-2</v>
      </c>
      <c r="K288">
        <v>12</v>
      </c>
      <c r="L288">
        <v>347</v>
      </c>
      <c r="M288" t="str">
        <f t="shared" si="75"/>
        <v>30 Year Fixed</v>
      </c>
      <c r="N288" s="2">
        <v>809.77</v>
      </c>
      <c r="O288" t="str">
        <f t="shared" si="72"/>
        <v>Refi</v>
      </c>
      <c r="P288" s="3">
        <f t="shared" si="76"/>
        <v>0</v>
      </c>
      <c r="Q288" s="4">
        <v>118742</v>
      </c>
      <c r="R288" s="4" t="s">
        <v>41</v>
      </c>
      <c r="S288" s="6">
        <v>636</v>
      </c>
      <c r="T288">
        <v>6.75</v>
      </c>
      <c r="U288" s="7">
        <f t="shared" si="73"/>
        <v>819.63418516036177</v>
      </c>
      <c r="V288" s="2">
        <f t="shared" si="77"/>
        <v>72.145814839638206</v>
      </c>
      <c r="W288" s="9">
        <f t="shared" si="78"/>
        <v>0</v>
      </c>
      <c r="X288" s="3">
        <v>118742</v>
      </c>
      <c r="Y288" s="3">
        <f t="shared" si="79"/>
        <v>-0.18788177339592949</v>
      </c>
      <c r="Z288" s="7">
        <f t="shared" si="80"/>
        <v>819.63418516036177</v>
      </c>
      <c r="AA288" s="2">
        <f t="shared" si="74"/>
        <v>72.145814839638206</v>
      </c>
      <c r="AB288" s="8">
        <f t="shared" si="81"/>
        <v>0</v>
      </c>
      <c r="AC288" s="10">
        <v>6.75</v>
      </c>
      <c r="AD288" s="7">
        <f t="shared" si="82"/>
        <v>819.63418516036177</v>
      </c>
      <c r="AE288" s="2">
        <f t="shared" si="83"/>
        <v>72.145814839638206</v>
      </c>
      <c r="AF288" s="10">
        <v>0</v>
      </c>
      <c r="AG288" s="3">
        <f t="shared" si="84"/>
        <v>0</v>
      </c>
      <c r="AH288" s="7">
        <v>2363</v>
      </c>
      <c r="AI288">
        <f t="shared" si="85"/>
        <v>360</v>
      </c>
      <c r="AJ288" t="e">
        <f>VLOOKUP(A288,'Borrower Details'!$A$1:$H$1493,8,FALSE)</f>
        <v>#N/A</v>
      </c>
      <c r="AK288" s="4" t="e">
        <f t="shared" si="86"/>
        <v>#N/A</v>
      </c>
      <c r="AL288" s="10">
        <v>6.75</v>
      </c>
      <c r="AM288" s="3">
        <f t="shared" si="87"/>
        <v>118742.19069999999</v>
      </c>
      <c r="AN288">
        <v>6.75</v>
      </c>
      <c r="AO288" s="7">
        <f t="shared" si="88"/>
        <v>819.6355014952652</v>
      </c>
      <c r="AP288" s="2">
        <f t="shared" si="89"/>
        <v>72.14449850473477</v>
      </c>
    </row>
    <row r="289" spans="1:42" x14ac:dyDescent="0.15">
      <c r="A289" s="8">
        <v>411138951</v>
      </c>
      <c r="B289" t="s">
        <v>37</v>
      </c>
      <c r="C289" t="s">
        <v>18</v>
      </c>
      <c r="D289" s="1">
        <v>39426</v>
      </c>
      <c r="E289" s="2">
        <v>140000</v>
      </c>
      <c r="F289" s="2">
        <v>119000</v>
      </c>
      <c r="G289" t="s">
        <v>17</v>
      </c>
      <c r="H289" s="2">
        <v>1155.81</v>
      </c>
      <c r="I289" s="2">
        <v>118631.31</v>
      </c>
      <c r="J289">
        <v>0.1125</v>
      </c>
      <c r="K289">
        <v>4</v>
      </c>
      <c r="L289">
        <v>356</v>
      </c>
      <c r="M289" t="str">
        <f t="shared" si="75"/>
        <v>30 Year Fixed</v>
      </c>
      <c r="N289" s="2">
        <v>1112.17</v>
      </c>
      <c r="O289" t="str">
        <f t="shared" si="72"/>
        <v>Refi</v>
      </c>
      <c r="P289" s="3">
        <f t="shared" si="76"/>
        <v>0</v>
      </c>
      <c r="Q289" s="4">
        <v>120411</v>
      </c>
      <c r="R289" s="4" t="s">
        <v>41</v>
      </c>
      <c r="S289" s="6">
        <v>574</v>
      </c>
      <c r="T289">
        <v>7.625</v>
      </c>
      <c r="U289" s="7">
        <f t="shared" si="73"/>
        <v>902.43277792308118</v>
      </c>
      <c r="V289" s="2">
        <f t="shared" si="77"/>
        <v>253.37722207691877</v>
      </c>
      <c r="W289" s="9">
        <f t="shared" si="78"/>
        <v>0</v>
      </c>
      <c r="X289" s="3">
        <v>120411</v>
      </c>
      <c r="Y289" s="3">
        <f t="shared" si="79"/>
        <v>0.21709359607484657</v>
      </c>
      <c r="Z289" s="7">
        <f t="shared" si="80"/>
        <v>902.43277792308118</v>
      </c>
      <c r="AA289" s="2">
        <f t="shared" si="74"/>
        <v>253.37722207691877</v>
      </c>
      <c r="AB289" s="8">
        <f t="shared" si="81"/>
        <v>0</v>
      </c>
      <c r="AC289" s="10">
        <v>7.625</v>
      </c>
      <c r="AD289" s="7">
        <f t="shared" si="82"/>
        <v>902.43277792308118</v>
      </c>
      <c r="AE289" s="2">
        <f t="shared" si="83"/>
        <v>253.37722207691877</v>
      </c>
      <c r="AF289" s="10">
        <v>0</v>
      </c>
      <c r="AG289" s="3">
        <f t="shared" si="84"/>
        <v>0</v>
      </c>
      <c r="AH289" s="7">
        <v>0</v>
      </c>
      <c r="AI289">
        <f t="shared" si="85"/>
        <v>360</v>
      </c>
      <c r="AJ289" t="e">
        <f>VLOOKUP(A289,'Borrower Details'!$A$1:$H$1493,8,FALSE)</f>
        <v>#N/A</v>
      </c>
      <c r="AK289" s="4" t="e">
        <f t="shared" si="86"/>
        <v>#N/A</v>
      </c>
      <c r="AL289" s="10">
        <v>7.625</v>
      </c>
      <c r="AM289" s="3">
        <f t="shared" si="87"/>
        <v>120410.77964999998</v>
      </c>
      <c r="AN289">
        <v>7.625</v>
      </c>
      <c r="AO289" s="7">
        <f t="shared" si="88"/>
        <v>902.43112648706096</v>
      </c>
      <c r="AP289" s="2">
        <f t="shared" si="89"/>
        <v>253.37887351293898</v>
      </c>
    </row>
    <row r="290" spans="1:42" x14ac:dyDescent="0.15">
      <c r="A290" s="8">
        <v>411174329</v>
      </c>
      <c r="B290" t="s">
        <v>37</v>
      </c>
      <c r="C290" t="s">
        <v>18</v>
      </c>
      <c r="D290" s="1">
        <v>39435</v>
      </c>
      <c r="E290" s="2">
        <v>168750</v>
      </c>
      <c r="F290" s="2">
        <v>135000</v>
      </c>
      <c r="G290" t="s">
        <v>17</v>
      </c>
      <c r="H290" s="2">
        <v>1164.82</v>
      </c>
      <c r="I290" s="2">
        <v>134683.26999999999</v>
      </c>
      <c r="J290">
        <v>9.8000000000000004E-2</v>
      </c>
      <c r="K290">
        <v>4</v>
      </c>
      <c r="L290">
        <v>355</v>
      </c>
      <c r="M290" t="str">
        <f t="shared" si="75"/>
        <v>30 Year Fixed</v>
      </c>
      <c r="N290" s="2">
        <v>1099.9100000000001</v>
      </c>
      <c r="O290" t="str">
        <f t="shared" si="72"/>
        <v>Cash Out</v>
      </c>
      <c r="P290" s="3">
        <f t="shared" si="76"/>
        <v>6634.4639901478076</v>
      </c>
      <c r="Q290" s="4">
        <v>143438</v>
      </c>
      <c r="R290" s="4" t="s">
        <v>41</v>
      </c>
      <c r="S290" s="6">
        <v>629</v>
      </c>
      <c r="T290">
        <v>6.75</v>
      </c>
      <c r="U290" s="7">
        <f t="shared" si="73"/>
        <v>990.1019710888479</v>
      </c>
      <c r="V290" s="2">
        <f t="shared" si="77"/>
        <v>174.71802891115203</v>
      </c>
      <c r="W290" s="9">
        <f t="shared" si="78"/>
        <v>0</v>
      </c>
      <c r="X290" s="3">
        <v>143438</v>
      </c>
      <c r="Y290" s="3">
        <f t="shared" si="79"/>
        <v>6634.956600985257</v>
      </c>
      <c r="Z290" s="7">
        <f t="shared" si="80"/>
        <v>990.1019710888479</v>
      </c>
      <c r="AA290" s="2">
        <f t="shared" si="74"/>
        <v>174.71802891115203</v>
      </c>
      <c r="AB290" s="8">
        <f t="shared" si="81"/>
        <v>0</v>
      </c>
      <c r="AC290" s="10">
        <v>6.75</v>
      </c>
      <c r="AD290" s="7">
        <f t="shared" si="82"/>
        <v>990.1019710888479</v>
      </c>
      <c r="AE290" s="2">
        <f t="shared" si="83"/>
        <v>174.71802891115203</v>
      </c>
      <c r="AF290" s="10">
        <v>0</v>
      </c>
      <c r="AG290" s="3">
        <f t="shared" si="84"/>
        <v>0</v>
      </c>
      <c r="AH290" s="7">
        <v>0</v>
      </c>
      <c r="AI290">
        <f t="shared" si="85"/>
        <v>360</v>
      </c>
      <c r="AJ290" t="e">
        <f>VLOOKUP(A290,'Borrower Details'!$A$1:$H$1493,8,FALSE)</f>
        <v>#N/A</v>
      </c>
      <c r="AK290" s="4" t="e">
        <f t="shared" si="86"/>
        <v>#N/A</v>
      </c>
      <c r="AL290" s="10">
        <v>6.75</v>
      </c>
      <c r="AM290" s="3">
        <f t="shared" si="87"/>
        <v>136703.51904999997</v>
      </c>
      <c r="AN290">
        <v>6.75</v>
      </c>
      <c r="AO290" s="7">
        <f t="shared" si="88"/>
        <v>943.61622210423207</v>
      </c>
      <c r="AP290" s="2">
        <f t="shared" si="89"/>
        <v>221.20377789576787</v>
      </c>
    </row>
    <row r="291" spans="1:42" x14ac:dyDescent="0.15">
      <c r="A291" s="8">
        <v>410894695</v>
      </c>
      <c r="B291" t="s">
        <v>36</v>
      </c>
      <c r="C291" t="s">
        <v>18</v>
      </c>
      <c r="D291" s="1">
        <v>39325</v>
      </c>
      <c r="E291" s="2">
        <v>140000</v>
      </c>
      <c r="F291" s="2">
        <v>112000</v>
      </c>
      <c r="G291" t="s">
        <v>20</v>
      </c>
      <c r="H291" s="2">
        <v>1003.64</v>
      </c>
      <c r="I291" s="2">
        <v>111612.8</v>
      </c>
      <c r="J291">
        <v>0.10249999999999999</v>
      </c>
      <c r="K291">
        <v>8</v>
      </c>
      <c r="L291">
        <v>352</v>
      </c>
      <c r="M291" t="str">
        <f t="shared" si="75"/>
        <v>30 Year Fixed</v>
      </c>
      <c r="N291" s="2">
        <v>953.36</v>
      </c>
      <c r="O291" t="str">
        <f t="shared" si="72"/>
        <v>Cash Out</v>
      </c>
      <c r="P291" s="3">
        <f t="shared" si="76"/>
        <v>5628.5793103448377</v>
      </c>
      <c r="Q291" s="4">
        <v>119000</v>
      </c>
      <c r="R291" s="4" t="s">
        <v>41</v>
      </c>
      <c r="S291" s="6">
        <v>544</v>
      </c>
      <c r="T291">
        <v>7.625</v>
      </c>
      <c r="U291" s="7">
        <f t="shared" si="73"/>
        <v>891.85789149535071</v>
      </c>
      <c r="V291" s="2">
        <f t="shared" si="77"/>
        <v>111.78210850464927</v>
      </c>
      <c r="W291" s="9">
        <f t="shared" si="78"/>
        <v>0</v>
      </c>
      <c r="X291" s="3">
        <v>119000</v>
      </c>
      <c r="Y291" s="3">
        <f t="shared" si="79"/>
        <v>5628.5793103448377</v>
      </c>
      <c r="Z291" s="7">
        <f t="shared" si="80"/>
        <v>891.85789149535071</v>
      </c>
      <c r="AA291" s="2">
        <f t="shared" si="74"/>
        <v>111.78210850464927</v>
      </c>
      <c r="AB291" s="8">
        <f t="shared" si="81"/>
        <v>0</v>
      </c>
      <c r="AC291" s="10">
        <v>7.625</v>
      </c>
      <c r="AD291" s="7">
        <f t="shared" si="82"/>
        <v>891.85789149535071</v>
      </c>
      <c r="AE291" s="2">
        <f t="shared" si="83"/>
        <v>111.78210850464927</v>
      </c>
      <c r="AF291" s="10">
        <v>0</v>
      </c>
      <c r="AG291" s="3">
        <f t="shared" si="84"/>
        <v>0</v>
      </c>
      <c r="AH291" s="7">
        <v>2240</v>
      </c>
      <c r="AI291">
        <f t="shared" si="85"/>
        <v>360</v>
      </c>
      <c r="AJ291" t="e">
        <f>VLOOKUP(A291,'Borrower Details'!$A$1:$H$1493,8,FALSE)</f>
        <v>#N/A</v>
      </c>
      <c r="AK291" s="4" t="e">
        <f t="shared" si="86"/>
        <v>#N/A</v>
      </c>
      <c r="AL291" s="10">
        <v>7.625</v>
      </c>
      <c r="AM291" s="3">
        <f t="shared" si="87"/>
        <v>113286.992</v>
      </c>
      <c r="AN291">
        <v>7.625</v>
      </c>
      <c r="AO291" s="7">
        <f t="shared" si="88"/>
        <v>849.04115814261047</v>
      </c>
      <c r="AP291" s="2">
        <f t="shared" si="89"/>
        <v>154.59884185738952</v>
      </c>
    </row>
    <row r="292" spans="1:42" x14ac:dyDescent="0.15">
      <c r="A292" s="8">
        <v>411128945</v>
      </c>
      <c r="B292" t="s">
        <v>37</v>
      </c>
      <c r="C292" t="s">
        <v>16</v>
      </c>
      <c r="D292" s="1">
        <v>39415</v>
      </c>
      <c r="E292" s="2">
        <v>162000</v>
      </c>
      <c r="F292" s="2">
        <v>140850</v>
      </c>
      <c r="G292" t="s">
        <v>17</v>
      </c>
      <c r="H292" s="2">
        <v>1437.97</v>
      </c>
      <c r="I292" s="2">
        <v>140608.47</v>
      </c>
      <c r="J292">
        <v>0.11899999999999999</v>
      </c>
      <c r="K292">
        <v>5</v>
      </c>
      <c r="L292">
        <v>355</v>
      </c>
      <c r="M292" t="str">
        <f t="shared" si="75"/>
        <v>30 Year Fixed</v>
      </c>
      <c r="N292" s="2">
        <v>1394.37</v>
      </c>
      <c r="O292" t="str">
        <f t="shared" si="72"/>
        <v>Refi</v>
      </c>
      <c r="P292" s="3">
        <f t="shared" si="76"/>
        <v>0</v>
      </c>
      <c r="Q292" s="4">
        <v>142718</v>
      </c>
      <c r="R292" s="4" t="s">
        <v>41</v>
      </c>
      <c r="S292" s="6">
        <v>598</v>
      </c>
      <c r="T292">
        <v>7.375</v>
      </c>
      <c r="U292" s="7">
        <f t="shared" si="73"/>
        <v>1045.183590481302</v>
      </c>
      <c r="V292" s="2">
        <f t="shared" si="77"/>
        <v>392.78640951869806</v>
      </c>
      <c r="W292" s="9">
        <f t="shared" si="78"/>
        <v>0</v>
      </c>
      <c r="X292" s="3">
        <v>142718</v>
      </c>
      <c r="Y292" s="3">
        <f t="shared" si="79"/>
        <v>0.39699507391196676</v>
      </c>
      <c r="Z292" s="7">
        <f t="shared" si="80"/>
        <v>1045.183590481302</v>
      </c>
      <c r="AA292" s="2">
        <f t="shared" si="74"/>
        <v>392.78640951869806</v>
      </c>
      <c r="AB292" s="8">
        <f t="shared" si="81"/>
        <v>0</v>
      </c>
      <c r="AC292" s="10">
        <v>7.375</v>
      </c>
      <c r="AD292" s="7">
        <f t="shared" si="82"/>
        <v>1045.183590481302</v>
      </c>
      <c r="AE292" s="2">
        <f t="shared" si="83"/>
        <v>392.78640951869806</v>
      </c>
      <c r="AF292" s="10">
        <v>0</v>
      </c>
      <c r="AG292" s="3">
        <f t="shared" si="84"/>
        <v>0</v>
      </c>
      <c r="AH292" s="7">
        <v>0</v>
      </c>
      <c r="AI292">
        <f t="shared" si="85"/>
        <v>360</v>
      </c>
      <c r="AJ292" t="e">
        <f>VLOOKUP(A292,'Borrower Details'!$A$1:$H$1493,8,FALSE)</f>
        <v>#N/A</v>
      </c>
      <c r="AK292" s="4" t="e">
        <f t="shared" si="86"/>
        <v>#N/A</v>
      </c>
      <c r="AL292" s="10">
        <v>7.375</v>
      </c>
      <c r="AM292" s="3">
        <f t="shared" si="87"/>
        <v>142717.59704999998</v>
      </c>
      <c r="AN292">
        <v>7.375</v>
      </c>
      <c r="AO292" s="7">
        <f t="shared" si="88"/>
        <v>1045.1806395099611</v>
      </c>
      <c r="AP292" s="2">
        <f t="shared" si="89"/>
        <v>392.78936049003892</v>
      </c>
    </row>
    <row r="293" spans="1:42" x14ac:dyDescent="0.15">
      <c r="A293" s="8">
        <v>410691661</v>
      </c>
      <c r="B293" t="s">
        <v>35</v>
      </c>
      <c r="C293" t="s">
        <v>16</v>
      </c>
      <c r="D293" s="1">
        <v>39288</v>
      </c>
      <c r="E293" s="2">
        <v>220000</v>
      </c>
      <c r="F293" s="2">
        <v>198000</v>
      </c>
      <c r="G293" t="s">
        <v>17</v>
      </c>
      <c r="H293" s="2">
        <v>1480.56</v>
      </c>
      <c r="I293" s="2">
        <v>196820.08</v>
      </c>
      <c r="J293">
        <v>8.2000000000000003E-2</v>
      </c>
      <c r="K293">
        <v>9</v>
      </c>
      <c r="L293">
        <v>351</v>
      </c>
      <c r="M293" t="str">
        <f t="shared" si="75"/>
        <v>30 Year Fixed</v>
      </c>
      <c r="N293" s="2">
        <v>1344.94</v>
      </c>
      <c r="O293" t="str">
        <f t="shared" si="72"/>
        <v>Refi</v>
      </c>
      <c r="P293" s="3">
        <f t="shared" si="76"/>
        <v>0</v>
      </c>
      <c r="Q293" s="4">
        <v>199772</v>
      </c>
      <c r="R293" s="4" t="s">
        <v>41</v>
      </c>
      <c r="S293" s="6">
        <v>665</v>
      </c>
      <c r="T293">
        <v>6.75</v>
      </c>
      <c r="U293" s="7">
        <f t="shared" si="73"/>
        <v>1378.9557228095853</v>
      </c>
      <c r="V293" s="2">
        <f t="shared" si="77"/>
        <v>101.60427719041468</v>
      </c>
      <c r="W293" s="9">
        <f t="shared" si="78"/>
        <v>0</v>
      </c>
      <c r="X293" s="3">
        <v>199772</v>
      </c>
      <c r="Y293" s="3">
        <f t="shared" si="79"/>
        <v>-0.37556650242186151</v>
      </c>
      <c r="Z293" s="7">
        <f t="shared" si="80"/>
        <v>1378.9557228095853</v>
      </c>
      <c r="AA293" s="2">
        <f t="shared" si="74"/>
        <v>101.60427719041468</v>
      </c>
      <c r="AB293" s="8">
        <f t="shared" si="81"/>
        <v>1</v>
      </c>
      <c r="AC293" s="10">
        <v>6.125</v>
      </c>
      <c r="AD293" s="7">
        <f t="shared" si="82"/>
        <v>1297.0740604644684</v>
      </c>
      <c r="AE293" s="2">
        <f t="shared" si="83"/>
        <v>183.48593953553154</v>
      </c>
      <c r="AF293" s="10">
        <v>3</v>
      </c>
      <c r="AG293" s="3">
        <f t="shared" si="84"/>
        <v>5993.16</v>
      </c>
      <c r="AH293" s="7">
        <v>0</v>
      </c>
      <c r="AI293">
        <f t="shared" si="85"/>
        <v>360</v>
      </c>
      <c r="AJ293" t="e">
        <f>VLOOKUP(A293,'Borrower Details'!$A$1:$H$1493,8,FALSE)</f>
        <v>#N/A</v>
      </c>
      <c r="AK293" s="4" t="e">
        <f t="shared" si="86"/>
        <v>#N/A</v>
      </c>
      <c r="AL293" s="10">
        <v>6.75</v>
      </c>
      <c r="AM293" s="3">
        <f t="shared" si="87"/>
        <v>199772.38119999997</v>
      </c>
      <c r="AN293">
        <v>6.75</v>
      </c>
      <c r="AO293" s="7">
        <f t="shared" si="88"/>
        <v>1378.9583540988626</v>
      </c>
      <c r="AP293" s="2">
        <f t="shared" si="89"/>
        <v>101.60164590113732</v>
      </c>
    </row>
    <row r="294" spans="1:42" x14ac:dyDescent="0.15">
      <c r="A294" s="8">
        <v>410326995</v>
      </c>
      <c r="B294" t="s">
        <v>37</v>
      </c>
      <c r="C294" t="s">
        <v>18</v>
      </c>
      <c r="D294" s="1">
        <v>39227</v>
      </c>
      <c r="E294" s="2">
        <v>279000</v>
      </c>
      <c r="F294" s="2">
        <v>251100</v>
      </c>
      <c r="G294" t="s">
        <v>15</v>
      </c>
      <c r="H294" s="2">
        <v>1917.58</v>
      </c>
      <c r="I294" s="2">
        <v>250469.17</v>
      </c>
      <c r="J294">
        <v>8.8999999999999996E-2</v>
      </c>
      <c r="K294">
        <v>11</v>
      </c>
      <c r="L294">
        <v>349</v>
      </c>
      <c r="M294" t="str">
        <f t="shared" si="75"/>
        <v>30 Year Fixed</v>
      </c>
      <c r="N294" s="2">
        <v>1857.65</v>
      </c>
      <c r="O294" t="str">
        <f t="shared" si="72"/>
        <v>Refi</v>
      </c>
      <c r="P294" s="3">
        <f t="shared" si="76"/>
        <v>0</v>
      </c>
      <c r="Q294" s="4">
        <v>254226</v>
      </c>
      <c r="R294" s="4" t="s">
        <v>41</v>
      </c>
      <c r="S294" s="6">
        <v>613</v>
      </c>
      <c r="T294">
        <v>6.875</v>
      </c>
      <c r="U294" s="7">
        <f t="shared" si="73"/>
        <v>1776.011345854718</v>
      </c>
      <c r="V294" s="2">
        <f t="shared" si="77"/>
        <v>141.56865414528193</v>
      </c>
      <c r="W294" s="9">
        <f t="shared" si="78"/>
        <v>0</v>
      </c>
      <c r="X294" s="3">
        <v>254226</v>
      </c>
      <c r="Y294" s="3">
        <f t="shared" si="79"/>
        <v>-0.20448275862145238</v>
      </c>
      <c r="Z294" s="7">
        <f t="shared" si="80"/>
        <v>1776.011345854718</v>
      </c>
      <c r="AA294" s="2">
        <f t="shared" si="74"/>
        <v>141.56865414528193</v>
      </c>
      <c r="AB294" s="8">
        <f t="shared" si="81"/>
        <v>0</v>
      </c>
      <c r="AC294" s="10">
        <v>6.875</v>
      </c>
      <c r="AD294" s="7">
        <f t="shared" si="82"/>
        <v>1776.011345854718</v>
      </c>
      <c r="AE294" s="2">
        <f t="shared" si="83"/>
        <v>141.56865414528193</v>
      </c>
      <c r="AF294" s="10">
        <v>0</v>
      </c>
      <c r="AG294" s="3">
        <f t="shared" si="84"/>
        <v>0</v>
      </c>
      <c r="AH294" s="7">
        <v>2511</v>
      </c>
      <c r="AI294">
        <f t="shared" si="85"/>
        <v>360</v>
      </c>
      <c r="AJ294" t="e">
        <f>VLOOKUP(A294,'Borrower Details'!$A$1:$H$1493,8,FALSE)</f>
        <v>#N/A</v>
      </c>
      <c r="AK294" s="4" t="e">
        <f t="shared" si="86"/>
        <v>#N/A</v>
      </c>
      <c r="AL294" s="10">
        <v>6.875</v>
      </c>
      <c r="AM294" s="3">
        <f t="shared" si="87"/>
        <v>254226.20754999999</v>
      </c>
      <c r="AN294">
        <v>6.875</v>
      </c>
      <c r="AO294" s="7">
        <f t="shared" si="88"/>
        <v>1776.0127957896375</v>
      </c>
      <c r="AP294" s="2">
        <f t="shared" si="89"/>
        <v>141.56720421036243</v>
      </c>
    </row>
    <row r="295" spans="1:42" x14ac:dyDescent="0.15">
      <c r="A295" s="8">
        <v>410217541</v>
      </c>
      <c r="B295" t="s">
        <v>36</v>
      </c>
      <c r="C295" t="s">
        <v>19</v>
      </c>
      <c r="D295" s="1">
        <v>39216</v>
      </c>
      <c r="E295" s="2">
        <v>250000</v>
      </c>
      <c r="F295" s="2">
        <v>225000</v>
      </c>
      <c r="G295" t="s">
        <v>17</v>
      </c>
      <c r="H295" s="2">
        <v>1512.35</v>
      </c>
      <c r="I295" s="2">
        <v>224050.96</v>
      </c>
      <c r="J295">
        <v>7.6899999999999996E-2</v>
      </c>
      <c r="K295">
        <v>11</v>
      </c>
      <c r="L295">
        <v>349</v>
      </c>
      <c r="M295" t="str">
        <f t="shared" si="75"/>
        <v>30 Year Fixed</v>
      </c>
      <c r="N295" s="2">
        <v>1435.79</v>
      </c>
      <c r="O295" t="str">
        <f t="shared" si="72"/>
        <v>Refi</v>
      </c>
      <c r="P295" s="3">
        <f t="shared" si="76"/>
        <v>0</v>
      </c>
      <c r="Q295" s="4">
        <v>227412</v>
      </c>
      <c r="R295" s="4" t="s">
        <v>41</v>
      </c>
      <c r="S295" s="6">
        <v>662</v>
      </c>
      <c r="T295">
        <v>6.75</v>
      </c>
      <c r="U295" s="7">
        <f t="shared" si="73"/>
        <v>1569.7449033677062</v>
      </c>
      <c r="V295" s="2">
        <f t="shared" si="77"/>
        <v>-57.39490336770632</v>
      </c>
      <c r="W295" s="9">
        <f t="shared" si="78"/>
        <v>0</v>
      </c>
      <c r="X295" s="3">
        <v>227412</v>
      </c>
      <c r="Y295" s="3">
        <f t="shared" si="79"/>
        <v>0.27152709363144822</v>
      </c>
      <c r="Z295" s="7">
        <f t="shared" si="80"/>
        <v>1569.7449033677062</v>
      </c>
      <c r="AA295" s="2">
        <f t="shared" si="74"/>
        <v>-57.39490336770632</v>
      </c>
      <c r="AB295" s="8">
        <f t="shared" si="81"/>
        <v>1</v>
      </c>
      <c r="AC295" s="10">
        <v>6.125</v>
      </c>
      <c r="AD295" s="7">
        <f t="shared" si="82"/>
        <v>1476.534280271238</v>
      </c>
      <c r="AE295" s="2">
        <f t="shared" si="83"/>
        <v>35.815719728761906</v>
      </c>
      <c r="AF295" s="10">
        <v>3</v>
      </c>
      <c r="AG295" s="3">
        <f t="shared" si="84"/>
        <v>6822.36</v>
      </c>
      <c r="AH295" s="7">
        <v>4500</v>
      </c>
      <c r="AI295">
        <f t="shared" si="85"/>
        <v>360</v>
      </c>
      <c r="AJ295" t="e">
        <f>VLOOKUP(A295,'Borrower Details'!$A$1:$H$1493,8,FALSE)</f>
        <v>#N/A</v>
      </c>
      <c r="AK295" s="4" t="e">
        <f t="shared" si="86"/>
        <v>#N/A</v>
      </c>
      <c r="AL295" s="10">
        <v>6.75</v>
      </c>
      <c r="AM295" s="3">
        <f t="shared" si="87"/>
        <v>227411.72439999998</v>
      </c>
      <c r="AN295">
        <v>6.75</v>
      </c>
      <c r="AO295" s="7">
        <f t="shared" si="88"/>
        <v>1569.7430009980189</v>
      </c>
      <c r="AP295" s="2">
        <f t="shared" si="89"/>
        <v>-57.393000998019033</v>
      </c>
    </row>
    <row r="296" spans="1:42" x14ac:dyDescent="0.15">
      <c r="A296" s="8">
        <v>410417851</v>
      </c>
      <c r="B296" t="s">
        <v>36</v>
      </c>
      <c r="C296" t="s">
        <v>19</v>
      </c>
      <c r="D296" s="1">
        <v>39245</v>
      </c>
      <c r="E296" s="2">
        <v>200000</v>
      </c>
      <c r="F296" s="2">
        <v>170000</v>
      </c>
      <c r="G296" t="s">
        <v>20</v>
      </c>
      <c r="H296" s="2">
        <v>958.32</v>
      </c>
      <c r="I296" s="2">
        <v>169615.87</v>
      </c>
      <c r="J296">
        <v>6.5000000000000002E-2</v>
      </c>
      <c r="K296">
        <v>10</v>
      </c>
      <c r="L296">
        <v>350</v>
      </c>
      <c r="M296" t="str">
        <f t="shared" si="75"/>
        <v>30 Year Fixed</v>
      </c>
      <c r="N296" s="2">
        <v>918.75</v>
      </c>
      <c r="O296" t="str">
        <f t="shared" si="72"/>
        <v>Refi</v>
      </c>
      <c r="P296" s="3">
        <f t="shared" si="76"/>
        <v>0</v>
      </c>
      <c r="Q296" s="4">
        <v>172160</v>
      </c>
      <c r="R296" s="4" t="s">
        <v>41</v>
      </c>
      <c r="S296" s="6">
        <v>669</v>
      </c>
      <c r="T296">
        <v>6.75</v>
      </c>
      <c r="U296" s="7">
        <f t="shared" si="73"/>
        <v>1188.3598163851702</v>
      </c>
      <c r="V296" s="2">
        <f t="shared" si="77"/>
        <v>-230.03981638517018</v>
      </c>
      <c r="W296" s="9">
        <f t="shared" si="78"/>
        <v>0</v>
      </c>
      <c r="X296" s="3">
        <v>172160</v>
      </c>
      <c r="Y296" s="3">
        <f t="shared" si="79"/>
        <v>-0.10645320193725638</v>
      </c>
      <c r="Z296" s="7">
        <f t="shared" si="80"/>
        <v>1188.3598163851702</v>
      </c>
      <c r="AA296" s="2">
        <f t="shared" si="74"/>
        <v>-230.03981638517018</v>
      </c>
      <c r="AB296" s="8">
        <f t="shared" si="81"/>
        <v>1</v>
      </c>
      <c r="AC296" s="10">
        <v>6.125</v>
      </c>
      <c r="AD296" s="7">
        <f t="shared" si="82"/>
        <v>1117.7956382754485</v>
      </c>
      <c r="AE296" s="2">
        <f t="shared" si="83"/>
        <v>-159.47563827544843</v>
      </c>
      <c r="AF296" s="10">
        <v>3</v>
      </c>
      <c r="AG296" s="3">
        <f t="shared" si="84"/>
        <v>5164.8</v>
      </c>
      <c r="AH296" s="7">
        <v>3400</v>
      </c>
      <c r="AI296">
        <f t="shared" si="85"/>
        <v>360</v>
      </c>
      <c r="AJ296" t="e">
        <f>VLOOKUP(A296,'Borrower Details'!$A$1:$H$1493,8,FALSE)</f>
        <v>#N/A</v>
      </c>
      <c r="AK296" s="4" t="e">
        <f t="shared" si="86"/>
        <v>#N/A</v>
      </c>
      <c r="AL296" s="10">
        <v>6.75</v>
      </c>
      <c r="AM296" s="3">
        <f t="shared" si="87"/>
        <v>172160.10804999998</v>
      </c>
      <c r="AN296">
        <v>6.75</v>
      </c>
      <c r="AO296" s="7">
        <f t="shared" si="88"/>
        <v>1188.3605622162468</v>
      </c>
      <c r="AP296" s="2">
        <f t="shared" si="89"/>
        <v>-230.04056221624671</v>
      </c>
    </row>
    <row r="297" spans="1:42" x14ac:dyDescent="0.15">
      <c r="A297" s="8">
        <v>410056543</v>
      </c>
      <c r="B297" t="s">
        <v>36</v>
      </c>
      <c r="C297" t="s">
        <v>18</v>
      </c>
      <c r="D297" s="1">
        <v>39197</v>
      </c>
      <c r="E297" s="2">
        <v>245000</v>
      </c>
      <c r="F297" s="2">
        <v>208250</v>
      </c>
      <c r="G297" t="s">
        <v>20</v>
      </c>
      <c r="H297" s="2">
        <v>1455.59</v>
      </c>
      <c r="I297" s="2">
        <v>207771.2</v>
      </c>
      <c r="J297">
        <v>8.2500000000000004E-2</v>
      </c>
      <c r="K297">
        <v>12</v>
      </c>
      <c r="L297">
        <v>349</v>
      </c>
      <c r="M297" t="str">
        <f t="shared" si="75"/>
        <v>30 Year Fixed</v>
      </c>
      <c r="N297" s="2">
        <v>1428.43</v>
      </c>
      <c r="O297" t="str">
        <f t="shared" si="72"/>
        <v>Refi</v>
      </c>
      <c r="P297" s="3">
        <f t="shared" si="76"/>
        <v>0</v>
      </c>
      <c r="Q297" s="4">
        <v>210888</v>
      </c>
      <c r="R297" s="4" t="s">
        <v>41</v>
      </c>
      <c r="S297" s="6">
        <v>613</v>
      </c>
      <c r="T297">
        <v>6.875</v>
      </c>
      <c r="U297" s="7">
        <f t="shared" si="73"/>
        <v>1473.2540365840227</v>
      </c>
      <c r="V297" s="2">
        <f t="shared" si="77"/>
        <v>-17.664036584022824</v>
      </c>
      <c r="W297" s="9">
        <f t="shared" si="78"/>
        <v>0</v>
      </c>
      <c r="X297" s="3">
        <v>210888</v>
      </c>
      <c r="Y297" s="3">
        <f t="shared" si="79"/>
        <v>0.22857142856810242</v>
      </c>
      <c r="Z297" s="7">
        <f t="shared" si="80"/>
        <v>1473.2540365840227</v>
      </c>
      <c r="AA297" s="2">
        <f t="shared" si="74"/>
        <v>-17.664036584022824</v>
      </c>
      <c r="AB297" s="8">
        <f t="shared" si="81"/>
        <v>1</v>
      </c>
      <c r="AC297" s="10">
        <v>6.25</v>
      </c>
      <c r="AD297" s="7">
        <f t="shared" si="82"/>
        <v>1386.3436896352127</v>
      </c>
      <c r="AE297" s="2">
        <f t="shared" si="83"/>
        <v>69.246310364787178</v>
      </c>
      <c r="AF297" s="10">
        <v>2.5</v>
      </c>
      <c r="AG297" s="3">
        <f t="shared" si="84"/>
        <v>5272.2</v>
      </c>
      <c r="AH297" s="7">
        <v>4165</v>
      </c>
      <c r="AI297">
        <f t="shared" si="85"/>
        <v>360</v>
      </c>
      <c r="AJ297" t="e">
        <f>VLOOKUP(A297,'Borrower Details'!$A$1:$H$1493,8,FALSE)</f>
        <v>#N/A</v>
      </c>
      <c r="AK297" s="4" t="e">
        <f t="shared" si="86"/>
        <v>#N/A</v>
      </c>
      <c r="AL297" s="10">
        <v>6.875</v>
      </c>
      <c r="AM297" s="3">
        <f t="shared" si="87"/>
        <v>210887.76799999998</v>
      </c>
      <c r="AN297">
        <v>6.875</v>
      </c>
      <c r="AO297" s="7">
        <f t="shared" si="88"/>
        <v>1473.2524158425083</v>
      </c>
      <c r="AP297" s="2">
        <f t="shared" si="89"/>
        <v>-17.662415842508381</v>
      </c>
    </row>
    <row r="298" spans="1:42" x14ac:dyDescent="0.15">
      <c r="A298" s="8">
        <v>1170059</v>
      </c>
      <c r="B298" t="s">
        <v>37</v>
      </c>
      <c r="C298" t="s">
        <v>18</v>
      </c>
      <c r="D298" s="1">
        <v>39169</v>
      </c>
      <c r="E298" s="2">
        <v>200000</v>
      </c>
      <c r="F298" s="2">
        <v>170000</v>
      </c>
      <c r="G298" t="s">
        <v>20</v>
      </c>
      <c r="H298" s="2">
        <v>1404.72</v>
      </c>
      <c r="I298" s="2">
        <v>168760.03</v>
      </c>
      <c r="J298">
        <v>9.2999999999999999E-2</v>
      </c>
      <c r="K298">
        <v>13</v>
      </c>
      <c r="L298">
        <v>348</v>
      </c>
      <c r="M298" t="str">
        <f t="shared" si="75"/>
        <v>30 Year Fixed</v>
      </c>
      <c r="N298" s="2">
        <v>1307.8900000000001</v>
      </c>
      <c r="O298" t="str">
        <f t="shared" si="72"/>
        <v>Refi</v>
      </c>
      <c r="P298" s="3">
        <f t="shared" si="76"/>
        <v>0</v>
      </c>
      <c r="Q298" s="4">
        <v>171291</v>
      </c>
      <c r="R298" s="4" t="s">
        <v>41</v>
      </c>
      <c r="S298" s="6">
        <v>541</v>
      </c>
      <c r="T298">
        <v>7.625</v>
      </c>
      <c r="U298" s="7">
        <f t="shared" si="73"/>
        <v>1283.7582360683202</v>
      </c>
      <c r="V298" s="2">
        <f t="shared" si="77"/>
        <v>120.9617639316798</v>
      </c>
      <c r="W298" s="9">
        <f t="shared" si="78"/>
        <v>0</v>
      </c>
      <c r="X298" s="3">
        <v>171291</v>
      </c>
      <c r="Y298" s="3">
        <f t="shared" si="79"/>
        <v>-0.42408866994082928</v>
      </c>
      <c r="Z298" s="7">
        <f t="shared" si="80"/>
        <v>1283.7582360683202</v>
      </c>
      <c r="AA298" s="2">
        <f t="shared" si="74"/>
        <v>120.9617639316798</v>
      </c>
      <c r="AB298" s="8">
        <f t="shared" si="81"/>
        <v>0</v>
      </c>
      <c r="AC298" s="10">
        <v>7.625</v>
      </c>
      <c r="AD298" s="7">
        <f t="shared" si="82"/>
        <v>1283.7582360683202</v>
      </c>
      <c r="AE298" s="2">
        <f t="shared" si="83"/>
        <v>120.9617639316798</v>
      </c>
      <c r="AF298" s="10">
        <v>0</v>
      </c>
      <c r="AG298" s="3">
        <f t="shared" si="84"/>
        <v>0</v>
      </c>
      <c r="AH298" s="7">
        <v>1700</v>
      </c>
      <c r="AI298">
        <f t="shared" si="85"/>
        <v>360</v>
      </c>
      <c r="AJ298" t="e">
        <f>VLOOKUP(A298,'Borrower Details'!$A$1:$H$1493,8,FALSE)</f>
        <v>#N/A</v>
      </c>
      <c r="AK298" s="4" t="e">
        <f t="shared" si="86"/>
        <v>#N/A</v>
      </c>
      <c r="AL298" s="10">
        <v>7.625</v>
      </c>
      <c r="AM298" s="3">
        <f t="shared" si="87"/>
        <v>171291.43044999999</v>
      </c>
      <c r="AN298">
        <v>7.625</v>
      </c>
      <c r="AO298" s="7">
        <f t="shared" si="88"/>
        <v>1283.7614621206678</v>
      </c>
      <c r="AP298" s="2">
        <f t="shared" si="89"/>
        <v>120.9585378793322</v>
      </c>
    </row>
    <row r="299" spans="1:42" x14ac:dyDescent="0.15">
      <c r="A299" s="8">
        <v>1181759</v>
      </c>
      <c r="B299" t="s">
        <v>35</v>
      </c>
      <c r="C299" t="s">
        <v>16</v>
      </c>
      <c r="D299" s="1">
        <v>39169</v>
      </c>
      <c r="E299" s="2">
        <v>155000</v>
      </c>
      <c r="F299" s="2">
        <v>139500</v>
      </c>
      <c r="G299" t="s">
        <v>15</v>
      </c>
      <c r="H299" s="2">
        <v>900.94</v>
      </c>
      <c r="I299" s="2">
        <v>139500</v>
      </c>
      <c r="J299">
        <v>7.7499999999999999E-2</v>
      </c>
      <c r="K299">
        <v>13</v>
      </c>
      <c r="L299">
        <v>347</v>
      </c>
      <c r="M299" t="str">
        <f t="shared" si="75"/>
        <v>30 Year Fixed</v>
      </c>
      <c r="N299" s="2">
        <v>900.94</v>
      </c>
      <c r="O299" t="str">
        <f t="shared" si="72"/>
        <v>Refi</v>
      </c>
      <c r="P299" s="3">
        <f t="shared" si="76"/>
        <v>0</v>
      </c>
      <c r="Q299" s="4">
        <v>141592</v>
      </c>
      <c r="R299" s="4" t="s">
        <v>41</v>
      </c>
      <c r="S299" s="6">
        <v>642</v>
      </c>
      <c r="T299">
        <v>6.75</v>
      </c>
      <c r="U299" s="7">
        <f t="shared" si="73"/>
        <v>977.35968355953196</v>
      </c>
      <c r="V299" s="2">
        <f t="shared" si="77"/>
        <v>-76.419683559531904</v>
      </c>
      <c r="W299" s="9">
        <f t="shared" si="78"/>
        <v>0</v>
      </c>
      <c r="X299" s="3">
        <v>141592</v>
      </c>
      <c r="Y299" s="3">
        <f t="shared" si="79"/>
        <v>-0.49261083742021583</v>
      </c>
      <c r="Z299" s="7">
        <f t="shared" si="80"/>
        <v>977.35968355953196</v>
      </c>
      <c r="AA299" s="2">
        <f t="shared" si="74"/>
        <v>-76.419683559531904</v>
      </c>
      <c r="AB299" s="8">
        <f t="shared" si="81"/>
        <v>1</v>
      </c>
      <c r="AC299" s="10">
        <v>6.125</v>
      </c>
      <c r="AD299" s="7">
        <f t="shared" si="82"/>
        <v>919.32458186975668</v>
      </c>
      <c r="AE299" s="2">
        <f t="shared" si="83"/>
        <v>-18.38458186975663</v>
      </c>
      <c r="AF299" s="10">
        <v>3</v>
      </c>
      <c r="AG299" s="3">
        <f t="shared" si="84"/>
        <v>4247.76</v>
      </c>
      <c r="AH299" s="7">
        <v>5405.625</v>
      </c>
      <c r="AI299">
        <f t="shared" si="85"/>
        <v>360</v>
      </c>
      <c r="AJ299" t="e">
        <f>VLOOKUP(A299,'Borrower Details'!$A$1:$H$1493,8,FALSE)</f>
        <v>#N/A</v>
      </c>
      <c r="AK299" s="4" t="e">
        <f t="shared" si="86"/>
        <v>#N/A</v>
      </c>
      <c r="AL299" s="10">
        <v>6.75</v>
      </c>
      <c r="AM299" s="3">
        <f t="shared" si="87"/>
        <v>141592.5</v>
      </c>
      <c r="AN299">
        <v>6.75</v>
      </c>
      <c r="AO299" s="7">
        <f t="shared" si="88"/>
        <v>977.36313488334815</v>
      </c>
      <c r="AP299" s="2">
        <f t="shared" si="89"/>
        <v>-76.423134883348098</v>
      </c>
    </row>
    <row r="300" spans="1:42" x14ac:dyDescent="0.15">
      <c r="A300" s="8">
        <v>1164981</v>
      </c>
      <c r="B300" t="s">
        <v>36</v>
      </c>
      <c r="C300" t="s">
        <v>18</v>
      </c>
      <c r="D300" s="1">
        <v>39176</v>
      </c>
      <c r="E300" s="2">
        <v>200000</v>
      </c>
      <c r="F300" s="2">
        <v>160000</v>
      </c>
      <c r="G300" t="s">
        <v>17</v>
      </c>
      <c r="H300" s="2">
        <v>1107.81</v>
      </c>
      <c r="I300" s="2">
        <v>158428.59</v>
      </c>
      <c r="J300">
        <v>7.3999999999999996E-2</v>
      </c>
      <c r="K300">
        <v>12</v>
      </c>
      <c r="L300">
        <v>348</v>
      </c>
      <c r="M300" t="str">
        <f t="shared" si="75"/>
        <v>30 Year Fixed</v>
      </c>
      <c r="N300" s="2">
        <v>976.98</v>
      </c>
      <c r="O300" t="str">
        <f t="shared" si="72"/>
        <v>Cash Out</v>
      </c>
      <c r="P300" s="3">
        <f t="shared" si="76"/>
        <v>9059.0947290640615</v>
      </c>
      <c r="Q300" s="4">
        <v>170000</v>
      </c>
      <c r="R300" s="4" t="s">
        <v>41</v>
      </c>
      <c r="S300" s="6">
        <v>602</v>
      </c>
      <c r="T300">
        <v>6.875</v>
      </c>
      <c r="U300" s="7">
        <f t="shared" si="73"/>
        <v>1187.612316581711</v>
      </c>
      <c r="V300" s="2">
        <f t="shared" si="77"/>
        <v>-79.802316581711011</v>
      </c>
      <c r="W300" s="9">
        <f t="shared" si="78"/>
        <v>1</v>
      </c>
      <c r="X300" s="3">
        <v>160805</v>
      </c>
      <c r="Y300" s="3">
        <f t="shared" si="79"/>
        <v>-1.8571428547147661E-2</v>
      </c>
      <c r="Z300" s="7">
        <f t="shared" si="80"/>
        <v>1123.3764621642474</v>
      </c>
      <c r="AA300" s="2">
        <f t="shared" si="74"/>
        <v>-15.566462164247469</v>
      </c>
      <c r="AB300" s="8">
        <f t="shared" si="81"/>
        <v>1</v>
      </c>
      <c r="AC300" s="10">
        <v>6.25</v>
      </c>
      <c r="AD300" s="7">
        <f t="shared" si="82"/>
        <v>1057.1061274789954</v>
      </c>
      <c r="AE300" s="2">
        <f t="shared" si="83"/>
        <v>50.703872521004541</v>
      </c>
      <c r="AF300" s="10">
        <v>2.5</v>
      </c>
      <c r="AG300" s="3">
        <f t="shared" si="84"/>
        <v>4020.125</v>
      </c>
      <c r="AH300" s="7">
        <v>3200</v>
      </c>
      <c r="AI300">
        <f t="shared" si="85"/>
        <v>360</v>
      </c>
      <c r="AJ300" t="e">
        <f>VLOOKUP(A300,'Borrower Details'!$A$1:$H$1493,8,FALSE)</f>
        <v>#N/A</v>
      </c>
      <c r="AK300" s="4" t="e">
        <f t="shared" si="86"/>
        <v>#N/A</v>
      </c>
      <c r="AL300" s="10">
        <v>6.875</v>
      </c>
      <c r="AM300" s="3">
        <f t="shared" si="87"/>
        <v>160805.01884999999</v>
      </c>
      <c r="AN300">
        <v>6.875</v>
      </c>
      <c r="AO300" s="7">
        <f t="shared" si="88"/>
        <v>1123.3765938494953</v>
      </c>
      <c r="AP300" s="2">
        <f t="shared" si="89"/>
        <v>-15.566593849495348</v>
      </c>
    </row>
    <row r="301" spans="1:42" x14ac:dyDescent="0.15">
      <c r="A301" s="8">
        <v>411212590</v>
      </c>
      <c r="B301" t="s">
        <v>36</v>
      </c>
      <c r="C301" t="s">
        <v>16</v>
      </c>
      <c r="D301" s="1">
        <v>39477</v>
      </c>
      <c r="E301" s="2">
        <v>278000</v>
      </c>
      <c r="F301" s="2">
        <v>236300</v>
      </c>
      <c r="G301" t="s">
        <v>17</v>
      </c>
      <c r="H301" s="2">
        <v>1986.94</v>
      </c>
      <c r="I301" s="2">
        <v>235948.54</v>
      </c>
      <c r="J301">
        <v>9.5000000000000001E-2</v>
      </c>
      <c r="K301">
        <v>3</v>
      </c>
      <c r="L301">
        <v>357</v>
      </c>
      <c r="M301" t="str">
        <f t="shared" si="75"/>
        <v>30 Year Fixed</v>
      </c>
      <c r="N301" s="2">
        <v>1867.93</v>
      </c>
      <c r="O301" t="str">
        <f t="shared" si="72"/>
        <v>Refi</v>
      </c>
      <c r="P301" s="3">
        <f t="shared" si="76"/>
        <v>0</v>
      </c>
      <c r="Q301" s="4">
        <v>239488</v>
      </c>
      <c r="R301" s="4" t="s">
        <v>41</v>
      </c>
      <c r="S301" s="6">
        <v>643</v>
      </c>
      <c r="T301">
        <v>6.75</v>
      </c>
      <c r="U301" s="7">
        <f t="shared" si="73"/>
        <v>1653.1012761759505</v>
      </c>
      <c r="V301" s="2">
        <f t="shared" si="77"/>
        <v>333.83872382404957</v>
      </c>
      <c r="W301" s="9">
        <f t="shared" si="78"/>
        <v>0</v>
      </c>
      <c r="X301" s="3">
        <v>239488</v>
      </c>
      <c r="Y301" s="3">
        <f t="shared" si="79"/>
        <v>0.22847290642675944</v>
      </c>
      <c r="Z301" s="7">
        <f t="shared" si="80"/>
        <v>1653.1012761759505</v>
      </c>
      <c r="AA301" s="2">
        <f t="shared" si="74"/>
        <v>333.83872382404957</v>
      </c>
      <c r="AB301" s="8">
        <f t="shared" si="81"/>
        <v>0</v>
      </c>
      <c r="AC301" s="10">
        <v>6.75</v>
      </c>
      <c r="AD301" s="7">
        <f t="shared" si="82"/>
        <v>1653.1012761759505</v>
      </c>
      <c r="AE301" s="2">
        <f t="shared" si="83"/>
        <v>333.83872382404957</v>
      </c>
      <c r="AF301" s="10">
        <v>0</v>
      </c>
      <c r="AG301" s="3">
        <f t="shared" si="84"/>
        <v>0</v>
      </c>
      <c r="AH301" s="7">
        <v>4726</v>
      </c>
      <c r="AI301">
        <f t="shared" si="85"/>
        <v>360</v>
      </c>
      <c r="AJ301" t="e">
        <f>VLOOKUP(A301,'Borrower Details'!$A$1:$H$1493,8,FALSE)</f>
        <v>#N/A</v>
      </c>
      <c r="AK301" s="4" t="e">
        <f t="shared" si="86"/>
        <v>#N/A</v>
      </c>
      <c r="AL301" s="10">
        <v>6.75</v>
      </c>
      <c r="AM301" s="3">
        <f t="shared" si="87"/>
        <v>239487.76809999999</v>
      </c>
      <c r="AN301">
        <v>6.75</v>
      </c>
      <c r="AO301" s="7">
        <f t="shared" si="88"/>
        <v>1653.0996754519645</v>
      </c>
      <c r="AP301" s="2">
        <f t="shared" si="89"/>
        <v>333.8403245480356</v>
      </c>
    </row>
    <row r="302" spans="1:42" x14ac:dyDescent="0.15">
      <c r="A302" s="8">
        <v>410074983</v>
      </c>
      <c r="B302" t="s">
        <v>35</v>
      </c>
      <c r="C302" t="s">
        <v>16</v>
      </c>
      <c r="D302" s="1">
        <v>39192</v>
      </c>
      <c r="E302" s="2">
        <v>153000</v>
      </c>
      <c r="F302" s="2">
        <v>122400</v>
      </c>
      <c r="G302" t="s">
        <v>17</v>
      </c>
      <c r="H302" s="2">
        <v>1159.1500000000001</v>
      </c>
      <c r="I302" s="2">
        <v>117508.91</v>
      </c>
      <c r="J302">
        <v>7.85E-2</v>
      </c>
      <c r="K302">
        <v>12</v>
      </c>
      <c r="L302">
        <v>167</v>
      </c>
      <c r="M302" t="str">
        <f t="shared" si="75"/>
        <v>15 Year Fixed</v>
      </c>
      <c r="N302" s="2">
        <v>771.24</v>
      </c>
      <c r="O302" t="str">
        <f t="shared" si="72"/>
        <v>Cash Out</v>
      </c>
      <c r="P302" s="3">
        <f t="shared" si="76"/>
        <v>10619.168817733997</v>
      </c>
      <c r="Q302" s="4">
        <v>130050</v>
      </c>
      <c r="R302" s="4" t="s">
        <v>41</v>
      </c>
      <c r="S302" s="6">
        <v>664</v>
      </c>
      <c r="T302">
        <v>6.5</v>
      </c>
      <c r="U302" s="7">
        <f t="shared" si="73"/>
        <v>1187.062628569226</v>
      </c>
      <c r="V302" s="2">
        <f t="shared" si="77"/>
        <v>-27.912628569225944</v>
      </c>
      <c r="W302" s="9">
        <f t="shared" si="78"/>
        <v>1</v>
      </c>
      <c r="X302" s="3">
        <v>126930</v>
      </c>
      <c r="Y302" s="3">
        <f t="shared" si="79"/>
        <v>7545.2771921182284</v>
      </c>
      <c r="Z302" s="7">
        <f t="shared" si="80"/>
        <v>1158.584078771948</v>
      </c>
      <c r="AA302" s="2">
        <f t="shared" si="74"/>
        <v>0.56592122805204781</v>
      </c>
      <c r="AB302" s="8">
        <f t="shared" si="81"/>
        <v>1</v>
      </c>
      <c r="AC302" s="10">
        <v>6</v>
      </c>
      <c r="AD302" s="7">
        <f t="shared" si="82"/>
        <v>1123.9949718419193</v>
      </c>
      <c r="AE302" s="2">
        <f t="shared" si="83"/>
        <v>35.155028158080768</v>
      </c>
      <c r="AF302" s="10">
        <v>2</v>
      </c>
      <c r="AG302" s="3">
        <f t="shared" si="84"/>
        <v>2538.6</v>
      </c>
      <c r="AH302" s="7">
        <v>4804.2</v>
      </c>
      <c r="AI302">
        <f t="shared" si="85"/>
        <v>180</v>
      </c>
      <c r="AJ302" t="e">
        <f>VLOOKUP(A302,'Borrower Details'!$A$1:$H$1493,8,FALSE)</f>
        <v>#N/A</v>
      </c>
      <c r="AK302" s="4" t="e">
        <f t="shared" si="86"/>
        <v>#N/A</v>
      </c>
      <c r="AL302" s="10">
        <v>6.5</v>
      </c>
      <c r="AM302" s="3">
        <f t="shared" si="87"/>
        <v>119271.54364999999</v>
      </c>
      <c r="AN302">
        <v>6.5</v>
      </c>
      <c r="AO302" s="7">
        <f t="shared" si="88"/>
        <v>1088.6796779598476</v>
      </c>
      <c r="AP302" s="2">
        <f t="shared" si="89"/>
        <v>70.470322040152496</v>
      </c>
    </row>
    <row r="303" spans="1:42" x14ac:dyDescent="0.15">
      <c r="A303" s="8">
        <v>411042658</v>
      </c>
      <c r="B303" t="s">
        <v>37</v>
      </c>
      <c r="C303" t="s">
        <v>16</v>
      </c>
      <c r="D303" s="1">
        <v>39378</v>
      </c>
      <c r="E303" s="2">
        <v>129000</v>
      </c>
      <c r="F303" s="2">
        <v>109650</v>
      </c>
      <c r="G303" t="s">
        <v>17</v>
      </c>
      <c r="H303" s="2">
        <v>938.04</v>
      </c>
      <c r="I303" s="2">
        <v>109333.45</v>
      </c>
      <c r="J303">
        <v>9.7000000000000003E-2</v>
      </c>
      <c r="K303">
        <v>6</v>
      </c>
      <c r="L303">
        <v>354</v>
      </c>
      <c r="M303" t="str">
        <f t="shared" si="75"/>
        <v>30 Year Fixed</v>
      </c>
      <c r="N303" s="2">
        <v>883.78</v>
      </c>
      <c r="O303" t="str">
        <f t="shared" si="72"/>
        <v>Refi</v>
      </c>
      <c r="P303" s="3">
        <f t="shared" si="76"/>
        <v>0</v>
      </c>
      <c r="Q303" s="4">
        <v>110973</v>
      </c>
      <c r="R303" s="4" t="s">
        <v>41</v>
      </c>
      <c r="S303" s="6">
        <v>665</v>
      </c>
      <c r="T303">
        <v>6.75</v>
      </c>
      <c r="U303" s="7">
        <f t="shared" si="73"/>
        <v>766.00751570464388</v>
      </c>
      <c r="V303" s="2">
        <f t="shared" si="77"/>
        <v>172.03248429535608</v>
      </c>
      <c r="W303" s="9">
        <f t="shared" si="78"/>
        <v>0</v>
      </c>
      <c r="X303" s="3">
        <v>110973</v>
      </c>
      <c r="Y303" s="3">
        <f t="shared" si="79"/>
        <v>-0.4450738916057162</v>
      </c>
      <c r="Z303" s="7">
        <f t="shared" si="80"/>
        <v>766.00751570464388</v>
      </c>
      <c r="AA303" s="2">
        <f t="shared" si="74"/>
        <v>172.03248429535608</v>
      </c>
      <c r="AB303" s="8">
        <f t="shared" si="81"/>
        <v>0</v>
      </c>
      <c r="AC303" s="10">
        <v>6.75</v>
      </c>
      <c r="AD303" s="7">
        <f t="shared" si="82"/>
        <v>766.00751570464388</v>
      </c>
      <c r="AE303" s="2">
        <f t="shared" si="83"/>
        <v>172.03248429535608</v>
      </c>
      <c r="AF303" s="10">
        <v>0</v>
      </c>
      <c r="AG303" s="3">
        <f t="shared" si="84"/>
        <v>0</v>
      </c>
      <c r="AH303" s="7">
        <v>0</v>
      </c>
      <c r="AI303">
        <f t="shared" si="85"/>
        <v>360</v>
      </c>
      <c r="AJ303" t="e">
        <f>VLOOKUP(A303,'Borrower Details'!$A$1:$H$1493,8,FALSE)</f>
        <v>#N/A</v>
      </c>
      <c r="AK303" s="4" t="e">
        <f t="shared" si="86"/>
        <v>#N/A</v>
      </c>
      <c r="AL303" s="10">
        <v>6.75</v>
      </c>
      <c r="AM303" s="3">
        <f t="shared" si="87"/>
        <v>110973.45174999999</v>
      </c>
      <c r="AN303">
        <v>6.75</v>
      </c>
      <c r="AO303" s="7">
        <f t="shared" si="88"/>
        <v>766.01063397571181</v>
      </c>
      <c r="AP303" s="2">
        <f t="shared" si="89"/>
        <v>172.02936602428815</v>
      </c>
    </row>
    <row r="304" spans="1:42" x14ac:dyDescent="0.15">
      <c r="A304" s="8">
        <v>410943872</v>
      </c>
      <c r="B304" t="s">
        <v>36</v>
      </c>
      <c r="C304" t="s">
        <v>16</v>
      </c>
      <c r="D304" s="1">
        <v>39377</v>
      </c>
      <c r="E304" s="2">
        <v>214000</v>
      </c>
      <c r="F304" s="2">
        <v>125000</v>
      </c>
      <c r="G304" t="s">
        <v>20</v>
      </c>
      <c r="H304" s="2">
        <v>1060.2</v>
      </c>
      <c r="I304" s="2">
        <v>124631.49</v>
      </c>
      <c r="J304">
        <v>9.6000000000000002E-2</v>
      </c>
      <c r="K304">
        <v>6</v>
      </c>
      <c r="L304">
        <v>354</v>
      </c>
      <c r="M304" t="str">
        <f t="shared" si="75"/>
        <v>30 Year Fixed</v>
      </c>
      <c r="N304" s="2">
        <v>997.05</v>
      </c>
      <c r="O304" t="str">
        <f t="shared" si="72"/>
        <v>Cash Out</v>
      </c>
      <c r="P304" s="3">
        <f t="shared" si="76"/>
        <v>54580.332660098546</v>
      </c>
      <c r="Q304" s="4">
        <v>181900</v>
      </c>
      <c r="R304" s="4" t="s">
        <v>41</v>
      </c>
      <c r="S304" s="6">
        <v>594</v>
      </c>
      <c r="T304">
        <v>7.375</v>
      </c>
      <c r="U304" s="7">
        <f t="shared" si="73"/>
        <v>1332.1297601462243</v>
      </c>
      <c r="V304" s="2">
        <f t="shared" si="77"/>
        <v>-271.92976014622423</v>
      </c>
      <c r="W304" s="9">
        <f t="shared" si="78"/>
        <v>1</v>
      </c>
      <c r="X304" s="3">
        <v>144700</v>
      </c>
      <c r="Y304" s="3">
        <f t="shared" si="79"/>
        <v>17930.086354679821</v>
      </c>
      <c r="Z304" s="7">
        <f t="shared" si="80"/>
        <v>1059.6986052400146</v>
      </c>
      <c r="AA304" s="2">
        <f t="shared" si="74"/>
        <v>0.50139475998548733</v>
      </c>
      <c r="AB304" s="8">
        <f t="shared" si="81"/>
        <v>0</v>
      </c>
      <c r="AC304" s="10">
        <v>7.375</v>
      </c>
      <c r="AD304" s="7">
        <f t="shared" si="82"/>
        <v>1059.6986052400146</v>
      </c>
      <c r="AE304" s="2">
        <f t="shared" si="83"/>
        <v>0.50139475998548733</v>
      </c>
      <c r="AF304" s="10">
        <v>0</v>
      </c>
      <c r="AG304" s="3">
        <f t="shared" si="84"/>
        <v>0</v>
      </c>
      <c r="AH304" s="7">
        <v>2500</v>
      </c>
      <c r="AI304">
        <f t="shared" si="85"/>
        <v>360</v>
      </c>
      <c r="AJ304" t="e">
        <f>VLOOKUP(A304,'Borrower Details'!$A$1:$H$1493,8,FALSE)</f>
        <v>#N/A</v>
      </c>
      <c r="AK304" s="4" t="e">
        <f t="shared" si="86"/>
        <v>#N/A</v>
      </c>
      <c r="AL304" s="10">
        <v>7.375</v>
      </c>
      <c r="AM304" s="3">
        <f t="shared" si="87"/>
        <v>126500.96234999999</v>
      </c>
      <c r="AN304">
        <v>7.375</v>
      </c>
      <c r="AO304" s="7">
        <f t="shared" si="88"/>
        <v>926.41944273541515</v>
      </c>
      <c r="AP304" s="2">
        <f t="shared" si="89"/>
        <v>133.7805572645849</v>
      </c>
    </row>
    <row r="305" spans="1:42" x14ac:dyDescent="0.15">
      <c r="A305" s="8">
        <v>410054001</v>
      </c>
      <c r="B305" t="s">
        <v>36</v>
      </c>
      <c r="C305" t="s">
        <v>19</v>
      </c>
      <c r="D305" s="1">
        <v>39196</v>
      </c>
      <c r="E305" s="2">
        <v>225000</v>
      </c>
      <c r="F305" s="2">
        <v>170000</v>
      </c>
      <c r="G305" t="s">
        <v>17</v>
      </c>
      <c r="H305" s="2">
        <v>1283.1400000000001</v>
      </c>
      <c r="I305" s="2">
        <v>168545.62</v>
      </c>
      <c r="J305">
        <v>8.3000000000000004E-2</v>
      </c>
      <c r="K305">
        <v>12</v>
      </c>
      <c r="L305">
        <v>347</v>
      </c>
      <c r="M305" t="str">
        <f t="shared" si="75"/>
        <v>30 Year Fixed</v>
      </c>
      <c r="N305" s="2">
        <v>1166.58</v>
      </c>
      <c r="O305" t="str">
        <f t="shared" si="72"/>
        <v>Cash Out</v>
      </c>
      <c r="P305" s="3">
        <f t="shared" si="76"/>
        <v>19878.025320197077</v>
      </c>
      <c r="Q305" s="4">
        <v>191250</v>
      </c>
      <c r="R305" s="4" t="s">
        <v>41</v>
      </c>
      <c r="S305" s="6">
        <v>598</v>
      </c>
      <c r="T305">
        <v>7.375</v>
      </c>
      <c r="U305" s="7">
        <f t="shared" si="73"/>
        <v>1400.6037197799085</v>
      </c>
      <c r="V305" s="2">
        <f t="shared" si="77"/>
        <v>-117.46371977990839</v>
      </c>
      <c r="W305" s="9">
        <f t="shared" si="78"/>
        <v>1</v>
      </c>
      <c r="X305" s="3">
        <v>175140</v>
      </c>
      <c r="Y305" s="3">
        <f t="shared" si="79"/>
        <v>4006.1041379310482</v>
      </c>
      <c r="Z305" s="7">
        <f t="shared" si="80"/>
        <v>1282.6234535019773</v>
      </c>
      <c r="AA305" s="2">
        <f t="shared" si="74"/>
        <v>0.51654649802276253</v>
      </c>
      <c r="AB305" s="8">
        <f t="shared" si="81"/>
        <v>1</v>
      </c>
      <c r="AC305" s="10">
        <v>6.625</v>
      </c>
      <c r="AD305" s="7">
        <f t="shared" si="82"/>
        <v>1194.4156172269611</v>
      </c>
      <c r="AE305" s="2">
        <f t="shared" si="83"/>
        <v>88.724382773038997</v>
      </c>
      <c r="AF305" s="10">
        <v>1.875</v>
      </c>
      <c r="AG305" s="3">
        <f t="shared" si="84"/>
        <v>3283.875</v>
      </c>
      <c r="AH305" s="7">
        <v>3400</v>
      </c>
      <c r="AI305">
        <f t="shared" si="85"/>
        <v>360</v>
      </c>
      <c r="AJ305" t="e">
        <f>VLOOKUP(A305,'Borrower Details'!$A$1:$H$1493,8,FALSE)</f>
        <v>#N/A</v>
      </c>
      <c r="AK305" s="4" t="e">
        <f t="shared" si="86"/>
        <v>#N/A</v>
      </c>
      <c r="AL305" s="10">
        <v>7.375</v>
      </c>
      <c r="AM305" s="3">
        <f t="shared" si="87"/>
        <v>171073.80429999999</v>
      </c>
      <c r="AN305">
        <v>7.375</v>
      </c>
      <c r="AO305" s="7">
        <f t="shared" si="88"/>
        <v>1252.8450021410724</v>
      </c>
      <c r="AP305" s="2">
        <f t="shared" si="89"/>
        <v>30.294997858927672</v>
      </c>
    </row>
    <row r="306" spans="1:42" x14ac:dyDescent="0.15">
      <c r="A306" s="8">
        <v>411232762</v>
      </c>
      <c r="B306" t="s">
        <v>37</v>
      </c>
      <c r="C306" t="s">
        <v>16</v>
      </c>
      <c r="D306" s="1">
        <v>39493</v>
      </c>
      <c r="E306" s="2">
        <v>177650</v>
      </c>
      <c r="F306" s="2">
        <v>133230</v>
      </c>
      <c r="G306" t="s">
        <v>17</v>
      </c>
      <c r="H306" s="2">
        <v>1029.1500000000001</v>
      </c>
      <c r="I306" s="2">
        <v>133069.65</v>
      </c>
      <c r="J306">
        <v>8.5500000000000007E-2</v>
      </c>
      <c r="K306">
        <v>2</v>
      </c>
      <c r="L306">
        <v>358</v>
      </c>
      <c r="M306" t="str">
        <f t="shared" si="75"/>
        <v>30 Year Fixed</v>
      </c>
      <c r="N306" s="2">
        <v>948.12</v>
      </c>
      <c r="O306" t="str">
        <f t="shared" si="72"/>
        <v>Cash Out</v>
      </c>
      <c r="P306" s="3">
        <f t="shared" si="76"/>
        <v>15701.285960591165</v>
      </c>
      <c r="Q306" s="4">
        <v>151002</v>
      </c>
      <c r="R306" s="4" t="s">
        <v>41</v>
      </c>
      <c r="S306" s="6">
        <v>636</v>
      </c>
      <c r="T306">
        <v>6.75</v>
      </c>
      <c r="U306" s="7">
        <f t="shared" si="73"/>
        <v>1042.3135977799341</v>
      </c>
      <c r="V306" s="2">
        <f t="shared" si="77"/>
        <v>-13.16359777993398</v>
      </c>
      <c r="W306" s="9">
        <f t="shared" si="78"/>
        <v>1</v>
      </c>
      <c r="X306" s="3">
        <v>149022</v>
      </c>
      <c r="Y306" s="3">
        <f t="shared" si="79"/>
        <v>13750.054433497571</v>
      </c>
      <c r="Z306" s="7">
        <f t="shared" si="80"/>
        <v>1028.6463554678837</v>
      </c>
      <c r="AA306" s="2">
        <f t="shared" si="74"/>
        <v>0.50364453211636828</v>
      </c>
      <c r="AB306" s="8">
        <f t="shared" si="81"/>
        <v>0</v>
      </c>
      <c r="AC306" s="10">
        <v>6.75</v>
      </c>
      <c r="AD306" s="7">
        <f t="shared" si="82"/>
        <v>1028.6463554678837</v>
      </c>
      <c r="AE306" s="2">
        <f t="shared" si="83"/>
        <v>0.50364453211636828</v>
      </c>
      <c r="AF306" s="10">
        <v>0</v>
      </c>
      <c r="AG306" s="3">
        <f t="shared" si="84"/>
        <v>0</v>
      </c>
      <c r="AH306" s="7">
        <v>0</v>
      </c>
      <c r="AI306">
        <f t="shared" si="85"/>
        <v>360</v>
      </c>
      <c r="AJ306" t="e">
        <f>VLOOKUP(A306,'Borrower Details'!$A$1:$H$1493,8,FALSE)</f>
        <v>#N/A</v>
      </c>
      <c r="AK306" s="4" t="e">
        <f t="shared" si="86"/>
        <v>#N/A</v>
      </c>
      <c r="AL306" s="10">
        <v>6.75</v>
      </c>
      <c r="AM306" s="3">
        <f t="shared" si="87"/>
        <v>135065.69475</v>
      </c>
      <c r="AN306">
        <v>6.75</v>
      </c>
      <c r="AO306" s="7">
        <f t="shared" si="88"/>
        <v>932.31089807763385</v>
      </c>
      <c r="AP306" s="2">
        <f t="shared" si="89"/>
        <v>96.83910192236624</v>
      </c>
    </row>
    <row r="307" spans="1:42" x14ac:dyDescent="0.15">
      <c r="A307" s="8">
        <v>410989776</v>
      </c>
      <c r="B307" t="s">
        <v>37</v>
      </c>
      <c r="C307" t="s">
        <v>16</v>
      </c>
      <c r="D307" s="1">
        <v>39356</v>
      </c>
      <c r="E307" s="2">
        <v>69000</v>
      </c>
      <c r="F307" s="2">
        <v>50000</v>
      </c>
      <c r="G307" t="s">
        <v>17</v>
      </c>
      <c r="H307" s="2">
        <v>438.42</v>
      </c>
      <c r="I307" s="2">
        <v>49840.86</v>
      </c>
      <c r="J307">
        <v>9.9900000000000003E-2</v>
      </c>
      <c r="K307">
        <v>7</v>
      </c>
      <c r="L307">
        <v>353</v>
      </c>
      <c r="M307" t="str">
        <f t="shared" si="75"/>
        <v>30 Year Fixed</v>
      </c>
      <c r="N307" s="2">
        <v>414.93</v>
      </c>
      <c r="O307" t="str">
        <f t="shared" si="72"/>
        <v>Cash Out</v>
      </c>
      <c r="P307" s="3">
        <f t="shared" si="76"/>
        <v>7942.3912315271009</v>
      </c>
      <c r="Q307" s="4">
        <v>58650</v>
      </c>
      <c r="R307" s="4" t="s">
        <v>41</v>
      </c>
      <c r="S307" s="6">
        <v>582</v>
      </c>
      <c r="T307">
        <v>7.625</v>
      </c>
      <c r="U307" s="7">
        <f t="shared" si="73"/>
        <v>439.55853223699427</v>
      </c>
      <c r="V307" s="2">
        <f t="shared" si="77"/>
        <v>-1.1385322369942514</v>
      </c>
      <c r="W307" s="9">
        <f t="shared" si="78"/>
        <v>1</v>
      </c>
      <c r="X307" s="3">
        <v>58430</v>
      </c>
      <c r="Y307" s="3">
        <f t="shared" si="79"/>
        <v>7725.6424630541951</v>
      </c>
      <c r="Z307" s="7">
        <f t="shared" si="80"/>
        <v>437.90971932834742</v>
      </c>
      <c r="AA307" s="2">
        <f t="shared" si="74"/>
        <v>0.51028067165259472</v>
      </c>
      <c r="AB307" s="8">
        <f t="shared" si="81"/>
        <v>0</v>
      </c>
      <c r="AC307" s="10">
        <v>7.625</v>
      </c>
      <c r="AD307" s="7">
        <f t="shared" si="82"/>
        <v>437.90971932834742</v>
      </c>
      <c r="AE307" s="2">
        <f t="shared" si="83"/>
        <v>0.51028067165259472</v>
      </c>
      <c r="AF307" s="10">
        <v>0</v>
      </c>
      <c r="AG307" s="3">
        <f t="shared" si="84"/>
        <v>0</v>
      </c>
      <c r="AH307" s="7">
        <v>0</v>
      </c>
      <c r="AI307">
        <f t="shared" si="85"/>
        <v>360</v>
      </c>
      <c r="AJ307" t="e">
        <f>VLOOKUP(A307,'Borrower Details'!$A$1:$H$1493,8,FALSE)</f>
        <v>#N/A</v>
      </c>
      <c r="AK307" s="4" t="e">
        <f t="shared" si="86"/>
        <v>#N/A</v>
      </c>
      <c r="AL307" s="10">
        <v>7.625</v>
      </c>
      <c r="AM307" s="3">
        <f t="shared" si="87"/>
        <v>50588.472899999993</v>
      </c>
      <c r="AN307">
        <v>7.625</v>
      </c>
      <c r="AO307" s="7">
        <f t="shared" si="88"/>
        <v>379.14057793750993</v>
      </c>
      <c r="AP307" s="2">
        <f t="shared" si="89"/>
        <v>59.279422062490084</v>
      </c>
    </row>
    <row r="308" spans="1:42" x14ac:dyDescent="0.15">
      <c r="A308" s="8">
        <v>410267736</v>
      </c>
      <c r="B308" t="s">
        <v>35</v>
      </c>
      <c r="C308" t="s">
        <v>16</v>
      </c>
      <c r="D308" s="1">
        <v>39224</v>
      </c>
      <c r="E308" s="2">
        <v>159000</v>
      </c>
      <c r="F308" s="2">
        <v>151050</v>
      </c>
      <c r="G308" t="s">
        <v>15</v>
      </c>
      <c r="H308" s="2">
        <v>1193.71</v>
      </c>
      <c r="I308" s="2">
        <v>150068.12</v>
      </c>
      <c r="J308">
        <v>8.7999999999999995E-2</v>
      </c>
      <c r="K308">
        <v>11</v>
      </c>
      <c r="L308">
        <v>349</v>
      </c>
      <c r="M308" t="str">
        <f t="shared" si="75"/>
        <v>30 Year Fixed</v>
      </c>
      <c r="N308" s="2">
        <v>1100.5</v>
      </c>
      <c r="O308" t="str">
        <f t="shared" si="72"/>
        <v>Refi</v>
      </c>
      <c r="P308" s="3">
        <f t="shared" si="76"/>
        <v>0</v>
      </c>
      <c r="Q308" s="4">
        <v>152319</v>
      </c>
      <c r="R308" s="4" t="s">
        <v>41</v>
      </c>
      <c r="S308" s="6">
        <v>644</v>
      </c>
      <c r="T308">
        <v>6.75</v>
      </c>
      <c r="U308" s="7">
        <f t="shared" si="73"/>
        <v>1051.4043847117375</v>
      </c>
      <c r="V308" s="2">
        <f t="shared" si="77"/>
        <v>142.30561528826252</v>
      </c>
      <c r="W308" s="9">
        <f t="shared" si="78"/>
        <v>0</v>
      </c>
      <c r="X308" s="3">
        <v>152319</v>
      </c>
      <c r="Y308" s="3">
        <f t="shared" si="79"/>
        <v>-0.13970443347352557</v>
      </c>
      <c r="Z308" s="7">
        <f t="shared" si="80"/>
        <v>1051.4043847117375</v>
      </c>
      <c r="AA308" s="2">
        <f t="shared" si="74"/>
        <v>142.30561528826252</v>
      </c>
      <c r="AB308" s="8">
        <f t="shared" si="81"/>
        <v>0</v>
      </c>
      <c r="AC308" s="10">
        <v>6.75</v>
      </c>
      <c r="AD308" s="7">
        <f t="shared" si="82"/>
        <v>1051.4043847117375</v>
      </c>
      <c r="AE308" s="2">
        <f t="shared" si="83"/>
        <v>142.30561528826252</v>
      </c>
      <c r="AF308" s="10">
        <v>0</v>
      </c>
      <c r="AG308" s="3">
        <f t="shared" si="84"/>
        <v>0</v>
      </c>
      <c r="AH308" s="7">
        <v>6646.2</v>
      </c>
      <c r="AI308">
        <f t="shared" si="85"/>
        <v>360</v>
      </c>
      <c r="AJ308" t="e">
        <f>VLOOKUP(A308,'Borrower Details'!$A$1:$H$1493,8,FALSE)</f>
        <v>#N/A</v>
      </c>
      <c r="AK308" s="4" t="e">
        <f t="shared" si="86"/>
        <v>#N/A</v>
      </c>
      <c r="AL308" s="10">
        <v>6.75</v>
      </c>
      <c r="AM308" s="3">
        <f t="shared" si="87"/>
        <v>152319.14179999998</v>
      </c>
      <c r="AN308">
        <v>6.75</v>
      </c>
      <c r="AO308" s="7">
        <f t="shared" si="88"/>
        <v>1051.4053635071718</v>
      </c>
      <c r="AP308" s="2">
        <f t="shared" si="89"/>
        <v>142.30463649282819</v>
      </c>
    </row>
    <row r="309" spans="1:42" x14ac:dyDescent="0.15">
      <c r="A309" s="8">
        <v>410500508</v>
      </c>
      <c r="B309" t="s">
        <v>35</v>
      </c>
      <c r="C309" t="s">
        <v>16</v>
      </c>
      <c r="D309" s="1">
        <v>39262</v>
      </c>
      <c r="E309" s="2">
        <v>170000</v>
      </c>
      <c r="F309" s="2">
        <v>153000</v>
      </c>
      <c r="G309" t="s">
        <v>17</v>
      </c>
      <c r="H309" s="2">
        <v>1186.22</v>
      </c>
      <c r="I309" s="2">
        <v>152060.17000000001</v>
      </c>
      <c r="J309">
        <v>8.5900000000000004E-2</v>
      </c>
      <c r="K309">
        <v>10</v>
      </c>
      <c r="L309">
        <v>350</v>
      </c>
      <c r="M309" t="str">
        <f t="shared" si="75"/>
        <v>30 Year Fixed</v>
      </c>
      <c r="N309" s="2">
        <v>1088.5</v>
      </c>
      <c r="O309" t="str">
        <f t="shared" si="72"/>
        <v>Refi</v>
      </c>
      <c r="P309" s="3">
        <f t="shared" si="76"/>
        <v>0</v>
      </c>
      <c r="Q309" s="4">
        <v>154341</v>
      </c>
      <c r="R309" s="4" t="s">
        <v>41</v>
      </c>
      <c r="S309" s="6">
        <v>624</v>
      </c>
      <c r="T309">
        <v>6.875</v>
      </c>
      <c r="U309" s="7">
        <f t="shared" si="73"/>
        <v>1078.2192503149286</v>
      </c>
      <c r="V309" s="2">
        <f t="shared" si="77"/>
        <v>108.00074968507147</v>
      </c>
      <c r="W309" s="9">
        <f t="shared" si="78"/>
        <v>0</v>
      </c>
      <c r="X309" s="3">
        <v>154341</v>
      </c>
      <c r="Y309" s="3">
        <f t="shared" si="79"/>
        <v>-7.1477832505479455E-2</v>
      </c>
      <c r="Z309" s="7">
        <f t="shared" si="80"/>
        <v>1078.2192503149286</v>
      </c>
      <c r="AA309" s="2">
        <f t="shared" si="74"/>
        <v>108.00074968507147</v>
      </c>
      <c r="AB309" s="8">
        <f t="shared" si="81"/>
        <v>0</v>
      </c>
      <c r="AC309" s="10">
        <v>6.875</v>
      </c>
      <c r="AD309" s="7">
        <f t="shared" si="82"/>
        <v>1078.2192503149286</v>
      </c>
      <c r="AE309" s="2">
        <f t="shared" si="83"/>
        <v>108.00074968507147</v>
      </c>
      <c r="AF309" s="10">
        <v>0</v>
      </c>
      <c r="AG309" s="3">
        <f t="shared" si="84"/>
        <v>0</v>
      </c>
      <c r="AH309" s="7">
        <v>6571.35</v>
      </c>
      <c r="AI309">
        <f t="shared" si="85"/>
        <v>360</v>
      </c>
      <c r="AJ309" t="e">
        <f>VLOOKUP(A309,'Borrower Details'!$A$1:$H$1493,8,FALSE)</f>
        <v>#N/A</v>
      </c>
      <c r="AK309" s="4" t="e">
        <f t="shared" si="86"/>
        <v>#N/A</v>
      </c>
      <c r="AL309" s="10">
        <v>6.875</v>
      </c>
      <c r="AM309" s="3">
        <f t="shared" si="87"/>
        <v>154341.07255000001</v>
      </c>
      <c r="AN309">
        <v>6.875</v>
      </c>
      <c r="AO309" s="7">
        <f t="shared" si="88"/>
        <v>1078.2197571459496</v>
      </c>
      <c r="AP309" s="2">
        <f t="shared" si="89"/>
        <v>108.00024285405038</v>
      </c>
    </row>
    <row r="310" spans="1:42" x14ac:dyDescent="0.15">
      <c r="A310" s="8">
        <v>411284912</v>
      </c>
      <c r="B310" t="s">
        <v>38</v>
      </c>
      <c r="C310" t="s">
        <v>18</v>
      </c>
      <c r="D310" s="1">
        <v>39483</v>
      </c>
      <c r="E310" s="2">
        <v>145000</v>
      </c>
      <c r="F310" s="2">
        <v>108750</v>
      </c>
      <c r="G310" t="s">
        <v>17</v>
      </c>
      <c r="H310" s="2">
        <v>953.56</v>
      </c>
      <c r="I310" s="2">
        <v>108653.16</v>
      </c>
      <c r="J310">
        <v>9.9900000000000003E-2</v>
      </c>
      <c r="K310">
        <v>2</v>
      </c>
      <c r="L310">
        <v>358</v>
      </c>
      <c r="M310" t="str">
        <f t="shared" si="75"/>
        <v>30 Year Fixed</v>
      </c>
      <c r="N310" s="2">
        <v>904.54</v>
      </c>
      <c r="O310" t="str">
        <f t="shared" si="72"/>
        <v>Cash Out</v>
      </c>
      <c r="P310" s="3">
        <f t="shared" si="76"/>
        <v>12775.411428571431</v>
      </c>
      <c r="Q310" s="4">
        <v>123250</v>
      </c>
      <c r="R310" s="4" t="s">
        <v>41</v>
      </c>
      <c r="S310" s="6">
        <v>528</v>
      </c>
      <c r="T310">
        <v>7.625</v>
      </c>
      <c r="U310" s="7">
        <f t="shared" si="73"/>
        <v>923.70995904875599</v>
      </c>
      <c r="V310" s="2">
        <f t="shared" si="77"/>
        <v>29.850040951243955</v>
      </c>
      <c r="W310" s="9">
        <f t="shared" si="78"/>
        <v>0</v>
      </c>
      <c r="X310" s="3">
        <v>123250</v>
      </c>
      <c r="Y310" s="3">
        <f t="shared" si="79"/>
        <v>12775.411428571431</v>
      </c>
      <c r="Z310" s="7">
        <f t="shared" si="80"/>
        <v>923.70995904875599</v>
      </c>
      <c r="AA310" s="2">
        <f t="shared" si="74"/>
        <v>29.850040951243955</v>
      </c>
      <c r="AB310" s="8">
        <f t="shared" si="81"/>
        <v>0</v>
      </c>
      <c r="AC310" s="10">
        <v>7.625</v>
      </c>
      <c r="AD310" s="7">
        <f t="shared" si="82"/>
        <v>923.70995904875599</v>
      </c>
      <c r="AE310" s="2">
        <f t="shared" si="83"/>
        <v>29.850040951243955</v>
      </c>
      <c r="AF310" s="10">
        <v>0</v>
      </c>
      <c r="AG310" s="3">
        <f t="shared" si="84"/>
        <v>0</v>
      </c>
      <c r="AH310" s="7">
        <v>0</v>
      </c>
      <c r="AI310">
        <f t="shared" si="85"/>
        <v>360</v>
      </c>
      <c r="AJ310" t="e">
        <f>VLOOKUP(A310,'Borrower Details'!$A$1:$H$1493,8,FALSE)</f>
        <v>#N/A</v>
      </c>
      <c r="AK310" s="4" t="e">
        <f t="shared" si="86"/>
        <v>#N/A</v>
      </c>
      <c r="AL310" s="10">
        <v>7.625</v>
      </c>
      <c r="AM310" s="3">
        <f t="shared" si="87"/>
        <v>110282.9574</v>
      </c>
      <c r="AN310">
        <v>7.625</v>
      </c>
      <c r="AO310" s="7">
        <f t="shared" si="88"/>
        <v>826.52710802214767</v>
      </c>
      <c r="AP310" s="2">
        <f t="shared" si="89"/>
        <v>127.03289197785227</v>
      </c>
    </row>
    <row r="311" spans="1:42" x14ac:dyDescent="0.15">
      <c r="A311" s="8">
        <v>410334346</v>
      </c>
      <c r="B311" t="s">
        <v>36</v>
      </c>
      <c r="C311" t="s">
        <v>18</v>
      </c>
      <c r="D311" s="1">
        <v>39231</v>
      </c>
      <c r="E311" s="2">
        <v>144000</v>
      </c>
      <c r="F311" s="2">
        <v>70000</v>
      </c>
      <c r="G311" t="s">
        <v>15</v>
      </c>
      <c r="H311" s="2">
        <v>535.77</v>
      </c>
      <c r="I311" s="2">
        <v>69511.66</v>
      </c>
      <c r="J311">
        <v>8.4500000000000006E-2</v>
      </c>
      <c r="K311">
        <v>11</v>
      </c>
      <c r="L311">
        <v>349</v>
      </c>
      <c r="M311" t="str">
        <f t="shared" si="75"/>
        <v>30 Year Fixed</v>
      </c>
      <c r="N311" s="2">
        <v>489.48</v>
      </c>
      <c r="O311" t="str">
        <f t="shared" si="72"/>
        <v>Cash Out</v>
      </c>
      <c r="P311" s="3">
        <f t="shared" si="76"/>
        <v>51079.473004926112</v>
      </c>
      <c r="Q311" s="4">
        <v>122400</v>
      </c>
      <c r="R311" s="4" t="s">
        <v>41</v>
      </c>
      <c r="S311" s="6">
        <v>553</v>
      </c>
      <c r="T311">
        <v>7.625</v>
      </c>
      <c r="U311" s="7">
        <f t="shared" si="73"/>
        <v>917.33954553807496</v>
      </c>
      <c r="V311" s="2">
        <f t="shared" si="77"/>
        <v>-381.56954553807498</v>
      </c>
      <c r="W311" s="9">
        <f t="shared" si="78"/>
        <v>1</v>
      </c>
      <c r="X311" s="3">
        <v>71420</v>
      </c>
      <c r="Y311" s="3">
        <f t="shared" si="79"/>
        <v>852.8720197044313</v>
      </c>
      <c r="Z311" s="7">
        <f t="shared" si="80"/>
        <v>535.26462697981469</v>
      </c>
      <c r="AA311" s="2">
        <f t="shared" si="74"/>
        <v>0.50537302018528862</v>
      </c>
      <c r="AB311" s="8">
        <f t="shared" si="81"/>
        <v>1</v>
      </c>
      <c r="AC311" s="10">
        <v>6.875</v>
      </c>
      <c r="AD311" s="7">
        <f t="shared" si="82"/>
        <v>498.93689206038709</v>
      </c>
      <c r="AE311" s="2">
        <f t="shared" si="83"/>
        <v>36.833107939612887</v>
      </c>
      <c r="AF311" s="10">
        <v>1.25</v>
      </c>
      <c r="AG311" s="3">
        <f t="shared" si="84"/>
        <v>892.75</v>
      </c>
      <c r="AH311" s="7">
        <v>1400</v>
      </c>
      <c r="AI311">
        <f t="shared" si="85"/>
        <v>360</v>
      </c>
      <c r="AJ311" t="e">
        <f>VLOOKUP(A311,'Borrower Details'!$A$1:$H$1493,8,FALSE)</f>
        <v>#N/A</v>
      </c>
      <c r="AK311" s="4" t="e">
        <f t="shared" si="86"/>
        <v>#N/A</v>
      </c>
      <c r="AL311" s="10">
        <v>7.625</v>
      </c>
      <c r="AM311" s="3">
        <f t="shared" si="87"/>
        <v>70554.334900000002</v>
      </c>
      <c r="AN311">
        <v>7.625</v>
      </c>
      <c r="AO311" s="7">
        <f t="shared" si="88"/>
        <v>528.77680974597342</v>
      </c>
      <c r="AP311" s="2">
        <f t="shared" si="89"/>
        <v>6.9931902540265583</v>
      </c>
    </row>
    <row r="312" spans="1:42" x14ac:dyDescent="0.15">
      <c r="A312" s="8">
        <v>410649792</v>
      </c>
      <c r="B312" t="s">
        <v>36</v>
      </c>
      <c r="C312" t="s">
        <v>18</v>
      </c>
      <c r="D312" s="1">
        <v>39293</v>
      </c>
      <c r="E312" s="2">
        <v>755000</v>
      </c>
      <c r="F312" s="2">
        <v>543600</v>
      </c>
      <c r="G312" t="s">
        <v>21</v>
      </c>
      <c r="H312" s="2">
        <v>3961.03</v>
      </c>
      <c r="I312" s="2">
        <v>543100.68000000005</v>
      </c>
      <c r="J312">
        <v>8.6249999999999993E-2</v>
      </c>
      <c r="K312">
        <v>9</v>
      </c>
      <c r="L312">
        <v>351</v>
      </c>
      <c r="M312" t="str">
        <f t="shared" si="75"/>
        <v>30 Year Fixed</v>
      </c>
      <c r="N312" s="2">
        <v>3903.54</v>
      </c>
      <c r="O312" t="str">
        <f t="shared" si="72"/>
        <v>Cash Out</v>
      </c>
      <c r="P312" s="3">
        <f t="shared" si="76"/>
        <v>89165.329852216761</v>
      </c>
      <c r="Q312" s="4">
        <v>641750</v>
      </c>
      <c r="R312" s="4" t="s">
        <v>41</v>
      </c>
      <c r="S312" s="6">
        <v>520</v>
      </c>
      <c r="T312">
        <v>7.625</v>
      </c>
      <c r="U312" s="7">
        <f t="shared" si="73"/>
        <v>4809.6622005642121</v>
      </c>
      <c r="V312" s="2">
        <f t="shared" si="77"/>
        <v>-848.63220056421187</v>
      </c>
      <c r="W312" s="9">
        <f t="shared" si="78"/>
        <v>1</v>
      </c>
      <c r="X312" s="3">
        <v>551248</v>
      </c>
      <c r="Y312" s="3">
        <f t="shared" si="79"/>
        <v>0.79783251229673624</v>
      </c>
      <c r="Z312" s="7">
        <f t="shared" si="80"/>
        <v>4131.385537571673</v>
      </c>
      <c r="AA312" s="2">
        <f t="shared" si="74"/>
        <v>-170.35553757167281</v>
      </c>
      <c r="AB312" s="8">
        <f t="shared" si="81"/>
        <v>1</v>
      </c>
      <c r="AC312" s="10">
        <v>6.875</v>
      </c>
      <c r="AD312" s="7">
        <f t="shared" si="82"/>
        <v>3850.9936134766767</v>
      </c>
      <c r="AE312" s="2">
        <f t="shared" si="83"/>
        <v>110.03638652332347</v>
      </c>
      <c r="AF312" s="10">
        <v>2.75</v>
      </c>
      <c r="AG312" s="3">
        <f t="shared" si="84"/>
        <v>15159.32</v>
      </c>
      <c r="AH312" s="7">
        <v>10872</v>
      </c>
      <c r="AI312">
        <f t="shared" si="85"/>
        <v>360</v>
      </c>
      <c r="AJ312" t="e">
        <f>VLOOKUP(A312,'Borrower Details'!$A$1:$H$1493,8,FALSE)</f>
        <v>#N/A</v>
      </c>
      <c r="AK312" s="4" t="e">
        <f t="shared" si="86"/>
        <v>#N/A</v>
      </c>
      <c r="AL312" s="10">
        <v>7.625</v>
      </c>
      <c r="AM312" s="3">
        <f t="shared" si="87"/>
        <v>551247.19019999995</v>
      </c>
      <c r="AN312">
        <v>7.625</v>
      </c>
      <c r="AO312" s="7">
        <f t="shared" si="88"/>
        <v>4131.3794684412478</v>
      </c>
      <c r="AP312" s="2">
        <f t="shared" si="89"/>
        <v>-170.34946844124761</v>
      </c>
    </row>
    <row r="313" spans="1:42" x14ac:dyDescent="0.15">
      <c r="A313" s="8">
        <v>410428924</v>
      </c>
      <c r="B313" t="s">
        <v>36</v>
      </c>
      <c r="C313" t="s">
        <v>19</v>
      </c>
      <c r="D313" s="1">
        <v>39258</v>
      </c>
      <c r="E313" s="2">
        <v>160000</v>
      </c>
      <c r="F313" s="2">
        <v>128000</v>
      </c>
      <c r="G313" t="s">
        <v>17</v>
      </c>
      <c r="H313" s="2">
        <v>925.07</v>
      </c>
      <c r="I313" s="2">
        <v>127861.03</v>
      </c>
      <c r="J313">
        <v>8.5500000000000007E-2</v>
      </c>
      <c r="K313">
        <v>10</v>
      </c>
      <c r="L313">
        <v>350</v>
      </c>
      <c r="M313" t="str">
        <f t="shared" si="75"/>
        <v>30 Year Fixed</v>
      </c>
      <c r="N313" s="2">
        <v>911.01</v>
      </c>
      <c r="O313" t="str">
        <f t="shared" si="72"/>
        <v>Cash Out</v>
      </c>
      <c r="P313" s="3">
        <f t="shared" si="76"/>
        <v>6129.1177832512476</v>
      </c>
      <c r="Q313" s="4">
        <v>136000</v>
      </c>
      <c r="R313" s="4" t="s">
        <v>41</v>
      </c>
      <c r="S313" s="6">
        <v>542</v>
      </c>
      <c r="T313">
        <v>7.625</v>
      </c>
      <c r="U313" s="7">
        <f t="shared" si="73"/>
        <v>1019.2661617089722</v>
      </c>
      <c r="V313" s="2">
        <f t="shared" si="77"/>
        <v>-94.196161708972113</v>
      </c>
      <c r="W313" s="9">
        <f t="shared" si="78"/>
        <v>1</v>
      </c>
      <c r="X313" s="3">
        <v>129779</v>
      </c>
      <c r="Y313" s="3">
        <f t="shared" si="79"/>
        <v>5.3743842378025874E-2</v>
      </c>
      <c r="Z313" s="7">
        <f t="shared" si="80"/>
        <v>972.64222941491687</v>
      </c>
      <c r="AA313" s="2">
        <f t="shared" si="74"/>
        <v>-47.572229414916819</v>
      </c>
      <c r="AB313" s="8">
        <f t="shared" si="81"/>
        <v>1</v>
      </c>
      <c r="AC313" s="10">
        <v>6.875</v>
      </c>
      <c r="AD313" s="7">
        <f t="shared" si="82"/>
        <v>906.63022843328156</v>
      </c>
      <c r="AE313" s="2">
        <f t="shared" si="83"/>
        <v>18.439771566718491</v>
      </c>
      <c r="AF313" s="10">
        <v>1</v>
      </c>
      <c r="AG313" s="3">
        <f t="shared" si="84"/>
        <v>1297.79</v>
      </c>
      <c r="AH313" s="7">
        <v>2560</v>
      </c>
      <c r="AI313">
        <f t="shared" si="85"/>
        <v>360</v>
      </c>
      <c r="AJ313" t="e">
        <f>VLOOKUP(A313,'Borrower Details'!$A$1:$H$1493,8,FALSE)</f>
        <v>#N/A</v>
      </c>
      <c r="AK313" s="4" t="e">
        <f t="shared" si="86"/>
        <v>#N/A</v>
      </c>
      <c r="AL313" s="10">
        <v>7.625</v>
      </c>
      <c r="AM313" s="3">
        <f t="shared" si="87"/>
        <v>129778.94544999998</v>
      </c>
      <c r="AN313">
        <v>7.625</v>
      </c>
      <c r="AO313" s="7">
        <f t="shared" si="88"/>
        <v>972.6418205842615</v>
      </c>
      <c r="AP313" s="2">
        <f t="shared" si="89"/>
        <v>-47.571820584261445</v>
      </c>
    </row>
    <row r="314" spans="1:42" x14ac:dyDescent="0.15">
      <c r="A314" s="8">
        <v>1138671</v>
      </c>
      <c r="B314" t="s">
        <v>36</v>
      </c>
      <c r="C314" t="s">
        <v>19</v>
      </c>
      <c r="D314" s="1">
        <v>39139</v>
      </c>
      <c r="E314" s="2">
        <v>350000</v>
      </c>
      <c r="F314" s="2">
        <v>312000</v>
      </c>
      <c r="G314" t="s">
        <v>17</v>
      </c>
      <c r="H314" s="2">
        <v>2527.4</v>
      </c>
      <c r="I314" s="2">
        <v>311153.71000000002</v>
      </c>
      <c r="J314">
        <v>9.5000000000000001E-2</v>
      </c>
      <c r="K314">
        <v>14</v>
      </c>
      <c r="L314">
        <v>346</v>
      </c>
      <c r="M314" t="str">
        <f t="shared" si="75"/>
        <v>30 Year Fixed</v>
      </c>
      <c r="N314" s="2">
        <v>2463.3000000000002</v>
      </c>
      <c r="O314" t="str">
        <f t="shared" si="72"/>
        <v>Refi</v>
      </c>
      <c r="P314" s="3">
        <f t="shared" si="76"/>
        <v>0</v>
      </c>
      <c r="Q314" s="4">
        <v>315821</v>
      </c>
      <c r="R314" s="4" t="s">
        <v>41</v>
      </c>
      <c r="S314" s="6">
        <v>532</v>
      </c>
      <c r="T314">
        <v>7.625</v>
      </c>
      <c r="U314" s="7">
        <f t="shared" si="73"/>
        <v>2366.9533710080095</v>
      </c>
      <c r="V314" s="2">
        <f t="shared" si="77"/>
        <v>160.44662899199056</v>
      </c>
      <c r="W314" s="9">
        <f t="shared" si="78"/>
        <v>0</v>
      </c>
      <c r="X314" s="3">
        <v>315821</v>
      </c>
      <c r="Y314" s="3">
        <f t="shared" si="79"/>
        <v>-1.5418719209264964E-2</v>
      </c>
      <c r="Z314" s="7">
        <f t="shared" si="80"/>
        <v>2366.9533710080095</v>
      </c>
      <c r="AA314" s="2">
        <f t="shared" si="74"/>
        <v>160.44662899199056</v>
      </c>
      <c r="AB314" s="8">
        <f t="shared" si="81"/>
        <v>1</v>
      </c>
      <c r="AC314" s="10">
        <v>6.875</v>
      </c>
      <c r="AD314" s="7">
        <f t="shared" si="82"/>
        <v>2206.311231971486</v>
      </c>
      <c r="AE314" s="2">
        <f t="shared" si="83"/>
        <v>321.0887680285141</v>
      </c>
      <c r="AF314" s="10">
        <v>1</v>
      </c>
      <c r="AG314" s="3">
        <f t="shared" si="84"/>
        <v>3158.21</v>
      </c>
      <c r="AH314" s="7">
        <v>6240</v>
      </c>
      <c r="AI314">
        <f t="shared" si="85"/>
        <v>360</v>
      </c>
      <c r="AJ314" t="e">
        <f>VLOOKUP(A314,'Borrower Details'!$A$1:$H$1493,8,FALSE)</f>
        <v>#N/A</v>
      </c>
      <c r="AK314" s="4" t="e">
        <f t="shared" si="86"/>
        <v>#N/A</v>
      </c>
      <c r="AL314" s="10">
        <v>7.625</v>
      </c>
      <c r="AM314" s="3">
        <f t="shared" si="87"/>
        <v>315821.01565000002</v>
      </c>
      <c r="AN314">
        <v>7.625</v>
      </c>
      <c r="AO314" s="7">
        <f t="shared" si="88"/>
        <v>2366.9534882985645</v>
      </c>
      <c r="AP314" s="2">
        <f t="shared" si="89"/>
        <v>160.44651170143561</v>
      </c>
    </row>
    <row r="315" spans="1:42" x14ac:dyDescent="0.15">
      <c r="A315" s="8">
        <v>410369656</v>
      </c>
      <c r="B315" t="s">
        <v>36</v>
      </c>
      <c r="C315" t="s">
        <v>19</v>
      </c>
      <c r="D315" s="1">
        <v>39258</v>
      </c>
      <c r="E315" s="2">
        <v>300000</v>
      </c>
      <c r="F315" s="2">
        <v>264000</v>
      </c>
      <c r="G315" t="s">
        <v>20</v>
      </c>
      <c r="H315" s="2">
        <v>1955.48</v>
      </c>
      <c r="I315" s="2">
        <v>263299.84000000003</v>
      </c>
      <c r="J315">
        <v>8.5999999999999993E-2</v>
      </c>
      <c r="K315">
        <v>10</v>
      </c>
      <c r="L315">
        <v>350</v>
      </c>
      <c r="M315" t="str">
        <f t="shared" si="75"/>
        <v>30 Year Fixed</v>
      </c>
      <c r="N315" s="2">
        <v>1886.98</v>
      </c>
      <c r="O315" t="str">
        <f t="shared" si="72"/>
        <v>Refi</v>
      </c>
      <c r="P315" s="3">
        <f t="shared" si="76"/>
        <v>0</v>
      </c>
      <c r="Q315" s="4">
        <v>267249</v>
      </c>
      <c r="R315" s="4" t="s">
        <v>41</v>
      </c>
      <c r="S315" s="6">
        <v>669</v>
      </c>
      <c r="T315">
        <v>6.75</v>
      </c>
      <c r="U315" s="7">
        <f t="shared" si="73"/>
        <v>1844.7256770975857</v>
      </c>
      <c r="V315" s="2">
        <f t="shared" si="77"/>
        <v>110.75432290241429</v>
      </c>
      <c r="W315" s="9">
        <f t="shared" si="78"/>
        <v>0</v>
      </c>
      <c r="X315" s="3">
        <v>267249</v>
      </c>
      <c r="Y315" s="3">
        <f t="shared" si="79"/>
        <v>-0.33261083741672337</v>
      </c>
      <c r="Z315" s="7">
        <f t="shared" si="80"/>
        <v>1844.7256770975857</v>
      </c>
      <c r="AA315" s="2">
        <f t="shared" si="74"/>
        <v>110.75432290241429</v>
      </c>
      <c r="AB315" s="8">
        <f t="shared" si="81"/>
        <v>1</v>
      </c>
      <c r="AC315" s="10">
        <v>6.125</v>
      </c>
      <c r="AD315" s="7">
        <f t="shared" si="82"/>
        <v>1735.1868409239971</v>
      </c>
      <c r="AE315" s="2">
        <f t="shared" si="83"/>
        <v>220.29315907600289</v>
      </c>
      <c r="AF315" s="10">
        <v>3</v>
      </c>
      <c r="AG315" s="3">
        <f t="shared" si="84"/>
        <v>8017.47</v>
      </c>
      <c r="AH315" s="7">
        <v>0</v>
      </c>
      <c r="AI315">
        <f t="shared" si="85"/>
        <v>360</v>
      </c>
      <c r="AJ315" t="e">
        <f>VLOOKUP(A315,'Borrower Details'!$A$1:$H$1493,8,FALSE)</f>
        <v>#N/A</v>
      </c>
      <c r="AK315" s="4" t="e">
        <f t="shared" si="86"/>
        <v>#N/A</v>
      </c>
      <c r="AL315" s="10">
        <v>6.75</v>
      </c>
      <c r="AM315" s="3">
        <f t="shared" si="87"/>
        <v>267249.33760000003</v>
      </c>
      <c r="AN315">
        <v>6.75</v>
      </c>
      <c r="AO315" s="7">
        <f t="shared" si="88"/>
        <v>1844.7280074314267</v>
      </c>
      <c r="AP315" s="2">
        <f t="shared" si="89"/>
        <v>110.75199256857331</v>
      </c>
    </row>
    <row r="316" spans="1:42" x14ac:dyDescent="0.15">
      <c r="A316" s="8">
        <v>410206908</v>
      </c>
      <c r="B316" t="s">
        <v>37</v>
      </c>
      <c r="C316" t="s">
        <v>18</v>
      </c>
      <c r="D316" s="1">
        <v>39216</v>
      </c>
      <c r="E316" s="2">
        <v>121000</v>
      </c>
      <c r="F316" s="2">
        <v>114950</v>
      </c>
      <c r="G316" t="s">
        <v>17</v>
      </c>
      <c r="H316" s="2">
        <v>1006.65</v>
      </c>
      <c r="I316" s="2">
        <v>114307.63</v>
      </c>
      <c r="J316">
        <v>9.9750000000000005E-2</v>
      </c>
      <c r="K316">
        <v>11</v>
      </c>
      <c r="L316">
        <v>348</v>
      </c>
      <c r="M316" t="str">
        <f t="shared" si="75"/>
        <v>30 Year Fixed</v>
      </c>
      <c r="N316" s="2">
        <v>950.65</v>
      </c>
      <c r="O316" t="str">
        <f t="shared" si="72"/>
        <v>Refi</v>
      </c>
      <c r="P316" s="3">
        <f t="shared" si="76"/>
        <v>0</v>
      </c>
      <c r="Q316" s="4">
        <v>116022</v>
      </c>
      <c r="R316" s="4" t="s">
        <v>41</v>
      </c>
      <c r="S316" s="6">
        <v>627</v>
      </c>
      <c r="T316">
        <v>6.75</v>
      </c>
      <c r="U316" s="7">
        <f t="shared" si="73"/>
        <v>800.85898360037299</v>
      </c>
      <c r="V316" s="2">
        <f t="shared" si="77"/>
        <v>205.79101639962698</v>
      </c>
      <c r="W316" s="9">
        <f t="shared" si="78"/>
        <v>0</v>
      </c>
      <c r="X316" s="3">
        <v>116023</v>
      </c>
      <c r="Y316" s="3">
        <f t="shared" si="79"/>
        <v>0.74438423645915464</v>
      </c>
      <c r="Z316" s="7">
        <f t="shared" si="80"/>
        <v>800.86588624800538</v>
      </c>
      <c r="AA316" s="2">
        <f t="shared" si="74"/>
        <v>205.7841137519946</v>
      </c>
      <c r="AB316" s="8">
        <f t="shared" si="81"/>
        <v>0</v>
      </c>
      <c r="AC316" s="10">
        <v>6.75</v>
      </c>
      <c r="AD316" s="7">
        <f t="shared" si="82"/>
        <v>800.86588624800538</v>
      </c>
      <c r="AE316" s="2">
        <f t="shared" si="83"/>
        <v>205.7841137519946</v>
      </c>
      <c r="AF316" s="10">
        <v>0</v>
      </c>
      <c r="AG316" s="3">
        <f t="shared" si="84"/>
        <v>0</v>
      </c>
      <c r="AH316" s="7">
        <v>0</v>
      </c>
      <c r="AI316">
        <f t="shared" si="85"/>
        <v>360</v>
      </c>
      <c r="AJ316" t="e">
        <f>VLOOKUP(A316,'Borrower Details'!$A$1:$H$1493,8,FALSE)</f>
        <v>#N/A</v>
      </c>
      <c r="AK316" s="4" t="e">
        <f t="shared" si="86"/>
        <v>#N/A</v>
      </c>
      <c r="AL316" s="10">
        <v>6.75</v>
      </c>
      <c r="AM316" s="3">
        <f t="shared" si="87"/>
        <v>116022.24445</v>
      </c>
      <c r="AN316">
        <v>6.75</v>
      </c>
      <c r="AO316" s="7">
        <f t="shared" si="88"/>
        <v>800.8606709525867</v>
      </c>
      <c r="AP316" s="2">
        <f t="shared" si="89"/>
        <v>205.78932904741328</v>
      </c>
    </row>
    <row r="317" spans="1:42" x14ac:dyDescent="0.15">
      <c r="A317" s="8">
        <v>1150177</v>
      </c>
      <c r="B317" t="s">
        <v>36</v>
      </c>
      <c r="C317" t="s">
        <v>18</v>
      </c>
      <c r="D317" s="1">
        <v>39143</v>
      </c>
      <c r="E317" s="2">
        <v>93000</v>
      </c>
      <c r="F317" s="2">
        <v>83700</v>
      </c>
      <c r="G317" t="s">
        <v>15</v>
      </c>
      <c r="H317" s="2">
        <v>672.87</v>
      </c>
      <c r="I317" s="2">
        <v>82972.66</v>
      </c>
      <c r="J317">
        <v>8.9899999999999994E-2</v>
      </c>
      <c r="K317">
        <v>13</v>
      </c>
      <c r="L317">
        <v>346</v>
      </c>
      <c r="M317" t="str">
        <f t="shared" si="75"/>
        <v>30 Year Fixed</v>
      </c>
      <c r="N317" s="2">
        <v>621.6</v>
      </c>
      <c r="O317" t="str">
        <f t="shared" si="72"/>
        <v>Refi</v>
      </c>
      <c r="P317" s="3">
        <f t="shared" si="76"/>
        <v>0</v>
      </c>
      <c r="Q317" s="4">
        <v>84217</v>
      </c>
      <c r="R317" s="4" t="s">
        <v>41</v>
      </c>
      <c r="S317" s="6">
        <v>570</v>
      </c>
      <c r="T317">
        <v>7.625</v>
      </c>
      <c r="U317" s="7">
        <f t="shared" si="73"/>
        <v>631.17307603415077</v>
      </c>
      <c r="V317" s="2">
        <f t="shared" si="77"/>
        <v>41.696923965849237</v>
      </c>
      <c r="W317" s="9">
        <f t="shared" si="78"/>
        <v>0</v>
      </c>
      <c r="X317" s="3">
        <v>84218</v>
      </c>
      <c r="Y317" s="3">
        <f t="shared" si="79"/>
        <v>0.73901477832987439</v>
      </c>
      <c r="Z317" s="7">
        <f t="shared" si="80"/>
        <v>631.18057063828098</v>
      </c>
      <c r="AA317" s="2">
        <f t="shared" si="74"/>
        <v>41.689429361719021</v>
      </c>
      <c r="AB317" s="8">
        <f t="shared" si="81"/>
        <v>1</v>
      </c>
      <c r="AC317" s="10">
        <v>6.875</v>
      </c>
      <c r="AD317" s="7">
        <f t="shared" si="82"/>
        <v>588.34314163457964</v>
      </c>
      <c r="AE317" s="2">
        <f t="shared" si="83"/>
        <v>84.526858365420367</v>
      </c>
      <c r="AF317" s="10">
        <v>1.25</v>
      </c>
      <c r="AG317" s="3">
        <f t="shared" si="84"/>
        <v>1052.7249999999999</v>
      </c>
      <c r="AH317" s="7">
        <v>1674</v>
      </c>
      <c r="AI317">
        <f t="shared" si="85"/>
        <v>360</v>
      </c>
      <c r="AJ317" t="e">
        <f>VLOOKUP(A317,'Borrower Details'!$A$1:$H$1493,8,FALSE)</f>
        <v>#N/A</v>
      </c>
      <c r="AK317" s="4" t="e">
        <f t="shared" si="86"/>
        <v>#N/A</v>
      </c>
      <c r="AL317" s="10">
        <v>7.625</v>
      </c>
      <c r="AM317" s="3">
        <f t="shared" si="87"/>
        <v>84217.249899999995</v>
      </c>
      <c r="AN317">
        <v>7.625</v>
      </c>
      <c r="AO317" s="7">
        <f t="shared" si="88"/>
        <v>631.17494893572291</v>
      </c>
      <c r="AP317" s="2">
        <f t="shared" si="89"/>
        <v>41.695051064277095</v>
      </c>
    </row>
    <row r="318" spans="1:42" x14ac:dyDescent="0.15">
      <c r="A318" s="8">
        <v>410388094</v>
      </c>
      <c r="B318" t="s">
        <v>37</v>
      </c>
      <c r="C318" t="s">
        <v>19</v>
      </c>
      <c r="D318" s="1">
        <v>39252</v>
      </c>
      <c r="E318" s="2">
        <v>188000</v>
      </c>
      <c r="F318" s="2">
        <v>141000</v>
      </c>
      <c r="G318" t="s">
        <v>17</v>
      </c>
      <c r="H318" s="2">
        <v>1054.3399999999999</v>
      </c>
      <c r="I318" s="2">
        <v>140063.13</v>
      </c>
      <c r="J318">
        <v>8.2000000000000003E-2</v>
      </c>
      <c r="K318">
        <v>10</v>
      </c>
      <c r="L318">
        <v>350</v>
      </c>
      <c r="M318" t="str">
        <f t="shared" si="75"/>
        <v>30 Year Fixed</v>
      </c>
      <c r="N318" s="2">
        <v>957.1</v>
      </c>
      <c r="O318" t="str">
        <f t="shared" si="72"/>
        <v>Cash Out</v>
      </c>
      <c r="P318" s="3">
        <f t="shared" si="76"/>
        <v>17375.293645320198</v>
      </c>
      <c r="Q318" s="4">
        <v>159800</v>
      </c>
      <c r="R318" s="4" t="s">
        <v>41</v>
      </c>
      <c r="S318" s="6">
        <v>599</v>
      </c>
      <c r="T318">
        <v>7.375</v>
      </c>
      <c r="U318" s="7">
        <f t="shared" si="73"/>
        <v>1170.282219193879</v>
      </c>
      <c r="V318" s="2">
        <f t="shared" si="77"/>
        <v>-115.94221919387905</v>
      </c>
      <c r="W318" s="9">
        <f t="shared" si="78"/>
        <v>1</v>
      </c>
      <c r="X318" s="3">
        <v>143900</v>
      </c>
      <c r="Y318" s="3">
        <f t="shared" si="79"/>
        <v>1710.2690147783433</v>
      </c>
      <c r="Z318" s="7">
        <f t="shared" si="80"/>
        <v>1053.8398707259023</v>
      </c>
      <c r="AA318" s="2">
        <f t="shared" si="74"/>
        <v>0.50012927409761687</v>
      </c>
      <c r="AB318" s="8">
        <f t="shared" si="81"/>
        <v>1</v>
      </c>
      <c r="AC318" s="10">
        <v>6.375</v>
      </c>
      <c r="AD318" s="7">
        <f t="shared" si="82"/>
        <v>957.70711774846552</v>
      </c>
      <c r="AE318" s="2">
        <f t="shared" si="83"/>
        <v>96.632882251534397</v>
      </c>
      <c r="AF318" s="10">
        <v>2.625</v>
      </c>
      <c r="AG318" s="3">
        <f t="shared" si="84"/>
        <v>3777.375</v>
      </c>
      <c r="AH318" s="7">
        <v>0</v>
      </c>
      <c r="AI318">
        <f t="shared" si="85"/>
        <v>360</v>
      </c>
      <c r="AJ318" t="e">
        <f>VLOOKUP(A318,'Borrower Details'!$A$1:$H$1493,8,FALSE)</f>
        <v>#N/A</v>
      </c>
      <c r="AK318" s="4" t="e">
        <f t="shared" si="86"/>
        <v>#N/A</v>
      </c>
      <c r="AL318" s="10">
        <v>7.375</v>
      </c>
      <c r="AM318" s="3">
        <f t="shared" si="87"/>
        <v>142164.07694999999</v>
      </c>
      <c r="AN318">
        <v>7.375</v>
      </c>
      <c r="AO318" s="7">
        <f t="shared" si="88"/>
        <v>1041.1269803673054</v>
      </c>
      <c r="AP318" s="2">
        <f t="shared" si="89"/>
        <v>13.213019632694568</v>
      </c>
    </row>
    <row r="319" spans="1:42" x14ac:dyDescent="0.15">
      <c r="A319" s="8">
        <v>410589030</v>
      </c>
      <c r="B319" t="s">
        <v>38</v>
      </c>
      <c r="C319" t="s">
        <v>19</v>
      </c>
      <c r="D319" s="1">
        <v>39288</v>
      </c>
      <c r="E319" s="2">
        <v>207000</v>
      </c>
      <c r="F319" s="2">
        <v>186300</v>
      </c>
      <c r="G319" t="s">
        <v>15</v>
      </c>
      <c r="H319" s="2">
        <v>1539.4</v>
      </c>
      <c r="I319" s="2">
        <v>185412.68</v>
      </c>
      <c r="J319">
        <v>9.2999999999999999E-2</v>
      </c>
      <c r="K319">
        <v>9</v>
      </c>
      <c r="L319">
        <v>351</v>
      </c>
      <c r="M319" t="str">
        <f t="shared" si="75"/>
        <v>30 Year Fixed</v>
      </c>
      <c r="N319" s="2">
        <v>1436.95</v>
      </c>
      <c r="O319" t="str">
        <f t="shared" si="72"/>
        <v>Refi</v>
      </c>
      <c r="P319" s="3">
        <f t="shared" si="76"/>
        <v>0</v>
      </c>
      <c r="Q319" s="4">
        <v>188194</v>
      </c>
      <c r="R319" s="4" t="s">
        <v>41</v>
      </c>
      <c r="S319" s="6">
        <v>592</v>
      </c>
      <c r="T319">
        <v>7.375</v>
      </c>
      <c r="U319" s="7">
        <f t="shared" si="73"/>
        <v>1378.2233539360006</v>
      </c>
      <c r="V319" s="2">
        <f t="shared" si="77"/>
        <v>161.17664606399944</v>
      </c>
      <c r="W319" s="9">
        <f t="shared" si="78"/>
        <v>0</v>
      </c>
      <c r="X319" s="3">
        <v>188194</v>
      </c>
      <c r="Y319" s="3">
        <f t="shared" si="79"/>
        <v>0.12788177342736162</v>
      </c>
      <c r="Z319" s="7">
        <f t="shared" si="80"/>
        <v>1378.2233539360006</v>
      </c>
      <c r="AA319" s="2">
        <f t="shared" si="74"/>
        <v>161.17664606399944</v>
      </c>
      <c r="AB319" s="8">
        <f t="shared" si="81"/>
        <v>0</v>
      </c>
      <c r="AC319" s="10">
        <v>7.375</v>
      </c>
      <c r="AD319" s="7">
        <f t="shared" si="82"/>
        <v>1378.2233539360006</v>
      </c>
      <c r="AE319" s="2">
        <f t="shared" si="83"/>
        <v>161.17664606399944</v>
      </c>
      <c r="AF319" s="10">
        <v>0</v>
      </c>
      <c r="AG319" s="3">
        <f t="shared" si="84"/>
        <v>0</v>
      </c>
      <c r="AH319" s="7">
        <v>1863</v>
      </c>
      <c r="AI319">
        <f t="shared" si="85"/>
        <v>360</v>
      </c>
      <c r="AJ319" t="e">
        <f>VLOOKUP(A319,'Borrower Details'!$A$1:$H$1493,8,FALSE)</f>
        <v>#N/A</v>
      </c>
      <c r="AK319" s="4" t="e">
        <f t="shared" si="86"/>
        <v>#N/A</v>
      </c>
      <c r="AL319" s="10">
        <v>7.375</v>
      </c>
      <c r="AM319" s="3">
        <f t="shared" si="87"/>
        <v>188193.87019999998</v>
      </c>
      <c r="AN319">
        <v>7.375</v>
      </c>
      <c r="AO319" s="7">
        <f t="shared" si="88"/>
        <v>1378.2224033563255</v>
      </c>
      <c r="AP319" s="2">
        <f t="shared" si="89"/>
        <v>161.17759664367463</v>
      </c>
    </row>
    <row r="320" spans="1:42" x14ac:dyDescent="0.15">
      <c r="A320" s="8">
        <v>1149072</v>
      </c>
      <c r="B320" t="s">
        <v>38</v>
      </c>
      <c r="C320" t="s">
        <v>19</v>
      </c>
      <c r="D320" s="1">
        <v>39140</v>
      </c>
      <c r="E320" s="2">
        <v>165000</v>
      </c>
      <c r="F320" s="2">
        <v>154000</v>
      </c>
      <c r="G320" t="s">
        <v>15</v>
      </c>
      <c r="H320" s="2">
        <v>1178.68</v>
      </c>
      <c r="I320" s="2">
        <v>152618.15</v>
      </c>
      <c r="J320">
        <v>8.4500000000000006E-2</v>
      </c>
      <c r="K320">
        <v>14</v>
      </c>
      <c r="L320">
        <v>346</v>
      </c>
      <c r="M320" t="str">
        <f t="shared" si="75"/>
        <v>30 Year Fixed</v>
      </c>
      <c r="N320" s="2">
        <v>1074.69</v>
      </c>
      <c r="O320" t="str">
        <f t="shared" si="72"/>
        <v>Refi</v>
      </c>
      <c r="P320" s="3">
        <f t="shared" si="76"/>
        <v>0</v>
      </c>
      <c r="Q320" s="4">
        <v>154907</v>
      </c>
      <c r="R320" s="4" t="s">
        <v>41</v>
      </c>
      <c r="S320" s="6">
        <v>600</v>
      </c>
      <c r="T320">
        <v>6.875</v>
      </c>
      <c r="U320" s="7">
        <f t="shared" si="73"/>
        <v>1082.1733007336654</v>
      </c>
      <c r="V320" s="2">
        <f t="shared" si="77"/>
        <v>96.506699266334635</v>
      </c>
      <c r="W320" s="9">
        <f t="shared" si="78"/>
        <v>0</v>
      </c>
      <c r="X320" s="3">
        <v>154907</v>
      </c>
      <c r="Y320" s="3">
        <f t="shared" si="79"/>
        <v>-0.41600985219702125</v>
      </c>
      <c r="Z320" s="7">
        <f t="shared" si="80"/>
        <v>1082.1733007336654</v>
      </c>
      <c r="AA320" s="2">
        <f t="shared" si="74"/>
        <v>96.506699266334635</v>
      </c>
      <c r="AB320" s="8">
        <f t="shared" si="81"/>
        <v>1</v>
      </c>
      <c r="AC320" s="10">
        <v>6.25</v>
      </c>
      <c r="AD320" s="7">
        <f t="shared" si="82"/>
        <v>1018.3336269978467</v>
      </c>
      <c r="AE320" s="2">
        <f t="shared" si="83"/>
        <v>160.34637300215331</v>
      </c>
      <c r="AF320" s="10">
        <v>2.5</v>
      </c>
      <c r="AG320" s="3">
        <f t="shared" si="84"/>
        <v>3872.6750000000002</v>
      </c>
      <c r="AH320" s="7">
        <v>0</v>
      </c>
      <c r="AI320">
        <f t="shared" si="85"/>
        <v>360</v>
      </c>
      <c r="AJ320" t="e">
        <f>VLOOKUP(A320,'Borrower Details'!$A$1:$H$1493,8,FALSE)</f>
        <v>#N/A</v>
      </c>
      <c r="AK320" s="4" t="e">
        <f t="shared" si="86"/>
        <v>#N/A</v>
      </c>
      <c r="AL320" s="10">
        <v>6.875</v>
      </c>
      <c r="AM320" s="3">
        <f t="shared" si="87"/>
        <v>154907.42224999997</v>
      </c>
      <c r="AN320">
        <v>6.875</v>
      </c>
      <c r="AO320" s="7">
        <f t="shared" si="88"/>
        <v>1082.176250553081</v>
      </c>
      <c r="AP320" s="2">
        <f t="shared" si="89"/>
        <v>96.503749446919073</v>
      </c>
    </row>
    <row r="321" spans="1:42" x14ac:dyDescent="0.15">
      <c r="A321" s="8">
        <v>1156439</v>
      </c>
      <c r="B321" t="s">
        <v>37</v>
      </c>
      <c r="C321" t="s">
        <v>18</v>
      </c>
      <c r="D321" s="1">
        <v>39163</v>
      </c>
      <c r="E321" s="2">
        <v>92000</v>
      </c>
      <c r="F321" s="2">
        <v>82800</v>
      </c>
      <c r="G321" t="s">
        <v>15</v>
      </c>
      <c r="H321" s="2">
        <v>681.18</v>
      </c>
      <c r="I321" s="2">
        <v>81928.59</v>
      </c>
      <c r="J321">
        <v>9.2499999999999999E-2</v>
      </c>
      <c r="K321">
        <v>13</v>
      </c>
      <c r="L321">
        <v>346</v>
      </c>
      <c r="M321" t="str">
        <f t="shared" si="75"/>
        <v>30 Year Fixed</v>
      </c>
      <c r="N321" s="2">
        <v>631.91</v>
      </c>
      <c r="O321" t="str">
        <f t="shared" si="72"/>
        <v>Refi</v>
      </c>
      <c r="P321" s="3">
        <f t="shared" si="76"/>
        <v>0</v>
      </c>
      <c r="Q321" s="4">
        <v>83158</v>
      </c>
      <c r="R321" s="4" t="s">
        <v>41</v>
      </c>
      <c r="S321" s="6">
        <v>580</v>
      </c>
      <c r="T321">
        <v>7.625</v>
      </c>
      <c r="U321" s="7">
        <f t="shared" si="73"/>
        <v>623.23629026025526</v>
      </c>
      <c r="V321" s="2">
        <f t="shared" si="77"/>
        <v>57.943709739744691</v>
      </c>
      <c r="W321" s="9">
        <f t="shared" si="78"/>
        <v>0</v>
      </c>
      <c r="X321" s="3">
        <v>83158</v>
      </c>
      <c r="Y321" s="3">
        <f t="shared" si="79"/>
        <v>0.47403940887306817</v>
      </c>
      <c r="Z321" s="7">
        <f t="shared" si="80"/>
        <v>623.23629026025526</v>
      </c>
      <c r="AA321" s="2">
        <f t="shared" si="74"/>
        <v>57.943709739744691</v>
      </c>
      <c r="AB321" s="8">
        <f t="shared" si="81"/>
        <v>1</v>
      </c>
      <c r="AC321" s="10">
        <v>6.5</v>
      </c>
      <c r="AD321" s="7">
        <f t="shared" si="82"/>
        <v>560.26429364294745</v>
      </c>
      <c r="AE321" s="2">
        <f t="shared" si="83"/>
        <v>120.9157063570525</v>
      </c>
      <c r="AF321" s="10">
        <v>2.375</v>
      </c>
      <c r="AG321" s="3">
        <f t="shared" si="84"/>
        <v>1975.0025000000001</v>
      </c>
      <c r="AH321" s="7">
        <v>0</v>
      </c>
      <c r="AI321">
        <f t="shared" si="85"/>
        <v>360</v>
      </c>
      <c r="AJ321" t="e">
        <f>VLOOKUP(A321,'Borrower Details'!$A$1:$H$1493,8,FALSE)</f>
        <v>#N/A</v>
      </c>
      <c r="AK321" s="4" t="e">
        <f t="shared" si="86"/>
        <v>#N/A</v>
      </c>
      <c r="AL321" s="10">
        <v>7.625</v>
      </c>
      <c r="AM321" s="3">
        <f t="shared" si="87"/>
        <v>83157.518849999993</v>
      </c>
      <c r="AN321">
        <v>7.625</v>
      </c>
      <c r="AO321" s="7">
        <f t="shared" si="88"/>
        <v>623.23268423147795</v>
      </c>
      <c r="AP321" s="2">
        <f t="shared" si="89"/>
        <v>57.947315768522003</v>
      </c>
    </row>
    <row r="322" spans="1:42" x14ac:dyDescent="0.15">
      <c r="A322" s="8">
        <v>1187685</v>
      </c>
      <c r="B322" t="s">
        <v>36</v>
      </c>
      <c r="C322" t="s">
        <v>19</v>
      </c>
      <c r="D322" s="1">
        <v>39181</v>
      </c>
      <c r="E322" s="2">
        <v>265000</v>
      </c>
      <c r="F322" s="2">
        <v>225250</v>
      </c>
      <c r="G322" t="s">
        <v>20</v>
      </c>
      <c r="H322" s="2">
        <v>1312.37</v>
      </c>
      <c r="I322" s="2">
        <v>224688.79</v>
      </c>
      <c r="J322">
        <v>6.7500000000000004E-2</v>
      </c>
      <c r="K322">
        <v>12</v>
      </c>
      <c r="L322">
        <v>348</v>
      </c>
      <c r="M322" t="str">
        <f t="shared" si="75"/>
        <v>30 Year Fixed</v>
      </c>
      <c r="N322" s="2">
        <v>1263.8699999999999</v>
      </c>
      <c r="O322" t="str">
        <f t="shared" ref="O322:O385" si="90">IF((0.85*E322)&gt;(I322*1.015),"Cash Out","Refi")</f>
        <v>Refi</v>
      </c>
      <c r="P322" s="3">
        <f t="shared" si="76"/>
        <v>0</v>
      </c>
      <c r="Q322" s="4">
        <v>228059</v>
      </c>
      <c r="R322" s="4" t="s">
        <v>41</v>
      </c>
      <c r="S322" s="6">
        <v>732</v>
      </c>
      <c r="T322">
        <v>6.75</v>
      </c>
      <c r="U322" s="7">
        <f t="shared" ref="U322:U385" si="91">(Q322*((T322/1200)/(1-(1+(T322/1200))^-AI322)))+((Q322*0.005)/12)</f>
        <v>1574.2109163858361</v>
      </c>
      <c r="V322" s="2">
        <f t="shared" si="77"/>
        <v>-261.84091638583618</v>
      </c>
      <c r="W322" s="9">
        <f t="shared" si="78"/>
        <v>0</v>
      </c>
      <c r="X322" s="3">
        <v>228059</v>
      </c>
      <c r="Y322" s="3">
        <f t="shared" si="79"/>
        <v>-0.12004926108056679</v>
      </c>
      <c r="Z322" s="7">
        <f t="shared" si="80"/>
        <v>1574.2109163858361</v>
      </c>
      <c r="AA322" s="2">
        <f t="shared" ref="AA322:AA385" si="92">H322-Z322</f>
        <v>-261.84091638583618</v>
      </c>
      <c r="AB322" s="8">
        <f t="shared" si="81"/>
        <v>1</v>
      </c>
      <c r="AC322" s="10">
        <v>6.125</v>
      </c>
      <c r="AD322" s="7">
        <f t="shared" si="82"/>
        <v>1480.7351037956582</v>
      </c>
      <c r="AE322" s="2">
        <f t="shared" si="83"/>
        <v>-168.36510379565834</v>
      </c>
      <c r="AF322" s="10">
        <v>3</v>
      </c>
      <c r="AG322" s="3">
        <f t="shared" si="84"/>
        <v>6841.77</v>
      </c>
      <c r="AH322" s="7">
        <v>4505</v>
      </c>
      <c r="AI322">
        <f t="shared" si="85"/>
        <v>360</v>
      </c>
      <c r="AJ322" t="e">
        <f>VLOOKUP(A322,'Borrower Details'!$A$1:$H$1493,8,FALSE)</f>
        <v>#N/A</v>
      </c>
      <c r="AK322" s="4" t="e">
        <f t="shared" si="86"/>
        <v>#N/A</v>
      </c>
      <c r="AL322" s="10">
        <v>6.75</v>
      </c>
      <c r="AM322" s="3">
        <f t="shared" si="87"/>
        <v>228059.12185</v>
      </c>
      <c r="AN322">
        <v>6.75</v>
      </c>
      <c r="AO322" s="7">
        <f t="shared" si="88"/>
        <v>1574.21175747345</v>
      </c>
      <c r="AP322" s="2">
        <f t="shared" si="89"/>
        <v>-261.84175747345012</v>
      </c>
    </row>
    <row r="323" spans="1:42" x14ac:dyDescent="0.15">
      <c r="A323" s="8">
        <v>411103260</v>
      </c>
      <c r="B323" t="s">
        <v>37</v>
      </c>
      <c r="C323" t="s">
        <v>16</v>
      </c>
      <c r="D323" s="1">
        <v>39407</v>
      </c>
      <c r="E323" s="2">
        <v>83000</v>
      </c>
      <c r="F323" s="2">
        <v>62250</v>
      </c>
      <c r="G323" t="s">
        <v>17</v>
      </c>
      <c r="H323" s="2">
        <v>592.36</v>
      </c>
      <c r="I323" s="2">
        <v>62136.68</v>
      </c>
      <c r="J323">
        <v>0.1099</v>
      </c>
      <c r="K323">
        <v>5</v>
      </c>
      <c r="L323">
        <v>355</v>
      </c>
      <c r="M323" t="str">
        <f t="shared" ref="M323:M386" si="93">(IF((L323+K323)&lt;180,"15 Year Fixed","30 Year Fixed"))</f>
        <v>30 Year Fixed</v>
      </c>
      <c r="N323" s="2">
        <v>569.07000000000005</v>
      </c>
      <c r="O323" t="str">
        <f t="shared" si="90"/>
        <v>Cash Out</v>
      </c>
      <c r="P323" s="3">
        <f t="shared" ref="P323:P386" si="94">IF((0.85*E323)&gt;(I323*1.015),((0.85*E323)/1.015)-(I323),0)</f>
        <v>7370.7091625615794</v>
      </c>
      <c r="Q323" s="4">
        <v>70550</v>
      </c>
      <c r="R323" s="4" t="s">
        <v>41</v>
      </c>
      <c r="S323" s="6">
        <v>528</v>
      </c>
      <c r="T323">
        <v>7.625</v>
      </c>
      <c r="U323" s="7">
        <f t="shared" si="91"/>
        <v>528.74432138652935</v>
      </c>
      <c r="V323" s="2">
        <f t="shared" ref="V323:V386" si="95">H323-U323</f>
        <v>63.615678613470664</v>
      </c>
      <c r="W323" s="9">
        <f t="shared" ref="W323:W386" si="96">IF(AND(O323="Cash Out",V323&lt;0),1,0)</f>
        <v>0</v>
      </c>
      <c r="X323" s="3">
        <v>70550</v>
      </c>
      <c r="Y323" s="3">
        <f t="shared" ref="Y323:Y386" si="97">(X323/1.015)-(I323)</f>
        <v>7370.7091625615794</v>
      </c>
      <c r="Z323" s="7">
        <f t="shared" ref="Z323:Z386" si="98">(X323*((AL323/1200)/(1-(1+(AL323/1200))^-AI323)))+((X323*0.005)/12)</f>
        <v>528.74432138652935</v>
      </c>
      <c r="AA323" s="2">
        <f t="shared" si="92"/>
        <v>63.615678613470664</v>
      </c>
      <c r="AB323" s="8">
        <f t="shared" ref="AB323:AB386" si="99">IF(I323=0,0,IF(AND(AH323&gt;0,(AP323/AO323)&lt;0.07),1,IF(AND(AH323=0,(AP323/AO323)&lt;0.1),1,0)))</f>
        <v>0</v>
      </c>
      <c r="AC323" s="10">
        <v>7.625</v>
      </c>
      <c r="AD323" s="7">
        <f t="shared" ref="AD323:AD386" si="100">(X323*((AC323/1200)/(1-(1+(AC323/1200))^-AI323)))+((X323*0.005)/12)</f>
        <v>528.74432138652935</v>
      </c>
      <c r="AE323" s="2">
        <f t="shared" ref="AE323:AE386" si="101">H323-AD323</f>
        <v>63.615678613470664</v>
      </c>
      <c r="AF323" s="10">
        <v>0</v>
      </c>
      <c r="AG323" s="3">
        <f t="shared" ref="AG323:AG386" si="102">AF323*X323/100</f>
        <v>0</v>
      </c>
      <c r="AH323" s="7">
        <v>0</v>
      </c>
      <c r="AI323">
        <f t="shared" ref="AI323:AI386" si="103">IF(M323="30 Year Fixed",360,180)</f>
        <v>360</v>
      </c>
      <c r="AJ323" t="e">
        <f>VLOOKUP(A323,'Borrower Details'!$A$1:$H$1493,8,FALSE)</f>
        <v>#N/A</v>
      </c>
      <c r="AK323" s="4" t="e">
        <f t="shared" ref="AK323:AK386" si="104">IF(AJ323&gt;360,PV((J323/12),AJ323-AI323,-H323),"NA")</f>
        <v>#N/A</v>
      </c>
      <c r="AL323" s="10">
        <v>7.625</v>
      </c>
      <c r="AM323" s="3">
        <f t="shared" ref="AM323:AM386" si="105">I323*1.015</f>
        <v>63068.730199999991</v>
      </c>
      <c r="AN323">
        <v>7.625</v>
      </c>
      <c r="AO323" s="7">
        <f t="shared" ref="AO323:AO386" si="106">(AM323*((AN323/1200)/(1-(1+(AN323/1200))^-AI323)))+((AM323*0.005)/12)</f>
        <v>472.67516584421122</v>
      </c>
      <c r="AP323" s="2">
        <f t="shared" ref="AP323:AP386" si="107">H323-AO323</f>
        <v>119.68483415578879</v>
      </c>
    </row>
    <row r="324" spans="1:42" x14ac:dyDescent="0.15">
      <c r="A324" s="8">
        <v>411250822</v>
      </c>
      <c r="B324" t="s">
        <v>38</v>
      </c>
      <c r="C324" t="s">
        <v>18</v>
      </c>
      <c r="D324" s="1">
        <v>39469</v>
      </c>
      <c r="E324" s="2">
        <v>91000</v>
      </c>
      <c r="F324" s="2">
        <v>63000</v>
      </c>
      <c r="G324" t="s">
        <v>17</v>
      </c>
      <c r="H324" s="2">
        <v>516.01</v>
      </c>
      <c r="I324" s="2">
        <v>62639.23</v>
      </c>
      <c r="J324">
        <v>9.1999999999999998E-2</v>
      </c>
      <c r="K324">
        <v>3</v>
      </c>
      <c r="L324">
        <v>357</v>
      </c>
      <c r="M324" t="str">
        <f t="shared" si="93"/>
        <v>30 Year Fixed</v>
      </c>
      <c r="N324" s="2">
        <v>480.23</v>
      </c>
      <c r="O324" t="str">
        <f t="shared" si="90"/>
        <v>Cash Out</v>
      </c>
      <c r="P324" s="3">
        <f t="shared" si="94"/>
        <v>13567.666551724142</v>
      </c>
      <c r="Q324" s="4">
        <v>77350</v>
      </c>
      <c r="R324" s="4" t="s">
        <v>41</v>
      </c>
      <c r="S324" s="6">
        <v>604</v>
      </c>
      <c r="T324">
        <v>7</v>
      </c>
      <c r="U324" s="7">
        <f t="shared" si="91"/>
        <v>546.84064668776443</v>
      </c>
      <c r="V324" s="2">
        <f t="shared" si="95"/>
        <v>-30.830646687764443</v>
      </c>
      <c r="W324" s="9">
        <f t="shared" si="96"/>
        <v>1</v>
      </c>
      <c r="X324" s="3">
        <v>72910</v>
      </c>
      <c r="Y324" s="3">
        <f t="shared" si="97"/>
        <v>9193.2823152709389</v>
      </c>
      <c r="Z324" s="7">
        <f t="shared" si="98"/>
        <v>515.45121590180872</v>
      </c>
      <c r="AA324" s="2">
        <f t="shared" si="92"/>
        <v>0.55878409819126773</v>
      </c>
      <c r="AB324" s="8">
        <f t="shared" si="99"/>
        <v>0</v>
      </c>
      <c r="AC324" s="10">
        <v>7</v>
      </c>
      <c r="AD324" s="7">
        <f t="shared" si="100"/>
        <v>515.45121590180872</v>
      </c>
      <c r="AE324" s="2">
        <f t="shared" si="101"/>
        <v>0.55878409819126773</v>
      </c>
      <c r="AF324" s="10">
        <v>0</v>
      </c>
      <c r="AG324" s="3">
        <f t="shared" si="102"/>
        <v>0</v>
      </c>
      <c r="AH324" s="7">
        <v>0</v>
      </c>
      <c r="AI324">
        <f t="shared" si="103"/>
        <v>360</v>
      </c>
      <c r="AJ324" t="e">
        <f>VLOOKUP(A324,'Borrower Details'!$A$1:$H$1493,8,FALSE)</f>
        <v>#N/A</v>
      </c>
      <c r="AK324" s="4" t="e">
        <f t="shared" si="104"/>
        <v>#N/A</v>
      </c>
      <c r="AL324" s="10">
        <v>7</v>
      </c>
      <c r="AM324" s="3">
        <f t="shared" si="105"/>
        <v>63578.818449999999</v>
      </c>
      <c r="AN324">
        <v>7</v>
      </c>
      <c r="AO324" s="7">
        <f t="shared" si="106"/>
        <v>449.4826399074592</v>
      </c>
      <c r="AP324" s="2">
        <f t="shared" si="107"/>
        <v>66.527360092540789</v>
      </c>
    </row>
    <row r="325" spans="1:42" x14ac:dyDescent="0.15">
      <c r="A325" s="8">
        <v>410771760</v>
      </c>
      <c r="B325" t="s">
        <v>38</v>
      </c>
      <c r="C325" t="s">
        <v>18</v>
      </c>
      <c r="D325" s="1">
        <v>39372</v>
      </c>
      <c r="E325" s="2">
        <v>161000</v>
      </c>
      <c r="F325" s="2">
        <v>119000</v>
      </c>
      <c r="G325" t="s">
        <v>17</v>
      </c>
      <c r="H325" s="2">
        <v>1004.97</v>
      </c>
      <c r="I325" s="2">
        <v>118506.4</v>
      </c>
      <c r="J325">
        <v>9.5500000000000002E-2</v>
      </c>
      <c r="K325">
        <v>6</v>
      </c>
      <c r="L325">
        <v>352</v>
      </c>
      <c r="M325" t="str">
        <f t="shared" si="93"/>
        <v>30 Year Fixed</v>
      </c>
      <c r="N325" s="2">
        <v>943.11</v>
      </c>
      <c r="O325" t="str">
        <f t="shared" si="90"/>
        <v>Cash Out</v>
      </c>
      <c r="P325" s="3">
        <f t="shared" si="94"/>
        <v>16321.186206896557</v>
      </c>
      <c r="Q325" s="4">
        <v>136850</v>
      </c>
      <c r="R325" s="4" t="s">
        <v>41</v>
      </c>
      <c r="S325" s="6">
        <v>585</v>
      </c>
      <c r="T325">
        <v>7.375</v>
      </c>
      <c r="U325" s="7">
        <f t="shared" si="91"/>
        <v>1002.2097728202901</v>
      </c>
      <c r="V325" s="2">
        <f t="shared" si="95"/>
        <v>2.7602271797098865</v>
      </c>
      <c r="W325" s="9">
        <f t="shared" si="96"/>
        <v>0</v>
      </c>
      <c r="X325" s="3">
        <v>136850</v>
      </c>
      <c r="Y325" s="3">
        <f t="shared" si="97"/>
        <v>16321.186206896557</v>
      </c>
      <c r="Z325" s="7">
        <f t="shared" si="98"/>
        <v>1002.2097728202901</v>
      </c>
      <c r="AA325" s="2">
        <f t="shared" si="92"/>
        <v>2.7602271797098865</v>
      </c>
      <c r="AB325" s="8">
        <f t="shared" si="99"/>
        <v>0</v>
      </c>
      <c r="AC325" s="10">
        <v>7.375</v>
      </c>
      <c r="AD325" s="7">
        <f t="shared" si="100"/>
        <v>1002.2097728202901</v>
      </c>
      <c r="AE325" s="2">
        <f t="shared" si="101"/>
        <v>2.7602271797098865</v>
      </c>
      <c r="AF325" s="10">
        <v>0</v>
      </c>
      <c r="AG325" s="3">
        <f t="shared" si="102"/>
        <v>0</v>
      </c>
      <c r="AH325" s="7">
        <v>0</v>
      </c>
      <c r="AI325">
        <f t="shared" si="103"/>
        <v>360</v>
      </c>
      <c r="AJ325" t="e">
        <f>VLOOKUP(A325,'Borrower Details'!$A$1:$H$1493,8,FALSE)</f>
        <v>#N/A</v>
      </c>
      <c r="AK325" s="4" t="e">
        <f t="shared" si="104"/>
        <v>#N/A</v>
      </c>
      <c r="AL325" s="10">
        <v>7.375</v>
      </c>
      <c r="AM325" s="3">
        <f t="shared" si="105"/>
        <v>120283.99599999998</v>
      </c>
      <c r="AN325">
        <v>7.375</v>
      </c>
      <c r="AO325" s="7">
        <f t="shared" si="106"/>
        <v>880.88999857564249</v>
      </c>
      <c r="AP325" s="2">
        <f t="shared" si="107"/>
        <v>124.08000142435753</v>
      </c>
    </row>
    <row r="326" spans="1:42" x14ac:dyDescent="0.15">
      <c r="A326" s="8">
        <v>410531594</v>
      </c>
      <c r="B326" t="s">
        <v>36</v>
      </c>
      <c r="C326" t="s">
        <v>18</v>
      </c>
      <c r="D326" s="1">
        <v>39262</v>
      </c>
      <c r="E326" s="2">
        <v>122000</v>
      </c>
      <c r="F326" s="2">
        <v>115900</v>
      </c>
      <c r="G326" t="s">
        <v>15</v>
      </c>
      <c r="H326" s="2">
        <v>896.83</v>
      </c>
      <c r="I326" s="2">
        <v>115804.45</v>
      </c>
      <c r="J326">
        <v>9.1899999999999996E-2</v>
      </c>
      <c r="K326">
        <v>10</v>
      </c>
      <c r="L326">
        <v>350</v>
      </c>
      <c r="M326" t="str">
        <f t="shared" si="93"/>
        <v>30 Year Fixed</v>
      </c>
      <c r="N326" s="2">
        <v>886.87</v>
      </c>
      <c r="O326" t="str">
        <f t="shared" si="90"/>
        <v>Refi</v>
      </c>
      <c r="P326" s="3">
        <f t="shared" si="94"/>
        <v>0</v>
      </c>
      <c r="Q326" s="4">
        <v>117542</v>
      </c>
      <c r="R326" s="4" t="s">
        <v>41</v>
      </c>
      <c r="S326" s="6">
        <v>624</v>
      </c>
      <c r="T326">
        <v>6.75</v>
      </c>
      <c r="U326" s="7">
        <f t="shared" si="91"/>
        <v>811.35100800154316</v>
      </c>
      <c r="V326" s="2">
        <f t="shared" si="95"/>
        <v>85.478991998456877</v>
      </c>
      <c r="W326" s="9">
        <f t="shared" si="96"/>
        <v>0</v>
      </c>
      <c r="X326" s="3">
        <v>117542</v>
      </c>
      <c r="Y326" s="3">
        <f t="shared" si="97"/>
        <v>0.47610837439424358</v>
      </c>
      <c r="Z326" s="7">
        <f t="shared" si="98"/>
        <v>811.35100800154316</v>
      </c>
      <c r="AA326" s="2">
        <f t="shared" si="92"/>
        <v>85.478991998456877</v>
      </c>
      <c r="AB326" s="8">
        <f t="shared" si="99"/>
        <v>0</v>
      </c>
      <c r="AC326" s="10">
        <v>6.75</v>
      </c>
      <c r="AD326" s="7">
        <f t="shared" si="100"/>
        <v>811.35100800154316</v>
      </c>
      <c r="AE326" s="2">
        <f t="shared" si="101"/>
        <v>85.478991998456877</v>
      </c>
      <c r="AF326" s="10">
        <v>0</v>
      </c>
      <c r="AG326" s="3">
        <f t="shared" si="102"/>
        <v>0</v>
      </c>
      <c r="AH326" s="7">
        <v>2318</v>
      </c>
      <c r="AI326">
        <f t="shared" si="103"/>
        <v>360</v>
      </c>
      <c r="AJ326" t="e">
        <f>VLOOKUP(A326,'Borrower Details'!$A$1:$H$1493,8,FALSE)</f>
        <v>#N/A</v>
      </c>
      <c r="AK326" s="4" t="e">
        <f t="shared" si="104"/>
        <v>#N/A</v>
      </c>
      <c r="AL326" s="10">
        <v>6.75</v>
      </c>
      <c r="AM326" s="3">
        <f t="shared" si="105"/>
        <v>117541.51674999998</v>
      </c>
      <c r="AN326">
        <v>6.75</v>
      </c>
      <c r="AO326" s="7">
        <f t="shared" si="106"/>
        <v>811.34767229707472</v>
      </c>
      <c r="AP326" s="2">
        <f t="shared" si="107"/>
        <v>85.482327702925318</v>
      </c>
    </row>
    <row r="327" spans="1:42" x14ac:dyDescent="0.15">
      <c r="A327" s="8">
        <v>410495576</v>
      </c>
      <c r="B327" t="s">
        <v>38</v>
      </c>
      <c r="C327" t="s">
        <v>19</v>
      </c>
      <c r="D327" s="1">
        <v>39262</v>
      </c>
      <c r="E327" s="2">
        <v>160000</v>
      </c>
      <c r="F327" s="2">
        <v>144000</v>
      </c>
      <c r="G327" t="s">
        <v>17</v>
      </c>
      <c r="H327" s="2">
        <v>1021.71</v>
      </c>
      <c r="I327" s="2">
        <v>142932.63</v>
      </c>
      <c r="J327">
        <v>7.6499999999999999E-2</v>
      </c>
      <c r="K327">
        <v>10</v>
      </c>
      <c r="L327">
        <v>350</v>
      </c>
      <c r="M327" t="str">
        <f t="shared" si="93"/>
        <v>30 Year Fixed</v>
      </c>
      <c r="N327" s="2">
        <v>911.2</v>
      </c>
      <c r="O327" t="str">
        <f t="shared" si="90"/>
        <v>Refi</v>
      </c>
      <c r="P327" s="3">
        <f t="shared" si="94"/>
        <v>0</v>
      </c>
      <c r="Q327" s="4">
        <v>145077</v>
      </c>
      <c r="R327" s="4" t="s">
        <v>41</v>
      </c>
      <c r="S327" s="6">
        <v>648</v>
      </c>
      <c r="T327">
        <v>6.75</v>
      </c>
      <c r="U327" s="7">
        <f t="shared" si="91"/>
        <v>1001.4154105582676</v>
      </c>
      <c r="V327" s="2">
        <f t="shared" si="95"/>
        <v>20.294589441732455</v>
      </c>
      <c r="W327" s="9">
        <f t="shared" si="96"/>
        <v>0</v>
      </c>
      <c r="X327" s="3">
        <v>145077</v>
      </c>
      <c r="Y327" s="3">
        <f t="shared" si="97"/>
        <v>0.37492610837216489</v>
      </c>
      <c r="Z327" s="7">
        <f t="shared" si="98"/>
        <v>1001.4154105582676</v>
      </c>
      <c r="AA327" s="2">
        <f t="shared" si="92"/>
        <v>20.294589441732455</v>
      </c>
      <c r="AB327" s="8">
        <f t="shared" si="99"/>
        <v>1</v>
      </c>
      <c r="AC327" s="10">
        <v>6.125</v>
      </c>
      <c r="AD327" s="7">
        <f t="shared" si="100"/>
        <v>941.95189250747706</v>
      </c>
      <c r="AE327" s="2">
        <f t="shared" si="101"/>
        <v>79.758107492522981</v>
      </c>
      <c r="AF327" s="10">
        <v>3</v>
      </c>
      <c r="AG327" s="3">
        <f t="shared" si="102"/>
        <v>4352.3100000000004</v>
      </c>
      <c r="AH327" s="7">
        <v>0</v>
      </c>
      <c r="AI327">
        <f t="shared" si="103"/>
        <v>360</v>
      </c>
      <c r="AJ327" t="e">
        <f>VLOOKUP(A327,'Borrower Details'!$A$1:$H$1493,8,FALSE)</f>
        <v>#N/A</v>
      </c>
      <c r="AK327" s="4" t="e">
        <f t="shared" si="104"/>
        <v>#N/A</v>
      </c>
      <c r="AL327" s="10">
        <v>6.75</v>
      </c>
      <c r="AM327" s="3">
        <f t="shared" si="105"/>
        <v>145076.61945</v>
      </c>
      <c r="AN327">
        <v>6.75</v>
      </c>
      <c r="AO327" s="7">
        <f t="shared" si="106"/>
        <v>1001.4127837557111</v>
      </c>
      <c r="AP327" s="2">
        <f t="shared" si="107"/>
        <v>20.297216244288961</v>
      </c>
    </row>
    <row r="328" spans="1:42" x14ac:dyDescent="0.15">
      <c r="A328" s="8">
        <v>410671366</v>
      </c>
      <c r="B328" t="s">
        <v>36</v>
      </c>
      <c r="C328" t="s">
        <v>19</v>
      </c>
      <c r="D328" s="1">
        <v>39289</v>
      </c>
      <c r="E328" s="2">
        <v>166500</v>
      </c>
      <c r="F328" s="2">
        <v>149850</v>
      </c>
      <c r="G328" t="s">
        <v>17</v>
      </c>
      <c r="H328" s="2">
        <v>1097.98</v>
      </c>
      <c r="I328" s="2">
        <v>149505.42000000001</v>
      </c>
      <c r="J328">
        <v>8.4949999999999998E-2</v>
      </c>
      <c r="K328">
        <v>9</v>
      </c>
      <c r="L328">
        <v>351</v>
      </c>
      <c r="M328" t="str">
        <f t="shared" si="93"/>
        <v>30 Year Fixed</v>
      </c>
      <c r="N328" s="2">
        <v>1058.3699999999999</v>
      </c>
      <c r="O328" t="str">
        <f t="shared" si="90"/>
        <v>Refi</v>
      </c>
      <c r="P328" s="3">
        <f t="shared" si="94"/>
        <v>0</v>
      </c>
      <c r="Q328" s="4">
        <v>151748</v>
      </c>
      <c r="R328" s="4" t="s">
        <v>41</v>
      </c>
      <c r="S328" s="6">
        <v>633</v>
      </c>
      <c r="T328">
        <v>6.75</v>
      </c>
      <c r="U328" s="7">
        <f t="shared" si="91"/>
        <v>1047.4629729136664</v>
      </c>
      <c r="V328" s="2">
        <f t="shared" si="95"/>
        <v>50.517027086333655</v>
      </c>
      <c r="W328" s="9">
        <f t="shared" si="96"/>
        <v>0</v>
      </c>
      <c r="X328" s="3">
        <v>151748</v>
      </c>
      <c r="Y328" s="3">
        <f t="shared" si="97"/>
        <v>-1.2807881867047399E-3</v>
      </c>
      <c r="Z328" s="7">
        <f t="shared" si="98"/>
        <v>1047.4629729136664</v>
      </c>
      <c r="AA328" s="2">
        <f t="shared" si="92"/>
        <v>50.517027086333655</v>
      </c>
      <c r="AB328" s="8">
        <f t="shared" si="99"/>
        <v>1</v>
      </c>
      <c r="AC328" s="10">
        <v>6.125</v>
      </c>
      <c r="AD328" s="7">
        <f t="shared" si="100"/>
        <v>985.26517493623817</v>
      </c>
      <c r="AE328" s="2">
        <f t="shared" si="101"/>
        <v>112.71482506376185</v>
      </c>
      <c r="AF328" s="10">
        <v>3</v>
      </c>
      <c r="AG328" s="3">
        <f t="shared" si="102"/>
        <v>4552.4399999999996</v>
      </c>
      <c r="AH328" s="7">
        <v>2997</v>
      </c>
      <c r="AI328">
        <f t="shared" si="103"/>
        <v>360</v>
      </c>
      <c r="AJ328" t="e">
        <f>VLOOKUP(A328,'Borrower Details'!$A$1:$H$1493,8,FALSE)</f>
        <v>#N/A</v>
      </c>
      <c r="AK328" s="4" t="e">
        <f t="shared" si="104"/>
        <v>#N/A</v>
      </c>
      <c r="AL328" s="10">
        <v>6.75</v>
      </c>
      <c r="AM328" s="3">
        <f t="shared" si="105"/>
        <v>151748.0013</v>
      </c>
      <c r="AN328">
        <v>6.75</v>
      </c>
      <c r="AO328" s="7">
        <f t="shared" si="106"/>
        <v>1047.4629818871083</v>
      </c>
      <c r="AP328" s="2">
        <f t="shared" si="107"/>
        <v>50.517018112891719</v>
      </c>
    </row>
    <row r="329" spans="1:42" x14ac:dyDescent="0.15">
      <c r="A329" s="8">
        <v>410440622</v>
      </c>
      <c r="B329" t="s">
        <v>36</v>
      </c>
      <c r="C329" t="s">
        <v>18</v>
      </c>
      <c r="D329" s="1">
        <v>39259</v>
      </c>
      <c r="E329" s="2">
        <v>91500</v>
      </c>
      <c r="F329" s="2">
        <v>82350</v>
      </c>
      <c r="G329" t="s">
        <v>20</v>
      </c>
      <c r="H329" s="2">
        <v>731.83</v>
      </c>
      <c r="I329" s="2">
        <v>81983.38</v>
      </c>
      <c r="J329">
        <v>0.10150000000000001</v>
      </c>
      <c r="K329">
        <v>10</v>
      </c>
      <c r="L329">
        <v>350</v>
      </c>
      <c r="M329" t="str">
        <f t="shared" si="93"/>
        <v>30 Year Fixed</v>
      </c>
      <c r="N329" s="2">
        <v>693.44</v>
      </c>
      <c r="O329" t="str">
        <f t="shared" si="90"/>
        <v>Refi</v>
      </c>
      <c r="P329" s="3">
        <f t="shared" si="94"/>
        <v>0</v>
      </c>
      <c r="Q329" s="4">
        <v>83213</v>
      </c>
      <c r="R329" s="4" t="s">
        <v>41</v>
      </c>
      <c r="S329" s="6">
        <v>576</v>
      </c>
      <c r="T329">
        <v>7.625</v>
      </c>
      <c r="U329" s="7">
        <f t="shared" si="91"/>
        <v>623.648493487417</v>
      </c>
      <c r="V329" s="2">
        <f t="shared" si="95"/>
        <v>108.18150651258304</v>
      </c>
      <c r="W329" s="9">
        <f t="shared" si="96"/>
        <v>0</v>
      </c>
      <c r="X329" s="3">
        <v>83213</v>
      </c>
      <c r="Y329" s="3">
        <f t="shared" si="97"/>
        <v>-0.12876847290317528</v>
      </c>
      <c r="Z329" s="7">
        <f t="shared" si="98"/>
        <v>623.648493487417</v>
      </c>
      <c r="AA329" s="2">
        <f t="shared" si="92"/>
        <v>108.18150651258304</v>
      </c>
      <c r="AB329" s="8">
        <f t="shared" si="99"/>
        <v>0</v>
      </c>
      <c r="AC329" s="10">
        <v>7.625</v>
      </c>
      <c r="AD329" s="7">
        <f t="shared" si="100"/>
        <v>623.648493487417</v>
      </c>
      <c r="AE329" s="2">
        <f t="shared" si="101"/>
        <v>108.18150651258304</v>
      </c>
      <c r="AF329" s="10">
        <v>0</v>
      </c>
      <c r="AG329" s="3">
        <f t="shared" si="102"/>
        <v>0</v>
      </c>
      <c r="AH329" s="7">
        <v>1647</v>
      </c>
      <c r="AI329">
        <f t="shared" si="103"/>
        <v>360</v>
      </c>
      <c r="AJ329" t="e">
        <f>VLOOKUP(A329,'Borrower Details'!$A$1:$H$1493,8,FALSE)</f>
        <v>#N/A</v>
      </c>
      <c r="AK329" s="4" t="e">
        <f t="shared" si="104"/>
        <v>#N/A</v>
      </c>
      <c r="AL329" s="10">
        <v>7.625</v>
      </c>
      <c r="AM329" s="3">
        <f t="shared" si="105"/>
        <v>83213.130699999994</v>
      </c>
      <c r="AN329">
        <v>7.625</v>
      </c>
      <c r="AO329" s="7">
        <f t="shared" si="106"/>
        <v>623.64947303217662</v>
      </c>
      <c r="AP329" s="2">
        <f t="shared" si="107"/>
        <v>108.18052696782343</v>
      </c>
    </row>
    <row r="330" spans="1:42" x14ac:dyDescent="0.15">
      <c r="A330" s="8">
        <v>410499396</v>
      </c>
      <c r="B330" t="s">
        <v>36</v>
      </c>
      <c r="C330" t="s">
        <v>19</v>
      </c>
      <c r="D330" s="1">
        <v>39258</v>
      </c>
      <c r="E330" s="2">
        <v>338000</v>
      </c>
      <c r="F330" s="2">
        <v>262500</v>
      </c>
      <c r="G330" t="s">
        <v>17</v>
      </c>
      <c r="H330" s="2">
        <v>1676.48</v>
      </c>
      <c r="I330" s="2">
        <v>259716.86</v>
      </c>
      <c r="J330">
        <v>6.6000000000000003E-2</v>
      </c>
      <c r="K330">
        <v>10</v>
      </c>
      <c r="L330">
        <v>349</v>
      </c>
      <c r="M330" t="str">
        <f t="shared" si="93"/>
        <v>30 Year Fixed</v>
      </c>
      <c r="N330" s="2">
        <v>1429.91</v>
      </c>
      <c r="O330" t="str">
        <f t="shared" si="90"/>
        <v>Cash Out</v>
      </c>
      <c r="P330" s="3">
        <f t="shared" si="94"/>
        <v>23337.327192118275</v>
      </c>
      <c r="Q330" s="4">
        <v>287300</v>
      </c>
      <c r="R330" s="4" t="s">
        <v>41</v>
      </c>
      <c r="S330" s="6">
        <v>682</v>
      </c>
      <c r="T330">
        <v>6.75</v>
      </c>
      <c r="U330" s="7">
        <f t="shared" si="91"/>
        <v>1983.1306647738115</v>
      </c>
      <c r="V330" s="2">
        <f t="shared" si="95"/>
        <v>-306.65066477381151</v>
      </c>
      <c r="W330" s="9">
        <f t="shared" si="96"/>
        <v>1</v>
      </c>
      <c r="X330" s="3">
        <v>263613</v>
      </c>
      <c r="Y330" s="3">
        <f t="shared" si="97"/>
        <v>0.381379310390912</v>
      </c>
      <c r="Z330" s="7">
        <f t="shared" si="98"/>
        <v>1819.6276503063655</v>
      </c>
      <c r="AA330" s="2">
        <f t="shared" si="92"/>
        <v>-143.14765030636545</v>
      </c>
      <c r="AB330" s="8">
        <f t="shared" si="99"/>
        <v>1</v>
      </c>
      <c r="AC330" s="10">
        <v>6.125</v>
      </c>
      <c r="AD330" s="7">
        <f t="shared" si="100"/>
        <v>1711.5791217048431</v>
      </c>
      <c r="AE330" s="2">
        <f t="shared" si="101"/>
        <v>-35.099121704843128</v>
      </c>
      <c r="AF330" s="10">
        <v>3</v>
      </c>
      <c r="AG330" s="3">
        <f t="shared" si="102"/>
        <v>7908.39</v>
      </c>
      <c r="AH330" s="7">
        <v>5250</v>
      </c>
      <c r="AI330">
        <f t="shared" si="103"/>
        <v>360</v>
      </c>
      <c r="AJ330" t="e">
        <f>VLOOKUP(A330,'Borrower Details'!$A$1:$H$1493,8,FALSE)</f>
        <v>#N/A</v>
      </c>
      <c r="AK330" s="4" t="e">
        <f t="shared" si="104"/>
        <v>#N/A</v>
      </c>
      <c r="AL330" s="10">
        <v>6.75</v>
      </c>
      <c r="AM330" s="3">
        <f t="shared" si="105"/>
        <v>263612.61289999995</v>
      </c>
      <c r="AN330">
        <v>6.75</v>
      </c>
      <c r="AO330" s="7">
        <f t="shared" si="106"/>
        <v>1819.6249782914667</v>
      </c>
      <c r="AP330" s="2">
        <f t="shared" si="107"/>
        <v>-143.14497829146671</v>
      </c>
    </row>
    <row r="331" spans="1:42" x14ac:dyDescent="0.15">
      <c r="A331" s="8">
        <v>410790018</v>
      </c>
      <c r="B331" t="s">
        <v>36</v>
      </c>
      <c r="C331" t="s">
        <v>16</v>
      </c>
      <c r="D331" s="1">
        <v>39314</v>
      </c>
      <c r="E331" s="2">
        <v>240000</v>
      </c>
      <c r="F331" s="2">
        <v>216000</v>
      </c>
      <c r="G331" t="s">
        <v>20</v>
      </c>
      <c r="H331" s="2">
        <v>1535.37</v>
      </c>
      <c r="I331" s="2">
        <v>215808.4</v>
      </c>
      <c r="J331">
        <v>8.4000000000000005E-2</v>
      </c>
      <c r="K331">
        <v>8</v>
      </c>
      <c r="L331">
        <v>352</v>
      </c>
      <c r="M331" t="str">
        <f t="shared" si="93"/>
        <v>30 Year Fixed</v>
      </c>
      <c r="N331" s="2">
        <v>1510.66</v>
      </c>
      <c r="O331" t="str">
        <f t="shared" si="90"/>
        <v>Refi</v>
      </c>
      <c r="P331" s="3">
        <f t="shared" si="94"/>
        <v>0</v>
      </c>
      <c r="Q331" s="4">
        <v>219046</v>
      </c>
      <c r="R331" s="4" t="s">
        <v>41</v>
      </c>
      <c r="S331" s="6">
        <v>644</v>
      </c>
      <c r="T331">
        <v>6.75</v>
      </c>
      <c r="U331" s="7">
        <f t="shared" si="91"/>
        <v>1511.9973532754764</v>
      </c>
      <c r="V331" s="2">
        <f t="shared" si="95"/>
        <v>23.37264672452352</v>
      </c>
      <c r="W331" s="9">
        <f t="shared" si="96"/>
        <v>0</v>
      </c>
      <c r="X331" s="3">
        <v>219046</v>
      </c>
      <c r="Y331" s="3">
        <f t="shared" si="97"/>
        <v>0.46699507391895168</v>
      </c>
      <c r="Z331" s="7">
        <f t="shared" si="98"/>
        <v>1511.9973532754764</v>
      </c>
      <c r="AA331" s="2">
        <f t="shared" si="92"/>
        <v>23.37264672452352</v>
      </c>
      <c r="AB331" s="8">
        <f t="shared" si="99"/>
        <v>1</v>
      </c>
      <c r="AC331" s="10">
        <v>6.125</v>
      </c>
      <c r="AD331" s="7">
        <f t="shared" si="100"/>
        <v>1422.2157491965841</v>
      </c>
      <c r="AE331" s="2">
        <f t="shared" si="101"/>
        <v>113.15425080341583</v>
      </c>
      <c r="AF331" s="10">
        <v>3</v>
      </c>
      <c r="AG331" s="3">
        <f t="shared" si="102"/>
        <v>6571.38</v>
      </c>
      <c r="AH331" s="7">
        <v>4320</v>
      </c>
      <c r="AI331">
        <f t="shared" si="103"/>
        <v>360</v>
      </c>
      <c r="AJ331" t="e">
        <f>VLOOKUP(A331,'Borrower Details'!$A$1:$H$1493,8,FALSE)</f>
        <v>#N/A</v>
      </c>
      <c r="AK331" s="4" t="e">
        <f t="shared" si="104"/>
        <v>#N/A</v>
      </c>
      <c r="AL331" s="10">
        <v>6.75</v>
      </c>
      <c r="AM331" s="3">
        <f t="shared" si="105"/>
        <v>219045.52599999998</v>
      </c>
      <c r="AN331">
        <v>6.75</v>
      </c>
      <c r="AO331" s="7">
        <f t="shared" si="106"/>
        <v>1511.9940814204986</v>
      </c>
      <c r="AP331" s="2">
        <f t="shared" si="107"/>
        <v>23.375918579501331</v>
      </c>
    </row>
    <row r="332" spans="1:42" x14ac:dyDescent="0.15">
      <c r="A332" s="8">
        <v>410523468</v>
      </c>
      <c r="B332" t="s">
        <v>37</v>
      </c>
      <c r="C332" t="s">
        <v>18</v>
      </c>
      <c r="D332" s="1">
        <v>39266</v>
      </c>
      <c r="E332" s="2">
        <v>240000</v>
      </c>
      <c r="F332" s="2">
        <v>192000</v>
      </c>
      <c r="G332" t="s">
        <v>15</v>
      </c>
      <c r="H332" s="2">
        <v>1531.09</v>
      </c>
      <c r="I332" s="2">
        <v>190857.23</v>
      </c>
      <c r="J332">
        <v>8.8999999999999996E-2</v>
      </c>
      <c r="K332">
        <v>10</v>
      </c>
      <c r="L332">
        <v>350</v>
      </c>
      <c r="M332" t="str">
        <f t="shared" si="93"/>
        <v>30 Year Fixed</v>
      </c>
      <c r="N332" s="2">
        <v>1415.52</v>
      </c>
      <c r="O332" t="str">
        <f t="shared" si="90"/>
        <v>Cash Out</v>
      </c>
      <c r="P332" s="3">
        <f t="shared" si="94"/>
        <v>10127.991674876859</v>
      </c>
      <c r="Q332" s="4">
        <v>204000</v>
      </c>
      <c r="R332" s="4" t="s">
        <v>41</v>
      </c>
      <c r="S332" s="6">
        <v>594</v>
      </c>
      <c r="T332">
        <v>7.375</v>
      </c>
      <c r="U332" s="7">
        <f t="shared" si="91"/>
        <v>1493.9773010985691</v>
      </c>
      <c r="V332" s="2">
        <f t="shared" si="95"/>
        <v>37.112698901430804</v>
      </c>
      <c r="W332" s="9">
        <f t="shared" si="96"/>
        <v>0</v>
      </c>
      <c r="X332" s="3">
        <v>204000</v>
      </c>
      <c r="Y332" s="3">
        <f t="shared" si="97"/>
        <v>10127.991674876859</v>
      </c>
      <c r="Z332" s="7">
        <f t="shared" si="98"/>
        <v>1493.9773010985691</v>
      </c>
      <c r="AA332" s="2">
        <f t="shared" si="92"/>
        <v>37.112698901430804</v>
      </c>
      <c r="AB332" s="8">
        <f t="shared" si="99"/>
        <v>0</v>
      </c>
      <c r="AC332" s="10">
        <v>7.375</v>
      </c>
      <c r="AD332" s="7">
        <f t="shared" si="100"/>
        <v>1493.9773010985691</v>
      </c>
      <c r="AE332" s="2">
        <f t="shared" si="101"/>
        <v>37.112698901430804</v>
      </c>
      <c r="AF332" s="10">
        <v>0</v>
      </c>
      <c r="AG332" s="3">
        <f t="shared" si="102"/>
        <v>0</v>
      </c>
      <c r="AH332" s="7">
        <v>1920</v>
      </c>
      <c r="AI332">
        <f t="shared" si="103"/>
        <v>360</v>
      </c>
      <c r="AJ332" t="e">
        <f>VLOOKUP(A332,'Borrower Details'!$A$1:$H$1493,8,FALSE)</f>
        <v>#N/A</v>
      </c>
      <c r="AK332" s="4" t="e">
        <f t="shared" si="104"/>
        <v>#N/A</v>
      </c>
      <c r="AL332" s="10">
        <v>7.375</v>
      </c>
      <c r="AM332" s="3">
        <f t="shared" si="105"/>
        <v>193720.08844999998</v>
      </c>
      <c r="AN332">
        <v>7.375</v>
      </c>
      <c r="AO332" s="7">
        <f t="shared" si="106"/>
        <v>1418.693210348564</v>
      </c>
      <c r="AP332" s="2">
        <f t="shared" si="107"/>
        <v>112.39678965143594</v>
      </c>
    </row>
    <row r="333" spans="1:42" x14ac:dyDescent="0.15">
      <c r="A333" s="8">
        <v>410378236</v>
      </c>
      <c r="B333" t="s">
        <v>37</v>
      </c>
      <c r="C333" t="s">
        <v>18</v>
      </c>
      <c r="D333" s="1">
        <v>39245</v>
      </c>
      <c r="E333" s="2">
        <v>260000</v>
      </c>
      <c r="F333" s="2">
        <v>182000</v>
      </c>
      <c r="G333" t="s">
        <v>15</v>
      </c>
      <c r="H333" s="2">
        <v>1354.54</v>
      </c>
      <c r="I333" s="2">
        <v>180778.56</v>
      </c>
      <c r="J333">
        <v>8.1500000000000003E-2</v>
      </c>
      <c r="K333">
        <v>10</v>
      </c>
      <c r="L333">
        <v>350</v>
      </c>
      <c r="M333" t="str">
        <f t="shared" si="93"/>
        <v>30 Year Fixed</v>
      </c>
      <c r="N333" s="2">
        <v>1227.79</v>
      </c>
      <c r="O333" t="str">
        <f t="shared" si="90"/>
        <v>Cash Out</v>
      </c>
      <c r="P333" s="3">
        <f t="shared" si="94"/>
        <v>36955.430147783278</v>
      </c>
      <c r="Q333" s="4">
        <v>221000</v>
      </c>
      <c r="R333" s="4" t="s">
        <v>41</v>
      </c>
      <c r="S333" s="6">
        <v>643</v>
      </c>
      <c r="T333">
        <v>6.75</v>
      </c>
      <c r="U333" s="7">
        <f t="shared" si="91"/>
        <v>1525.4851267490858</v>
      </c>
      <c r="V333" s="2">
        <f t="shared" si="95"/>
        <v>-170.94512674908583</v>
      </c>
      <c r="W333" s="9">
        <f t="shared" si="96"/>
        <v>1</v>
      </c>
      <c r="X333" s="3">
        <v>196160</v>
      </c>
      <c r="Y333" s="3">
        <f t="shared" si="97"/>
        <v>12482.523743842379</v>
      </c>
      <c r="Z333" s="7">
        <f t="shared" si="98"/>
        <v>1354.0233595615416</v>
      </c>
      <c r="AA333" s="2">
        <f t="shared" si="92"/>
        <v>0.51664043845835295</v>
      </c>
      <c r="AB333" s="8">
        <f t="shared" si="99"/>
        <v>1</v>
      </c>
      <c r="AC333" s="10">
        <v>6.125</v>
      </c>
      <c r="AD333" s="7">
        <f t="shared" si="100"/>
        <v>1273.622167774814</v>
      </c>
      <c r="AE333" s="2">
        <f t="shared" si="101"/>
        <v>80.917832225185975</v>
      </c>
      <c r="AF333" s="10">
        <v>3</v>
      </c>
      <c r="AG333" s="3">
        <f t="shared" si="102"/>
        <v>5884.8</v>
      </c>
      <c r="AH333" s="7">
        <v>1820</v>
      </c>
      <c r="AI333">
        <f t="shared" si="103"/>
        <v>360</v>
      </c>
      <c r="AJ333" t="e">
        <f>VLOOKUP(A333,'Borrower Details'!$A$1:$H$1493,8,FALSE)</f>
        <v>#N/A</v>
      </c>
      <c r="AK333" s="4" t="e">
        <f t="shared" si="104"/>
        <v>#N/A</v>
      </c>
      <c r="AL333" s="10">
        <v>6.75</v>
      </c>
      <c r="AM333" s="3">
        <f t="shared" si="105"/>
        <v>183490.23839999997</v>
      </c>
      <c r="AN333">
        <v>6.75</v>
      </c>
      <c r="AO333" s="7">
        <f t="shared" si="106"/>
        <v>1266.5684596508775</v>
      </c>
      <c r="AP333" s="2">
        <f t="shared" si="107"/>
        <v>87.971540349122506</v>
      </c>
    </row>
    <row r="334" spans="1:42" x14ac:dyDescent="0.15">
      <c r="A334" s="8">
        <v>410116610</v>
      </c>
      <c r="B334" t="s">
        <v>35</v>
      </c>
      <c r="C334" t="s">
        <v>16</v>
      </c>
      <c r="D334" s="1">
        <v>39211</v>
      </c>
      <c r="E334" s="2">
        <v>252000</v>
      </c>
      <c r="F334" s="2">
        <v>201600</v>
      </c>
      <c r="G334" t="s">
        <v>15</v>
      </c>
      <c r="H334" s="2">
        <v>1651.22</v>
      </c>
      <c r="I334" s="2">
        <v>200392.6</v>
      </c>
      <c r="J334">
        <v>9.1999999999999998E-2</v>
      </c>
      <c r="K334">
        <v>11</v>
      </c>
      <c r="L334">
        <v>349</v>
      </c>
      <c r="M334" t="str">
        <f t="shared" si="93"/>
        <v>30 Year Fixed</v>
      </c>
      <c r="N334" s="2">
        <v>1536.34</v>
      </c>
      <c r="O334" t="str">
        <f t="shared" si="90"/>
        <v>Cash Out</v>
      </c>
      <c r="P334" s="3">
        <f t="shared" si="94"/>
        <v>10641.88275862069</v>
      </c>
      <c r="Q334" s="4">
        <v>214200</v>
      </c>
      <c r="R334" s="4" t="s">
        <v>41</v>
      </c>
      <c r="S334" s="6">
        <v>548</v>
      </c>
      <c r="T334">
        <v>7.625</v>
      </c>
      <c r="U334" s="7">
        <f t="shared" si="91"/>
        <v>1605.3442046916311</v>
      </c>
      <c r="V334" s="2">
        <f t="shared" si="95"/>
        <v>45.875795308368879</v>
      </c>
      <c r="W334" s="9">
        <f t="shared" si="96"/>
        <v>0</v>
      </c>
      <c r="X334" s="3">
        <v>214200</v>
      </c>
      <c r="Y334" s="3">
        <f t="shared" si="97"/>
        <v>10641.88275862069</v>
      </c>
      <c r="Z334" s="7">
        <f t="shared" si="98"/>
        <v>1605.3442046916311</v>
      </c>
      <c r="AA334" s="2">
        <f t="shared" si="92"/>
        <v>45.875795308368879</v>
      </c>
      <c r="AB334" s="8">
        <f t="shared" si="99"/>
        <v>0</v>
      </c>
      <c r="AC334" s="10">
        <v>7.625</v>
      </c>
      <c r="AD334" s="7">
        <f t="shared" si="100"/>
        <v>1605.3442046916311</v>
      </c>
      <c r="AE334" s="2">
        <f t="shared" si="101"/>
        <v>45.875795308368879</v>
      </c>
      <c r="AF334" s="10">
        <v>0</v>
      </c>
      <c r="AG334" s="3">
        <f t="shared" si="102"/>
        <v>0</v>
      </c>
      <c r="AH334" s="7">
        <v>9273.6</v>
      </c>
      <c r="AI334">
        <f t="shared" si="103"/>
        <v>360</v>
      </c>
      <c r="AJ334" t="e">
        <f>VLOOKUP(A334,'Borrower Details'!$A$1:$H$1493,8,FALSE)</f>
        <v>#N/A</v>
      </c>
      <c r="AK334" s="4" t="e">
        <f t="shared" si="104"/>
        <v>#N/A</v>
      </c>
      <c r="AL334" s="10">
        <v>7.625</v>
      </c>
      <c r="AM334" s="3">
        <f t="shared" si="105"/>
        <v>203398.48899999997</v>
      </c>
      <c r="AN334">
        <v>7.625</v>
      </c>
      <c r="AO334" s="7">
        <f t="shared" si="106"/>
        <v>1524.3911557384895</v>
      </c>
      <c r="AP334" s="2">
        <f t="shared" si="107"/>
        <v>126.82884426151054</v>
      </c>
    </row>
    <row r="335" spans="1:42" x14ac:dyDescent="0.15">
      <c r="A335" s="8">
        <v>1144614</v>
      </c>
      <c r="B335" t="s">
        <v>36</v>
      </c>
      <c r="C335" t="s">
        <v>18</v>
      </c>
      <c r="D335" s="1">
        <v>39139</v>
      </c>
      <c r="E335" s="2">
        <v>190000</v>
      </c>
      <c r="F335" s="2">
        <v>171000</v>
      </c>
      <c r="G335" t="s">
        <v>15</v>
      </c>
      <c r="H335" s="2">
        <v>1374.68</v>
      </c>
      <c r="I335" s="2">
        <v>169623.48</v>
      </c>
      <c r="J335">
        <v>8.9899999999999994E-2</v>
      </c>
      <c r="K335">
        <v>14</v>
      </c>
      <c r="L335">
        <v>346</v>
      </c>
      <c r="M335" t="str">
        <f t="shared" si="93"/>
        <v>30 Year Fixed</v>
      </c>
      <c r="N335" s="2">
        <v>1270.76</v>
      </c>
      <c r="O335" t="str">
        <f t="shared" si="90"/>
        <v>Refi</v>
      </c>
      <c r="P335" s="3">
        <f t="shared" si="94"/>
        <v>0</v>
      </c>
      <c r="Q335" s="4">
        <v>172168</v>
      </c>
      <c r="R335" s="4" t="s">
        <v>41</v>
      </c>
      <c r="S335" s="6">
        <v>555</v>
      </c>
      <c r="T335">
        <v>7.625</v>
      </c>
      <c r="U335" s="7">
        <f t="shared" si="91"/>
        <v>1290.331003890517</v>
      </c>
      <c r="V335" s="2">
        <f t="shared" si="95"/>
        <v>84.348996109483096</v>
      </c>
      <c r="W335" s="9">
        <f t="shared" si="96"/>
        <v>0</v>
      </c>
      <c r="X335" s="3">
        <v>172168</v>
      </c>
      <c r="Y335" s="3">
        <f t="shared" si="97"/>
        <v>0.16532019706210122</v>
      </c>
      <c r="Z335" s="7">
        <f t="shared" si="98"/>
        <v>1290.331003890517</v>
      </c>
      <c r="AA335" s="2">
        <f t="shared" si="92"/>
        <v>84.348996109483096</v>
      </c>
      <c r="AB335" s="8">
        <f t="shared" si="99"/>
        <v>1</v>
      </c>
      <c r="AC335" s="10">
        <v>6.875</v>
      </c>
      <c r="AD335" s="7">
        <f t="shared" si="100"/>
        <v>1202.7578665955295</v>
      </c>
      <c r="AE335" s="2">
        <f t="shared" si="101"/>
        <v>171.92213340447051</v>
      </c>
      <c r="AF335" s="10">
        <v>1</v>
      </c>
      <c r="AG335" s="3">
        <f t="shared" si="102"/>
        <v>1721.68</v>
      </c>
      <c r="AH335" s="7">
        <v>3420</v>
      </c>
      <c r="AI335">
        <f t="shared" si="103"/>
        <v>360</v>
      </c>
      <c r="AJ335" t="e">
        <f>VLOOKUP(A335,'Borrower Details'!$A$1:$H$1493,8,FALSE)</f>
        <v>#N/A</v>
      </c>
      <c r="AK335" s="4" t="e">
        <f t="shared" si="104"/>
        <v>#N/A</v>
      </c>
      <c r="AL335" s="10">
        <v>7.625</v>
      </c>
      <c r="AM335" s="3">
        <f t="shared" si="105"/>
        <v>172167.8322</v>
      </c>
      <c r="AN335">
        <v>7.625</v>
      </c>
      <c r="AO335" s="7">
        <f t="shared" si="106"/>
        <v>1290.329746295944</v>
      </c>
      <c r="AP335" s="2">
        <f t="shared" si="107"/>
        <v>84.350253704056058</v>
      </c>
    </row>
    <row r="336" spans="1:42" x14ac:dyDescent="0.15">
      <c r="A336" s="8">
        <v>1141222</v>
      </c>
      <c r="B336" t="s">
        <v>36</v>
      </c>
      <c r="C336" t="s">
        <v>19</v>
      </c>
      <c r="D336" s="1">
        <v>39140</v>
      </c>
      <c r="E336" s="2">
        <v>145000</v>
      </c>
      <c r="F336" s="2">
        <v>108750</v>
      </c>
      <c r="G336" t="s">
        <v>15</v>
      </c>
      <c r="H336" s="2">
        <v>780.74</v>
      </c>
      <c r="I336" s="2">
        <v>108331.8</v>
      </c>
      <c r="J336">
        <v>8.3000000000000004E-2</v>
      </c>
      <c r="K336">
        <v>14</v>
      </c>
      <c r="L336">
        <v>346</v>
      </c>
      <c r="M336" t="str">
        <f t="shared" si="93"/>
        <v>30 Year Fixed</v>
      </c>
      <c r="N336" s="2">
        <v>749.29</v>
      </c>
      <c r="O336" t="str">
        <f t="shared" si="90"/>
        <v>Cash Out</v>
      </c>
      <c r="P336" s="3">
        <f t="shared" si="94"/>
        <v>13096.771428571432</v>
      </c>
      <c r="Q336" s="4">
        <v>123250</v>
      </c>
      <c r="R336" s="4" t="s">
        <v>41</v>
      </c>
      <c r="S336" s="6">
        <v>540</v>
      </c>
      <c r="T336">
        <v>7.625</v>
      </c>
      <c r="U336" s="7">
        <f t="shared" si="91"/>
        <v>923.70995904875599</v>
      </c>
      <c r="V336" s="2">
        <f t="shared" si="95"/>
        <v>-142.96995904875598</v>
      </c>
      <c r="W336" s="9">
        <f t="shared" si="96"/>
        <v>1</v>
      </c>
      <c r="X336" s="3">
        <v>109957</v>
      </c>
      <c r="Y336" s="3">
        <f t="shared" si="97"/>
        <v>0.21970443350437563</v>
      </c>
      <c r="Z336" s="7">
        <f t="shared" si="98"/>
        <v>824.08418634583427</v>
      </c>
      <c r="AA336" s="2">
        <f t="shared" si="92"/>
        <v>-43.34418634583426</v>
      </c>
      <c r="AB336" s="8">
        <f t="shared" si="99"/>
        <v>1</v>
      </c>
      <c r="AC336" s="10">
        <v>6.875</v>
      </c>
      <c r="AD336" s="7">
        <f t="shared" si="100"/>
        <v>768.15463231985416</v>
      </c>
      <c r="AE336" s="2">
        <f t="shared" si="101"/>
        <v>12.58536768014585</v>
      </c>
      <c r="AF336" s="10">
        <v>1</v>
      </c>
      <c r="AG336" s="3">
        <f t="shared" si="102"/>
        <v>1099.57</v>
      </c>
      <c r="AH336" s="7">
        <v>2175</v>
      </c>
      <c r="AI336">
        <f t="shared" si="103"/>
        <v>360</v>
      </c>
      <c r="AJ336" t="e">
        <f>VLOOKUP(A336,'Borrower Details'!$A$1:$H$1493,8,FALSE)</f>
        <v>#N/A</v>
      </c>
      <c r="AK336" s="4" t="e">
        <f t="shared" si="104"/>
        <v>#N/A</v>
      </c>
      <c r="AL336" s="10">
        <v>7.625</v>
      </c>
      <c r="AM336" s="3">
        <f t="shared" si="105"/>
        <v>109956.77699999999</v>
      </c>
      <c r="AN336">
        <v>7.625</v>
      </c>
      <c r="AO336" s="7">
        <f t="shared" si="106"/>
        <v>824.082515049113</v>
      </c>
      <c r="AP336" s="2">
        <f t="shared" si="107"/>
        <v>-43.34251504911299</v>
      </c>
    </row>
    <row r="337" spans="1:42" x14ac:dyDescent="0.15">
      <c r="A337" s="8">
        <v>1184000</v>
      </c>
      <c r="B337" t="s">
        <v>36</v>
      </c>
      <c r="C337" t="s">
        <v>19</v>
      </c>
      <c r="D337" s="1">
        <v>39181</v>
      </c>
      <c r="E337" s="2">
        <v>135000</v>
      </c>
      <c r="F337" s="2">
        <v>100000</v>
      </c>
      <c r="G337" t="s">
        <v>15</v>
      </c>
      <c r="H337" s="2">
        <v>699.22</v>
      </c>
      <c r="I337" s="2">
        <v>99078.1</v>
      </c>
      <c r="J337">
        <v>7.4999999999999997E-2</v>
      </c>
      <c r="K337">
        <v>12</v>
      </c>
      <c r="L337">
        <v>348</v>
      </c>
      <c r="M337" t="str">
        <f t="shared" si="93"/>
        <v>30 Year Fixed</v>
      </c>
      <c r="N337" s="2">
        <v>619.24</v>
      </c>
      <c r="O337" t="str">
        <f t="shared" si="90"/>
        <v>Cash Out</v>
      </c>
      <c r="P337" s="3">
        <f t="shared" si="94"/>
        <v>13976.087192118226</v>
      </c>
      <c r="Q337" s="4">
        <v>114750</v>
      </c>
      <c r="R337" s="4" t="s">
        <v>41</v>
      </c>
      <c r="S337" s="6">
        <v>597</v>
      </c>
      <c r="T337">
        <v>7.375</v>
      </c>
      <c r="U337" s="7">
        <f t="shared" si="91"/>
        <v>840.36223186794507</v>
      </c>
      <c r="V337" s="2">
        <f t="shared" si="95"/>
        <v>-141.14223186794504</v>
      </c>
      <c r="W337" s="9">
        <f t="shared" si="96"/>
        <v>1</v>
      </c>
      <c r="X337" s="3">
        <v>100564</v>
      </c>
      <c r="Y337" s="3">
        <f t="shared" si="97"/>
        <v>-0.26748768473044038</v>
      </c>
      <c r="Z337" s="7">
        <f t="shared" si="98"/>
        <v>736.47222209645338</v>
      </c>
      <c r="AA337" s="2">
        <f t="shared" si="92"/>
        <v>-37.252222096453352</v>
      </c>
      <c r="AB337" s="8">
        <f t="shared" si="99"/>
        <v>1</v>
      </c>
      <c r="AC337" s="10">
        <v>6.625</v>
      </c>
      <c r="AD337" s="7">
        <f t="shared" si="100"/>
        <v>685.82398156224804</v>
      </c>
      <c r="AE337" s="2">
        <f t="shared" si="101"/>
        <v>13.396018437751991</v>
      </c>
      <c r="AF337" s="10">
        <v>1.875</v>
      </c>
      <c r="AG337" s="3">
        <f t="shared" si="102"/>
        <v>1885.575</v>
      </c>
      <c r="AH337" s="7">
        <v>2000</v>
      </c>
      <c r="AI337">
        <f t="shared" si="103"/>
        <v>360</v>
      </c>
      <c r="AJ337" t="e">
        <f>VLOOKUP(A337,'Borrower Details'!$A$1:$H$1493,8,FALSE)</f>
        <v>#N/A</v>
      </c>
      <c r="AK337" s="4" t="e">
        <f t="shared" si="104"/>
        <v>#N/A</v>
      </c>
      <c r="AL337" s="10">
        <v>7.375</v>
      </c>
      <c r="AM337" s="3">
        <f t="shared" si="105"/>
        <v>100564.2715</v>
      </c>
      <c r="AN337">
        <v>7.375</v>
      </c>
      <c r="AO337" s="7">
        <f t="shared" si="106"/>
        <v>736.47421040447909</v>
      </c>
      <c r="AP337" s="2">
        <f t="shared" si="107"/>
        <v>-37.254210404479068</v>
      </c>
    </row>
    <row r="338" spans="1:42" x14ac:dyDescent="0.15">
      <c r="A338" s="8">
        <v>1179316</v>
      </c>
      <c r="B338" t="s">
        <v>36</v>
      </c>
      <c r="C338" t="s">
        <v>18</v>
      </c>
      <c r="D338" s="1">
        <v>39168</v>
      </c>
      <c r="E338" s="2">
        <v>195000</v>
      </c>
      <c r="F338" s="2">
        <v>165750</v>
      </c>
      <c r="G338" t="s">
        <v>17</v>
      </c>
      <c r="H338" s="2">
        <v>1091.6300000000001</v>
      </c>
      <c r="I338" s="2">
        <v>163784.67000000001</v>
      </c>
      <c r="J338">
        <v>6.9000000000000006E-2</v>
      </c>
      <c r="K338">
        <v>13</v>
      </c>
      <c r="L338">
        <v>347</v>
      </c>
      <c r="M338" t="str">
        <f t="shared" si="93"/>
        <v>30 Year Fixed</v>
      </c>
      <c r="N338" s="2">
        <v>941.76</v>
      </c>
      <c r="O338" t="str">
        <f t="shared" si="90"/>
        <v>Refi</v>
      </c>
      <c r="P338" s="3">
        <f t="shared" si="94"/>
        <v>0</v>
      </c>
      <c r="Q338" s="4">
        <v>166241</v>
      </c>
      <c r="R338" s="4" t="s">
        <v>41</v>
      </c>
      <c r="S338" s="6">
        <v>674</v>
      </c>
      <c r="T338">
        <v>6.75</v>
      </c>
      <c r="U338" s="7">
        <f t="shared" si="91"/>
        <v>1147.5030450492977</v>
      </c>
      <c r="V338" s="2">
        <f t="shared" si="95"/>
        <v>-55.873045049297616</v>
      </c>
      <c r="W338" s="9">
        <f t="shared" si="96"/>
        <v>0</v>
      </c>
      <c r="X338" s="3">
        <v>166242</v>
      </c>
      <c r="Y338" s="3">
        <f t="shared" si="97"/>
        <v>0.55167487685685046</v>
      </c>
      <c r="Z338" s="7">
        <f t="shared" si="98"/>
        <v>1147.5099476969299</v>
      </c>
      <c r="AA338" s="2">
        <f t="shared" si="92"/>
        <v>-55.879947696929776</v>
      </c>
      <c r="AB338" s="8">
        <f t="shared" si="99"/>
        <v>1</v>
      </c>
      <c r="AC338" s="10">
        <v>6.125</v>
      </c>
      <c r="AD338" s="7">
        <f t="shared" si="100"/>
        <v>1079.37141320973</v>
      </c>
      <c r="AE338" s="2">
        <f t="shared" si="101"/>
        <v>12.258586790270101</v>
      </c>
      <c r="AF338" s="10">
        <v>3</v>
      </c>
      <c r="AG338" s="3">
        <f t="shared" si="102"/>
        <v>4987.26</v>
      </c>
      <c r="AH338" s="7">
        <v>3315</v>
      </c>
      <c r="AI338">
        <f t="shared" si="103"/>
        <v>360</v>
      </c>
      <c r="AJ338" t="e">
        <f>VLOOKUP(A338,'Borrower Details'!$A$1:$H$1493,8,FALSE)</f>
        <v>#N/A</v>
      </c>
      <c r="AK338" s="4" t="e">
        <f t="shared" si="104"/>
        <v>#N/A</v>
      </c>
      <c r="AL338" s="10">
        <v>6.75</v>
      </c>
      <c r="AM338" s="3">
        <f t="shared" si="105"/>
        <v>166241.44005</v>
      </c>
      <c r="AN338">
        <v>6.75</v>
      </c>
      <c r="AO338" s="7">
        <f t="shared" si="106"/>
        <v>1147.5060825593885</v>
      </c>
      <c r="AP338" s="2">
        <f t="shared" si="107"/>
        <v>-55.876082559388351</v>
      </c>
    </row>
    <row r="339" spans="1:42" x14ac:dyDescent="0.15">
      <c r="A339" s="8">
        <v>1177188</v>
      </c>
      <c r="B339" t="s">
        <v>37</v>
      </c>
      <c r="C339" t="s">
        <v>19</v>
      </c>
      <c r="D339" s="1">
        <v>39190</v>
      </c>
      <c r="E339" s="2">
        <v>235000</v>
      </c>
      <c r="F339" s="2">
        <v>211500</v>
      </c>
      <c r="G339" t="s">
        <v>15</v>
      </c>
      <c r="H339" s="2">
        <v>1435.01</v>
      </c>
      <c r="I339" s="2">
        <v>211166.7</v>
      </c>
      <c r="J339">
        <v>7.9899999999999999E-2</v>
      </c>
      <c r="K339">
        <v>12</v>
      </c>
      <c r="L339">
        <v>348</v>
      </c>
      <c r="M339" t="str">
        <f t="shared" si="93"/>
        <v>30 Year Fixed</v>
      </c>
      <c r="N339" s="2">
        <v>1406.02</v>
      </c>
      <c r="O339" t="str">
        <f t="shared" si="90"/>
        <v>Refi</v>
      </c>
      <c r="P339" s="3">
        <f t="shared" si="94"/>
        <v>0</v>
      </c>
      <c r="Q339" s="4">
        <v>214334</v>
      </c>
      <c r="R339" s="4" t="s">
        <v>41</v>
      </c>
      <c r="S339" s="6">
        <v>601</v>
      </c>
      <c r="T339">
        <v>6.875</v>
      </c>
      <c r="U339" s="7">
        <f t="shared" si="91"/>
        <v>1497.3276368366144</v>
      </c>
      <c r="V339" s="2">
        <f t="shared" si="95"/>
        <v>-62.317636836614383</v>
      </c>
      <c r="W339" s="9">
        <f t="shared" si="96"/>
        <v>0</v>
      </c>
      <c r="X339" s="3">
        <v>214335</v>
      </c>
      <c r="Y339" s="3">
        <f t="shared" si="97"/>
        <v>0.78768472906085663</v>
      </c>
      <c r="Z339" s="7">
        <f t="shared" si="98"/>
        <v>1497.334622791418</v>
      </c>
      <c r="AA339" s="2">
        <f t="shared" si="92"/>
        <v>-62.324622791418051</v>
      </c>
      <c r="AB339" s="8">
        <f t="shared" si="99"/>
        <v>1</v>
      </c>
      <c r="AC339" s="10">
        <v>6.25</v>
      </c>
      <c r="AD339" s="7">
        <f t="shared" si="100"/>
        <v>1409.0037115339107</v>
      </c>
      <c r="AE339" s="2">
        <f t="shared" si="101"/>
        <v>26.006288466089245</v>
      </c>
      <c r="AF339" s="10">
        <v>2.5</v>
      </c>
      <c r="AG339" s="3">
        <f t="shared" si="102"/>
        <v>5358.375</v>
      </c>
      <c r="AH339" s="7">
        <v>2115</v>
      </c>
      <c r="AI339">
        <f t="shared" si="103"/>
        <v>360</v>
      </c>
      <c r="AJ339" t="e">
        <f>VLOOKUP(A339,'Borrower Details'!$A$1:$H$1493,8,FALSE)</f>
        <v>#N/A</v>
      </c>
      <c r="AK339" s="4" t="e">
        <f t="shared" si="104"/>
        <v>#N/A</v>
      </c>
      <c r="AL339" s="10">
        <v>6.875</v>
      </c>
      <c r="AM339" s="3">
        <f t="shared" si="105"/>
        <v>214334.20049999998</v>
      </c>
      <c r="AN339">
        <v>6.875</v>
      </c>
      <c r="AO339" s="7">
        <f t="shared" si="106"/>
        <v>1497.3290375205524</v>
      </c>
      <c r="AP339" s="2">
        <f t="shared" si="107"/>
        <v>-62.319037520552456</v>
      </c>
    </row>
    <row r="340" spans="1:42" x14ac:dyDescent="0.15">
      <c r="A340" s="8">
        <v>411277460</v>
      </c>
      <c r="B340" t="s">
        <v>36</v>
      </c>
      <c r="C340" t="s">
        <v>18</v>
      </c>
      <c r="D340" s="1">
        <v>39499</v>
      </c>
      <c r="E340" s="2">
        <v>300000</v>
      </c>
      <c r="F340" s="2">
        <v>135000</v>
      </c>
      <c r="G340" t="s">
        <v>17</v>
      </c>
      <c r="H340" s="2">
        <v>1014.21</v>
      </c>
      <c r="I340" s="2">
        <v>134739.97</v>
      </c>
      <c r="J340">
        <v>8.2500000000000004E-2</v>
      </c>
      <c r="K340">
        <v>2</v>
      </c>
      <c r="L340">
        <v>357</v>
      </c>
      <c r="M340" t="str">
        <f t="shared" si="93"/>
        <v>30 Year Fixed</v>
      </c>
      <c r="N340" s="2">
        <v>926.94</v>
      </c>
      <c r="O340" t="str">
        <f t="shared" si="90"/>
        <v>Cash Out</v>
      </c>
      <c r="P340" s="3">
        <f t="shared" si="94"/>
        <v>116491.55709359609</v>
      </c>
      <c r="Q340" s="4">
        <v>255000</v>
      </c>
      <c r="R340" s="4" t="s">
        <v>41</v>
      </c>
      <c r="S340" s="6">
        <v>643</v>
      </c>
      <c r="T340">
        <v>6.75</v>
      </c>
      <c r="U340" s="7">
        <f t="shared" si="91"/>
        <v>1760.1751462489451</v>
      </c>
      <c r="V340" s="2">
        <f t="shared" si="95"/>
        <v>-745.96514624894508</v>
      </c>
      <c r="W340" s="9">
        <f t="shared" si="96"/>
        <v>1</v>
      </c>
      <c r="X340" s="3">
        <v>146850</v>
      </c>
      <c r="Y340" s="3">
        <f t="shared" si="97"/>
        <v>9939.8329556650424</v>
      </c>
      <c r="Z340" s="7">
        <f t="shared" si="98"/>
        <v>1013.653804810422</v>
      </c>
      <c r="AA340" s="2">
        <f t="shared" si="92"/>
        <v>0.55619518957803393</v>
      </c>
      <c r="AB340" s="8">
        <f t="shared" si="99"/>
        <v>0</v>
      </c>
      <c r="AC340" s="10">
        <v>6.75</v>
      </c>
      <c r="AD340" s="7">
        <f t="shared" si="100"/>
        <v>1013.653804810422</v>
      </c>
      <c r="AE340" s="2">
        <f t="shared" si="101"/>
        <v>0.55619518957803393</v>
      </c>
      <c r="AF340" s="10">
        <v>0</v>
      </c>
      <c r="AG340" s="3">
        <f t="shared" si="102"/>
        <v>0</v>
      </c>
      <c r="AH340" s="7">
        <v>2700</v>
      </c>
      <c r="AI340">
        <f t="shared" si="103"/>
        <v>360</v>
      </c>
      <c r="AJ340" t="e">
        <f>VLOOKUP(A340,'Borrower Details'!$A$1:$H$1493,8,FALSE)</f>
        <v>#N/A</v>
      </c>
      <c r="AK340" s="4" t="e">
        <f t="shared" si="104"/>
        <v>#N/A</v>
      </c>
      <c r="AL340" s="10">
        <v>6.75</v>
      </c>
      <c r="AM340" s="3">
        <f t="shared" si="105"/>
        <v>136761.06954999999</v>
      </c>
      <c r="AN340">
        <v>6.75</v>
      </c>
      <c r="AO340" s="7">
        <f t="shared" si="106"/>
        <v>944.0134729267977</v>
      </c>
      <c r="AP340" s="2">
        <f t="shared" si="107"/>
        <v>70.196527073202333</v>
      </c>
    </row>
    <row r="341" spans="1:42" x14ac:dyDescent="0.15">
      <c r="A341" s="8">
        <v>411210644</v>
      </c>
      <c r="B341" t="s">
        <v>36</v>
      </c>
      <c r="C341" t="s">
        <v>18</v>
      </c>
      <c r="D341" s="1">
        <v>39443</v>
      </c>
      <c r="E341" s="2">
        <v>150000</v>
      </c>
      <c r="F341" s="2">
        <v>65000</v>
      </c>
      <c r="G341" t="s">
        <v>20</v>
      </c>
      <c r="H341" s="2">
        <v>582.47</v>
      </c>
      <c r="I341" s="2">
        <v>64861.34</v>
      </c>
      <c r="J341">
        <v>0.10249999999999999</v>
      </c>
      <c r="K341">
        <v>4</v>
      </c>
      <c r="L341">
        <v>355</v>
      </c>
      <c r="M341" t="str">
        <f t="shared" si="93"/>
        <v>30 Year Fixed</v>
      </c>
      <c r="N341" s="2">
        <v>554.26</v>
      </c>
      <c r="O341" t="str">
        <f t="shared" si="90"/>
        <v>Cash Out</v>
      </c>
      <c r="P341" s="3">
        <f t="shared" si="94"/>
        <v>60754.423546798047</v>
      </c>
      <c r="Q341" s="4">
        <v>127500</v>
      </c>
      <c r="R341" s="4" t="s">
        <v>41</v>
      </c>
      <c r="S341" s="6">
        <v>552</v>
      </c>
      <c r="T341">
        <v>7.625</v>
      </c>
      <c r="U341" s="7">
        <f t="shared" si="91"/>
        <v>955.56202660216138</v>
      </c>
      <c r="V341" s="2">
        <f t="shared" si="95"/>
        <v>-373.09202660216135</v>
      </c>
      <c r="W341" s="9">
        <f t="shared" si="96"/>
        <v>1</v>
      </c>
      <c r="X341" s="3">
        <v>77650</v>
      </c>
      <c r="Y341" s="3">
        <f t="shared" si="97"/>
        <v>11641.123054187206</v>
      </c>
      <c r="Z341" s="7">
        <f t="shared" si="98"/>
        <v>581.95601071104181</v>
      </c>
      <c r="AA341" s="2">
        <f t="shared" si="92"/>
        <v>0.51398928895821427</v>
      </c>
      <c r="AB341" s="8">
        <f t="shared" si="99"/>
        <v>0</v>
      </c>
      <c r="AC341" s="10">
        <v>7.625</v>
      </c>
      <c r="AD341" s="7">
        <f t="shared" si="100"/>
        <v>581.95601071104181</v>
      </c>
      <c r="AE341" s="2">
        <f t="shared" si="101"/>
        <v>0.51398928895821427</v>
      </c>
      <c r="AF341" s="10">
        <v>0</v>
      </c>
      <c r="AG341" s="3">
        <f t="shared" si="102"/>
        <v>0</v>
      </c>
      <c r="AH341" s="7">
        <v>1300</v>
      </c>
      <c r="AI341">
        <f t="shared" si="103"/>
        <v>360</v>
      </c>
      <c r="AJ341" t="e">
        <f>VLOOKUP(A341,'Borrower Details'!$A$1:$H$1493,8,FALSE)</f>
        <v>#N/A</v>
      </c>
      <c r="AK341" s="4" t="e">
        <f t="shared" si="104"/>
        <v>#N/A</v>
      </c>
      <c r="AL341" s="10">
        <v>7.625</v>
      </c>
      <c r="AM341" s="3">
        <f t="shared" si="105"/>
        <v>65834.260099999985</v>
      </c>
      <c r="AN341">
        <v>7.625</v>
      </c>
      <c r="AO341" s="7">
        <f t="shared" si="106"/>
        <v>493.40171765497877</v>
      </c>
      <c r="AP341" s="2">
        <f t="shared" si="107"/>
        <v>89.06828234502126</v>
      </c>
    </row>
    <row r="342" spans="1:42" x14ac:dyDescent="0.15">
      <c r="A342" s="8">
        <v>411088826</v>
      </c>
      <c r="B342" t="s">
        <v>38</v>
      </c>
      <c r="C342" t="s">
        <v>16</v>
      </c>
      <c r="D342" s="1">
        <v>39405</v>
      </c>
      <c r="E342" s="2">
        <v>137000</v>
      </c>
      <c r="F342" s="2">
        <v>123300</v>
      </c>
      <c r="G342" t="s">
        <v>17</v>
      </c>
      <c r="H342" s="2">
        <v>1082.05</v>
      </c>
      <c r="I342" s="2">
        <v>123022.67</v>
      </c>
      <c r="J342">
        <v>0.1</v>
      </c>
      <c r="K342">
        <v>5</v>
      </c>
      <c r="L342">
        <v>355</v>
      </c>
      <c r="M342" t="str">
        <f t="shared" si="93"/>
        <v>30 Year Fixed</v>
      </c>
      <c r="N342" s="2">
        <v>1025.19</v>
      </c>
      <c r="O342" t="str">
        <f t="shared" si="90"/>
        <v>Refi</v>
      </c>
      <c r="P342" s="3">
        <f t="shared" si="94"/>
        <v>0</v>
      </c>
      <c r="Q342" s="4">
        <v>124868</v>
      </c>
      <c r="R342" s="4" t="s">
        <v>41</v>
      </c>
      <c r="S342" s="6">
        <v>617</v>
      </c>
      <c r="T342">
        <v>6.875</v>
      </c>
      <c r="U342" s="7">
        <f t="shared" si="91"/>
        <v>872.322204393677</v>
      </c>
      <c r="V342" s="2">
        <f t="shared" si="95"/>
        <v>209.72779560632296</v>
      </c>
      <c r="W342" s="9">
        <f t="shared" si="96"/>
        <v>0</v>
      </c>
      <c r="X342" s="3">
        <v>124868</v>
      </c>
      <c r="Y342" s="3">
        <f t="shared" si="97"/>
        <v>-9.9014778243144974E-3</v>
      </c>
      <c r="Z342" s="7">
        <f t="shared" si="98"/>
        <v>872.322204393677</v>
      </c>
      <c r="AA342" s="2">
        <f t="shared" si="92"/>
        <v>209.72779560632296</v>
      </c>
      <c r="AB342" s="8">
        <f t="shared" si="99"/>
        <v>0</v>
      </c>
      <c r="AC342" s="10">
        <v>6.875</v>
      </c>
      <c r="AD342" s="7">
        <f t="shared" si="100"/>
        <v>872.322204393677</v>
      </c>
      <c r="AE342" s="2">
        <f t="shared" si="101"/>
        <v>209.72779560632296</v>
      </c>
      <c r="AF342" s="10">
        <v>0</v>
      </c>
      <c r="AG342" s="3">
        <f t="shared" si="102"/>
        <v>0</v>
      </c>
      <c r="AH342" s="7">
        <v>0</v>
      </c>
      <c r="AI342">
        <f t="shared" si="103"/>
        <v>360</v>
      </c>
      <c r="AJ342" t="e">
        <f>VLOOKUP(A342,'Borrower Details'!$A$1:$H$1493,8,FALSE)</f>
        <v>#N/A</v>
      </c>
      <c r="AK342" s="4" t="e">
        <f t="shared" si="104"/>
        <v>#N/A</v>
      </c>
      <c r="AL342" s="10">
        <v>6.875</v>
      </c>
      <c r="AM342" s="3">
        <f t="shared" si="105"/>
        <v>124868.01004999998</v>
      </c>
      <c r="AN342">
        <v>6.875</v>
      </c>
      <c r="AO342" s="7">
        <f t="shared" si="106"/>
        <v>872.32227460252273</v>
      </c>
      <c r="AP342" s="2">
        <f t="shared" si="107"/>
        <v>209.72772539747723</v>
      </c>
    </row>
    <row r="343" spans="1:42" x14ac:dyDescent="0.15">
      <c r="A343" s="8">
        <v>411226756</v>
      </c>
      <c r="B343" t="s">
        <v>35</v>
      </c>
      <c r="C343" t="s">
        <v>16</v>
      </c>
      <c r="D343" s="1">
        <v>39476</v>
      </c>
      <c r="E343" s="2">
        <v>172000</v>
      </c>
      <c r="F343" s="2">
        <v>129000</v>
      </c>
      <c r="G343" t="s">
        <v>17</v>
      </c>
      <c r="H343" s="2">
        <v>1033.33</v>
      </c>
      <c r="I343" s="2">
        <v>128696.82</v>
      </c>
      <c r="J343">
        <v>8.9499999999999996E-2</v>
      </c>
      <c r="K343">
        <v>3</v>
      </c>
      <c r="L343">
        <v>357</v>
      </c>
      <c r="M343" t="str">
        <f t="shared" si="93"/>
        <v>30 Year Fixed</v>
      </c>
      <c r="N343" s="2">
        <v>960.41</v>
      </c>
      <c r="O343" t="str">
        <f t="shared" si="90"/>
        <v>Cash Out</v>
      </c>
      <c r="P343" s="3">
        <f t="shared" si="94"/>
        <v>15342.588866995095</v>
      </c>
      <c r="Q343" s="4">
        <v>146200</v>
      </c>
      <c r="R343" s="4" t="s">
        <v>41</v>
      </c>
      <c r="S343" s="6">
        <v>584</v>
      </c>
      <c r="T343">
        <v>7.375</v>
      </c>
      <c r="U343" s="7">
        <f t="shared" si="91"/>
        <v>1070.6837324539745</v>
      </c>
      <c r="V343" s="2">
        <f t="shared" si="95"/>
        <v>-37.353732453974544</v>
      </c>
      <c r="W343" s="9">
        <f t="shared" si="96"/>
        <v>1</v>
      </c>
      <c r="X343" s="3">
        <v>141030</v>
      </c>
      <c r="Y343" s="3">
        <f t="shared" si="97"/>
        <v>10248.99280788179</v>
      </c>
      <c r="Z343" s="7">
        <f t="shared" si="98"/>
        <v>1032.8216606565254</v>
      </c>
      <c r="AA343" s="2">
        <f t="shared" si="92"/>
        <v>0.50833934347451759</v>
      </c>
      <c r="AB343" s="8">
        <f t="shared" si="99"/>
        <v>0</v>
      </c>
      <c r="AC343" s="10">
        <v>7.375</v>
      </c>
      <c r="AD343" s="7">
        <f t="shared" si="100"/>
        <v>1032.8216606565254</v>
      </c>
      <c r="AE343" s="2">
        <f t="shared" si="101"/>
        <v>0.50833934347451759</v>
      </c>
      <c r="AF343" s="10">
        <v>0</v>
      </c>
      <c r="AG343" s="3">
        <f t="shared" si="102"/>
        <v>0</v>
      </c>
      <c r="AH343" s="7">
        <v>5772.75</v>
      </c>
      <c r="AI343">
        <f t="shared" si="103"/>
        <v>360</v>
      </c>
      <c r="AJ343" t="e">
        <f>VLOOKUP(A343,'Borrower Details'!$A$1:$H$1493,8,FALSE)</f>
        <v>#N/A</v>
      </c>
      <c r="AK343" s="4" t="e">
        <f t="shared" si="104"/>
        <v>#N/A</v>
      </c>
      <c r="AL343" s="10">
        <v>7.375</v>
      </c>
      <c r="AM343" s="3">
        <f t="shared" si="105"/>
        <v>130627.2723</v>
      </c>
      <c r="AN343">
        <v>7.375</v>
      </c>
      <c r="AO343" s="7">
        <f t="shared" si="106"/>
        <v>956.63813588540131</v>
      </c>
      <c r="AP343" s="2">
        <f t="shared" si="107"/>
        <v>76.691864114598616</v>
      </c>
    </row>
    <row r="344" spans="1:42" x14ac:dyDescent="0.15">
      <c r="A344" s="8">
        <v>410807184</v>
      </c>
      <c r="B344" t="s">
        <v>38</v>
      </c>
      <c r="C344" t="s">
        <v>18</v>
      </c>
      <c r="D344" s="1">
        <v>39331</v>
      </c>
      <c r="E344" s="2">
        <v>180000</v>
      </c>
      <c r="F344" s="2">
        <v>130000</v>
      </c>
      <c r="G344" t="s">
        <v>17</v>
      </c>
      <c r="H344" s="2">
        <v>1155.28</v>
      </c>
      <c r="I344" s="2">
        <v>129600.09</v>
      </c>
      <c r="J344">
        <v>0.10150000000000001</v>
      </c>
      <c r="K344">
        <v>7</v>
      </c>
      <c r="L344">
        <v>353</v>
      </c>
      <c r="M344" t="str">
        <f t="shared" si="93"/>
        <v>30 Year Fixed</v>
      </c>
      <c r="N344" s="2">
        <v>1096.2</v>
      </c>
      <c r="O344" t="str">
        <f t="shared" si="90"/>
        <v>Cash Out</v>
      </c>
      <c r="P344" s="3">
        <f t="shared" si="94"/>
        <v>21138.826256157656</v>
      </c>
      <c r="Q344" s="4">
        <v>153000</v>
      </c>
      <c r="R344" s="4" t="s">
        <v>41</v>
      </c>
      <c r="S344" s="6">
        <v>531</v>
      </c>
      <c r="T344">
        <v>7.625</v>
      </c>
      <c r="U344" s="7">
        <f t="shared" si="91"/>
        <v>1146.6744319225936</v>
      </c>
      <c r="V344" s="2">
        <f t="shared" si="95"/>
        <v>8.6055680774063603</v>
      </c>
      <c r="W344" s="9">
        <f t="shared" si="96"/>
        <v>0</v>
      </c>
      <c r="X344" s="3">
        <v>153000</v>
      </c>
      <c r="Y344" s="3">
        <f t="shared" si="97"/>
        <v>21138.826256157656</v>
      </c>
      <c r="Z344" s="7">
        <f t="shared" si="98"/>
        <v>1146.6744319225936</v>
      </c>
      <c r="AA344" s="2">
        <f t="shared" si="92"/>
        <v>8.6055680774063603</v>
      </c>
      <c r="AB344" s="8">
        <f t="shared" si="99"/>
        <v>0</v>
      </c>
      <c r="AC344" s="10">
        <v>7.625</v>
      </c>
      <c r="AD344" s="7">
        <f t="shared" si="100"/>
        <v>1146.6744319225936</v>
      </c>
      <c r="AE344" s="2">
        <f t="shared" si="101"/>
        <v>8.6055680774063603</v>
      </c>
      <c r="AF344" s="10">
        <v>0</v>
      </c>
      <c r="AG344" s="3">
        <f t="shared" si="102"/>
        <v>0</v>
      </c>
      <c r="AH344" s="7">
        <v>0</v>
      </c>
      <c r="AI344">
        <f t="shared" si="103"/>
        <v>360</v>
      </c>
      <c r="AJ344" t="e">
        <f>VLOOKUP(A344,'Borrower Details'!$A$1:$H$1493,8,FALSE)</f>
        <v>#N/A</v>
      </c>
      <c r="AK344" s="4" t="e">
        <f t="shared" si="104"/>
        <v>#N/A</v>
      </c>
      <c r="AL344" s="10">
        <v>7.625</v>
      </c>
      <c r="AM344" s="3">
        <f t="shared" si="105"/>
        <v>131544.09134999997</v>
      </c>
      <c r="AN344">
        <v>7.625</v>
      </c>
      <c r="AO344" s="7">
        <f t="shared" si="106"/>
        <v>985.87089033683003</v>
      </c>
      <c r="AP344" s="2">
        <f t="shared" si="107"/>
        <v>169.40910966316994</v>
      </c>
    </row>
    <row r="345" spans="1:42" x14ac:dyDescent="0.15">
      <c r="A345" s="8">
        <v>411146822</v>
      </c>
      <c r="B345" t="s">
        <v>36</v>
      </c>
      <c r="C345" t="s">
        <v>16</v>
      </c>
      <c r="D345" s="1">
        <v>39419</v>
      </c>
      <c r="E345" s="2">
        <v>282000</v>
      </c>
      <c r="F345" s="2">
        <v>211000</v>
      </c>
      <c r="G345" t="s">
        <v>17</v>
      </c>
      <c r="H345" s="2">
        <v>1600.04</v>
      </c>
      <c r="I345" s="2">
        <v>210331.61</v>
      </c>
      <c r="J345">
        <v>8.3500000000000005E-2</v>
      </c>
      <c r="K345">
        <v>5</v>
      </c>
      <c r="L345">
        <v>355</v>
      </c>
      <c r="M345" t="str">
        <f t="shared" si="93"/>
        <v>30 Year Fixed</v>
      </c>
      <c r="N345" s="2">
        <v>1463.56</v>
      </c>
      <c r="O345" t="str">
        <f t="shared" si="90"/>
        <v>Cash Out</v>
      </c>
      <c r="P345" s="3">
        <f t="shared" si="94"/>
        <v>25826.025467980333</v>
      </c>
      <c r="Q345" s="4">
        <v>239700</v>
      </c>
      <c r="R345" s="4" t="s">
        <v>41</v>
      </c>
      <c r="S345" s="6">
        <v>633</v>
      </c>
      <c r="T345">
        <v>6.75</v>
      </c>
      <c r="U345" s="7">
        <f t="shared" si="91"/>
        <v>1654.5646374740086</v>
      </c>
      <c r="V345" s="2">
        <f t="shared" si="95"/>
        <v>-54.524637474008614</v>
      </c>
      <c r="W345" s="9">
        <f t="shared" si="96"/>
        <v>1</v>
      </c>
      <c r="X345" s="3">
        <v>231720</v>
      </c>
      <c r="Y345" s="3">
        <f t="shared" si="97"/>
        <v>17963.956502463087</v>
      </c>
      <c r="Z345" s="7">
        <f t="shared" si="98"/>
        <v>1599.4815093678651</v>
      </c>
      <c r="AA345" s="2">
        <f t="shared" si="92"/>
        <v>0.55849063213486261</v>
      </c>
      <c r="AB345" s="8">
        <f t="shared" si="99"/>
        <v>0</v>
      </c>
      <c r="AC345" s="10">
        <v>6.75</v>
      </c>
      <c r="AD345" s="7">
        <f t="shared" si="100"/>
        <v>1599.4815093678651</v>
      </c>
      <c r="AE345" s="2">
        <f t="shared" si="101"/>
        <v>0.55849063213486261</v>
      </c>
      <c r="AF345" s="10">
        <v>0</v>
      </c>
      <c r="AG345" s="3">
        <f t="shared" si="102"/>
        <v>0</v>
      </c>
      <c r="AH345" s="7">
        <v>4220</v>
      </c>
      <c r="AI345">
        <f t="shared" si="103"/>
        <v>360</v>
      </c>
      <c r="AJ345" t="e">
        <f>VLOOKUP(A345,'Borrower Details'!$A$1:$H$1493,8,FALSE)</f>
        <v>#N/A</v>
      </c>
      <c r="AK345" s="4" t="e">
        <f t="shared" si="104"/>
        <v>#N/A</v>
      </c>
      <c r="AL345" s="10">
        <v>6.75</v>
      </c>
      <c r="AM345" s="3">
        <f t="shared" si="105"/>
        <v>213486.58414999995</v>
      </c>
      <c r="AN345">
        <v>6.75</v>
      </c>
      <c r="AO345" s="7">
        <f t="shared" si="106"/>
        <v>1473.622664621231</v>
      </c>
      <c r="AP345" s="2">
        <f t="shared" si="107"/>
        <v>126.41733537876894</v>
      </c>
    </row>
    <row r="346" spans="1:42" x14ac:dyDescent="0.15">
      <c r="A346" s="8">
        <v>410688360</v>
      </c>
      <c r="B346" t="s">
        <v>35</v>
      </c>
      <c r="C346" t="s">
        <v>16</v>
      </c>
      <c r="D346" s="1">
        <v>39308</v>
      </c>
      <c r="E346" s="2">
        <v>165000</v>
      </c>
      <c r="F346" s="2">
        <v>150100</v>
      </c>
      <c r="G346" t="s">
        <v>17</v>
      </c>
      <c r="H346" s="2">
        <v>1453.4</v>
      </c>
      <c r="I346" s="2">
        <v>149877.22</v>
      </c>
      <c r="J346">
        <v>0.115</v>
      </c>
      <c r="K346">
        <v>8</v>
      </c>
      <c r="L346">
        <v>352</v>
      </c>
      <c r="M346" t="str">
        <f t="shared" si="93"/>
        <v>30 Year Fixed</v>
      </c>
      <c r="N346" s="2">
        <v>1436.32</v>
      </c>
      <c r="O346" t="str">
        <f t="shared" si="90"/>
        <v>Refi</v>
      </c>
      <c r="P346" s="3">
        <f t="shared" si="94"/>
        <v>0</v>
      </c>
      <c r="Q346" s="4">
        <v>152125</v>
      </c>
      <c r="R346" s="4" t="s">
        <v>41</v>
      </c>
      <c r="S346" s="6">
        <v>605</v>
      </c>
      <c r="T346">
        <v>6.875</v>
      </c>
      <c r="U346" s="7">
        <f t="shared" si="91"/>
        <v>1062.738374470546</v>
      </c>
      <c r="V346" s="2">
        <f t="shared" si="95"/>
        <v>390.66162552945411</v>
      </c>
      <c r="W346" s="9">
        <f t="shared" si="96"/>
        <v>0</v>
      </c>
      <c r="X346" s="3">
        <v>152125</v>
      </c>
      <c r="Y346" s="3">
        <f t="shared" si="97"/>
        <v>-0.37270935959531926</v>
      </c>
      <c r="Z346" s="7">
        <f t="shared" si="98"/>
        <v>1062.738374470546</v>
      </c>
      <c r="AA346" s="2">
        <f t="shared" si="92"/>
        <v>390.66162552945411</v>
      </c>
      <c r="AB346" s="8">
        <f t="shared" si="99"/>
        <v>0</v>
      </c>
      <c r="AC346" s="10">
        <v>6.875</v>
      </c>
      <c r="AD346" s="7">
        <f t="shared" si="100"/>
        <v>1062.738374470546</v>
      </c>
      <c r="AE346" s="2">
        <f t="shared" si="101"/>
        <v>390.66162552945411</v>
      </c>
      <c r="AF346" s="10">
        <v>0</v>
      </c>
      <c r="AG346" s="3">
        <f t="shared" si="102"/>
        <v>0</v>
      </c>
      <c r="AH346" s="7">
        <v>8630.75</v>
      </c>
      <c r="AI346">
        <f t="shared" si="103"/>
        <v>360</v>
      </c>
      <c r="AJ346" t="e">
        <f>VLOOKUP(A346,'Borrower Details'!$A$1:$H$1493,8,FALSE)</f>
        <v>#N/A</v>
      </c>
      <c r="AK346" s="4" t="e">
        <f t="shared" si="104"/>
        <v>#N/A</v>
      </c>
      <c r="AL346" s="10">
        <v>6.875</v>
      </c>
      <c r="AM346" s="3">
        <f t="shared" si="105"/>
        <v>152125.37829999998</v>
      </c>
      <c r="AN346">
        <v>6.875</v>
      </c>
      <c r="AO346" s="7">
        <f t="shared" si="106"/>
        <v>1062.7410172572479</v>
      </c>
      <c r="AP346" s="2">
        <f t="shared" si="107"/>
        <v>390.65898274275219</v>
      </c>
    </row>
    <row r="347" spans="1:42" x14ac:dyDescent="0.15">
      <c r="A347" s="8">
        <v>410696918</v>
      </c>
      <c r="B347" t="s">
        <v>38</v>
      </c>
      <c r="C347" t="s">
        <v>18</v>
      </c>
      <c r="D347" s="1">
        <v>39321</v>
      </c>
      <c r="E347" s="2">
        <v>118900</v>
      </c>
      <c r="F347" s="2">
        <v>105250</v>
      </c>
      <c r="G347" t="s">
        <v>17</v>
      </c>
      <c r="H347" s="2">
        <v>1102.92</v>
      </c>
      <c r="I347" s="2">
        <v>105013.75999999999</v>
      </c>
      <c r="J347">
        <v>0.1225</v>
      </c>
      <c r="K347">
        <v>8</v>
      </c>
      <c r="L347">
        <v>352</v>
      </c>
      <c r="M347" t="str">
        <f t="shared" si="93"/>
        <v>30 Year Fixed</v>
      </c>
      <c r="N347" s="2">
        <v>1072.02</v>
      </c>
      <c r="O347" t="str">
        <f t="shared" si="90"/>
        <v>Refi</v>
      </c>
      <c r="P347" s="3">
        <f t="shared" si="94"/>
        <v>0</v>
      </c>
      <c r="Q347" s="4">
        <v>106589</v>
      </c>
      <c r="R347" s="4" t="s">
        <v>41</v>
      </c>
      <c r="S347" s="6">
        <v>566</v>
      </c>
      <c r="T347">
        <v>7.625</v>
      </c>
      <c r="U347" s="7">
        <f t="shared" si="91"/>
        <v>798.84235963527681</v>
      </c>
      <c r="V347" s="2">
        <f t="shared" si="95"/>
        <v>304.07764036472327</v>
      </c>
      <c r="W347" s="9">
        <f t="shared" si="96"/>
        <v>0</v>
      </c>
      <c r="X347" s="3">
        <v>106589</v>
      </c>
      <c r="Y347" s="3">
        <f t="shared" si="97"/>
        <v>3.3103448295150883E-2</v>
      </c>
      <c r="Z347" s="7">
        <f t="shared" si="98"/>
        <v>798.84235963527681</v>
      </c>
      <c r="AA347" s="2">
        <f t="shared" si="92"/>
        <v>304.07764036472327</v>
      </c>
      <c r="AB347" s="8">
        <f t="shared" si="99"/>
        <v>0</v>
      </c>
      <c r="AC347" s="10">
        <v>7.625</v>
      </c>
      <c r="AD347" s="7">
        <f t="shared" si="100"/>
        <v>798.84235963527681</v>
      </c>
      <c r="AE347" s="2">
        <f t="shared" si="101"/>
        <v>304.07764036472327</v>
      </c>
      <c r="AF347" s="10">
        <v>0</v>
      </c>
      <c r="AG347" s="3">
        <f t="shared" si="102"/>
        <v>0</v>
      </c>
      <c r="AH347" s="7">
        <v>0</v>
      </c>
      <c r="AI347">
        <f t="shared" si="103"/>
        <v>360</v>
      </c>
      <c r="AJ347" t="e">
        <f>VLOOKUP(A347,'Borrower Details'!$A$1:$H$1493,8,FALSE)</f>
        <v>#N/A</v>
      </c>
      <c r="AK347" s="4" t="e">
        <f t="shared" si="104"/>
        <v>#N/A</v>
      </c>
      <c r="AL347" s="10">
        <v>7.625</v>
      </c>
      <c r="AM347" s="3">
        <f t="shared" si="105"/>
        <v>106588.96639999999</v>
      </c>
      <c r="AN347">
        <v>7.625</v>
      </c>
      <c r="AO347" s="7">
        <f t="shared" si="106"/>
        <v>798.84210781657782</v>
      </c>
      <c r="AP347" s="2">
        <f t="shared" si="107"/>
        <v>304.07789218342225</v>
      </c>
    </row>
    <row r="348" spans="1:42" x14ac:dyDescent="0.15">
      <c r="A348" s="8">
        <v>410604318</v>
      </c>
      <c r="B348" t="s">
        <v>36</v>
      </c>
      <c r="C348" t="s">
        <v>19</v>
      </c>
      <c r="D348" s="1">
        <v>39281</v>
      </c>
      <c r="E348" s="2">
        <v>147000</v>
      </c>
      <c r="F348" s="2">
        <v>139650</v>
      </c>
      <c r="G348" t="s">
        <v>15</v>
      </c>
      <c r="H348" s="2">
        <v>1081.72</v>
      </c>
      <c r="I348" s="2">
        <v>139547.26</v>
      </c>
      <c r="J348">
        <v>9.1999999999999998E-2</v>
      </c>
      <c r="K348">
        <v>9</v>
      </c>
      <c r="L348">
        <v>351</v>
      </c>
      <c r="M348" t="str">
        <f t="shared" si="93"/>
        <v>30 Year Fixed</v>
      </c>
      <c r="N348" s="2">
        <v>1069.8599999999999</v>
      </c>
      <c r="O348" t="str">
        <f t="shared" si="90"/>
        <v>Refi</v>
      </c>
      <c r="P348" s="3">
        <f t="shared" si="94"/>
        <v>0</v>
      </c>
      <c r="Q348" s="4">
        <v>141640</v>
      </c>
      <c r="R348" s="4" t="s">
        <v>41</v>
      </c>
      <c r="S348" s="6">
        <v>627</v>
      </c>
      <c r="T348">
        <v>6.75</v>
      </c>
      <c r="U348" s="7">
        <f t="shared" si="91"/>
        <v>977.69101064588472</v>
      </c>
      <c r="V348" s="2">
        <f t="shared" si="95"/>
        <v>104.02898935411531</v>
      </c>
      <c r="W348" s="9">
        <f t="shared" si="96"/>
        <v>0</v>
      </c>
      <c r="X348" s="3">
        <v>141640</v>
      </c>
      <c r="Y348" s="3">
        <f t="shared" si="97"/>
        <v>-0.46197044334257953</v>
      </c>
      <c r="Z348" s="7">
        <f t="shared" si="98"/>
        <v>977.69101064588472</v>
      </c>
      <c r="AA348" s="2">
        <f t="shared" si="92"/>
        <v>104.02898935411531</v>
      </c>
      <c r="AB348" s="8">
        <f t="shared" si="99"/>
        <v>0</v>
      </c>
      <c r="AC348" s="10">
        <v>6.75</v>
      </c>
      <c r="AD348" s="7">
        <f t="shared" si="100"/>
        <v>977.69101064588472</v>
      </c>
      <c r="AE348" s="2">
        <f t="shared" si="101"/>
        <v>104.02898935411531</v>
      </c>
      <c r="AF348" s="10">
        <v>0</v>
      </c>
      <c r="AG348" s="3">
        <f t="shared" si="102"/>
        <v>0</v>
      </c>
      <c r="AH348" s="7">
        <v>2793</v>
      </c>
      <c r="AI348">
        <f t="shared" si="103"/>
        <v>360</v>
      </c>
      <c r="AJ348" t="e">
        <f>VLOOKUP(A348,'Borrower Details'!$A$1:$H$1493,8,FALSE)</f>
        <v>#N/A</v>
      </c>
      <c r="AK348" s="4" t="e">
        <f t="shared" si="104"/>
        <v>#N/A</v>
      </c>
      <c r="AL348" s="10">
        <v>6.75</v>
      </c>
      <c r="AM348" s="3">
        <f t="shared" si="105"/>
        <v>141640.46890000001</v>
      </c>
      <c r="AN348">
        <v>6.75</v>
      </c>
      <c r="AO348" s="7">
        <f t="shared" si="106"/>
        <v>977.69424729735954</v>
      </c>
      <c r="AP348" s="2">
        <f t="shared" si="107"/>
        <v>104.02575270264049</v>
      </c>
    </row>
    <row r="349" spans="1:42" x14ac:dyDescent="0.15">
      <c r="A349" s="8">
        <v>1188411</v>
      </c>
      <c r="B349" t="s">
        <v>36</v>
      </c>
      <c r="C349" t="s">
        <v>18</v>
      </c>
      <c r="D349" s="1">
        <v>39245</v>
      </c>
      <c r="E349" s="2">
        <v>122000</v>
      </c>
      <c r="F349" s="2">
        <v>83000</v>
      </c>
      <c r="G349" t="s">
        <v>17</v>
      </c>
      <c r="H349" s="2">
        <v>730.84</v>
      </c>
      <c r="I349" s="2">
        <v>81468.179999999993</v>
      </c>
      <c r="J349">
        <v>8.6999999999999994E-2</v>
      </c>
      <c r="K349">
        <v>10</v>
      </c>
      <c r="L349">
        <v>229</v>
      </c>
      <c r="M349" t="str">
        <f t="shared" si="93"/>
        <v>30 Year Fixed</v>
      </c>
      <c r="N349" s="2">
        <v>590.64</v>
      </c>
      <c r="O349" t="str">
        <f t="shared" si="90"/>
        <v>Cash Out</v>
      </c>
      <c r="P349" s="3">
        <f t="shared" si="94"/>
        <v>20699.307684729079</v>
      </c>
      <c r="Q349" s="4">
        <v>103700</v>
      </c>
      <c r="R349" s="4" t="s">
        <v>41</v>
      </c>
      <c r="S349" s="6">
        <v>576</v>
      </c>
      <c r="T349">
        <v>7.625</v>
      </c>
      <c r="U349" s="7">
        <f t="shared" si="91"/>
        <v>777.19044830309133</v>
      </c>
      <c r="V349" s="2">
        <f t="shared" si="95"/>
        <v>-46.350448303091298</v>
      </c>
      <c r="W349" s="9">
        <f t="shared" si="96"/>
        <v>1</v>
      </c>
      <c r="X349" s="3">
        <v>97440</v>
      </c>
      <c r="Y349" s="3">
        <f t="shared" si="97"/>
        <v>14531.820000000022</v>
      </c>
      <c r="Z349" s="7">
        <f t="shared" si="98"/>
        <v>730.27422644795774</v>
      </c>
      <c r="AA349" s="2">
        <f t="shared" si="92"/>
        <v>0.56577355204228752</v>
      </c>
      <c r="AB349" s="8">
        <f t="shared" si="99"/>
        <v>0</v>
      </c>
      <c r="AC349" s="10">
        <v>7.625</v>
      </c>
      <c r="AD349" s="7">
        <f t="shared" si="100"/>
        <v>730.27422644795774</v>
      </c>
      <c r="AE349" s="2">
        <f t="shared" si="101"/>
        <v>0.56577355204228752</v>
      </c>
      <c r="AF349" s="10">
        <v>0</v>
      </c>
      <c r="AG349" s="3">
        <f t="shared" si="102"/>
        <v>0</v>
      </c>
      <c r="AH349" s="7">
        <v>1660</v>
      </c>
      <c r="AI349">
        <f t="shared" si="103"/>
        <v>360</v>
      </c>
      <c r="AJ349" t="e">
        <f>VLOOKUP(A349,'Borrower Details'!$A$1:$H$1493,8,FALSE)</f>
        <v>#N/A</v>
      </c>
      <c r="AK349" s="4" t="e">
        <f t="shared" si="104"/>
        <v>#N/A</v>
      </c>
      <c r="AL349" s="10">
        <v>7.625</v>
      </c>
      <c r="AM349" s="3">
        <f t="shared" si="105"/>
        <v>82690.20269999998</v>
      </c>
      <c r="AN349">
        <v>7.625</v>
      </c>
      <c r="AO349" s="7">
        <f t="shared" si="106"/>
        <v>619.73033468357255</v>
      </c>
      <c r="AP349" s="2">
        <f t="shared" si="107"/>
        <v>111.10966531642748</v>
      </c>
    </row>
    <row r="350" spans="1:42" x14ac:dyDescent="0.15">
      <c r="A350" s="8">
        <v>410404628</v>
      </c>
      <c r="B350" t="s">
        <v>35</v>
      </c>
      <c r="C350" t="s">
        <v>16</v>
      </c>
      <c r="D350" s="1">
        <v>39262</v>
      </c>
      <c r="E350" s="2">
        <v>180000</v>
      </c>
      <c r="F350" s="2">
        <v>162000</v>
      </c>
      <c r="G350" t="s">
        <v>17</v>
      </c>
      <c r="H350" s="2">
        <v>1187.57</v>
      </c>
      <c r="I350" s="2">
        <v>160760.17000000001</v>
      </c>
      <c r="J350">
        <v>7.9899999999999999E-2</v>
      </c>
      <c r="K350">
        <v>10</v>
      </c>
      <c r="L350">
        <v>349</v>
      </c>
      <c r="M350" t="str">
        <f t="shared" si="93"/>
        <v>30 Year Fixed</v>
      </c>
      <c r="N350" s="2">
        <v>1070.3900000000001</v>
      </c>
      <c r="O350" t="str">
        <f t="shared" si="90"/>
        <v>Refi</v>
      </c>
      <c r="P350" s="3">
        <f t="shared" si="94"/>
        <v>0</v>
      </c>
      <c r="Q350" s="4">
        <v>163172</v>
      </c>
      <c r="R350" s="4" t="s">
        <v>41</v>
      </c>
      <c r="S350" s="6">
        <v>648</v>
      </c>
      <c r="T350">
        <v>6.75</v>
      </c>
      <c r="U350" s="7">
        <f t="shared" si="91"/>
        <v>1126.3188194656191</v>
      </c>
      <c r="V350" s="2">
        <f t="shared" si="95"/>
        <v>61.251180534380865</v>
      </c>
      <c r="W350" s="9">
        <f t="shared" si="96"/>
        <v>0</v>
      </c>
      <c r="X350" s="3">
        <v>163172</v>
      </c>
      <c r="Y350" s="3">
        <f t="shared" si="97"/>
        <v>0.42113300491473638</v>
      </c>
      <c r="Z350" s="7">
        <f t="shared" si="98"/>
        <v>1126.3188194656191</v>
      </c>
      <c r="AA350" s="2">
        <f t="shared" si="92"/>
        <v>61.251180534380865</v>
      </c>
      <c r="AB350" s="8">
        <f t="shared" si="99"/>
        <v>1</v>
      </c>
      <c r="AC350" s="10">
        <v>6.125</v>
      </c>
      <c r="AD350" s="7">
        <f t="shared" si="100"/>
        <v>1059.4386029779362</v>
      </c>
      <c r="AE350" s="2">
        <f t="shared" si="101"/>
        <v>128.13139702206377</v>
      </c>
      <c r="AF350" s="10">
        <v>3</v>
      </c>
      <c r="AG350" s="3">
        <f t="shared" si="102"/>
        <v>4895.16</v>
      </c>
      <c r="AH350" s="7">
        <v>6471.9</v>
      </c>
      <c r="AI350">
        <f t="shared" si="103"/>
        <v>360</v>
      </c>
      <c r="AJ350" t="e">
        <f>VLOOKUP(A350,'Borrower Details'!$A$1:$H$1493,8,FALSE)</f>
        <v>#N/A</v>
      </c>
      <c r="AK350" s="4" t="e">
        <f t="shared" si="104"/>
        <v>#N/A</v>
      </c>
      <c r="AL350" s="10">
        <v>6.75</v>
      </c>
      <c r="AM350" s="3">
        <f t="shared" si="105"/>
        <v>163171.57255000001</v>
      </c>
      <c r="AN350">
        <v>6.75</v>
      </c>
      <c r="AO350" s="7">
        <f t="shared" si="106"/>
        <v>1126.3158689288889</v>
      </c>
      <c r="AP350" s="2">
        <f t="shared" si="107"/>
        <v>61.254131071111033</v>
      </c>
    </row>
    <row r="351" spans="1:42" x14ac:dyDescent="0.15">
      <c r="A351" s="8">
        <v>1167924</v>
      </c>
      <c r="B351" t="s">
        <v>36</v>
      </c>
      <c r="C351" t="s">
        <v>19</v>
      </c>
      <c r="D351" s="1">
        <v>39174</v>
      </c>
      <c r="E351" s="2">
        <v>229000</v>
      </c>
      <c r="F351" s="2">
        <v>182000</v>
      </c>
      <c r="G351" t="s">
        <v>17</v>
      </c>
      <c r="H351" s="2">
        <v>1156.3599999999999</v>
      </c>
      <c r="I351" s="2">
        <v>178748.21</v>
      </c>
      <c r="J351">
        <v>6.5500000000000003E-2</v>
      </c>
      <c r="K351">
        <v>12</v>
      </c>
      <c r="L351">
        <v>348</v>
      </c>
      <c r="M351" t="str">
        <f t="shared" si="93"/>
        <v>30 Year Fixed</v>
      </c>
      <c r="N351" s="2">
        <v>975.67</v>
      </c>
      <c r="O351" t="str">
        <f t="shared" si="90"/>
        <v>Cash Out</v>
      </c>
      <c r="P351" s="3">
        <f t="shared" si="94"/>
        <v>13025.189014778356</v>
      </c>
      <c r="Q351" s="4">
        <v>194650</v>
      </c>
      <c r="R351" s="4" t="s">
        <v>41</v>
      </c>
      <c r="S351" s="6">
        <v>781</v>
      </c>
      <c r="T351">
        <v>6.75</v>
      </c>
      <c r="U351" s="7">
        <f t="shared" si="91"/>
        <v>1343.600361636695</v>
      </c>
      <c r="V351" s="2">
        <f t="shared" si="95"/>
        <v>-187.24036163669507</v>
      </c>
      <c r="W351" s="9">
        <f t="shared" si="96"/>
        <v>1</v>
      </c>
      <c r="X351" s="3">
        <v>181429</v>
      </c>
      <c r="Y351" s="3">
        <f t="shared" si="97"/>
        <v>-0.42674876845558174</v>
      </c>
      <c r="Z351" s="7">
        <f t="shared" si="98"/>
        <v>1252.3404572894115</v>
      </c>
      <c r="AA351" s="2">
        <f t="shared" si="92"/>
        <v>-95.980457289411561</v>
      </c>
      <c r="AB351" s="8">
        <f t="shared" si="99"/>
        <v>1</v>
      </c>
      <c r="AC351" s="10">
        <v>6.125</v>
      </c>
      <c r="AD351" s="7">
        <f t="shared" si="100"/>
        <v>1177.9771425225158</v>
      </c>
      <c r="AE351" s="2">
        <f t="shared" si="101"/>
        <v>-21.617142522515906</v>
      </c>
      <c r="AF351" s="10">
        <v>3</v>
      </c>
      <c r="AG351" s="3">
        <f t="shared" si="102"/>
        <v>5442.87</v>
      </c>
      <c r="AH351" s="7">
        <v>3640</v>
      </c>
      <c r="AI351">
        <f t="shared" si="103"/>
        <v>360</v>
      </c>
      <c r="AJ351" t="e">
        <f>VLOOKUP(A351,'Borrower Details'!$A$1:$H$1493,8,FALSE)</f>
        <v>#N/A</v>
      </c>
      <c r="AK351" s="4" t="e">
        <f t="shared" si="104"/>
        <v>#N/A</v>
      </c>
      <c r="AL351" s="10">
        <v>6.75</v>
      </c>
      <c r="AM351" s="3">
        <f t="shared" si="105"/>
        <v>181429.43314999997</v>
      </c>
      <c r="AN351">
        <v>6.75</v>
      </c>
      <c r="AO351" s="7">
        <f t="shared" si="106"/>
        <v>1252.343447171233</v>
      </c>
      <c r="AP351" s="2">
        <f t="shared" si="107"/>
        <v>-95.983447171233138</v>
      </c>
    </row>
    <row r="352" spans="1:42" x14ac:dyDescent="0.15">
      <c r="A352" s="8">
        <v>410573760</v>
      </c>
      <c r="B352" t="s">
        <v>36</v>
      </c>
      <c r="C352" t="s">
        <v>19</v>
      </c>
      <c r="D352" s="1">
        <v>39289</v>
      </c>
      <c r="E352" s="2">
        <v>103000</v>
      </c>
      <c r="F352" s="2">
        <v>71250</v>
      </c>
      <c r="G352" t="s">
        <v>20</v>
      </c>
      <c r="H352" s="2">
        <v>619.49</v>
      </c>
      <c r="I352" s="2">
        <v>70984.25</v>
      </c>
      <c r="J352">
        <v>9.8900000000000002E-2</v>
      </c>
      <c r="K352">
        <v>9</v>
      </c>
      <c r="L352">
        <v>352</v>
      </c>
      <c r="M352" t="str">
        <f t="shared" si="93"/>
        <v>30 Year Fixed</v>
      </c>
      <c r="N352" s="2">
        <v>585.03</v>
      </c>
      <c r="O352" t="str">
        <f t="shared" si="90"/>
        <v>Cash Out</v>
      </c>
      <c r="P352" s="3">
        <f t="shared" si="94"/>
        <v>15271.907635467986</v>
      </c>
      <c r="Q352" s="4">
        <v>87550</v>
      </c>
      <c r="R352" s="4" t="s">
        <v>41</v>
      </c>
      <c r="S352" s="6">
        <v>661</v>
      </c>
      <c r="T352">
        <v>6.875</v>
      </c>
      <c r="U352" s="7">
        <f t="shared" si="91"/>
        <v>611.62034303958114</v>
      </c>
      <c r="V352" s="2">
        <f t="shared" si="95"/>
        <v>7.8696569604188653</v>
      </c>
      <c r="W352" s="9">
        <f t="shared" si="96"/>
        <v>0</v>
      </c>
      <c r="X352" s="3">
        <v>87550</v>
      </c>
      <c r="Y352" s="3">
        <f t="shared" si="97"/>
        <v>15271.907635467986</v>
      </c>
      <c r="Z352" s="7">
        <f t="shared" si="98"/>
        <v>611.62034303958114</v>
      </c>
      <c r="AA352" s="2">
        <f t="shared" si="92"/>
        <v>7.8696569604188653</v>
      </c>
      <c r="AB352" s="8">
        <f t="shared" si="99"/>
        <v>0</v>
      </c>
      <c r="AC352" s="10">
        <v>6.875</v>
      </c>
      <c r="AD352" s="7">
        <f t="shared" si="100"/>
        <v>611.62034303958114</v>
      </c>
      <c r="AE352" s="2">
        <f t="shared" si="101"/>
        <v>7.8696569604188653</v>
      </c>
      <c r="AF352" s="10">
        <v>0</v>
      </c>
      <c r="AG352" s="3">
        <f t="shared" si="102"/>
        <v>0</v>
      </c>
      <c r="AH352" s="7">
        <v>1425</v>
      </c>
      <c r="AI352">
        <f t="shared" si="103"/>
        <v>360</v>
      </c>
      <c r="AJ352" t="e">
        <f>VLOOKUP(A352,'Borrower Details'!$A$1:$H$1493,8,FALSE)</f>
        <v>#N/A</v>
      </c>
      <c r="AK352" s="4" t="e">
        <f t="shared" si="104"/>
        <v>#N/A</v>
      </c>
      <c r="AL352" s="10">
        <v>6.875</v>
      </c>
      <c r="AM352" s="3">
        <f t="shared" si="105"/>
        <v>72049.013749999998</v>
      </c>
      <c r="AN352">
        <v>6.875</v>
      </c>
      <c r="AO352" s="7">
        <f t="shared" si="106"/>
        <v>503.33115368861797</v>
      </c>
      <c r="AP352" s="2">
        <f t="shared" si="107"/>
        <v>116.15884631138204</v>
      </c>
    </row>
    <row r="353" spans="1:42" x14ac:dyDescent="0.15">
      <c r="A353" s="8">
        <v>410488704</v>
      </c>
      <c r="B353" t="s">
        <v>36</v>
      </c>
      <c r="C353" t="s">
        <v>18</v>
      </c>
      <c r="D353" s="1">
        <v>39259</v>
      </c>
      <c r="E353" s="2">
        <v>158000</v>
      </c>
      <c r="F353" s="2">
        <v>142200</v>
      </c>
      <c r="G353" t="s">
        <v>15</v>
      </c>
      <c r="H353" s="2">
        <v>1168.53</v>
      </c>
      <c r="I353" s="2">
        <v>0</v>
      </c>
      <c r="J353">
        <v>9.6500000000000002E-2</v>
      </c>
      <c r="K353">
        <v>10</v>
      </c>
      <c r="L353">
        <v>351</v>
      </c>
      <c r="M353" t="str">
        <f t="shared" si="93"/>
        <v>30 Year Fixed</v>
      </c>
      <c r="N353" s="2">
        <v>0</v>
      </c>
      <c r="O353" t="str">
        <f t="shared" si="90"/>
        <v>Cash Out</v>
      </c>
      <c r="P353" s="3">
        <f t="shared" si="94"/>
        <v>132315.27093596061</v>
      </c>
      <c r="Q353" s="4">
        <v>134300</v>
      </c>
      <c r="R353" s="4" t="s">
        <v>41</v>
      </c>
      <c r="S353" s="6">
        <v>557</v>
      </c>
      <c r="T353">
        <v>7.625</v>
      </c>
      <c r="U353" s="7">
        <f t="shared" si="91"/>
        <v>1006.5253346876101</v>
      </c>
      <c r="V353" s="2">
        <f t="shared" si="95"/>
        <v>162.00466531238987</v>
      </c>
      <c r="W353" s="9">
        <f t="shared" si="96"/>
        <v>0</v>
      </c>
      <c r="X353" s="3">
        <v>134300</v>
      </c>
      <c r="Y353" s="3">
        <f t="shared" si="97"/>
        <v>132315.27093596061</v>
      </c>
      <c r="Z353" s="7">
        <f t="shared" si="98"/>
        <v>1006.5253346876101</v>
      </c>
      <c r="AA353" s="2">
        <f t="shared" si="92"/>
        <v>162.00466531238987</v>
      </c>
      <c r="AB353" s="8">
        <f t="shared" si="99"/>
        <v>0</v>
      </c>
      <c r="AC353" s="10">
        <v>7.625</v>
      </c>
      <c r="AD353" s="7">
        <f t="shared" si="100"/>
        <v>1006.5253346876101</v>
      </c>
      <c r="AE353" s="2">
        <f t="shared" si="101"/>
        <v>162.00466531238987</v>
      </c>
      <c r="AF353" s="10">
        <v>0</v>
      </c>
      <c r="AG353" s="3">
        <f t="shared" si="102"/>
        <v>0</v>
      </c>
      <c r="AH353" s="7">
        <v>2844</v>
      </c>
      <c r="AI353">
        <f t="shared" si="103"/>
        <v>360</v>
      </c>
      <c r="AJ353" t="e">
        <f>VLOOKUP(A353,'Borrower Details'!$A$1:$H$1493,8,FALSE)</f>
        <v>#N/A</v>
      </c>
      <c r="AK353" s="4" t="e">
        <f t="shared" si="104"/>
        <v>#N/A</v>
      </c>
      <c r="AL353" s="10">
        <v>7.625</v>
      </c>
      <c r="AM353" s="3">
        <f t="shared" si="105"/>
        <v>0</v>
      </c>
      <c r="AN353">
        <v>7.625</v>
      </c>
      <c r="AO353" s="7">
        <f t="shared" si="106"/>
        <v>0</v>
      </c>
      <c r="AP353" s="2">
        <f t="shared" si="107"/>
        <v>1168.53</v>
      </c>
    </row>
    <row r="354" spans="1:42" x14ac:dyDescent="0.15">
      <c r="A354" s="8">
        <v>410265946</v>
      </c>
      <c r="B354" t="s">
        <v>36</v>
      </c>
      <c r="C354" t="s">
        <v>18</v>
      </c>
      <c r="D354" s="1">
        <v>39220</v>
      </c>
      <c r="E354" s="2">
        <v>330000</v>
      </c>
      <c r="F354" s="2">
        <v>297000</v>
      </c>
      <c r="G354" t="s">
        <v>17</v>
      </c>
      <c r="H354" s="2">
        <v>2053.94</v>
      </c>
      <c r="I354" s="2">
        <v>296018.45</v>
      </c>
      <c r="J354">
        <v>7.9500000000000001E-2</v>
      </c>
      <c r="K354">
        <v>11</v>
      </c>
      <c r="L354">
        <v>349</v>
      </c>
      <c r="M354" t="str">
        <f t="shared" si="93"/>
        <v>30 Year Fixed</v>
      </c>
      <c r="N354" s="2">
        <v>1961.12</v>
      </c>
      <c r="O354" t="str">
        <f t="shared" si="90"/>
        <v>Refi</v>
      </c>
      <c r="P354" s="3">
        <f t="shared" si="94"/>
        <v>0</v>
      </c>
      <c r="Q354" s="4">
        <v>300459</v>
      </c>
      <c r="R354" s="4" t="s">
        <v>41</v>
      </c>
      <c r="S354" s="6">
        <v>661</v>
      </c>
      <c r="T354">
        <v>6.75</v>
      </c>
      <c r="U354" s="7">
        <f t="shared" si="91"/>
        <v>2073.9626049678895</v>
      </c>
      <c r="V354" s="2">
        <f t="shared" si="95"/>
        <v>-20.022604967889492</v>
      </c>
      <c r="W354" s="9">
        <f t="shared" si="96"/>
        <v>0</v>
      </c>
      <c r="X354" s="3">
        <v>300458</v>
      </c>
      <c r="Y354" s="3">
        <f t="shared" si="97"/>
        <v>-0.71600985218537971</v>
      </c>
      <c r="Z354" s="7">
        <f t="shared" si="98"/>
        <v>2073.9557023202569</v>
      </c>
      <c r="AA354" s="2">
        <f t="shared" si="92"/>
        <v>-20.015702320256878</v>
      </c>
      <c r="AB354" s="8">
        <f t="shared" si="99"/>
        <v>1</v>
      </c>
      <c r="AC354" s="10">
        <v>6.125</v>
      </c>
      <c r="AD354" s="7">
        <f t="shared" si="100"/>
        <v>1950.8053083466816</v>
      </c>
      <c r="AE354" s="2">
        <f t="shared" si="101"/>
        <v>103.13469165331844</v>
      </c>
      <c r="AF354" s="10">
        <v>3</v>
      </c>
      <c r="AG354" s="3">
        <f t="shared" si="102"/>
        <v>9013.74</v>
      </c>
      <c r="AH354" s="7">
        <v>5940</v>
      </c>
      <c r="AI354">
        <f t="shared" si="103"/>
        <v>360</v>
      </c>
      <c r="AJ354" t="e">
        <f>VLOOKUP(A354,'Borrower Details'!$A$1:$H$1493,8,FALSE)</f>
        <v>#N/A</v>
      </c>
      <c r="AK354" s="4" t="e">
        <f t="shared" si="104"/>
        <v>#N/A</v>
      </c>
      <c r="AL354" s="10">
        <v>6.75</v>
      </c>
      <c r="AM354" s="3">
        <f t="shared" si="105"/>
        <v>300458.72674999997</v>
      </c>
      <c r="AN354">
        <v>6.75</v>
      </c>
      <c r="AO354" s="7">
        <f t="shared" si="106"/>
        <v>2073.9607188194241</v>
      </c>
      <c r="AP354" s="2">
        <f t="shared" si="107"/>
        <v>-20.020718819424019</v>
      </c>
    </row>
    <row r="355" spans="1:42" x14ac:dyDescent="0.15">
      <c r="A355" s="8">
        <v>410727952</v>
      </c>
      <c r="B355" t="s">
        <v>36</v>
      </c>
      <c r="C355" t="s">
        <v>16</v>
      </c>
      <c r="D355" s="1">
        <v>39295</v>
      </c>
      <c r="E355" s="2">
        <v>228000</v>
      </c>
      <c r="F355" s="2">
        <v>133500</v>
      </c>
      <c r="G355" t="s">
        <v>17</v>
      </c>
      <c r="H355" s="2">
        <v>1073.22</v>
      </c>
      <c r="I355" s="2">
        <v>132822.20000000001</v>
      </c>
      <c r="J355">
        <v>8.9899999999999994E-2</v>
      </c>
      <c r="K355">
        <v>9</v>
      </c>
      <c r="L355">
        <v>351</v>
      </c>
      <c r="M355" t="str">
        <f t="shared" si="93"/>
        <v>30 Year Fixed</v>
      </c>
      <c r="N355" s="2">
        <v>995.06</v>
      </c>
      <c r="O355" t="str">
        <f t="shared" si="90"/>
        <v>Cash Out</v>
      </c>
      <c r="P355" s="3">
        <f t="shared" si="94"/>
        <v>58113.760591133003</v>
      </c>
      <c r="Q355" s="4">
        <v>193800</v>
      </c>
      <c r="R355" s="4" t="s">
        <v>41</v>
      </c>
      <c r="S355" s="6">
        <v>533</v>
      </c>
      <c r="T355">
        <v>7.625</v>
      </c>
      <c r="U355" s="7">
        <f t="shared" si="91"/>
        <v>1452.4542804352852</v>
      </c>
      <c r="V355" s="2">
        <f t="shared" si="95"/>
        <v>-379.2342804352852</v>
      </c>
      <c r="W355" s="9">
        <f t="shared" si="96"/>
        <v>1</v>
      </c>
      <c r="X355" s="3">
        <v>143130</v>
      </c>
      <c r="Y355" s="3">
        <f t="shared" si="97"/>
        <v>8192.5783251231478</v>
      </c>
      <c r="Z355" s="7">
        <f t="shared" si="98"/>
        <v>1072.702689157391</v>
      </c>
      <c r="AA355" s="2">
        <f t="shared" si="92"/>
        <v>0.51731084260904936</v>
      </c>
      <c r="AB355" s="8">
        <f t="shared" si="99"/>
        <v>1</v>
      </c>
      <c r="AC355" s="10">
        <v>6.875</v>
      </c>
      <c r="AD355" s="7">
        <f t="shared" si="100"/>
        <v>999.89971101376659</v>
      </c>
      <c r="AE355" s="2">
        <f t="shared" si="101"/>
        <v>73.320288986233436</v>
      </c>
      <c r="AF355" s="10">
        <v>1</v>
      </c>
      <c r="AG355" s="3">
        <f t="shared" si="102"/>
        <v>1431.3</v>
      </c>
      <c r="AH355" s="7">
        <v>2670</v>
      </c>
      <c r="AI355">
        <f t="shared" si="103"/>
        <v>360</v>
      </c>
      <c r="AJ355" t="e">
        <f>VLOOKUP(A355,'Borrower Details'!$A$1:$H$1493,8,FALSE)</f>
        <v>#N/A</v>
      </c>
      <c r="AK355" s="4" t="e">
        <f t="shared" si="104"/>
        <v>#N/A</v>
      </c>
      <c r="AL355" s="10">
        <v>7.625</v>
      </c>
      <c r="AM355" s="3">
        <f t="shared" si="105"/>
        <v>134814.533</v>
      </c>
      <c r="AN355">
        <v>7.625</v>
      </c>
      <c r="AO355" s="7">
        <f t="shared" si="106"/>
        <v>1010.3815558345409</v>
      </c>
      <c r="AP355" s="2">
        <f t="shared" si="107"/>
        <v>62.838444165459123</v>
      </c>
    </row>
    <row r="356" spans="1:42" x14ac:dyDescent="0.15">
      <c r="A356" s="8">
        <v>1184018</v>
      </c>
      <c r="B356" t="s">
        <v>36</v>
      </c>
      <c r="C356" t="s">
        <v>18</v>
      </c>
      <c r="D356" s="1">
        <v>39209</v>
      </c>
      <c r="E356" s="2">
        <v>240000</v>
      </c>
      <c r="F356" s="2">
        <v>168000</v>
      </c>
      <c r="G356" t="s">
        <v>17</v>
      </c>
      <c r="H356" s="2">
        <v>1301.5</v>
      </c>
      <c r="I356" s="2">
        <v>164342.82</v>
      </c>
      <c r="J356">
        <v>6.9900000000000004E-2</v>
      </c>
      <c r="K356">
        <v>11</v>
      </c>
      <c r="L356">
        <v>229</v>
      </c>
      <c r="M356" t="str">
        <f t="shared" si="93"/>
        <v>30 Year Fixed</v>
      </c>
      <c r="N356" s="2">
        <v>957.3</v>
      </c>
      <c r="O356" t="str">
        <f t="shared" si="90"/>
        <v>Cash Out</v>
      </c>
      <c r="P356" s="3">
        <f t="shared" si="94"/>
        <v>36642.401674876863</v>
      </c>
      <c r="Q356" s="4">
        <v>204000</v>
      </c>
      <c r="R356" s="4" t="s">
        <v>41</v>
      </c>
      <c r="S356" s="6">
        <v>663</v>
      </c>
      <c r="T356">
        <v>6.75</v>
      </c>
      <c r="U356" s="7">
        <f t="shared" si="91"/>
        <v>1408.1401169991561</v>
      </c>
      <c r="V356" s="2">
        <f t="shared" si="95"/>
        <v>-106.64011699915613</v>
      </c>
      <c r="W356" s="9">
        <f t="shared" si="96"/>
        <v>1</v>
      </c>
      <c r="X356" s="3">
        <v>188470</v>
      </c>
      <c r="Y356" s="3">
        <f t="shared" si="97"/>
        <v>21341.909064039413</v>
      </c>
      <c r="Z356" s="7">
        <f t="shared" si="98"/>
        <v>1300.9419992687792</v>
      </c>
      <c r="AA356" s="2">
        <f t="shared" si="92"/>
        <v>0.55800073122077265</v>
      </c>
      <c r="AB356" s="8">
        <f t="shared" si="99"/>
        <v>0</v>
      </c>
      <c r="AC356" s="10">
        <v>6.75</v>
      </c>
      <c r="AD356" s="7">
        <f t="shared" si="100"/>
        <v>1300.9419992687792</v>
      </c>
      <c r="AE356" s="2">
        <f t="shared" si="101"/>
        <v>0.55800073122077265</v>
      </c>
      <c r="AF356" s="10">
        <v>0</v>
      </c>
      <c r="AG356" s="3">
        <f t="shared" si="102"/>
        <v>0</v>
      </c>
      <c r="AH356" s="7">
        <v>3360</v>
      </c>
      <c r="AI356">
        <f t="shared" si="103"/>
        <v>360</v>
      </c>
      <c r="AJ356" t="e">
        <f>VLOOKUP(A356,'Borrower Details'!$A$1:$H$1493,8,FALSE)</f>
        <v>#N/A</v>
      </c>
      <c r="AK356" s="4" t="e">
        <f t="shared" si="104"/>
        <v>#N/A</v>
      </c>
      <c r="AL356" s="10">
        <v>6.75</v>
      </c>
      <c r="AM356" s="3">
        <f t="shared" si="105"/>
        <v>166807.96229999998</v>
      </c>
      <c r="AN356">
        <v>6.75</v>
      </c>
      <c r="AO356" s="7">
        <f t="shared" si="106"/>
        <v>1151.4165860270234</v>
      </c>
      <c r="AP356" s="2">
        <f t="shared" si="107"/>
        <v>150.08341397297659</v>
      </c>
    </row>
    <row r="357" spans="1:42" x14ac:dyDescent="0.15">
      <c r="A357" s="8">
        <v>410429930</v>
      </c>
      <c r="B357" t="s">
        <v>38</v>
      </c>
      <c r="C357" t="s">
        <v>18</v>
      </c>
      <c r="D357" s="1">
        <v>39253</v>
      </c>
      <c r="E357" s="2">
        <v>80000</v>
      </c>
      <c r="F357" s="2">
        <v>72000</v>
      </c>
      <c r="G357" t="s">
        <v>17</v>
      </c>
      <c r="H357" s="2">
        <v>676.04</v>
      </c>
      <c r="I357" s="2">
        <v>71970.710000000006</v>
      </c>
      <c r="J357">
        <v>0.11225</v>
      </c>
      <c r="K357">
        <v>10</v>
      </c>
      <c r="L357">
        <v>349</v>
      </c>
      <c r="M357" t="str">
        <f t="shared" si="93"/>
        <v>30 Year Fixed</v>
      </c>
      <c r="N357" s="2">
        <v>673.25</v>
      </c>
      <c r="O357" t="str">
        <f t="shared" si="90"/>
        <v>Refi</v>
      </c>
      <c r="P357" s="3">
        <f t="shared" si="94"/>
        <v>0</v>
      </c>
      <c r="Q357" s="4">
        <v>73050</v>
      </c>
      <c r="R357" s="4" t="s">
        <v>41</v>
      </c>
      <c r="S357" s="6">
        <v>560</v>
      </c>
      <c r="T357">
        <v>7.625</v>
      </c>
      <c r="U357" s="7">
        <f t="shared" si="91"/>
        <v>547.4808317120619</v>
      </c>
      <c r="V357" s="2">
        <f t="shared" si="95"/>
        <v>128.55916828793806</v>
      </c>
      <c r="W357" s="9">
        <f t="shared" si="96"/>
        <v>0</v>
      </c>
      <c r="X357" s="3">
        <v>73051</v>
      </c>
      <c r="Y357" s="3">
        <f t="shared" si="97"/>
        <v>0.71857142857334111</v>
      </c>
      <c r="Z357" s="7">
        <f t="shared" si="98"/>
        <v>547.48832631619211</v>
      </c>
      <c r="AA357" s="2">
        <f t="shared" si="92"/>
        <v>128.55167368380785</v>
      </c>
      <c r="AB357" s="8">
        <f t="shared" si="99"/>
        <v>0</v>
      </c>
      <c r="AC357" s="10">
        <v>7.625</v>
      </c>
      <c r="AD357" s="7">
        <f t="shared" si="100"/>
        <v>547.48832631619211</v>
      </c>
      <c r="AE357" s="2">
        <f t="shared" si="101"/>
        <v>128.55167368380785</v>
      </c>
      <c r="AF357" s="10">
        <v>0</v>
      </c>
      <c r="AG357" s="3">
        <f t="shared" si="102"/>
        <v>0</v>
      </c>
      <c r="AH357" s="7">
        <v>0</v>
      </c>
      <c r="AI357">
        <f t="shared" si="103"/>
        <v>360</v>
      </c>
      <c r="AJ357" t="e">
        <f>VLOOKUP(A357,'Borrower Details'!$A$1:$H$1493,8,FALSE)</f>
        <v>#N/A</v>
      </c>
      <c r="AK357" s="4" t="e">
        <f t="shared" si="104"/>
        <v>#N/A</v>
      </c>
      <c r="AL357" s="10">
        <v>7.625</v>
      </c>
      <c r="AM357" s="3">
        <f t="shared" si="105"/>
        <v>73050.270650000006</v>
      </c>
      <c r="AN357">
        <v>7.625</v>
      </c>
      <c r="AO357" s="7">
        <f t="shared" si="106"/>
        <v>547.48286012666972</v>
      </c>
      <c r="AP357" s="2">
        <f t="shared" si="107"/>
        <v>128.55713987333024</v>
      </c>
    </row>
    <row r="358" spans="1:42" x14ac:dyDescent="0.15">
      <c r="A358" s="8">
        <v>410401814</v>
      </c>
      <c r="B358" t="s">
        <v>38</v>
      </c>
      <c r="C358" t="s">
        <v>19</v>
      </c>
      <c r="D358" s="1">
        <v>39244</v>
      </c>
      <c r="E358" s="2">
        <v>195000</v>
      </c>
      <c r="F358" s="2">
        <v>161405</v>
      </c>
      <c r="G358" t="s">
        <v>15</v>
      </c>
      <c r="H358" s="2">
        <v>1503.66</v>
      </c>
      <c r="I358" s="2">
        <v>160835</v>
      </c>
      <c r="J358">
        <v>0.10725</v>
      </c>
      <c r="K358">
        <v>10</v>
      </c>
      <c r="L358">
        <v>351</v>
      </c>
      <c r="M358" t="str">
        <f t="shared" si="93"/>
        <v>30 Year Fixed</v>
      </c>
      <c r="N358" s="2">
        <v>1437.46</v>
      </c>
      <c r="O358" t="str">
        <f t="shared" si="90"/>
        <v>Cash Out</v>
      </c>
      <c r="P358" s="3">
        <f t="shared" si="94"/>
        <v>2465.4926108374493</v>
      </c>
      <c r="Q358" s="4">
        <v>165750</v>
      </c>
      <c r="R358" s="4" t="s">
        <v>41</v>
      </c>
      <c r="S358" s="6">
        <v>596</v>
      </c>
      <c r="T358">
        <v>7.375</v>
      </c>
      <c r="U358" s="7">
        <f t="shared" si="91"/>
        <v>1213.8565571425875</v>
      </c>
      <c r="V358" s="2">
        <f t="shared" si="95"/>
        <v>289.80344285741262</v>
      </c>
      <c r="W358" s="9">
        <f t="shared" si="96"/>
        <v>0</v>
      </c>
      <c r="X358" s="3">
        <v>165750</v>
      </c>
      <c r="Y358" s="3">
        <f t="shared" si="97"/>
        <v>2465.4926108374493</v>
      </c>
      <c r="Z358" s="7">
        <f t="shared" si="98"/>
        <v>1213.8565571425875</v>
      </c>
      <c r="AA358" s="2">
        <f t="shared" si="92"/>
        <v>289.80344285741262</v>
      </c>
      <c r="AB358" s="8">
        <f t="shared" si="99"/>
        <v>0</v>
      </c>
      <c r="AC358" s="10">
        <v>7.375</v>
      </c>
      <c r="AD358" s="7">
        <f t="shared" si="100"/>
        <v>1213.8565571425875</v>
      </c>
      <c r="AE358" s="2">
        <f t="shared" si="101"/>
        <v>289.80344285741262</v>
      </c>
      <c r="AF358" s="10">
        <v>0</v>
      </c>
      <c r="AG358" s="3">
        <f t="shared" si="102"/>
        <v>0</v>
      </c>
      <c r="AH358" s="7">
        <v>0</v>
      </c>
      <c r="AI358">
        <f t="shared" si="103"/>
        <v>360</v>
      </c>
      <c r="AJ358" t="e">
        <f>VLOOKUP(A358,'Borrower Details'!$A$1:$H$1493,8,FALSE)</f>
        <v>#N/A</v>
      </c>
      <c r="AK358" s="4" t="e">
        <f t="shared" si="104"/>
        <v>#N/A</v>
      </c>
      <c r="AL358" s="10">
        <v>7.375</v>
      </c>
      <c r="AM358" s="3">
        <f t="shared" si="105"/>
        <v>163247.52499999999</v>
      </c>
      <c r="AN358">
        <v>7.375</v>
      </c>
      <c r="AO358" s="7">
        <f t="shared" si="106"/>
        <v>1195.5298863260844</v>
      </c>
      <c r="AP358" s="2">
        <f t="shared" si="107"/>
        <v>308.13011367391573</v>
      </c>
    </row>
    <row r="359" spans="1:42" x14ac:dyDescent="0.15">
      <c r="A359" s="8">
        <v>410639090</v>
      </c>
      <c r="B359" t="s">
        <v>36</v>
      </c>
      <c r="C359" t="s">
        <v>19</v>
      </c>
      <c r="D359" s="1">
        <v>39288</v>
      </c>
      <c r="E359" s="2">
        <v>190000</v>
      </c>
      <c r="F359" s="2">
        <v>171000</v>
      </c>
      <c r="G359" t="s">
        <v>17</v>
      </c>
      <c r="H359" s="2">
        <v>1488.03</v>
      </c>
      <c r="I359" s="2">
        <v>170244.78</v>
      </c>
      <c r="J359">
        <v>9.9000000000000005E-2</v>
      </c>
      <c r="K359">
        <v>9</v>
      </c>
      <c r="L359">
        <v>351</v>
      </c>
      <c r="M359" t="str">
        <f t="shared" si="93"/>
        <v>30 Year Fixed</v>
      </c>
      <c r="N359" s="2">
        <v>1404.52</v>
      </c>
      <c r="O359" t="str">
        <f t="shared" si="90"/>
        <v>Refi</v>
      </c>
      <c r="P359" s="3">
        <f t="shared" si="94"/>
        <v>0</v>
      </c>
      <c r="Q359" s="4">
        <v>172798</v>
      </c>
      <c r="R359" s="4" t="s">
        <v>41</v>
      </c>
      <c r="S359" s="6">
        <v>575</v>
      </c>
      <c r="T359">
        <v>7.625</v>
      </c>
      <c r="U359" s="7">
        <f t="shared" si="91"/>
        <v>1295.0526044925514</v>
      </c>
      <c r="V359" s="2">
        <f t="shared" si="95"/>
        <v>192.97739550744859</v>
      </c>
      <c r="W359" s="9">
        <f t="shared" si="96"/>
        <v>0</v>
      </c>
      <c r="X359" s="3">
        <v>172799</v>
      </c>
      <c r="Y359" s="3">
        <f t="shared" si="97"/>
        <v>0.5401970443490427</v>
      </c>
      <c r="Z359" s="7">
        <f t="shared" si="98"/>
        <v>1295.0600990966814</v>
      </c>
      <c r="AA359" s="2">
        <f t="shared" si="92"/>
        <v>192.9699009033186</v>
      </c>
      <c r="AB359" s="8">
        <f t="shared" si="99"/>
        <v>0</v>
      </c>
      <c r="AC359" s="10">
        <v>7.625</v>
      </c>
      <c r="AD359" s="7">
        <f t="shared" si="100"/>
        <v>1295.0600990966814</v>
      </c>
      <c r="AE359" s="2">
        <f t="shared" si="101"/>
        <v>192.9699009033186</v>
      </c>
      <c r="AF359" s="10">
        <v>0</v>
      </c>
      <c r="AG359" s="3">
        <f t="shared" si="102"/>
        <v>0</v>
      </c>
      <c r="AH359" s="7">
        <v>3420</v>
      </c>
      <c r="AI359">
        <f t="shared" si="103"/>
        <v>360</v>
      </c>
      <c r="AJ359" t="e">
        <f>VLOOKUP(A359,'Borrower Details'!$A$1:$H$1493,8,FALSE)</f>
        <v>#N/A</v>
      </c>
      <c r="AK359" s="4" t="e">
        <f t="shared" si="104"/>
        <v>#N/A</v>
      </c>
      <c r="AL359" s="10">
        <v>7.625</v>
      </c>
      <c r="AM359" s="3">
        <f t="shared" si="105"/>
        <v>172798.45169999998</v>
      </c>
      <c r="AN359">
        <v>7.625</v>
      </c>
      <c r="AO359" s="7">
        <f t="shared" si="106"/>
        <v>1295.0559898052365</v>
      </c>
      <c r="AP359" s="2">
        <f t="shared" si="107"/>
        <v>192.97401019476342</v>
      </c>
    </row>
    <row r="360" spans="1:42" x14ac:dyDescent="0.15">
      <c r="A360" s="8">
        <v>1162097</v>
      </c>
      <c r="B360" t="s">
        <v>36</v>
      </c>
      <c r="C360" t="s">
        <v>19</v>
      </c>
      <c r="D360" s="1">
        <v>39157</v>
      </c>
      <c r="E360" s="2">
        <v>249900</v>
      </c>
      <c r="F360" s="2">
        <v>237400</v>
      </c>
      <c r="G360" t="s">
        <v>15</v>
      </c>
      <c r="H360" s="2">
        <v>1908.47</v>
      </c>
      <c r="I360" s="2">
        <v>235614.87</v>
      </c>
      <c r="J360">
        <v>8.9899999999999994E-2</v>
      </c>
      <c r="K360">
        <v>13</v>
      </c>
      <c r="L360">
        <v>347</v>
      </c>
      <c r="M360" t="str">
        <f t="shared" si="93"/>
        <v>30 Year Fixed</v>
      </c>
      <c r="N360" s="2">
        <v>1765.15</v>
      </c>
      <c r="O360" t="str">
        <f t="shared" si="90"/>
        <v>Refi</v>
      </c>
      <c r="P360" s="3">
        <f t="shared" si="94"/>
        <v>0</v>
      </c>
      <c r="Q360" s="4">
        <v>239149</v>
      </c>
      <c r="R360" s="4" t="s">
        <v>41</v>
      </c>
      <c r="S360" s="6">
        <v>588</v>
      </c>
      <c r="T360">
        <v>7.375</v>
      </c>
      <c r="U360" s="7">
        <f t="shared" si="91"/>
        <v>1751.3881253942241</v>
      </c>
      <c r="V360" s="2">
        <f t="shared" si="95"/>
        <v>157.08187460577597</v>
      </c>
      <c r="W360" s="9">
        <f t="shared" si="96"/>
        <v>0</v>
      </c>
      <c r="X360" s="3">
        <v>239149</v>
      </c>
      <c r="Y360" s="3">
        <f t="shared" si="97"/>
        <v>-9.1674876806791872E-2</v>
      </c>
      <c r="Z360" s="7">
        <f t="shared" si="98"/>
        <v>1751.3881253942241</v>
      </c>
      <c r="AA360" s="2">
        <f t="shared" si="92"/>
        <v>157.08187460577597</v>
      </c>
      <c r="AB360" s="8">
        <f t="shared" si="99"/>
        <v>0</v>
      </c>
      <c r="AC360" s="10">
        <v>7.375</v>
      </c>
      <c r="AD360" s="7">
        <f t="shared" si="100"/>
        <v>1751.3881253942241</v>
      </c>
      <c r="AE360" s="2">
        <f t="shared" si="101"/>
        <v>157.08187460577597</v>
      </c>
      <c r="AF360" s="10">
        <v>0</v>
      </c>
      <c r="AG360" s="3">
        <f t="shared" si="102"/>
        <v>0</v>
      </c>
      <c r="AH360" s="7">
        <v>4748</v>
      </c>
      <c r="AI360">
        <f t="shared" si="103"/>
        <v>360</v>
      </c>
      <c r="AJ360" t="e">
        <f>VLOOKUP(A360,'Borrower Details'!$A$1:$H$1493,8,FALSE)</f>
        <v>#N/A</v>
      </c>
      <c r="AK360" s="4" t="e">
        <f t="shared" si="104"/>
        <v>#N/A</v>
      </c>
      <c r="AL360" s="10">
        <v>7.375</v>
      </c>
      <c r="AM360" s="3">
        <f t="shared" si="105"/>
        <v>239149.09304999997</v>
      </c>
      <c r="AN360">
        <v>7.375</v>
      </c>
      <c r="AO360" s="7">
        <f t="shared" si="106"/>
        <v>1751.3888068382819</v>
      </c>
      <c r="AP360" s="2">
        <f t="shared" si="107"/>
        <v>157.08119316171815</v>
      </c>
    </row>
    <row r="361" spans="1:42" x14ac:dyDescent="0.15">
      <c r="A361" s="8">
        <v>1167454</v>
      </c>
      <c r="B361" t="s">
        <v>36</v>
      </c>
      <c r="C361" t="s">
        <v>19</v>
      </c>
      <c r="D361" s="1">
        <v>39170</v>
      </c>
      <c r="E361" s="2">
        <v>125000</v>
      </c>
      <c r="F361" s="2">
        <v>113950</v>
      </c>
      <c r="G361" t="s">
        <v>17</v>
      </c>
      <c r="H361" s="2">
        <v>970.03</v>
      </c>
      <c r="I361" s="2">
        <v>113865.13</v>
      </c>
      <c r="J361">
        <v>0.10150000000000001</v>
      </c>
      <c r="K361">
        <v>13</v>
      </c>
      <c r="L361">
        <v>347</v>
      </c>
      <c r="M361" t="str">
        <f t="shared" si="93"/>
        <v>30 Year Fixed</v>
      </c>
      <c r="N361" s="2">
        <v>963.11</v>
      </c>
      <c r="O361" t="str">
        <f t="shared" si="90"/>
        <v>Refi</v>
      </c>
      <c r="P361" s="3">
        <f t="shared" si="94"/>
        <v>0</v>
      </c>
      <c r="Q361" s="4">
        <v>115573</v>
      </c>
      <c r="R361" s="4" t="s">
        <v>41</v>
      </c>
      <c r="S361" s="6">
        <v>594</v>
      </c>
      <c r="T361">
        <v>7.375</v>
      </c>
      <c r="U361" s="7">
        <f t="shared" si="91"/>
        <v>846.38940499933778</v>
      </c>
      <c r="V361" s="2">
        <f t="shared" si="95"/>
        <v>123.64059500066219</v>
      </c>
      <c r="W361" s="9">
        <f t="shared" si="96"/>
        <v>0</v>
      </c>
      <c r="X361" s="3">
        <v>115573</v>
      </c>
      <c r="Y361" s="3">
        <f t="shared" si="97"/>
        <v>-0.1053694581205491</v>
      </c>
      <c r="Z361" s="7">
        <f t="shared" si="98"/>
        <v>846.38940499933778</v>
      </c>
      <c r="AA361" s="2">
        <f t="shared" si="92"/>
        <v>123.64059500066219</v>
      </c>
      <c r="AB361" s="8">
        <f t="shared" si="99"/>
        <v>0</v>
      </c>
      <c r="AC361" s="10">
        <v>7.375</v>
      </c>
      <c r="AD361" s="7">
        <f t="shared" si="100"/>
        <v>846.38940499933778</v>
      </c>
      <c r="AE361" s="2">
        <f t="shared" si="101"/>
        <v>123.64059500066219</v>
      </c>
      <c r="AF361" s="10">
        <v>0</v>
      </c>
      <c r="AG361" s="3">
        <f t="shared" si="102"/>
        <v>0</v>
      </c>
      <c r="AH361" s="7">
        <v>2279</v>
      </c>
      <c r="AI361">
        <f t="shared" si="103"/>
        <v>360</v>
      </c>
      <c r="AJ361" t="e">
        <f>VLOOKUP(A361,'Borrower Details'!$A$1:$H$1493,8,FALSE)</f>
        <v>#N/A</v>
      </c>
      <c r="AK361" s="4" t="e">
        <f t="shared" si="104"/>
        <v>#N/A</v>
      </c>
      <c r="AL361" s="10">
        <v>7.375</v>
      </c>
      <c r="AM361" s="3">
        <f t="shared" si="105"/>
        <v>115573.10694999999</v>
      </c>
      <c r="AN361">
        <v>7.375</v>
      </c>
      <c r="AO361" s="7">
        <f t="shared" si="106"/>
        <v>846.39018823890819</v>
      </c>
      <c r="AP361" s="2">
        <f t="shared" si="107"/>
        <v>123.63981176109178</v>
      </c>
    </row>
    <row r="362" spans="1:42" x14ac:dyDescent="0.15">
      <c r="A362" s="8">
        <v>410097976</v>
      </c>
      <c r="B362" t="s">
        <v>35</v>
      </c>
      <c r="C362" t="s">
        <v>16</v>
      </c>
      <c r="D362" s="1">
        <v>39223</v>
      </c>
      <c r="E362" s="2">
        <v>208000</v>
      </c>
      <c r="F362" s="2">
        <v>187200</v>
      </c>
      <c r="G362" t="s">
        <v>15</v>
      </c>
      <c r="H362" s="2">
        <v>1538.7</v>
      </c>
      <c r="I362" s="2">
        <v>185982.18</v>
      </c>
      <c r="J362">
        <v>9.2399999999999996E-2</v>
      </c>
      <c r="K362">
        <v>11</v>
      </c>
      <c r="L362">
        <v>348</v>
      </c>
      <c r="M362" t="str">
        <f t="shared" si="93"/>
        <v>30 Year Fixed</v>
      </c>
      <c r="N362" s="2">
        <v>1432.06</v>
      </c>
      <c r="O362" t="str">
        <f t="shared" si="90"/>
        <v>Refi</v>
      </c>
      <c r="P362" s="3">
        <f t="shared" si="94"/>
        <v>0</v>
      </c>
      <c r="Q362" s="4">
        <v>188772</v>
      </c>
      <c r="R362" s="4" t="s">
        <v>41</v>
      </c>
      <c r="S362" s="6">
        <v>590</v>
      </c>
      <c r="T362">
        <v>7.375</v>
      </c>
      <c r="U362" s="7">
        <f t="shared" si="91"/>
        <v>1382.4562896224465</v>
      </c>
      <c r="V362" s="2">
        <f t="shared" si="95"/>
        <v>156.2437103775535</v>
      </c>
      <c r="W362" s="9">
        <f t="shared" si="96"/>
        <v>0</v>
      </c>
      <c r="X362" s="3">
        <v>188772</v>
      </c>
      <c r="Y362" s="3">
        <f t="shared" si="97"/>
        <v>8.6009852238930762E-2</v>
      </c>
      <c r="Z362" s="7">
        <f t="shared" si="98"/>
        <v>1382.4562896224465</v>
      </c>
      <c r="AA362" s="2">
        <f t="shared" si="92"/>
        <v>156.2437103775535</v>
      </c>
      <c r="AB362" s="8">
        <f t="shared" si="99"/>
        <v>0</v>
      </c>
      <c r="AC362" s="10">
        <v>7.375</v>
      </c>
      <c r="AD362" s="7">
        <f t="shared" si="100"/>
        <v>1382.4562896224465</v>
      </c>
      <c r="AE362" s="2">
        <f t="shared" si="101"/>
        <v>156.2437103775535</v>
      </c>
      <c r="AF362" s="10">
        <v>0</v>
      </c>
      <c r="AG362" s="3">
        <f t="shared" si="102"/>
        <v>0</v>
      </c>
      <c r="AH362" s="7">
        <v>8648.64</v>
      </c>
      <c r="AI362">
        <f t="shared" si="103"/>
        <v>360</v>
      </c>
      <c r="AJ362" t="e">
        <f>VLOOKUP(A362,'Borrower Details'!$A$1:$H$1493,8,FALSE)</f>
        <v>#N/A</v>
      </c>
      <c r="AK362" s="4" t="e">
        <f t="shared" si="104"/>
        <v>#N/A</v>
      </c>
      <c r="AL362" s="10">
        <v>7.375</v>
      </c>
      <c r="AM362" s="3">
        <f t="shared" si="105"/>
        <v>188771.91269999999</v>
      </c>
      <c r="AN362">
        <v>7.375</v>
      </c>
      <c r="AO362" s="7">
        <f t="shared" si="106"/>
        <v>1382.4556502880425</v>
      </c>
      <c r="AP362" s="2">
        <f t="shared" si="107"/>
        <v>156.24434971195751</v>
      </c>
    </row>
    <row r="363" spans="1:42" x14ac:dyDescent="0.15">
      <c r="A363" s="8">
        <v>1179904</v>
      </c>
      <c r="B363" t="s">
        <v>35</v>
      </c>
      <c r="C363" t="s">
        <v>16</v>
      </c>
      <c r="D363" s="1">
        <v>39182</v>
      </c>
      <c r="E363" s="2">
        <v>145000</v>
      </c>
      <c r="F363" s="2">
        <v>123250</v>
      </c>
      <c r="G363" t="s">
        <v>17</v>
      </c>
      <c r="H363" s="2">
        <v>1080.7</v>
      </c>
      <c r="I363" s="2">
        <v>122563.39</v>
      </c>
      <c r="J363">
        <v>9.9900000000000003E-2</v>
      </c>
      <c r="K363">
        <v>12</v>
      </c>
      <c r="L363">
        <v>348</v>
      </c>
      <c r="M363" t="str">
        <f t="shared" si="93"/>
        <v>30 Year Fixed</v>
      </c>
      <c r="N363" s="2">
        <v>1020.34</v>
      </c>
      <c r="O363" t="str">
        <f t="shared" si="90"/>
        <v>Refi</v>
      </c>
      <c r="P363" s="3">
        <f t="shared" si="94"/>
        <v>0</v>
      </c>
      <c r="Q363" s="4">
        <v>124402</v>
      </c>
      <c r="R363" s="4" t="s">
        <v>41</v>
      </c>
      <c r="S363" s="6">
        <v>532</v>
      </c>
      <c r="T363">
        <v>7.625</v>
      </c>
      <c r="U363" s="7">
        <f t="shared" si="91"/>
        <v>932.34374300676143</v>
      </c>
      <c r="V363" s="2">
        <f t="shared" si="95"/>
        <v>148.35625699323862</v>
      </c>
      <c r="W363" s="9">
        <f t="shared" si="96"/>
        <v>0</v>
      </c>
      <c r="X363" s="3">
        <v>124402</v>
      </c>
      <c r="Y363" s="3">
        <f t="shared" si="97"/>
        <v>0.15679802956583444</v>
      </c>
      <c r="Z363" s="7">
        <f t="shared" si="98"/>
        <v>932.34374300676143</v>
      </c>
      <c r="AA363" s="2">
        <f t="shared" si="92"/>
        <v>148.35625699323862</v>
      </c>
      <c r="AB363" s="8">
        <f t="shared" si="99"/>
        <v>0</v>
      </c>
      <c r="AC363" s="10">
        <v>7.625</v>
      </c>
      <c r="AD363" s="7">
        <f t="shared" si="100"/>
        <v>932.34374300676143</v>
      </c>
      <c r="AE363" s="2">
        <f t="shared" si="101"/>
        <v>148.35625699323862</v>
      </c>
      <c r="AF363" s="10">
        <v>0</v>
      </c>
      <c r="AG363" s="3">
        <f t="shared" si="102"/>
        <v>0</v>
      </c>
      <c r="AH363" s="7">
        <v>6156.3375000000015</v>
      </c>
      <c r="AI363">
        <f t="shared" si="103"/>
        <v>360</v>
      </c>
      <c r="AJ363" t="e">
        <f>VLOOKUP(A363,'Borrower Details'!$A$1:$H$1493,8,FALSE)</f>
        <v>#N/A</v>
      </c>
      <c r="AK363" s="4" t="e">
        <f t="shared" si="104"/>
        <v>#N/A</v>
      </c>
      <c r="AL363" s="10">
        <v>7.625</v>
      </c>
      <c r="AM363" s="3">
        <f t="shared" si="105"/>
        <v>124401.84084999999</v>
      </c>
      <c r="AN363">
        <v>7.625</v>
      </c>
      <c r="AO363" s="7">
        <f t="shared" si="106"/>
        <v>932.34255024051413</v>
      </c>
      <c r="AP363" s="2">
        <f t="shared" si="107"/>
        <v>148.35744975948592</v>
      </c>
    </row>
    <row r="364" spans="1:42" x14ac:dyDescent="0.15">
      <c r="A364" s="8">
        <v>411161680</v>
      </c>
      <c r="B364" t="s">
        <v>37</v>
      </c>
      <c r="C364" t="s">
        <v>18</v>
      </c>
      <c r="D364" s="1">
        <v>39443</v>
      </c>
      <c r="E364" s="2">
        <v>190000</v>
      </c>
      <c r="F364" s="2">
        <v>169200</v>
      </c>
      <c r="G364" t="s">
        <v>17</v>
      </c>
      <c r="H364" s="2">
        <v>1649.81</v>
      </c>
      <c r="I364" s="2">
        <v>168904.51</v>
      </c>
      <c r="J364">
        <v>0.113</v>
      </c>
      <c r="K364">
        <v>4</v>
      </c>
      <c r="L364">
        <v>355</v>
      </c>
      <c r="M364" t="str">
        <f t="shared" si="93"/>
        <v>30 Year Fixed</v>
      </c>
      <c r="N364" s="2">
        <v>1591.07</v>
      </c>
      <c r="O364" t="str">
        <f t="shared" si="90"/>
        <v>Refi</v>
      </c>
      <c r="P364" s="3">
        <f t="shared" si="94"/>
        <v>0</v>
      </c>
      <c r="Q364" s="4">
        <v>171438</v>
      </c>
      <c r="R364" s="4" t="s">
        <v>41</v>
      </c>
      <c r="S364" s="6">
        <v>594</v>
      </c>
      <c r="T364">
        <v>7.375</v>
      </c>
      <c r="U364" s="7">
        <f t="shared" si="91"/>
        <v>1255.5121595379242</v>
      </c>
      <c r="V364" s="2">
        <f t="shared" si="95"/>
        <v>394.29784046207578</v>
      </c>
      <c r="W364" s="9">
        <f t="shared" si="96"/>
        <v>0</v>
      </c>
      <c r="X364" s="3">
        <v>171439</v>
      </c>
      <c r="Y364" s="3">
        <f t="shared" si="97"/>
        <v>0.90871921181678772</v>
      </c>
      <c r="Z364" s="7">
        <f t="shared" si="98"/>
        <v>1255.5194829560667</v>
      </c>
      <c r="AA364" s="2">
        <f t="shared" si="92"/>
        <v>394.29051704393328</v>
      </c>
      <c r="AB364" s="8">
        <f t="shared" si="99"/>
        <v>0</v>
      </c>
      <c r="AC364" s="10">
        <v>7.375</v>
      </c>
      <c r="AD364" s="7">
        <f t="shared" si="100"/>
        <v>1255.5194829560667</v>
      </c>
      <c r="AE364" s="2">
        <f t="shared" si="101"/>
        <v>394.29051704393328</v>
      </c>
      <c r="AF364" s="10">
        <v>0</v>
      </c>
      <c r="AG364" s="3">
        <f t="shared" si="102"/>
        <v>0</v>
      </c>
      <c r="AH364" s="7">
        <v>1692</v>
      </c>
      <c r="AI364">
        <f t="shared" si="103"/>
        <v>360</v>
      </c>
      <c r="AJ364" t="e">
        <f>VLOOKUP(A364,'Borrower Details'!$A$1:$H$1493,8,FALSE)</f>
        <v>#N/A</v>
      </c>
      <c r="AK364" s="4" t="e">
        <f t="shared" si="104"/>
        <v>#N/A</v>
      </c>
      <c r="AL364" s="10">
        <v>7.375</v>
      </c>
      <c r="AM364" s="3">
        <f t="shared" si="105"/>
        <v>171438.07764999999</v>
      </c>
      <c r="AN364">
        <v>7.375</v>
      </c>
      <c r="AO364" s="7">
        <f t="shared" si="106"/>
        <v>1255.5127282013427</v>
      </c>
      <c r="AP364" s="2">
        <f t="shared" si="107"/>
        <v>394.29727179865722</v>
      </c>
    </row>
    <row r="365" spans="1:42" x14ac:dyDescent="0.15">
      <c r="A365" s="8">
        <v>1148007</v>
      </c>
      <c r="B365" t="s">
        <v>35</v>
      </c>
      <c r="C365" t="s">
        <v>16</v>
      </c>
      <c r="D365" s="1">
        <v>39153</v>
      </c>
      <c r="E365" s="2">
        <v>210000</v>
      </c>
      <c r="F365" s="2">
        <v>189000</v>
      </c>
      <c r="G365" t="s">
        <v>17</v>
      </c>
      <c r="H365" s="2">
        <v>1367.11</v>
      </c>
      <c r="I365" s="2">
        <v>187373.48</v>
      </c>
      <c r="J365">
        <v>7.85E-2</v>
      </c>
      <c r="K365">
        <v>13</v>
      </c>
      <c r="L365">
        <v>348</v>
      </c>
      <c r="M365" t="str">
        <f t="shared" si="93"/>
        <v>30 Year Fixed</v>
      </c>
      <c r="N365" s="2">
        <v>1226.6500000000001</v>
      </c>
      <c r="O365" t="str">
        <f t="shared" si="90"/>
        <v>Refi</v>
      </c>
      <c r="P365" s="3">
        <f t="shared" si="94"/>
        <v>0</v>
      </c>
      <c r="Q365" s="4">
        <v>190184</v>
      </c>
      <c r="R365" s="4" t="s">
        <v>41</v>
      </c>
      <c r="S365" s="6">
        <v>630</v>
      </c>
      <c r="T365">
        <v>6.75</v>
      </c>
      <c r="U365" s="7">
        <f t="shared" si="91"/>
        <v>1312.7731373106251</v>
      </c>
      <c r="V365" s="2">
        <f t="shared" si="95"/>
        <v>54.336862689374811</v>
      </c>
      <c r="W365" s="9">
        <f t="shared" si="96"/>
        <v>0</v>
      </c>
      <c r="X365" s="3">
        <v>190184</v>
      </c>
      <c r="Y365" s="3">
        <f t="shared" si="97"/>
        <v>-8.0985221662558615E-2</v>
      </c>
      <c r="Z365" s="7">
        <f t="shared" si="98"/>
        <v>1312.7731373106251</v>
      </c>
      <c r="AA365" s="2">
        <f t="shared" si="92"/>
        <v>54.336862689374811</v>
      </c>
      <c r="AB365" s="8">
        <f t="shared" si="99"/>
        <v>1</v>
      </c>
      <c r="AC365" s="10">
        <v>6.125</v>
      </c>
      <c r="AD365" s="7">
        <f t="shared" si="100"/>
        <v>1234.821361929472</v>
      </c>
      <c r="AE365" s="2">
        <f t="shared" si="101"/>
        <v>132.2886380705279</v>
      </c>
      <c r="AF365" s="10">
        <v>3</v>
      </c>
      <c r="AG365" s="3">
        <f t="shared" si="102"/>
        <v>5705.52</v>
      </c>
      <c r="AH365" s="7">
        <v>7418.25</v>
      </c>
      <c r="AI365">
        <f t="shared" si="103"/>
        <v>360</v>
      </c>
      <c r="AJ365" t="e">
        <f>VLOOKUP(A365,'Borrower Details'!$A$1:$H$1493,8,FALSE)</f>
        <v>#N/A</v>
      </c>
      <c r="AK365" s="4" t="e">
        <f t="shared" si="104"/>
        <v>#N/A</v>
      </c>
      <c r="AL365" s="10">
        <v>6.75</v>
      </c>
      <c r="AM365" s="3">
        <f t="shared" si="105"/>
        <v>190184.0822</v>
      </c>
      <c r="AN365">
        <v>6.75</v>
      </c>
      <c r="AO365" s="7">
        <f t="shared" si="106"/>
        <v>1312.7737047082605</v>
      </c>
      <c r="AP365" s="2">
        <f t="shared" si="107"/>
        <v>54.336295291739361</v>
      </c>
    </row>
    <row r="366" spans="1:42" x14ac:dyDescent="0.15">
      <c r="A366" s="8">
        <v>1127173</v>
      </c>
      <c r="B366" t="s">
        <v>35</v>
      </c>
      <c r="C366" t="s">
        <v>16</v>
      </c>
      <c r="D366" s="1">
        <v>39141</v>
      </c>
      <c r="E366" s="2">
        <v>91000</v>
      </c>
      <c r="F366" s="2">
        <v>86450</v>
      </c>
      <c r="G366" t="s">
        <v>15</v>
      </c>
      <c r="H366" s="2">
        <v>699.2</v>
      </c>
      <c r="I366" s="2">
        <v>86057.04</v>
      </c>
      <c r="J366">
        <v>9.6250000000000002E-2</v>
      </c>
      <c r="K366">
        <v>14</v>
      </c>
      <c r="L366">
        <v>349</v>
      </c>
      <c r="M366" t="str">
        <f t="shared" si="93"/>
        <v>30 Year Fixed</v>
      </c>
      <c r="N366" s="2">
        <v>690.25</v>
      </c>
      <c r="O366" t="str">
        <f t="shared" si="90"/>
        <v>Refi</v>
      </c>
      <c r="P366" s="3">
        <f t="shared" si="94"/>
        <v>0</v>
      </c>
      <c r="Q366" s="4">
        <v>87348</v>
      </c>
      <c r="R366" s="4" t="s">
        <v>41</v>
      </c>
      <c r="S366" s="6">
        <v>584</v>
      </c>
      <c r="T366">
        <v>7.625</v>
      </c>
      <c r="U366" s="7">
        <f t="shared" si="91"/>
        <v>654.63868156584783</v>
      </c>
      <c r="V366" s="2">
        <f t="shared" si="95"/>
        <v>44.561318434152213</v>
      </c>
      <c r="W366" s="9">
        <f t="shared" si="96"/>
        <v>0</v>
      </c>
      <c r="X366" s="3">
        <v>87348</v>
      </c>
      <c r="Y366" s="3">
        <f t="shared" si="97"/>
        <v>0.10285714287601877</v>
      </c>
      <c r="Z366" s="7">
        <f t="shared" si="98"/>
        <v>654.63868156584783</v>
      </c>
      <c r="AA366" s="2">
        <f t="shared" si="92"/>
        <v>44.561318434152213</v>
      </c>
      <c r="AB366" s="8">
        <f t="shared" si="99"/>
        <v>1</v>
      </c>
      <c r="AC366" s="10">
        <v>6.875</v>
      </c>
      <c r="AD366" s="7">
        <f t="shared" si="100"/>
        <v>610.20918016928999</v>
      </c>
      <c r="AE366" s="2">
        <f t="shared" si="101"/>
        <v>88.990819830710052</v>
      </c>
      <c r="AF366" s="10">
        <v>1</v>
      </c>
      <c r="AG366" s="3">
        <f t="shared" si="102"/>
        <v>873.48</v>
      </c>
      <c r="AH366" s="7">
        <v>4160.40625</v>
      </c>
      <c r="AI366">
        <f t="shared" si="103"/>
        <v>360</v>
      </c>
      <c r="AJ366" t="e">
        <f>VLOOKUP(A366,'Borrower Details'!$A$1:$H$1493,8,FALSE)</f>
        <v>#N/A</v>
      </c>
      <c r="AK366" s="4" t="e">
        <f t="shared" si="104"/>
        <v>#N/A</v>
      </c>
      <c r="AL366" s="10">
        <v>7.625</v>
      </c>
      <c r="AM366" s="3">
        <f t="shared" si="105"/>
        <v>87347.895599999989</v>
      </c>
      <c r="AN366">
        <v>7.625</v>
      </c>
      <c r="AO366" s="7">
        <f t="shared" si="106"/>
        <v>654.6378991291765</v>
      </c>
      <c r="AP366" s="2">
        <f t="shared" si="107"/>
        <v>44.562100870823542</v>
      </c>
    </row>
    <row r="367" spans="1:42" x14ac:dyDescent="0.15">
      <c r="A367" s="8">
        <v>1170671</v>
      </c>
      <c r="B367" t="s">
        <v>36</v>
      </c>
      <c r="C367" t="s">
        <v>19</v>
      </c>
      <c r="D367" s="1">
        <v>39206</v>
      </c>
      <c r="E367" s="2">
        <v>162000</v>
      </c>
      <c r="F367" s="2">
        <v>137700</v>
      </c>
      <c r="G367" t="s">
        <v>15</v>
      </c>
      <c r="H367" s="2">
        <v>1172.96</v>
      </c>
      <c r="I367" s="2">
        <v>137016.35</v>
      </c>
      <c r="J367">
        <v>9.6500000000000002E-2</v>
      </c>
      <c r="K367">
        <v>12</v>
      </c>
      <c r="L367">
        <v>350</v>
      </c>
      <c r="M367" t="str">
        <f t="shared" si="93"/>
        <v>30 Year Fixed</v>
      </c>
      <c r="N367" s="2">
        <v>1101.8399999999999</v>
      </c>
      <c r="O367" t="str">
        <f t="shared" si="90"/>
        <v>Refi</v>
      </c>
      <c r="P367" s="3">
        <f t="shared" si="94"/>
        <v>0</v>
      </c>
      <c r="Q367" s="4">
        <v>139072</v>
      </c>
      <c r="R367" s="4" t="s">
        <v>41</v>
      </c>
      <c r="S367" s="6">
        <v>532</v>
      </c>
      <c r="T367">
        <v>7.625</v>
      </c>
      <c r="U367" s="7">
        <f t="shared" si="91"/>
        <v>1042.2895855969866</v>
      </c>
      <c r="V367" s="2">
        <f t="shared" si="95"/>
        <v>130.67041440301341</v>
      </c>
      <c r="W367" s="9">
        <f t="shared" si="96"/>
        <v>0</v>
      </c>
      <c r="X367" s="3">
        <v>139072</v>
      </c>
      <c r="Y367" s="3">
        <f t="shared" si="97"/>
        <v>0.39876847292180173</v>
      </c>
      <c r="Z367" s="7">
        <f t="shared" si="98"/>
        <v>1042.2895855969866</v>
      </c>
      <c r="AA367" s="2">
        <f t="shared" si="92"/>
        <v>130.67041440301341</v>
      </c>
      <c r="AB367" s="8">
        <f t="shared" si="99"/>
        <v>0</v>
      </c>
      <c r="AC367" s="10">
        <v>7.625</v>
      </c>
      <c r="AD367" s="7">
        <f t="shared" si="100"/>
        <v>1042.2895855969866</v>
      </c>
      <c r="AE367" s="2">
        <f t="shared" si="101"/>
        <v>130.67041440301341</v>
      </c>
      <c r="AF367" s="10">
        <v>0</v>
      </c>
      <c r="AG367" s="3">
        <f t="shared" si="102"/>
        <v>0</v>
      </c>
      <c r="AH367" s="7">
        <v>2754</v>
      </c>
      <c r="AI367">
        <f t="shared" si="103"/>
        <v>360</v>
      </c>
      <c r="AJ367" t="e">
        <f>VLOOKUP(A367,'Borrower Details'!$A$1:$H$1493,8,FALSE)</f>
        <v>#N/A</v>
      </c>
      <c r="AK367" s="4" t="e">
        <f t="shared" si="104"/>
        <v>#N/A</v>
      </c>
      <c r="AL367" s="10">
        <v>7.625</v>
      </c>
      <c r="AM367" s="3">
        <f t="shared" si="105"/>
        <v>139071.59524999998</v>
      </c>
      <c r="AN367">
        <v>7.625</v>
      </c>
      <c r="AO367" s="7">
        <f t="shared" si="106"/>
        <v>1042.2865521559647</v>
      </c>
      <c r="AP367" s="2">
        <f t="shared" si="107"/>
        <v>130.67344784403531</v>
      </c>
    </row>
    <row r="368" spans="1:42" x14ac:dyDescent="0.15">
      <c r="A368" s="8">
        <v>410657761</v>
      </c>
      <c r="B368" t="s">
        <v>35</v>
      </c>
      <c r="C368" t="s">
        <v>16</v>
      </c>
      <c r="D368" s="1">
        <v>39322</v>
      </c>
      <c r="E368" s="2">
        <v>130000</v>
      </c>
      <c r="F368" s="2">
        <v>117000</v>
      </c>
      <c r="G368" t="s">
        <v>20</v>
      </c>
      <c r="H368" s="2">
        <v>1134.54</v>
      </c>
      <c r="I368" s="2">
        <v>116978.25</v>
      </c>
      <c r="J368">
        <v>0.11600000000000001</v>
      </c>
      <c r="K368">
        <v>8</v>
      </c>
      <c r="L368">
        <v>354</v>
      </c>
      <c r="M368" t="str">
        <f t="shared" si="93"/>
        <v>30 Year Fixed</v>
      </c>
      <c r="N368" s="2">
        <v>1130.79</v>
      </c>
      <c r="O368" t="str">
        <f t="shared" si="90"/>
        <v>Refi</v>
      </c>
      <c r="P368" s="3">
        <f t="shared" si="94"/>
        <v>0</v>
      </c>
      <c r="Q368" s="4">
        <v>118733</v>
      </c>
      <c r="R368" s="4" t="s">
        <v>41</v>
      </c>
      <c r="S368" s="6">
        <v>564</v>
      </c>
      <c r="T368">
        <v>7.625</v>
      </c>
      <c r="U368" s="7">
        <f t="shared" si="91"/>
        <v>889.85683219258374</v>
      </c>
      <c r="V368" s="2">
        <f t="shared" si="95"/>
        <v>244.68316780741623</v>
      </c>
      <c r="W368" s="9">
        <f t="shared" si="96"/>
        <v>0</v>
      </c>
      <c r="X368" s="3">
        <v>118733</v>
      </c>
      <c r="Y368" s="3">
        <f t="shared" si="97"/>
        <v>7.5123152724700049E-2</v>
      </c>
      <c r="Z368" s="7">
        <f t="shared" si="98"/>
        <v>889.85683219258374</v>
      </c>
      <c r="AA368" s="2">
        <f t="shared" si="92"/>
        <v>244.68316780741623</v>
      </c>
      <c r="AB368" s="8">
        <f t="shared" si="99"/>
        <v>0</v>
      </c>
      <c r="AC368" s="10">
        <v>7.625</v>
      </c>
      <c r="AD368" s="7">
        <f t="shared" si="100"/>
        <v>889.85683219258374</v>
      </c>
      <c r="AE368" s="2">
        <f t="shared" si="101"/>
        <v>244.68316780741623</v>
      </c>
      <c r="AF368" s="10">
        <v>0</v>
      </c>
      <c r="AG368" s="3">
        <f t="shared" si="102"/>
        <v>0</v>
      </c>
      <c r="AH368" s="7">
        <v>6786</v>
      </c>
      <c r="AI368">
        <f t="shared" si="103"/>
        <v>360</v>
      </c>
      <c r="AJ368" t="e">
        <f>VLOOKUP(A368,'Borrower Details'!$A$1:$H$1493,8,FALSE)</f>
        <v>#N/A</v>
      </c>
      <c r="AK368" s="4" t="e">
        <f t="shared" si="104"/>
        <v>#N/A</v>
      </c>
      <c r="AL368" s="10">
        <v>7.625</v>
      </c>
      <c r="AM368" s="3">
        <f t="shared" si="105"/>
        <v>118732.92374999999</v>
      </c>
      <c r="AN368">
        <v>7.625</v>
      </c>
      <c r="AO368" s="7">
        <f t="shared" si="106"/>
        <v>889.8562607290188</v>
      </c>
      <c r="AP368" s="2">
        <f t="shared" si="107"/>
        <v>244.68373927098116</v>
      </c>
    </row>
    <row r="369" spans="1:42" x14ac:dyDescent="0.15">
      <c r="A369" s="8">
        <v>1155782</v>
      </c>
      <c r="B369" t="s">
        <v>35</v>
      </c>
      <c r="C369" t="s">
        <v>16</v>
      </c>
      <c r="D369" s="1">
        <v>39148</v>
      </c>
      <c r="E369" s="2">
        <v>73000</v>
      </c>
      <c r="F369" s="2">
        <v>57600</v>
      </c>
      <c r="G369" t="s">
        <v>15</v>
      </c>
      <c r="H369" s="2">
        <v>514.88</v>
      </c>
      <c r="I369" s="2">
        <v>57319.78</v>
      </c>
      <c r="J369">
        <v>0.1022</v>
      </c>
      <c r="K369">
        <v>13</v>
      </c>
      <c r="L369">
        <v>349</v>
      </c>
      <c r="M369" t="str">
        <f t="shared" si="93"/>
        <v>30 Year Fixed</v>
      </c>
      <c r="N369" s="2">
        <v>488.17</v>
      </c>
      <c r="O369" t="str">
        <f t="shared" si="90"/>
        <v>Cash Out</v>
      </c>
      <c r="P369" s="3">
        <f t="shared" si="94"/>
        <v>3813.224926108378</v>
      </c>
      <c r="Q369" s="4">
        <v>62050</v>
      </c>
      <c r="R369" s="4" t="s">
        <v>41</v>
      </c>
      <c r="S369" s="6">
        <v>540</v>
      </c>
      <c r="T369">
        <v>7.625</v>
      </c>
      <c r="U369" s="7">
        <f t="shared" si="91"/>
        <v>465.04018627971857</v>
      </c>
      <c r="V369" s="2">
        <f t="shared" si="95"/>
        <v>49.839813720281427</v>
      </c>
      <c r="W369" s="9">
        <f t="shared" si="96"/>
        <v>0</v>
      </c>
      <c r="X369" s="3">
        <v>62050</v>
      </c>
      <c r="Y369" s="3">
        <f t="shared" si="97"/>
        <v>3813.224926108378</v>
      </c>
      <c r="Z369" s="7">
        <f t="shared" si="98"/>
        <v>465.04018627971857</v>
      </c>
      <c r="AA369" s="2">
        <f t="shared" si="92"/>
        <v>49.839813720281427</v>
      </c>
      <c r="AB369" s="8">
        <f t="shared" si="99"/>
        <v>0</v>
      </c>
      <c r="AC369" s="10">
        <v>7.625</v>
      </c>
      <c r="AD369" s="7">
        <f t="shared" si="100"/>
        <v>465.04018627971857</v>
      </c>
      <c r="AE369" s="2">
        <f t="shared" si="101"/>
        <v>49.839813720281427</v>
      </c>
      <c r="AF369" s="10">
        <v>0</v>
      </c>
      <c r="AG369" s="3">
        <f t="shared" si="102"/>
        <v>0</v>
      </c>
      <c r="AH369" s="7">
        <v>2943.36</v>
      </c>
      <c r="AI369">
        <f t="shared" si="103"/>
        <v>360</v>
      </c>
      <c r="AJ369" t="e">
        <f>VLOOKUP(A369,'Borrower Details'!$A$1:$H$1493,8,FALSE)</f>
        <v>#N/A</v>
      </c>
      <c r="AK369" s="4" t="e">
        <f t="shared" si="104"/>
        <v>#N/A</v>
      </c>
      <c r="AL369" s="10">
        <v>7.625</v>
      </c>
      <c r="AM369" s="3">
        <f t="shared" si="105"/>
        <v>58179.576699999991</v>
      </c>
      <c r="AN369">
        <v>7.625</v>
      </c>
      <c r="AO369" s="7">
        <f t="shared" si="106"/>
        <v>436.03289582986571</v>
      </c>
      <c r="AP369" s="2">
        <f t="shared" si="107"/>
        <v>78.847104170134287</v>
      </c>
    </row>
    <row r="370" spans="1:42" x14ac:dyDescent="0.15">
      <c r="A370" s="8">
        <v>410515811</v>
      </c>
      <c r="B370" t="s">
        <v>38</v>
      </c>
      <c r="C370" t="s">
        <v>19</v>
      </c>
      <c r="D370" s="1">
        <v>39279</v>
      </c>
      <c r="E370" s="2">
        <v>139000</v>
      </c>
      <c r="F370" s="2">
        <v>125100</v>
      </c>
      <c r="G370" t="s">
        <v>17</v>
      </c>
      <c r="H370" s="2">
        <v>1177.2</v>
      </c>
      <c r="I370" s="2">
        <v>124669.9</v>
      </c>
      <c r="J370">
        <v>0.1085</v>
      </c>
      <c r="K370">
        <v>9</v>
      </c>
      <c r="L370">
        <v>351</v>
      </c>
      <c r="M370" t="str">
        <f t="shared" si="93"/>
        <v>30 Year Fixed</v>
      </c>
      <c r="N370" s="2">
        <v>1127.22</v>
      </c>
      <c r="O370" t="str">
        <f t="shared" si="90"/>
        <v>Refi</v>
      </c>
      <c r="P370" s="3">
        <f t="shared" si="94"/>
        <v>0</v>
      </c>
      <c r="Q370" s="4">
        <v>126540</v>
      </c>
      <c r="R370" s="4" t="s">
        <v>41</v>
      </c>
      <c r="S370" s="6">
        <v>575</v>
      </c>
      <c r="T370">
        <v>7.625</v>
      </c>
      <c r="U370" s="7">
        <f t="shared" si="91"/>
        <v>948.36720663715687</v>
      </c>
      <c r="V370" s="2">
        <f t="shared" si="95"/>
        <v>228.83279336284318</v>
      </c>
      <c r="W370" s="9">
        <f t="shared" si="96"/>
        <v>0</v>
      </c>
      <c r="X370" s="3">
        <v>126540</v>
      </c>
      <c r="Y370" s="3">
        <f t="shared" si="97"/>
        <v>5.0738916266709566E-2</v>
      </c>
      <c r="Z370" s="7">
        <f t="shared" si="98"/>
        <v>948.36720663715687</v>
      </c>
      <c r="AA370" s="2">
        <f t="shared" si="92"/>
        <v>228.83279336284318</v>
      </c>
      <c r="AB370" s="8">
        <f t="shared" si="99"/>
        <v>0</v>
      </c>
      <c r="AC370" s="10">
        <v>7.625</v>
      </c>
      <c r="AD370" s="7">
        <f t="shared" si="100"/>
        <v>948.36720663715687</v>
      </c>
      <c r="AE370" s="2">
        <f t="shared" si="101"/>
        <v>228.83279336284318</v>
      </c>
      <c r="AF370" s="10">
        <v>0</v>
      </c>
      <c r="AG370" s="3">
        <f t="shared" si="102"/>
        <v>0</v>
      </c>
      <c r="AH370" s="7">
        <v>0</v>
      </c>
      <c r="AI370">
        <f t="shared" si="103"/>
        <v>360</v>
      </c>
      <c r="AJ370" t="e">
        <f>VLOOKUP(A370,'Borrower Details'!$A$1:$H$1493,8,FALSE)</f>
        <v>#N/A</v>
      </c>
      <c r="AK370" s="4" t="e">
        <f t="shared" si="104"/>
        <v>#N/A</v>
      </c>
      <c r="AL370" s="10">
        <v>7.625</v>
      </c>
      <c r="AM370" s="3">
        <f t="shared" si="105"/>
        <v>126539.94849999998</v>
      </c>
      <c r="AN370">
        <v>7.625</v>
      </c>
      <c r="AO370" s="7">
        <f t="shared" si="106"/>
        <v>948.36682066504409</v>
      </c>
      <c r="AP370" s="2">
        <f t="shared" si="107"/>
        <v>228.83317933495596</v>
      </c>
    </row>
    <row r="371" spans="1:42" x14ac:dyDescent="0.15">
      <c r="A371" s="8">
        <v>411213325</v>
      </c>
      <c r="B371" t="s">
        <v>37</v>
      </c>
      <c r="C371" t="s">
        <v>16</v>
      </c>
      <c r="D371" s="1">
        <v>39449</v>
      </c>
      <c r="E371" s="2">
        <v>177000</v>
      </c>
      <c r="F371" s="2">
        <v>159300</v>
      </c>
      <c r="G371" t="s">
        <v>17</v>
      </c>
      <c r="H371" s="2">
        <v>1614.1</v>
      </c>
      <c r="I371" s="2">
        <v>159155.64000000001</v>
      </c>
      <c r="J371">
        <v>0.11799999999999999</v>
      </c>
      <c r="K371">
        <v>3</v>
      </c>
      <c r="L371">
        <v>357</v>
      </c>
      <c r="M371" t="str">
        <f t="shared" si="93"/>
        <v>30 Year Fixed</v>
      </c>
      <c r="N371" s="2">
        <v>1565.03</v>
      </c>
      <c r="O371" t="str">
        <f t="shared" si="90"/>
        <v>Refi</v>
      </c>
      <c r="P371" s="3">
        <f t="shared" si="94"/>
        <v>0</v>
      </c>
      <c r="Q371" s="4">
        <v>161543</v>
      </c>
      <c r="R371" s="4" t="s">
        <v>41</v>
      </c>
      <c r="S371" s="6">
        <v>594</v>
      </c>
      <c r="T371">
        <v>7.375</v>
      </c>
      <c r="U371" s="7">
        <f t="shared" si="91"/>
        <v>1183.0469370165008</v>
      </c>
      <c r="V371" s="2">
        <f t="shared" si="95"/>
        <v>431.0530629834991</v>
      </c>
      <c r="W371" s="9">
        <f t="shared" si="96"/>
        <v>0</v>
      </c>
      <c r="X371" s="3">
        <v>161543</v>
      </c>
      <c r="Y371" s="3">
        <f t="shared" si="97"/>
        <v>2.5024630536790937E-2</v>
      </c>
      <c r="Z371" s="7">
        <f t="shared" si="98"/>
        <v>1183.0469370165008</v>
      </c>
      <c r="AA371" s="2">
        <f t="shared" si="92"/>
        <v>431.0530629834991</v>
      </c>
      <c r="AB371" s="8">
        <f t="shared" si="99"/>
        <v>0</v>
      </c>
      <c r="AC371" s="10">
        <v>7.375</v>
      </c>
      <c r="AD371" s="7">
        <f t="shared" si="100"/>
        <v>1183.0469370165008</v>
      </c>
      <c r="AE371" s="2">
        <f t="shared" si="101"/>
        <v>431.0530629834991</v>
      </c>
      <c r="AF371" s="10">
        <v>0</v>
      </c>
      <c r="AG371" s="3">
        <f t="shared" si="102"/>
        <v>0</v>
      </c>
      <c r="AH371" s="7">
        <v>1593</v>
      </c>
      <c r="AI371">
        <f t="shared" si="103"/>
        <v>360</v>
      </c>
      <c r="AJ371" t="e">
        <f>VLOOKUP(A371,'Borrower Details'!$A$1:$H$1493,8,FALSE)</f>
        <v>#N/A</v>
      </c>
      <c r="AK371" s="4" t="e">
        <f t="shared" si="104"/>
        <v>#N/A</v>
      </c>
      <c r="AL371" s="10">
        <v>7.375</v>
      </c>
      <c r="AM371" s="3">
        <f t="shared" si="105"/>
        <v>161542.97459999999</v>
      </c>
      <c r="AN371">
        <v>7.375</v>
      </c>
      <c r="AO371" s="7">
        <f t="shared" si="106"/>
        <v>1183.0467510016797</v>
      </c>
      <c r="AP371" s="2">
        <f t="shared" si="107"/>
        <v>431.05324899832021</v>
      </c>
    </row>
    <row r="372" spans="1:42" x14ac:dyDescent="0.15">
      <c r="A372" s="8">
        <v>410758163</v>
      </c>
      <c r="B372" t="s">
        <v>35</v>
      </c>
      <c r="C372" t="s">
        <v>16</v>
      </c>
      <c r="D372" s="1">
        <v>39318</v>
      </c>
      <c r="E372" s="2">
        <v>117000</v>
      </c>
      <c r="F372" s="2">
        <v>81900</v>
      </c>
      <c r="G372" t="s">
        <v>17</v>
      </c>
      <c r="H372" s="2">
        <v>691.65</v>
      </c>
      <c r="I372" s="2">
        <v>81572.08</v>
      </c>
      <c r="J372">
        <v>9.5500000000000002E-2</v>
      </c>
      <c r="K372">
        <v>8</v>
      </c>
      <c r="L372">
        <v>352</v>
      </c>
      <c r="M372" t="str">
        <f t="shared" si="93"/>
        <v>30 Year Fixed</v>
      </c>
      <c r="N372" s="2">
        <v>649.17999999999995</v>
      </c>
      <c r="O372" t="str">
        <f t="shared" si="90"/>
        <v>Cash Out</v>
      </c>
      <c r="P372" s="3">
        <f t="shared" si="94"/>
        <v>16408.215566502477</v>
      </c>
      <c r="Q372" s="4">
        <v>99450</v>
      </c>
      <c r="R372" s="4" t="s">
        <v>41</v>
      </c>
      <c r="S372" s="6">
        <v>527</v>
      </c>
      <c r="T372">
        <v>7.625</v>
      </c>
      <c r="U372" s="7">
        <f t="shared" si="91"/>
        <v>745.33838074968594</v>
      </c>
      <c r="V372" s="2">
        <f t="shared" si="95"/>
        <v>-53.688380749685962</v>
      </c>
      <c r="W372" s="9">
        <f t="shared" si="96"/>
        <v>1</v>
      </c>
      <c r="X372" s="3">
        <v>92210</v>
      </c>
      <c r="Y372" s="3">
        <f t="shared" si="97"/>
        <v>9275.2106403940998</v>
      </c>
      <c r="Z372" s="7">
        <f t="shared" si="98"/>
        <v>691.07744684694353</v>
      </c>
      <c r="AA372" s="2">
        <f t="shared" si="92"/>
        <v>0.57255315305644672</v>
      </c>
      <c r="AB372" s="8">
        <f t="shared" si="99"/>
        <v>0</v>
      </c>
      <c r="AC372" s="10">
        <v>7.625</v>
      </c>
      <c r="AD372" s="7">
        <f t="shared" si="100"/>
        <v>691.07744684694353</v>
      </c>
      <c r="AE372" s="2">
        <f t="shared" si="101"/>
        <v>0.57255315305644672</v>
      </c>
      <c r="AF372" s="10">
        <v>0</v>
      </c>
      <c r="AG372" s="3">
        <f t="shared" si="102"/>
        <v>0</v>
      </c>
      <c r="AH372" s="7">
        <v>3910.7249999999999</v>
      </c>
      <c r="AI372">
        <f t="shared" si="103"/>
        <v>360</v>
      </c>
      <c r="AJ372" t="e">
        <f>VLOOKUP(A372,'Borrower Details'!$A$1:$H$1493,8,FALSE)</f>
        <v>#N/A</v>
      </c>
      <c r="AK372" s="4" t="e">
        <f t="shared" si="104"/>
        <v>#N/A</v>
      </c>
      <c r="AL372" s="10">
        <v>7.625</v>
      </c>
      <c r="AM372" s="3">
        <f t="shared" si="105"/>
        <v>82795.661199999988</v>
      </c>
      <c r="AN372">
        <v>7.625</v>
      </c>
      <c r="AO372" s="7">
        <f t="shared" si="106"/>
        <v>620.52070439323859</v>
      </c>
      <c r="AP372" s="2">
        <f t="shared" si="107"/>
        <v>71.129295606761389</v>
      </c>
    </row>
    <row r="373" spans="1:42" x14ac:dyDescent="0.15">
      <c r="A373" s="8">
        <v>411178817</v>
      </c>
      <c r="B373" t="s">
        <v>38</v>
      </c>
      <c r="C373" t="s">
        <v>16</v>
      </c>
      <c r="D373" s="1">
        <v>39433</v>
      </c>
      <c r="E373" s="2">
        <v>67500</v>
      </c>
      <c r="F373" s="2">
        <v>60750</v>
      </c>
      <c r="G373" t="s">
        <v>17</v>
      </c>
      <c r="H373" s="2">
        <v>585.44000000000005</v>
      </c>
      <c r="I373" s="2">
        <v>60462.39</v>
      </c>
      <c r="J373">
        <v>0.1115</v>
      </c>
      <c r="K373">
        <v>4</v>
      </c>
      <c r="L373">
        <v>356</v>
      </c>
      <c r="M373" t="str">
        <f t="shared" si="93"/>
        <v>30 Year Fixed</v>
      </c>
      <c r="N373" s="2">
        <v>561.79999999999995</v>
      </c>
      <c r="O373" t="str">
        <f t="shared" si="90"/>
        <v>Refi</v>
      </c>
      <c r="P373" s="3">
        <f t="shared" si="94"/>
        <v>0</v>
      </c>
      <c r="Q373" s="4">
        <v>61369</v>
      </c>
      <c r="R373" s="4" t="s">
        <v>41</v>
      </c>
      <c r="S373" s="6">
        <v>603</v>
      </c>
      <c r="T373">
        <v>7</v>
      </c>
      <c r="U373" s="7">
        <f t="shared" si="91"/>
        <v>433.85990493317928</v>
      </c>
      <c r="V373" s="2">
        <f t="shared" si="95"/>
        <v>151.58009506682077</v>
      </c>
      <c r="W373" s="9">
        <f t="shared" si="96"/>
        <v>0</v>
      </c>
      <c r="X373" s="3">
        <v>61369</v>
      </c>
      <c r="Y373" s="3">
        <f t="shared" si="97"/>
        <v>-0.32103448275302071</v>
      </c>
      <c r="Z373" s="7">
        <f t="shared" si="98"/>
        <v>433.85990493317928</v>
      </c>
      <c r="AA373" s="2">
        <f t="shared" si="92"/>
        <v>151.58009506682077</v>
      </c>
      <c r="AB373" s="8">
        <f t="shared" si="99"/>
        <v>0</v>
      </c>
      <c r="AC373" s="10">
        <v>7</v>
      </c>
      <c r="AD373" s="7">
        <f t="shared" si="100"/>
        <v>433.85990493317928</v>
      </c>
      <c r="AE373" s="2">
        <f t="shared" si="101"/>
        <v>151.58009506682077</v>
      </c>
      <c r="AF373" s="10">
        <v>0</v>
      </c>
      <c r="AG373" s="3">
        <f t="shared" si="102"/>
        <v>0</v>
      </c>
      <c r="AH373" s="7">
        <v>0</v>
      </c>
      <c r="AI373">
        <f t="shared" si="103"/>
        <v>360</v>
      </c>
      <c r="AJ373" t="e">
        <f>VLOOKUP(A373,'Borrower Details'!$A$1:$H$1493,8,FALSE)</f>
        <v>#N/A</v>
      </c>
      <c r="AK373" s="4" t="e">
        <f t="shared" si="104"/>
        <v>#N/A</v>
      </c>
      <c r="AL373" s="10">
        <v>7</v>
      </c>
      <c r="AM373" s="3">
        <f t="shared" si="105"/>
        <v>61369.325849999994</v>
      </c>
      <c r="AN373">
        <v>7</v>
      </c>
      <c r="AO373" s="7">
        <f t="shared" si="106"/>
        <v>433.8622085921931</v>
      </c>
      <c r="AP373" s="2">
        <f t="shared" si="107"/>
        <v>151.57779140780696</v>
      </c>
    </row>
    <row r="374" spans="1:42" x14ac:dyDescent="0.15">
      <c r="A374" s="8">
        <v>410741771</v>
      </c>
      <c r="B374" t="s">
        <v>36</v>
      </c>
      <c r="C374" t="s">
        <v>16</v>
      </c>
      <c r="D374" s="1">
        <v>39295</v>
      </c>
      <c r="E374" s="2">
        <v>170000</v>
      </c>
      <c r="F374" s="2">
        <v>130500</v>
      </c>
      <c r="G374" t="s">
        <v>17</v>
      </c>
      <c r="H374" s="2">
        <v>1092.56</v>
      </c>
      <c r="I374" s="2">
        <v>129169.4</v>
      </c>
      <c r="J374">
        <v>9.4500000000000001E-2</v>
      </c>
      <c r="K374">
        <v>9</v>
      </c>
      <c r="L374">
        <v>350</v>
      </c>
      <c r="M374" t="str">
        <f t="shared" si="93"/>
        <v>30 Year Fixed</v>
      </c>
      <c r="N374" s="2">
        <v>1022.94</v>
      </c>
      <c r="O374" t="str">
        <f t="shared" si="90"/>
        <v>Cash Out</v>
      </c>
      <c r="P374" s="3">
        <f t="shared" si="94"/>
        <v>13195.132019704441</v>
      </c>
      <c r="Q374" s="4">
        <v>144500</v>
      </c>
      <c r="R374" s="4" t="s">
        <v>41</v>
      </c>
      <c r="S374" s="6">
        <v>546</v>
      </c>
      <c r="T374">
        <v>7.625</v>
      </c>
      <c r="U374" s="7">
        <f t="shared" si="91"/>
        <v>1082.9702968157828</v>
      </c>
      <c r="V374" s="2">
        <f t="shared" si="95"/>
        <v>9.5897031842171145</v>
      </c>
      <c r="W374" s="9">
        <f t="shared" si="96"/>
        <v>0</v>
      </c>
      <c r="X374" s="3">
        <v>144500</v>
      </c>
      <c r="Y374" s="3">
        <f t="shared" si="97"/>
        <v>13195.132019704441</v>
      </c>
      <c r="Z374" s="7">
        <f t="shared" si="98"/>
        <v>1082.9702968157828</v>
      </c>
      <c r="AA374" s="2">
        <f t="shared" si="92"/>
        <v>9.5897031842171145</v>
      </c>
      <c r="AB374" s="8">
        <f t="shared" si="99"/>
        <v>0</v>
      </c>
      <c r="AC374" s="10">
        <v>7.625</v>
      </c>
      <c r="AD374" s="7">
        <f t="shared" si="100"/>
        <v>1082.9702968157828</v>
      </c>
      <c r="AE374" s="2">
        <f t="shared" si="101"/>
        <v>9.5897031842171145</v>
      </c>
      <c r="AF374" s="10">
        <v>0</v>
      </c>
      <c r="AG374" s="3">
        <f t="shared" si="102"/>
        <v>0</v>
      </c>
      <c r="AH374" s="7">
        <v>2610</v>
      </c>
      <c r="AI374">
        <f t="shared" si="103"/>
        <v>360</v>
      </c>
      <c r="AJ374" t="e">
        <f>VLOOKUP(A374,'Borrower Details'!$A$1:$H$1493,8,FALSE)</f>
        <v>#N/A</v>
      </c>
      <c r="AK374" s="4" t="e">
        <f t="shared" si="104"/>
        <v>#N/A</v>
      </c>
      <c r="AL374" s="10">
        <v>7.625</v>
      </c>
      <c r="AM374" s="3">
        <f t="shared" si="105"/>
        <v>131106.94099999999</v>
      </c>
      <c r="AN374">
        <v>7.625</v>
      </c>
      <c r="AO374" s="7">
        <f t="shared" si="106"/>
        <v>982.59462151819605</v>
      </c>
      <c r="AP374" s="2">
        <f t="shared" si="107"/>
        <v>109.9653784818039</v>
      </c>
    </row>
    <row r="375" spans="1:42" x14ac:dyDescent="0.15">
      <c r="A375" s="8">
        <v>410071609</v>
      </c>
      <c r="B375" t="s">
        <v>35</v>
      </c>
      <c r="C375" t="s">
        <v>16</v>
      </c>
      <c r="D375" s="1">
        <v>39225</v>
      </c>
      <c r="E375" s="2">
        <v>135000</v>
      </c>
      <c r="F375" s="2">
        <v>108000</v>
      </c>
      <c r="G375" t="s">
        <v>17</v>
      </c>
      <c r="H375" s="2">
        <v>991.96</v>
      </c>
      <c r="I375" s="2">
        <v>107558.21</v>
      </c>
      <c r="J375">
        <v>0.1055</v>
      </c>
      <c r="K375">
        <v>11</v>
      </c>
      <c r="L375">
        <v>350</v>
      </c>
      <c r="M375" t="str">
        <f t="shared" si="93"/>
        <v>30 Year Fixed</v>
      </c>
      <c r="N375" s="2">
        <v>945.62</v>
      </c>
      <c r="O375" t="str">
        <f t="shared" si="90"/>
        <v>Cash Out</v>
      </c>
      <c r="P375" s="3">
        <f t="shared" si="94"/>
        <v>5495.9771921182255</v>
      </c>
      <c r="Q375" s="4">
        <v>114750</v>
      </c>
      <c r="R375" s="4" t="s">
        <v>41</v>
      </c>
      <c r="S375" s="6">
        <v>521</v>
      </c>
      <c r="T375">
        <v>7.625</v>
      </c>
      <c r="U375" s="7">
        <f t="shared" si="91"/>
        <v>860.00582394194521</v>
      </c>
      <c r="V375" s="2">
        <f t="shared" si="95"/>
        <v>131.95417605805483</v>
      </c>
      <c r="W375" s="9">
        <f t="shared" si="96"/>
        <v>0</v>
      </c>
      <c r="X375" s="3">
        <v>114750</v>
      </c>
      <c r="Y375" s="3">
        <f t="shared" si="97"/>
        <v>5495.9771921182255</v>
      </c>
      <c r="Z375" s="7">
        <f t="shared" si="98"/>
        <v>860.00582394194521</v>
      </c>
      <c r="AA375" s="2">
        <f t="shared" si="92"/>
        <v>131.95417605805483</v>
      </c>
      <c r="AB375" s="8">
        <f t="shared" si="99"/>
        <v>0</v>
      </c>
      <c r="AC375" s="10">
        <v>7.625</v>
      </c>
      <c r="AD375" s="7">
        <f t="shared" si="100"/>
        <v>860.00582394194521</v>
      </c>
      <c r="AE375" s="2">
        <f t="shared" si="101"/>
        <v>131.95417605805483</v>
      </c>
      <c r="AF375" s="10">
        <v>0</v>
      </c>
      <c r="AG375" s="3">
        <f t="shared" si="102"/>
        <v>0</v>
      </c>
      <c r="AH375" s="7">
        <v>5697</v>
      </c>
      <c r="AI375">
        <f t="shared" si="103"/>
        <v>360</v>
      </c>
      <c r="AJ375" t="e">
        <f>VLOOKUP(A375,'Borrower Details'!$A$1:$H$1493,8,FALSE)</f>
        <v>#N/A</v>
      </c>
      <c r="AK375" s="4" t="e">
        <f t="shared" si="104"/>
        <v>#N/A</v>
      </c>
      <c r="AL375" s="10">
        <v>7.625</v>
      </c>
      <c r="AM375" s="3">
        <f t="shared" si="105"/>
        <v>109171.58314999999</v>
      </c>
      <c r="AN375">
        <v>7.625</v>
      </c>
      <c r="AO375" s="7">
        <f t="shared" si="106"/>
        <v>818.19779797788522</v>
      </c>
      <c r="AP375" s="2">
        <f t="shared" si="107"/>
        <v>173.76220202211482</v>
      </c>
    </row>
    <row r="376" spans="1:42" x14ac:dyDescent="0.15">
      <c r="A376" s="8">
        <v>410020457</v>
      </c>
      <c r="B376" t="s">
        <v>35</v>
      </c>
      <c r="C376" t="s">
        <v>16</v>
      </c>
      <c r="D376" s="1">
        <v>39209</v>
      </c>
      <c r="E376" s="2">
        <v>180000</v>
      </c>
      <c r="F376" s="2">
        <v>142000</v>
      </c>
      <c r="G376" t="s">
        <v>17</v>
      </c>
      <c r="H376" s="2">
        <v>988.03</v>
      </c>
      <c r="I376" s="2">
        <v>140792.07</v>
      </c>
      <c r="J376">
        <v>7.4499999999999997E-2</v>
      </c>
      <c r="K376">
        <v>11</v>
      </c>
      <c r="L376">
        <v>349</v>
      </c>
      <c r="M376" t="str">
        <f t="shared" si="93"/>
        <v>30 Year Fixed</v>
      </c>
      <c r="N376" s="2">
        <v>874.08</v>
      </c>
      <c r="O376" t="str">
        <f t="shared" si="90"/>
        <v>Cash Out</v>
      </c>
      <c r="P376" s="3">
        <f t="shared" si="94"/>
        <v>9946.8462561576453</v>
      </c>
      <c r="Q376" s="4">
        <v>153000</v>
      </c>
      <c r="R376" s="4" t="s">
        <v>41</v>
      </c>
      <c r="S376" s="6">
        <v>627</v>
      </c>
      <c r="T376">
        <v>6.75</v>
      </c>
      <c r="U376" s="7">
        <f t="shared" si="91"/>
        <v>1056.1050877493672</v>
      </c>
      <c r="V376" s="2">
        <f t="shared" si="95"/>
        <v>-68.075087749367185</v>
      </c>
      <c r="W376" s="9">
        <f t="shared" si="96"/>
        <v>1</v>
      </c>
      <c r="X376" s="3">
        <v>143060</v>
      </c>
      <c r="Y376" s="3">
        <f t="shared" si="97"/>
        <v>153.74280788179021</v>
      </c>
      <c r="Z376" s="7">
        <f t="shared" si="98"/>
        <v>987.49277028382005</v>
      </c>
      <c r="AA376" s="2">
        <f t="shared" si="92"/>
        <v>0.53722971617992243</v>
      </c>
      <c r="AB376" s="8">
        <f t="shared" si="99"/>
        <v>1</v>
      </c>
      <c r="AC376" s="10">
        <v>6.125</v>
      </c>
      <c r="AD376" s="7">
        <f t="shared" si="100"/>
        <v>928.8559712574679</v>
      </c>
      <c r="AE376" s="2">
        <f t="shared" si="101"/>
        <v>59.174028742532073</v>
      </c>
      <c r="AF376" s="10">
        <v>3</v>
      </c>
      <c r="AG376" s="3">
        <f t="shared" si="102"/>
        <v>4291.8</v>
      </c>
      <c r="AH376" s="7">
        <v>5289.5</v>
      </c>
      <c r="AI376">
        <f t="shared" si="103"/>
        <v>360</v>
      </c>
      <c r="AJ376" t="e">
        <f>VLOOKUP(A376,'Borrower Details'!$A$1:$H$1493,8,FALSE)</f>
        <v>#N/A</v>
      </c>
      <c r="AK376" s="4" t="e">
        <f t="shared" si="104"/>
        <v>#N/A</v>
      </c>
      <c r="AL376" s="10">
        <v>6.75</v>
      </c>
      <c r="AM376" s="3">
        <f t="shared" si="105"/>
        <v>142903.95105</v>
      </c>
      <c r="AN376">
        <v>6.75</v>
      </c>
      <c r="AO376" s="7">
        <f t="shared" si="106"/>
        <v>986.41561936857204</v>
      </c>
      <c r="AP376" s="2">
        <f t="shared" si="107"/>
        <v>1.6143806314279345</v>
      </c>
    </row>
    <row r="377" spans="1:42" x14ac:dyDescent="0.15">
      <c r="A377" s="8">
        <v>410309249</v>
      </c>
      <c r="B377" t="s">
        <v>35</v>
      </c>
      <c r="C377" t="s">
        <v>16</v>
      </c>
      <c r="D377" s="1">
        <v>39231</v>
      </c>
      <c r="E377" s="2">
        <v>125000</v>
      </c>
      <c r="F377" s="2">
        <v>106250</v>
      </c>
      <c r="G377" t="s">
        <v>17</v>
      </c>
      <c r="H377" s="2">
        <v>823.67</v>
      </c>
      <c r="I377" s="2">
        <v>105994.46</v>
      </c>
      <c r="J377">
        <v>9.0499999999999997E-2</v>
      </c>
      <c r="K377">
        <v>11</v>
      </c>
      <c r="L377">
        <v>349</v>
      </c>
      <c r="M377" t="str">
        <f t="shared" si="93"/>
        <v>30 Year Fixed</v>
      </c>
      <c r="N377" s="2">
        <v>799.37</v>
      </c>
      <c r="O377" t="str">
        <f t="shared" si="90"/>
        <v>Refi</v>
      </c>
      <c r="P377" s="3">
        <f t="shared" si="94"/>
        <v>0</v>
      </c>
      <c r="Q377" s="4">
        <v>107584</v>
      </c>
      <c r="R377" s="4" t="s">
        <v>41</v>
      </c>
      <c r="S377" s="6">
        <v>559</v>
      </c>
      <c r="T377">
        <v>7.625</v>
      </c>
      <c r="U377" s="7">
        <f t="shared" si="91"/>
        <v>806.29949074483875</v>
      </c>
      <c r="V377" s="2">
        <f t="shared" si="95"/>
        <v>17.37050925516121</v>
      </c>
      <c r="W377" s="9">
        <f t="shared" si="96"/>
        <v>0</v>
      </c>
      <c r="X377" s="3">
        <v>107584</v>
      </c>
      <c r="Y377" s="3">
        <f t="shared" si="97"/>
        <v>-0.37133004925271962</v>
      </c>
      <c r="Z377" s="7">
        <f t="shared" si="98"/>
        <v>806.29949074483875</v>
      </c>
      <c r="AA377" s="2">
        <f t="shared" si="92"/>
        <v>17.37050925516121</v>
      </c>
      <c r="AB377" s="8">
        <f t="shared" si="99"/>
        <v>1</v>
      </c>
      <c r="AC377" s="10">
        <v>6.875</v>
      </c>
      <c r="AD377" s="7">
        <f t="shared" si="100"/>
        <v>751.57696157133421</v>
      </c>
      <c r="AE377" s="2">
        <f t="shared" si="101"/>
        <v>72.09303842866575</v>
      </c>
      <c r="AF377" s="10">
        <v>1</v>
      </c>
      <c r="AG377" s="3">
        <f t="shared" si="102"/>
        <v>1075.8399999999999</v>
      </c>
      <c r="AH377" s="7">
        <v>4807.8125</v>
      </c>
      <c r="AI377">
        <f t="shared" si="103"/>
        <v>360</v>
      </c>
      <c r="AJ377" t="e">
        <f>VLOOKUP(A377,'Borrower Details'!$A$1:$H$1493,8,FALSE)</f>
        <v>#N/A</v>
      </c>
      <c r="AK377" s="4" t="e">
        <f t="shared" si="104"/>
        <v>#N/A</v>
      </c>
      <c r="AL377" s="10">
        <v>7.625</v>
      </c>
      <c r="AM377" s="3">
        <f t="shared" si="105"/>
        <v>107584.3769</v>
      </c>
      <c r="AN377">
        <v>7.625</v>
      </c>
      <c r="AO377" s="7">
        <f t="shared" si="106"/>
        <v>806.30231546113544</v>
      </c>
      <c r="AP377" s="2">
        <f t="shared" si="107"/>
        <v>17.367684538864523</v>
      </c>
    </row>
    <row r="378" spans="1:42" x14ac:dyDescent="0.15">
      <c r="A378" s="8">
        <v>1172088</v>
      </c>
      <c r="B378" t="s">
        <v>37</v>
      </c>
      <c r="C378" t="s">
        <v>19</v>
      </c>
      <c r="D378" s="1">
        <v>39168</v>
      </c>
      <c r="E378" s="2">
        <v>130000</v>
      </c>
      <c r="F378" s="2">
        <v>110500</v>
      </c>
      <c r="G378" t="s">
        <v>15</v>
      </c>
      <c r="H378" s="2">
        <v>941.27</v>
      </c>
      <c r="I378" s="2">
        <v>109781.3</v>
      </c>
      <c r="J378">
        <v>9.6500000000000002E-2</v>
      </c>
      <c r="K378">
        <v>13</v>
      </c>
      <c r="L378">
        <v>347</v>
      </c>
      <c r="M378" t="str">
        <f t="shared" si="93"/>
        <v>30 Year Fixed</v>
      </c>
      <c r="N378" s="2">
        <v>882.82</v>
      </c>
      <c r="O378" t="str">
        <f t="shared" si="90"/>
        <v>Refi</v>
      </c>
      <c r="P378" s="3">
        <f t="shared" si="94"/>
        <v>0</v>
      </c>
      <c r="Q378" s="4">
        <v>111428</v>
      </c>
      <c r="R378" s="4" t="s">
        <v>41</v>
      </c>
      <c r="S378" s="6">
        <v>557</v>
      </c>
      <c r="T378">
        <v>7.625</v>
      </c>
      <c r="U378" s="7">
        <f t="shared" si="91"/>
        <v>835.10874902137755</v>
      </c>
      <c r="V378" s="2">
        <f t="shared" si="95"/>
        <v>106.16125097862243</v>
      </c>
      <c r="W378" s="9">
        <f t="shared" si="96"/>
        <v>0</v>
      </c>
      <c r="X378" s="3">
        <v>111428</v>
      </c>
      <c r="Y378" s="3">
        <f t="shared" si="97"/>
        <v>-1.9211822655051947E-2</v>
      </c>
      <c r="Z378" s="7">
        <f t="shared" si="98"/>
        <v>835.10874902137755</v>
      </c>
      <c r="AA378" s="2">
        <f t="shared" si="92"/>
        <v>106.16125097862243</v>
      </c>
      <c r="AB378" s="8">
        <f t="shared" si="99"/>
        <v>0</v>
      </c>
      <c r="AC378" s="10">
        <v>7.625</v>
      </c>
      <c r="AD378" s="7">
        <f t="shared" si="100"/>
        <v>835.10874902137755</v>
      </c>
      <c r="AE378" s="2">
        <f t="shared" si="101"/>
        <v>106.16125097862243</v>
      </c>
      <c r="AF378" s="10">
        <v>0</v>
      </c>
      <c r="AG378" s="3">
        <f t="shared" si="102"/>
        <v>0</v>
      </c>
      <c r="AH378" s="7">
        <v>0</v>
      </c>
      <c r="AI378">
        <f t="shared" si="103"/>
        <v>360</v>
      </c>
      <c r="AJ378" t="e">
        <f>VLOOKUP(A378,'Borrower Details'!$A$1:$H$1493,8,FALSE)</f>
        <v>#N/A</v>
      </c>
      <c r="AK378" s="4" t="e">
        <f t="shared" si="104"/>
        <v>#N/A</v>
      </c>
      <c r="AL378" s="10">
        <v>7.625</v>
      </c>
      <c r="AM378" s="3">
        <f t="shared" si="105"/>
        <v>111428.01949999999</v>
      </c>
      <c r="AN378">
        <v>7.625</v>
      </c>
      <c r="AO378" s="7">
        <f t="shared" si="106"/>
        <v>835.10889516615805</v>
      </c>
      <c r="AP378" s="2">
        <f t="shared" si="107"/>
        <v>106.16110483384193</v>
      </c>
    </row>
    <row r="379" spans="1:42" x14ac:dyDescent="0.15">
      <c r="A379" s="8">
        <v>1171603</v>
      </c>
      <c r="B379" t="s">
        <v>37</v>
      </c>
      <c r="C379" t="s">
        <v>19</v>
      </c>
      <c r="D379" s="1">
        <v>39171</v>
      </c>
      <c r="E379" s="2">
        <v>173000</v>
      </c>
      <c r="F379" s="2">
        <v>129750</v>
      </c>
      <c r="G379" t="s">
        <v>15</v>
      </c>
      <c r="H379" s="2">
        <v>1138.6500000000001</v>
      </c>
      <c r="I379" s="2">
        <v>129028.73</v>
      </c>
      <c r="J379">
        <v>0.1</v>
      </c>
      <c r="K379">
        <v>13</v>
      </c>
      <c r="L379">
        <v>348</v>
      </c>
      <c r="M379" t="str">
        <f t="shared" si="93"/>
        <v>30 Year Fixed</v>
      </c>
      <c r="N379" s="2">
        <v>1075.24</v>
      </c>
      <c r="O379" t="str">
        <f t="shared" si="90"/>
        <v>Cash Out</v>
      </c>
      <c r="P379" s="3">
        <f t="shared" si="94"/>
        <v>15848.11729064041</v>
      </c>
      <c r="Q379" s="4">
        <v>147050</v>
      </c>
      <c r="R379" s="4" t="s">
        <v>41</v>
      </c>
      <c r="S379" s="6">
        <v>519</v>
      </c>
      <c r="T379">
        <v>7.625</v>
      </c>
      <c r="U379" s="7">
        <f t="shared" si="91"/>
        <v>1102.081537347826</v>
      </c>
      <c r="V379" s="2">
        <f t="shared" si="95"/>
        <v>36.568462652174048</v>
      </c>
      <c r="W379" s="9">
        <f t="shared" si="96"/>
        <v>0</v>
      </c>
      <c r="X379" s="3">
        <v>147050</v>
      </c>
      <c r="Y379" s="3">
        <f t="shared" si="97"/>
        <v>15848.11729064041</v>
      </c>
      <c r="Z379" s="7">
        <f t="shared" si="98"/>
        <v>1102.081537347826</v>
      </c>
      <c r="AA379" s="2">
        <f t="shared" si="92"/>
        <v>36.568462652174048</v>
      </c>
      <c r="AB379" s="8">
        <f t="shared" si="99"/>
        <v>0</v>
      </c>
      <c r="AC379" s="10">
        <v>7.625</v>
      </c>
      <c r="AD379" s="7">
        <f t="shared" si="100"/>
        <v>1102.081537347826</v>
      </c>
      <c r="AE379" s="2">
        <f t="shared" si="101"/>
        <v>36.568462652174048</v>
      </c>
      <c r="AF379" s="10">
        <v>0</v>
      </c>
      <c r="AG379" s="3">
        <f t="shared" si="102"/>
        <v>0</v>
      </c>
      <c r="AH379" s="7">
        <v>0</v>
      </c>
      <c r="AI379">
        <f t="shared" si="103"/>
        <v>360</v>
      </c>
      <c r="AJ379" t="e">
        <f>VLOOKUP(A379,'Borrower Details'!$A$1:$H$1493,8,FALSE)</f>
        <v>#N/A</v>
      </c>
      <c r="AK379" s="4" t="e">
        <f t="shared" si="104"/>
        <v>#N/A</v>
      </c>
      <c r="AL379" s="10">
        <v>7.625</v>
      </c>
      <c r="AM379" s="3">
        <f t="shared" si="105"/>
        <v>130964.16094999999</v>
      </c>
      <c r="AN379">
        <v>7.625</v>
      </c>
      <c r="AO379" s="7">
        <f t="shared" si="106"/>
        <v>981.52454156575402</v>
      </c>
      <c r="AP379" s="2">
        <f t="shared" si="107"/>
        <v>157.12545843424607</v>
      </c>
    </row>
    <row r="380" spans="1:42" x14ac:dyDescent="0.15">
      <c r="A380" s="8">
        <v>1127714</v>
      </c>
      <c r="B380" t="s">
        <v>35</v>
      </c>
      <c r="C380" t="s">
        <v>16</v>
      </c>
      <c r="D380" s="1">
        <v>39148</v>
      </c>
      <c r="E380" s="2">
        <v>142500</v>
      </c>
      <c r="F380" s="2">
        <v>111200</v>
      </c>
      <c r="G380" t="s">
        <v>15</v>
      </c>
      <c r="H380" s="2">
        <v>740.01</v>
      </c>
      <c r="I380" s="2">
        <v>110755.82</v>
      </c>
      <c r="J380">
        <v>7.5999999999999998E-2</v>
      </c>
      <c r="K380">
        <v>13</v>
      </c>
      <c r="L380">
        <v>348</v>
      </c>
      <c r="M380" t="str">
        <f t="shared" si="93"/>
        <v>30 Year Fixed</v>
      </c>
      <c r="N380" s="2">
        <v>701.45</v>
      </c>
      <c r="O380" t="str">
        <f t="shared" si="90"/>
        <v>Cash Out</v>
      </c>
      <c r="P380" s="3">
        <f t="shared" si="94"/>
        <v>8579.155369458138</v>
      </c>
      <c r="Q380" s="4">
        <v>121125</v>
      </c>
      <c r="R380" s="4" t="s">
        <v>41</v>
      </c>
      <c r="S380" s="6">
        <v>647</v>
      </c>
      <c r="T380">
        <v>6.75</v>
      </c>
      <c r="U380" s="7">
        <f t="shared" si="91"/>
        <v>836.08319446824896</v>
      </c>
      <c r="V380" s="2">
        <f t="shared" si="95"/>
        <v>-96.073194468248971</v>
      </c>
      <c r="W380" s="9">
        <f t="shared" si="96"/>
        <v>1</v>
      </c>
      <c r="X380" s="3">
        <v>112417</v>
      </c>
      <c r="Y380" s="3">
        <f t="shared" si="97"/>
        <v>-0.15497536945622414</v>
      </c>
      <c r="Z380" s="7">
        <f t="shared" si="98"/>
        <v>775.97493888575559</v>
      </c>
      <c r="AA380" s="2">
        <f t="shared" si="92"/>
        <v>-35.9649388857556</v>
      </c>
      <c r="AB380" s="8">
        <f t="shared" si="99"/>
        <v>1</v>
      </c>
      <c r="AC380" s="10">
        <v>6.125</v>
      </c>
      <c r="AD380" s="7">
        <f t="shared" si="100"/>
        <v>729.89795694709051</v>
      </c>
      <c r="AE380" s="2">
        <f t="shared" si="101"/>
        <v>10.112043052909485</v>
      </c>
      <c r="AF380" s="10">
        <v>3</v>
      </c>
      <c r="AG380" s="3">
        <f t="shared" si="102"/>
        <v>3372.51</v>
      </c>
      <c r="AH380" s="7">
        <v>4225.6000000000004</v>
      </c>
      <c r="AI380">
        <f t="shared" si="103"/>
        <v>360</v>
      </c>
      <c r="AJ380" t="e">
        <f>VLOOKUP(A380,'Borrower Details'!$A$1:$H$1493,8,FALSE)</f>
        <v>#N/A</v>
      </c>
      <c r="AK380" s="4" t="e">
        <f t="shared" si="104"/>
        <v>#N/A</v>
      </c>
      <c r="AL380" s="10">
        <v>6.75</v>
      </c>
      <c r="AM380" s="3">
        <f t="shared" si="105"/>
        <v>112417.15729999999</v>
      </c>
      <c r="AN380">
        <v>6.75</v>
      </c>
      <c r="AO380" s="7">
        <f t="shared" si="106"/>
        <v>775.97602467222816</v>
      </c>
      <c r="AP380" s="2">
        <f t="shared" si="107"/>
        <v>-35.966024672228173</v>
      </c>
    </row>
    <row r="381" spans="1:42" x14ac:dyDescent="0.15">
      <c r="A381" s="8">
        <v>1143107</v>
      </c>
      <c r="B381" t="s">
        <v>36</v>
      </c>
      <c r="C381" t="s">
        <v>19</v>
      </c>
      <c r="D381" s="1">
        <v>39174</v>
      </c>
      <c r="E381" s="2">
        <v>188000</v>
      </c>
      <c r="F381" s="2">
        <v>169200</v>
      </c>
      <c r="G381" t="s">
        <v>17</v>
      </c>
      <c r="H381" s="2">
        <v>1099.72</v>
      </c>
      <c r="I381" s="2">
        <v>168894.32</v>
      </c>
      <c r="J381">
        <v>7.6249999999999998E-2</v>
      </c>
      <c r="K381">
        <v>13</v>
      </c>
      <c r="L381">
        <v>348</v>
      </c>
      <c r="M381" t="str">
        <f t="shared" si="93"/>
        <v>30 Year Fixed</v>
      </c>
      <c r="N381" s="2">
        <v>1073.18</v>
      </c>
      <c r="O381" t="str">
        <f t="shared" si="90"/>
        <v>Refi</v>
      </c>
      <c r="P381" s="3">
        <f t="shared" si="94"/>
        <v>0</v>
      </c>
      <c r="Q381" s="4">
        <v>171428</v>
      </c>
      <c r="R381" s="4" t="s">
        <v>41</v>
      </c>
      <c r="S381" s="6">
        <v>686</v>
      </c>
      <c r="T381">
        <v>6.75</v>
      </c>
      <c r="U381" s="7">
        <f t="shared" si="91"/>
        <v>1183.3070783182909</v>
      </c>
      <c r="V381" s="2">
        <f t="shared" si="95"/>
        <v>-83.587078318290878</v>
      </c>
      <c r="W381" s="9">
        <f t="shared" si="96"/>
        <v>0</v>
      </c>
      <c r="X381" s="3">
        <v>171427</v>
      </c>
      <c r="Y381" s="3">
        <f t="shared" si="97"/>
        <v>-0.72394088670262136</v>
      </c>
      <c r="Z381" s="7">
        <f t="shared" si="98"/>
        <v>1183.3001756706587</v>
      </c>
      <c r="AA381" s="2">
        <f t="shared" si="92"/>
        <v>-83.580175670658718</v>
      </c>
      <c r="AB381" s="8">
        <f t="shared" si="99"/>
        <v>1</v>
      </c>
      <c r="AC381" s="10">
        <v>6.125</v>
      </c>
      <c r="AD381" s="7">
        <f t="shared" si="100"/>
        <v>1113.0364363536555</v>
      </c>
      <c r="AE381" s="2">
        <f t="shared" si="101"/>
        <v>-13.31643635365549</v>
      </c>
      <c r="AF381" s="10">
        <v>3</v>
      </c>
      <c r="AG381" s="3">
        <f t="shared" si="102"/>
        <v>5142.8100000000004</v>
      </c>
      <c r="AH381" s="7">
        <v>3384</v>
      </c>
      <c r="AI381">
        <f t="shared" si="103"/>
        <v>360</v>
      </c>
      <c r="AJ381" t="e">
        <f>VLOOKUP(A381,'Borrower Details'!$A$1:$H$1493,8,FALSE)</f>
        <v>#N/A</v>
      </c>
      <c r="AK381" s="4" t="e">
        <f t="shared" si="104"/>
        <v>#N/A</v>
      </c>
      <c r="AL381" s="10">
        <v>6.75</v>
      </c>
      <c r="AM381" s="3">
        <f t="shared" si="105"/>
        <v>171427.73479999998</v>
      </c>
      <c r="AN381">
        <v>6.75</v>
      </c>
      <c r="AO381" s="7">
        <f t="shared" si="106"/>
        <v>1183.3052477361387</v>
      </c>
      <c r="AP381" s="2">
        <f t="shared" si="107"/>
        <v>-83.585247736138626</v>
      </c>
    </row>
    <row r="382" spans="1:42" x14ac:dyDescent="0.15">
      <c r="A382" s="8">
        <v>411237845</v>
      </c>
      <c r="B382" t="s">
        <v>36</v>
      </c>
      <c r="C382" t="s">
        <v>16</v>
      </c>
      <c r="D382" s="1">
        <v>39461</v>
      </c>
      <c r="E382" s="2">
        <v>288000</v>
      </c>
      <c r="F382" s="2">
        <v>272840</v>
      </c>
      <c r="G382" t="s">
        <v>20</v>
      </c>
      <c r="H382" s="2">
        <v>2444.9299999999998</v>
      </c>
      <c r="I382" s="2">
        <v>272493.8</v>
      </c>
      <c r="J382">
        <v>0.10249999999999999</v>
      </c>
      <c r="K382">
        <v>3</v>
      </c>
      <c r="L382">
        <v>357</v>
      </c>
      <c r="M382" t="str">
        <f t="shared" si="93"/>
        <v>30 Year Fixed</v>
      </c>
      <c r="N382" s="2">
        <v>2327.5500000000002</v>
      </c>
      <c r="O382" t="str">
        <f t="shared" si="90"/>
        <v>Refi</v>
      </c>
      <c r="P382" s="3">
        <f t="shared" si="94"/>
        <v>0</v>
      </c>
      <c r="Q382" s="4">
        <v>276581</v>
      </c>
      <c r="R382" s="4" t="s">
        <v>41</v>
      </c>
      <c r="S382" s="6">
        <v>668</v>
      </c>
      <c r="T382">
        <v>6.75</v>
      </c>
      <c r="U382" s="7">
        <f t="shared" si="91"/>
        <v>1909.1411848026648</v>
      </c>
      <c r="V382" s="2">
        <f t="shared" si="95"/>
        <v>535.788815197335</v>
      </c>
      <c r="W382" s="9">
        <f t="shared" si="96"/>
        <v>0</v>
      </c>
      <c r="X382" s="3">
        <v>276581</v>
      </c>
      <c r="Y382" s="3">
        <f t="shared" si="97"/>
        <v>-0.20394088665489107</v>
      </c>
      <c r="Z382" s="7">
        <f t="shared" si="98"/>
        <v>1909.1411848026648</v>
      </c>
      <c r="AA382" s="2">
        <f t="shared" si="92"/>
        <v>535.788815197335</v>
      </c>
      <c r="AB382" s="8">
        <f t="shared" si="99"/>
        <v>0</v>
      </c>
      <c r="AC382" s="10">
        <v>6.75</v>
      </c>
      <c r="AD382" s="7">
        <f t="shared" si="100"/>
        <v>1909.1411848026648</v>
      </c>
      <c r="AE382" s="2">
        <f t="shared" si="101"/>
        <v>535.788815197335</v>
      </c>
      <c r="AF382" s="10">
        <v>0</v>
      </c>
      <c r="AG382" s="3">
        <f t="shared" si="102"/>
        <v>0</v>
      </c>
      <c r="AH382" s="7">
        <v>5456.8</v>
      </c>
      <c r="AI382">
        <f t="shared" si="103"/>
        <v>360</v>
      </c>
      <c r="AJ382" t="e">
        <f>VLOOKUP(A382,'Borrower Details'!$A$1:$H$1493,8,FALSE)</f>
        <v>#N/A</v>
      </c>
      <c r="AK382" s="4" t="e">
        <f t="shared" si="104"/>
        <v>#N/A</v>
      </c>
      <c r="AL382" s="10">
        <v>6.75</v>
      </c>
      <c r="AM382" s="3">
        <f t="shared" si="105"/>
        <v>276581.20699999994</v>
      </c>
      <c r="AN382">
        <v>6.75</v>
      </c>
      <c r="AO382" s="7">
        <f t="shared" si="106"/>
        <v>1909.1426136507243</v>
      </c>
      <c r="AP382" s="2">
        <f t="shared" si="107"/>
        <v>535.78738634927549</v>
      </c>
    </row>
    <row r="383" spans="1:42" x14ac:dyDescent="0.15">
      <c r="A383" s="8">
        <v>411220155</v>
      </c>
      <c r="B383" t="s">
        <v>37</v>
      </c>
      <c r="C383" t="s">
        <v>16</v>
      </c>
      <c r="D383" s="1">
        <v>39471</v>
      </c>
      <c r="E383" s="2">
        <v>327500</v>
      </c>
      <c r="F383" s="2">
        <v>150000</v>
      </c>
      <c r="G383" t="s">
        <v>17</v>
      </c>
      <c r="H383" s="2">
        <v>1250.3599999999999</v>
      </c>
      <c r="I383" s="2">
        <v>149772.14000000001</v>
      </c>
      <c r="J383">
        <v>9.4E-2</v>
      </c>
      <c r="K383">
        <v>3</v>
      </c>
      <c r="L383">
        <v>357</v>
      </c>
      <c r="M383" t="str">
        <f t="shared" si="93"/>
        <v>30 Year Fixed</v>
      </c>
      <c r="N383" s="2">
        <v>1173.22</v>
      </c>
      <c r="O383" t="str">
        <f t="shared" si="90"/>
        <v>Cash Out</v>
      </c>
      <c r="P383" s="3">
        <f t="shared" si="94"/>
        <v>124488.94374384236</v>
      </c>
      <c r="Q383" s="4">
        <v>278375</v>
      </c>
      <c r="R383" s="4" t="s">
        <v>41</v>
      </c>
      <c r="S383" s="6">
        <v>593</v>
      </c>
      <c r="T383">
        <v>7.375</v>
      </c>
      <c r="U383" s="7">
        <f t="shared" si="91"/>
        <v>2038.6565254574223</v>
      </c>
      <c r="V383" s="2">
        <f t="shared" si="95"/>
        <v>-788.29652545742238</v>
      </c>
      <c r="W383" s="9">
        <f t="shared" si="96"/>
        <v>1</v>
      </c>
      <c r="X383" s="3">
        <v>170665</v>
      </c>
      <c r="Y383" s="3">
        <f t="shared" si="97"/>
        <v>18370.717142857146</v>
      </c>
      <c r="Z383" s="7">
        <f t="shared" si="98"/>
        <v>1249.8511573136632</v>
      </c>
      <c r="AA383" s="2">
        <f t="shared" si="92"/>
        <v>0.50884268633672036</v>
      </c>
      <c r="AB383" s="8">
        <f t="shared" si="99"/>
        <v>0</v>
      </c>
      <c r="AC383" s="10">
        <v>7.375</v>
      </c>
      <c r="AD383" s="7">
        <f t="shared" si="100"/>
        <v>1249.8511573136632</v>
      </c>
      <c r="AE383" s="2">
        <f t="shared" si="101"/>
        <v>0.50884268633672036</v>
      </c>
      <c r="AF383" s="10">
        <v>0</v>
      </c>
      <c r="AG383" s="3">
        <f t="shared" si="102"/>
        <v>0</v>
      </c>
      <c r="AH383" s="7">
        <v>0</v>
      </c>
      <c r="AI383">
        <f t="shared" si="103"/>
        <v>360</v>
      </c>
      <c r="AJ383" t="e">
        <f>VLOOKUP(A383,'Borrower Details'!$A$1:$H$1493,8,FALSE)</f>
        <v>#N/A</v>
      </c>
      <c r="AK383" s="4" t="e">
        <f t="shared" si="104"/>
        <v>#N/A</v>
      </c>
      <c r="AL383" s="10">
        <v>7.375</v>
      </c>
      <c r="AM383" s="3">
        <f t="shared" si="105"/>
        <v>152018.72210000001</v>
      </c>
      <c r="AN383">
        <v>7.375</v>
      </c>
      <c r="AO383" s="7">
        <f t="shared" si="106"/>
        <v>1113.2966674480954</v>
      </c>
      <c r="AP383" s="2">
        <f t="shared" si="107"/>
        <v>137.06333255190452</v>
      </c>
    </row>
    <row r="384" spans="1:42" x14ac:dyDescent="0.15">
      <c r="A384" s="8">
        <v>410037741</v>
      </c>
      <c r="B384" t="s">
        <v>36</v>
      </c>
      <c r="C384" t="s">
        <v>19</v>
      </c>
      <c r="D384" s="1">
        <v>39202</v>
      </c>
      <c r="E384" s="2">
        <v>237500</v>
      </c>
      <c r="F384" s="2">
        <v>201875</v>
      </c>
      <c r="G384" t="s">
        <v>15</v>
      </c>
      <c r="H384" s="2">
        <v>1563.71</v>
      </c>
      <c r="I384" s="2">
        <v>201589.59</v>
      </c>
      <c r="J384">
        <v>9.1999999999999998E-2</v>
      </c>
      <c r="K384">
        <v>12</v>
      </c>
      <c r="L384">
        <v>347</v>
      </c>
      <c r="M384" t="str">
        <f t="shared" si="93"/>
        <v>30 Year Fixed</v>
      </c>
      <c r="N384" s="2">
        <v>1545.52</v>
      </c>
      <c r="O384" t="str">
        <f t="shared" si="90"/>
        <v>Refi</v>
      </c>
      <c r="P384" s="3">
        <f t="shared" si="94"/>
        <v>0</v>
      </c>
      <c r="Q384" s="4">
        <v>204613</v>
      </c>
      <c r="R384" s="4" t="s">
        <v>41</v>
      </c>
      <c r="S384" s="6">
        <v>558</v>
      </c>
      <c r="T384">
        <v>7.625</v>
      </c>
      <c r="U384" s="7">
        <f t="shared" si="91"/>
        <v>1533.4934348952788</v>
      </c>
      <c r="V384" s="2">
        <f t="shared" si="95"/>
        <v>30.216565104721212</v>
      </c>
      <c r="W384" s="9">
        <f t="shared" si="96"/>
        <v>0</v>
      </c>
      <c r="X384" s="3">
        <v>204614</v>
      </c>
      <c r="Y384" s="3">
        <f t="shared" si="97"/>
        <v>0.55778325124992989</v>
      </c>
      <c r="Z384" s="7">
        <f t="shared" si="98"/>
        <v>1533.500929499409</v>
      </c>
      <c r="AA384" s="2">
        <f t="shared" si="92"/>
        <v>30.209070500590997</v>
      </c>
      <c r="AB384" s="8">
        <f t="shared" si="99"/>
        <v>1</v>
      </c>
      <c r="AC384" s="10">
        <v>6.875</v>
      </c>
      <c r="AD384" s="7">
        <f t="shared" si="100"/>
        <v>1429.4241561473543</v>
      </c>
      <c r="AE384" s="2">
        <f t="shared" si="101"/>
        <v>134.28584385264571</v>
      </c>
      <c r="AF384" s="10">
        <v>1</v>
      </c>
      <c r="AG384" s="3">
        <f t="shared" si="102"/>
        <v>2046.14</v>
      </c>
      <c r="AH384" s="7">
        <v>4037.5</v>
      </c>
      <c r="AI384">
        <f t="shared" si="103"/>
        <v>360</v>
      </c>
      <c r="AJ384" t="e">
        <f>VLOOKUP(A384,'Borrower Details'!$A$1:$H$1493,8,FALSE)</f>
        <v>#N/A</v>
      </c>
      <c r="AK384" s="4" t="e">
        <f t="shared" si="104"/>
        <v>#N/A</v>
      </c>
      <c r="AL384" s="10">
        <v>7.625</v>
      </c>
      <c r="AM384" s="3">
        <f t="shared" si="105"/>
        <v>204613.43384999997</v>
      </c>
      <c r="AN384">
        <v>7.625</v>
      </c>
      <c r="AO384" s="7">
        <f t="shared" si="106"/>
        <v>1533.4966864292805</v>
      </c>
      <c r="AP384" s="2">
        <f t="shared" si="107"/>
        <v>30.213313570719492</v>
      </c>
    </row>
    <row r="385" spans="1:42" x14ac:dyDescent="0.15">
      <c r="A385" s="8">
        <v>411184393</v>
      </c>
      <c r="B385" t="s">
        <v>35</v>
      </c>
      <c r="C385" t="s">
        <v>16</v>
      </c>
      <c r="D385" s="1">
        <v>39490</v>
      </c>
      <c r="E385" s="2">
        <v>250000</v>
      </c>
      <c r="F385" s="2">
        <v>225000</v>
      </c>
      <c r="G385" t="s">
        <v>17</v>
      </c>
      <c r="H385" s="2">
        <v>1966.23</v>
      </c>
      <c r="I385" s="2">
        <v>224695.67999999999</v>
      </c>
      <c r="J385">
        <v>9.9500000000000005E-2</v>
      </c>
      <c r="K385">
        <v>2</v>
      </c>
      <c r="L385">
        <v>357</v>
      </c>
      <c r="M385" t="str">
        <f t="shared" si="93"/>
        <v>30 Year Fixed</v>
      </c>
      <c r="N385" s="2">
        <v>1863.1</v>
      </c>
      <c r="O385" t="str">
        <f t="shared" si="90"/>
        <v>Refi</v>
      </c>
      <c r="P385" s="3">
        <f t="shared" si="94"/>
        <v>0</v>
      </c>
      <c r="Q385" s="4">
        <v>228066</v>
      </c>
      <c r="R385" s="4" t="s">
        <v>41</v>
      </c>
      <c r="S385" s="6">
        <v>606</v>
      </c>
      <c r="T385">
        <v>6.875</v>
      </c>
      <c r="U385" s="7">
        <f t="shared" si="91"/>
        <v>1593.2587681972029</v>
      </c>
      <c r="V385" s="2">
        <f t="shared" si="95"/>
        <v>372.97123180279709</v>
      </c>
      <c r="W385" s="9">
        <f t="shared" si="96"/>
        <v>0</v>
      </c>
      <c r="X385" s="3">
        <v>228066</v>
      </c>
      <c r="Y385" s="3">
        <f t="shared" si="97"/>
        <v>-0.1134975369204767</v>
      </c>
      <c r="Z385" s="7">
        <f t="shared" si="98"/>
        <v>1593.2587681972029</v>
      </c>
      <c r="AA385" s="2">
        <f t="shared" si="92"/>
        <v>372.97123180279709</v>
      </c>
      <c r="AB385" s="8">
        <f t="shared" si="99"/>
        <v>0</v>
      </c>
      <c r="AC385" s="10">
        <v>6.875</v>
      </c>
      <c r="AD385" s="7">
        <f t="shared" si="100"/>
        <v>1593.2587681972029</v>
      </c>
      <c r="AE385" s="2">
        <f t="shared" si="101"/>
        <v>372.97123180279709</v>
      </c>
      <c r="AF385" s="10">
        <v>0</v>
      </c>
      <c r="AG385" s="3">
        <f t="shared" si="102"/>
        <v>0</v>
      </c>
      <c r="AH385" s="7">
        <v>11193.75</v>
      </c>
      <c r="AI385">
        <f t="shared" si="103"/>
        <v>360</v>
      </c>
      <c r="AJ385" t="e">
        <f>VLOOKUP(A385,'Borrower Details'!$A$1:$H$1493,8,FALSE)</f>
        <v>#N/A</v>
      </c>
      <c r="AK385" s="4" t="e">
        <f t="shared" si="104"/>
        <v>#N/A</v>
      </c>
      <c r="AL385" s="10">
        <v>6.875</v>
      </c>
      <c r="AM385" s="3">
        <f t="shared" si="105"/>
        <v>228066.11519999997</v>
      </c>
      <c r="AN385">
        <v>6.875</v>
      </c>
      <c r="AO385" s="7">
        <f t="shared" si="106"/>
        <v>1593.2595729791963</v>
      </c>
      <c r="AP385" s="2">
        <f t="shared" si="107"/>
        <v>372.97042702080375</v>
      </c>
    </row>
    <row r="386" spans="1:42" x14ac:dyDescent="0.15">
      <c r="A386" s="8">
        <v>411263759</v>
      </c>
      <c r="B386" t="s">
        <v>35</v>
      </c>
      <c r="C386" t="s">
        <v>16</v>
      </c>
      <c r="D386" s="1">
        <v>39482</v>
      </c>
      <c r="E386" s="2">
        <v>199900</v>
      </c>
      <c r="F386" s="2">
        <v>137900</v>
      </c>
      <c r="G386" t="s">
        <v>17</v>
      </c>
      <c r="H386" s="2">
        <v>964.22</v>
      </c>
      <c r="I386" s="2">
        <v>137486.76999999999</v>
      </c>
      <c r="J386">
        <v>7.4999999999999997E-2</v>
      </c>
      <c r="K386">
        <v>2</v>
      </c>
      <c r="L386">
        <v>356</v>
      </c>
      <c r="M386" t="str">
        <f t="shared" si="93"/>
        <v>30 Year Fixed</v>
      </c>
      <c r="N386" s="2">
        <v>859.29</v>
      </c>
      <c r="O386" t="str">
        <f t="shared" ref="O386:O449" si="108">IF((0.85*E386)&gt;(I386*1.015),"Cash Out","Refi")</f>
        <v>Cash Out</v>
      </c>
      <c r="P386" s="3">
        <f t="shared" si="94"/>
        <v>29917.170886699547</v>
      </c>
      <c r="Q386" s="4">
        <v>169915</v>
      </c>
      <c r="R386" s="4" t="s">
        <v>41</v>
      </c>
      <c r="S386" s="6">
        <v>683</v>
      </c>
      <c r="T386">
        <v>6.75</v>
      </c>
      <c r="U386" s="7">
        <f t="shared" ref="U386:U449" si="109">(Q386*((T386/1200)/(1-(1+(T386/1200))^-AI386)))+((Q386*0.005)/12)</f>
        <v>1172.8633724505471</v>
      </c>
      <c r="V386" s="2">
        <f t="shared" si="95"/>
        <v>-208.64337245054708</v>
      </c>
      <c r="W386" s="9">
        <f t="shared" si="96"/>
        <v>1</v>
      </c>
      <c r="X386" s="3">
        <v>139615</v>
      </c>
      <c r="Y386" s="3">
        <f t="shared" si="97"/>
        <v>64.954137931053992</v>
      </c>
      <c r="Z386" s="7">
        <f t="shared" si="98"/>
        <v>963.71314919037832</v>
      </c>
      <c r="AA386" s="2">
        <f t="shared" ref="AA386:AA449" si="110">H386-Z386</f>
        <v>0.50685080962171014</v>
      </c>
      <c r="AB386" s="8">
        <f t="shared" si="99"/>
        <v>1</v>
      </c>
      <c r="AC386" s="10">
        <v>6.125</v>
      </c>
      <c r="AD386" s="7">
        <f t="shared" si="100"/>
        <v>906.48837150224642</v>
      </c>
      <c r="AE386" s="2">
        <f t="shared" si="101"/>
        <v>57.731628497753604</v>
      </c>
      <c r="AF386" s="10">
        <v>3</v>
      </c>
      <c r="AG386" s="3">
        <f t="shared" si="102"/>
        <v>4188.45</v>
      </c>
      <c r="AH386" s="7">
        <v>5171.25</v>
      </c>
      <c r="AI386">
        <f t="shared" si="103"/>
        <v>360</v>
      </c>
      <c r="AJ386" t="e">
        <f>VLOOKUP(A386,'Borrower Details'!$A$1:$H$1493,8,FALSE)</f>
        <v>#N/A</v>
      </c>
      <c r="AK386" s="4" t="e">
        <f t="shared" si="104"/>
        <v>#N/A</v>
      </c>
      <c r="AL386" s="10">
        <v>6.75</v>
      </c>
      <c r="AM386" s="3">
        <f t="shared" si="105"/>
        <v>139549.07154999996</v>
      </c>
      <c r="AN386">
        <v>6.75</v>
      </c>
      <c r="AO386" s="7">
        <f t="shared" si="106"/>
        <v>963.25806833108118</v>
      </c>
      <c r="AP386" s="2">
        <f t="shared" si="107"/>
        <v>0.96193166891885085</v>
      </c>
    </row>
    <row r="387" spans="1:42" x14ac:dyDescent="0.15">
      <c r="A387" s="8">
        <v>410852891</v>
      </c>
      <c r="B387" t="s">
        <v>36</v>
      </c>
      <c r="C387" t="s">
        <v>16</v>
      </c>
      <c r="D387" s="1">
        <v>39353</v>
      </c>
      <c r="E387" s="2">
        <v>325000</v>
      </c>
      <c r="F387" s="2">
        <v>136200</v>
      </c>
      <c r="G387" t="s">
        <v>17</v>
      </c>
      <c r="H387" s="2">
        <v>1052.81</v>
      </c>
      <c r="I387" s="2">
        <v>136110.59</v>
      </c>
      <c r="J387">
        <v>9.1800000000000007E-2</v>
      </c>
      <c r="K387">
        <v>7</v>
      </c>
      <c r="L387">
        <v>352</v>
      </c>
      <c r="M387" t="str">
        <f t="shared" ref="M387:M450" si="111">(IF((L387+K387)&lt;180,"15 Year Fixed","30 Year Fixed"))</f>
        <v>30 Year Fixed</v>
      </c>
      <c r="N387" s="2">
        <v>1041.25</v>
      </c>
      <c r="O387" t="str">
        <f t="shared" si="108"/>
        <v>Cash Out</v>
      </c>
      <c r="P387" s="3">
        <f t="shared" ref="P387:P450" si="112">IF((0.85*E387)&gt;(I387*1.015),((0.85*E387)/1.015)-(I387),0)</f>
        <v>136056.89768472911</v>
      </c>
      <c r="Q387" s="4">
        <v>276250</v>
      </c>
      <c r="R387" s="4" t="s">
        <v>41</v>
      </c>
      <c r="S387" s="6">
        <v>522</v>
      </c>
      <c r="T387">
        <v>7.625</v>
      </c>
      <c r="U387" s="7">
        <f t="shared" si="109"/>
        <v>2070.3843909713496</v>
      </c>
      <c r="V387" s="2">
        <f t="shared" ref="V387:V450" si="113">H387-U387</f>
        <v>-1017.5743909713497</v>
      </c>
      <c r="W387" s="9">
        <f t="shared" ref="W387:W450" si="114">IF(AND(O387="Cash Out",V387&lt;0),1,0)</f>
        <v>1</v>
      </c>
      <c r="X387" s="3">
        <v>140400</v>
      </c>
      <c r="Y387" s="3">
        <f t="shared" ref="Y387:Y450" si="115">(X387/1.015)-(I387)</f>
        <v>2214.5331527093658</v>
      </c>
      <c r="Z387" s="7">
        <f t="shared" ref="Z387:Z450" si="116">(X387*((AL387/1200)/(1-(1+(AL387/1200))^-AI387)))+((X387*0.005)/12)</f>
        <v>1052.2424198819094</v>
      </c>
      <c r="AA387" s="2">
        <f t="shared" si="110"/>
        <v>0.56758011809051823</v>
      </c>
      <c r="AB387" s="8">
        <f t="shared" ref="AB387:AB450" si="117">IF(I387=0,0,IF(AND(AH387&gt;0,(AP387/AO387)&lt;0.07),1,IF(AND(AH387=0,(AP387/AO387)&lt;0.1),1,0)))</f>
        <v>1</v>
      </c>
      <c r="AC387" s="10">
        <v>6.875</v>
      </c>
      <c r="AD387" s="7">
        <f t="shared" ref="AD387:AD450" si="118">(X387*((AC387/1200)/(1-(1+(AC387/1200))^-AI387)))+((X387*0.005)/12)</f>
        <v>980.82805440042489</v>
      </c>
      <c r="AE387" s="2">
        <f t="shared" ref="AE387:AE450" si="119">H387-AD387</f>
        <v>71.981945599575056</v>
      </c>
      <c r="AF387" s="10">
        <v>1.75</v>
      </c>
      <c r="AG387" s="3">
        <f t="shared" ref="AG387:AG450" si="120">AF387*X387/100</f>
        <v>2457</v>
      </c>
      <c r="AH387" s="7">
        <v>2724</v>
      </c>
      <c r="AI387">
        <f t="shared" ref="AI387:AI450" si="121">IF(M387="30 Year Fixed",360,180)</f>
        <v>360</v>
      </c>
      <c r="AJ387" t="e">
        <f>VLOOKUP(A387,'Borrower Details'!$A$1:$H$1493,8,FALSE)</f>
        <v>#N/A</v>
      </c>
      <c r="AK387" s="4" t="e">
        <f t="shared" ref="AK387:AK450" si="122">IF(AJ387&gt;360,PV((J387/12),AJ387-AI387,-H387),"NA")</f>
        <v>#N/A</v>
      </c>
      <c r="AL387" s="10">
        <v>7.625</v>
      </c>
      <c r="AM387" s="3">
        <f t="shared" ref="AM387:AM450" si="123">I387*1.015</f>
        <v>138152.24884999997</v>
      </c>
      <c r="AN387">
        <v>7.625</v>
      </c>
      <c r="AO387" s="7">
        <f t="shared" ref="AO387:AO450" si="124">(AM387*((AN387/1200)/(1-(1+(AN387/1200))^-AI387)))+((AM387*0.005)/12)</f>
        <v>1035.3964148294283</v>
      </c>
      <c r="AP387" s="2">
        <f t="shared" ref="AP387:AP450" si="125">H387-AO387</f>
        <v>17.41358517057165</v>
      </c>
    </row>
    <row r="388" spans="1:42" x14ac:dyDescent="0.15">
      <c r="A388" s="8">
        <v>410640585</v>
      </c>
      <c r="B388" t="s">
        <v>37</v>
      </c>
      <c r="C388" t="s">
        <v>19</v>
      </c>
      <c r="D388" s="1">
        <v>39294</v>
      </c>
      <c r="E388" s="2">
        <v>232000</v>
      </c>
      <c r="F388" s="2">
        <v>180000</v>
      </c>
      <c r="G388" t="s">
        <v>20</v>
      </c>
      <c r="H388" s="2">
        <v>1461.3</v>
      </c>
      <c r="I388" s="2">
        <v>178747.49</v>
      </c>
      <c r="J388">
        <v>9.0999999999999998E-2</v>
      </c>
      <c r="K388">
        <v>9</v>
      </c>
      <c r="L388">
        <v>351</v>
      </c>
      <c r="M388" t="str">
        <f t="shared" si="111"/>
        <v>30 Year Fixed</v>
      </c>
      <c r="N388" s="2">
        <v>1355.5</v>
      </c>
      <c r="O388" t="str">
        <f t="shared" si="108"/>
        <v>Cash Out</v>
      </c>
      <c r="P388" s="3">
        <f t="shared" si="112"/>
        <v>15538.224285714299</v>
      </c>
      <c r="Q388" s="4">
        <v>197200</v>
      </c>
      <c r="R388" s="4" t="s">
        <v>41</v>
      </c>
      <c r="S388" s="6">
        <v>555</v>
      </c>
      <c r="T388">
        <v>7.625</v>
      </c>
      <c r="U388" s="7">
        <f t="shared" si="109"/>
        <v>1477.9359344780098</v>
      </c>
      <c r="V388" s="2">
        <f t="shared" si="113"/>
        <v>-16.635934478009858</v>
      </c>
      <c r="W388" s="9">
        <f t="shared" si="114"/>
        <v>1</v>
      </c>
      <c r="X388" s="3">
        <v>194910</v>
      </c>
      <c r="Y388" s="3">
        <f t="shared" si="115"/>
        <v>13282.066650246328</v>
      </c>
      <c r="Z388" s="7">
        <f t="shared" si="116"/>
        <v>1460.773291019822</v>
      </c>
      <c r="AA388" s="2">
        <f t="shared" si="110"/>
        <v>0.52670898017800027</v>
      </c>
      <c r="AB388" s="8">
        <f t="shared" si="117"/>
        <v>1</v>
      </c>
      <c r="AC388" s="10">
        <v>6.5</v>
      </c>
      <c r="AD388" s="7">
        <f t="shared" si="118"/>
        <v>1313.1762845901401</v>
      </c>
      <c r="AE388" s="2">
        <f t="shared" si="119"/>
        <v>148.12371540985987</v>
      </c>
      <c r="AF388" s="10">
        <v>2.375</v>
      </c>
      <c r="AG388" s="3">
        <f t="shared" si="120"/>
        <v>4629.1125000000002</v>
      </c>
      <c r="AH388" s="7">
        <v>0</v>
      </c>
      <c r="AI388">
        <f t="shared" si="121"/>
        <v>360</v>
      </c>
      <c r="AJ388" t="e">
        <f>VLOOKUP(A388,'Borrower Details'!$A$1:$H$1493,8,FALSE)</f>
        <v>#N/A</v>
      </c>
      <c r="AK388" s="4" t="e">
        <f t="shared" si="122"/>
        <v>#N/A</v>
      </c>
      <c r="AL388" s="10">
        <v>7.625</v>
      </c>
      <c r="AM388" s="3">
        <f t="shared" si="123"/>
        <v>181428.70234999998</v>
      </c>
      <c r="AN388">
        <v>7.625</v>
      </c>
      <c r="AO388" s="7">
        <f t="shared" si="124"/>
        <v>1359.7363019715003</v>
      </c>
      <c r="AP388" s="2">
        <f t="shared" si="125"/>
        <v>101.56369802849963</v>
      </c>
    </row>
    <row r="389" spans="1:42" x14ac:dyDescent="0.15">
      <c r="A389" s="8">
        <v>410760367</v>
      </c>
      <c r="B389" t="s">
        <v>36</v>
      </c>
      <c r="C389" t="s">
        <v>16</v>
      </c>
      <c r="D389" s="1">
        <v>39321</v>
      </c>
      <c r="E389" s="2">
        <v>311000</v>
      </c>
      <c r="F389" s="2">
        <v>279900</v>
      </c>
      <c r="G389" t="s">
        <v>17</v>
      </c>
      <c r="H389" s="2">
        <v>1955.19</v>
      </c>
      <c r="I389" s="2">
        <v>278197.99</v>
      </c>
      <c r="J389">
        <v>7.4899999999999994E-2</v>
      </c>
      <c r="K389">
        <v>8</v>
      </c>
      <c r="L389">
        <v>352</v>
      </c>
      <c r="M389" t="str">
        <f t="shared" si="111"/>
        <v>30 Year Fixed</v>
      </c>
      <c r="N389" s="2">
        <v>1736.42</v>
      </c>
      <c r="O389" t="str">
        <f t="shared" si="108"/>
        <v>Refi</v>
      </c>
      <c r="P389" s="3">
        <f t="shared" si="112"/>
        <v>0</v>
      </c>
      <c r="Q389" s="4">
        <v>282371</v>
      </c>
      <c r="R389" s="4" t="s">
        <v>41</v>
      </c>
      <c r="S389" s="6">
        <v>726</v>
      </c>
      <c r="T389">
        <v>6.75</v>
      </c>
      <c r="U389" s="7">
        <f t="shared" si="109"/>
        <v>1949.1075145939644</v>
      </c>
      <c r="V389" s="2">
        <f t="shared" si="113"/>
        <v>6.0824854060356301</v>
      </c>
      <c r="W389" s="9">
        <f t="shared" si="114"/>
        <v>0</v>
      </c>
      <c r="X389" s="3">
        <v>282371</v>
      </c>
      <c r="Y389" s="3">
        <f t="shared" si="115"/>
        <v>3.9556650270242244E-2</v>
      </c>
      <c r="Z389" s="7">
        <f t="shared" si="116"/>
        <v>1949.1075145939644</v>
      </c>
      <c r="AA389" s="2">
        <f t="shared" si="110"/>
        <v>6.0824854060356301</v>
      </c>
      <c r="AB389" s="8">
        <f t="shared" si="117"/>
        <v>1</v>
      </c>
      <c r="AC389" s="10">
        <v>6.125</v>
      </c>
      <c r="AD389" s="7">
        <f t="shared" si="118"/>
        <v>1833.3705400527224</v>
      </c>
      <c r="AE389" s="2">
        <f t="shared" si="119"/>
        <v>121.81945994727766</v>
      </c>
      <c r="AF389" s="10">
        <v>3</v>
      </c>
      <c r="AG389" s="3">
        <f t="shared" si="120"/>
        <v>8471.1299999999992</v>
      </c>
      <c r="AH389" s="7">
        <v>5598</v>
      </c>
      <c r="AI389">
        <f t="shared" si="121"/>
        <v>360</v>
      </c>
      <c r="AJ389" t="e">
        <f>VLOOKUP(A389,'Borrower Details'!$A$1:$H$1493,8,FALSE)</f>
        <v>#N/A</v>
      </c>
      <c r="AK389" s="4" t="e">
        <f t="shared" si="122"/>
        <v>#N/A</v>
      </c>
      <c r="AL389" s="10">
        <v>6.75</v>
      </c>
      <c r="AM389" s="3">
        <f t="shared" si="123"/>
        <v>282370.95984999998</v>
      </c>
      <c r="AN389">
        <v>6.75</v>
      </c>
      <c r="AO389" s="7">
        <f t="shared" si="124"/>
        <v>1949.1072374526618</v>
      </c>
      <c r="AP389" s="2">
        <f t="shared" si="125"/>
        <v>6.0827625473382341</v>
      </c>
    </row>
    <row r="390" spans="1:42" x14ac:dyDescent="0.15">
      <c r="A390" s="8">
        <v>410955447</v>
      </c>
      <c r="B390" t="s">
        <v>36</v>
      </c>
      <c r="C390" t="s">
        <v>16</v>
      </c>
      <c r="D390" s="1">
        <v>39344</v>
      </c>
      <c r="E390" s="2">
        <v>269000</v>
      </c>
      <c r="F390" s="2">
        <v>218300</v>
      </c>
      <c r="G390" t="s">
        <v>17</v>
      </c>
      <c r="H390" s="2">
        <v>2153.4899999999998</v>
      </c>
      <c r="I390" s="2">
        <v>217866.51</v>
      </c>
      <c r="J390">
        <v>0.1145</v>
      </c>
      <c r="K390">
        <v>7</v>
      </c>
      <c r="L390">
        <v>354</v>
      </c>
      <c r="M390" t="str">
        <f t="shared" si="111"/>
        <v>30 Year Fixed</v>
      </c>
      <c r="N390" s="2">
        <v>2078.81</v>
      </c>
      <c r="O390" t="str">
        <f t="shared" si="108"/>
        <v>Cash Out</v>
      </c>
      <c r="P390" s="3">
        <f t="shared" si="112"/>
        <v>7404.4259605911502</v>
      </c>
      <c r="Q390" s="4">
        <v>228650</v>
      </c>
      <c r="R390" s="4" t="s">
        <v>41</v>
      </c>
      <c r="S390" s="6">
        <v>538</v>
      </c>
      <c r="T390">
        <v>7.625</v>
      </c>
      <c r="U390" s="7">
        <f t="shared" si="109"/>
        <v>1713.6412343732093</v>
      </c>
      <c r="V390" s="2">
        <f t="shared" si="113"/>
        <v>439.84876562679051</v>
      </c>
      <c r="W390" s="9">
        <f t="shared" si="114"/>
        <v>0</v>
      </c>
      <c r="X390" s="3">
        <v>228650</v>
      </c>
      <c r="Y390" s="3">
        <f t="shared" si="115"/>
        <v>7404.4259605911502</v>
      </c>
      <c r="Z390" s="7">
        <f t="shared" si="116"/>
        <v>1713.6412343732093</v>
      </c>
      <c r="AA390" s="2">
        <f t="shared" si="110"/>
        <v>439.84876562679051</v>
      </c>
      <c r="AB390" s="8">
        <f t="shared" si="117"/>
        <v>0</v>
      </c>
      <c r="AC390" s="10">
        <v>7.625</v>
      </c>
      <c r="AD390" s="7">
        <f t="shared" si="118"/>
        <v>1713.6412343732093</v>
      </c>
      <c r="AE390" s="2">
        <f t="shared" si="119"/>
        <v>439.84876562679051</v>
      </c>
      <c r="AF390" s="10">
        <v>0</v>
      </c>
      <c r="AG390" s="3">
        <f t="shared" si="120"/>
        <v>0</v>
      </c>
      <c r="AH390" s="7">
        <v>4366</v>
      </c>
      <c r="AI390">
        <f t="shared" si="121"/>
        <v>360</v>
      </c>
      <c r="AJ390" t="e">
        <f>VLOOKUP(A390,'Borrower Details'!$A$1:$H$1493,8,FALSE)</f>
        <v>#N/A</v>
      </c>
      <c r="AK390" s="4" t="e">
        <f t="shared" si="122"/>
        <v>#N/A</v>
      </c>
      <c r="AL390" s="10">
        <v>7.625</v>
      </c>
      <c r="AM390" s="3">
        <f t="shared" si="123"/>
        <v>221134.50764999999</v>
      </c>
      <c r="AN390">
        <v>7.625</v>
      </c>
      <c r="AO390" s="7">
        <f t="shared" si="124"/>
        <v>1657.3155943663148</v>
      </c>
      <c r="AP390" s="2">
        <f t="shared" si="125"/>
        <v>496.17440563368496</v>
      </c>
    </row>
    <row r="391" spans="1:42" x14ac:dyDescent="0.15">
      <c r="A391" s="8">
        <v>410689871</v>
      </c>
      <c r="B391" t="s">
        <v>37</v>
      </c>
      <c r="C391" t="s">
        <v>16</v>
      </c>
      <c r="D391" s="1">
        <v>39295</v>
      </c>
      <c r="E391" s="2">
        <v>215000</v>
      </c>
      <c r="F391" s="2">
        <v>172000</v>
      </c>
      <c r="G391" t="s">
        <v>20</v>
      </c>
      <c r="H391" s="2">
        <v>1440</v>
      </c>
      <c r="I391" s="2">
        <v>171114.05</v>
      </c>
      <c r="J391">
        <v>9.4500000000000001E-2</v>
      </c>
      <c r="K391">
        <v>9</v>
      </c>
      <c r="L391">
        <v>350</v>
      </c>
      <c r="M391" t="str">
        <f t="shared" si="111"/>
        <v>30 Year Fixed</v>
      </c>
      <c r="N391" s="2">
        <v>1347.52</v>
      </c>
      <c r="O391" t="str">
        <f t="shared" si="108"/>
        <v>Cash Out</v>
      </c>
      <c r="P391" s="3">
        <f t="shared" si="112"/>
        <v>8935.2110837438668</v>
      </c>
      <c r="Q391" s="4">
        <v>182750</v>
      </c>
      <c r="R391" s="4" t="s">
        <v>41</v>
      </c>
      <c r="S391" s="6">
        <v>540</v>
      </c>
      <c r="T391">
        <v>7.625</v>
      </c>
      <c r="U391" s="7">
        <f t="shared" si="109"/>
        <v>1369.6389047964312</v>
      </c>
      <c r="V391" s="2">
        <f t="shared" si="113"/>
        <v>70.361095203568766</v>
      </c>
      <c r="W391" s="9">
        <f t="shared" si="114"/>
        <v>0</v>
      </c>
      <c r="X391" s="3">
        <v>182750</v>
      </c>
      <c r="Y391" s="3">
        <f t="shared" si="115"/>
        <v>8935.2110837438668</v>
      </c>
      <c r="Z391" s="7">
        <f t="shared" si="116"/>
        <v>1369.6389047964312</v>
      </c>
      <c r="AA391" s="2">
        <f t="shared" si="110"/>
        <v>70.361095203568766</v>
      </c>
      <c r="AB391" s="8">
        <f t="shared" si="117"/>
        <v>0</v>
      </c>
      <c r="AC391" s="10">
        <v>7.625</v>
      </c>
      <c r="AD391" s="7">
        <f t="shared" si="118"/>
        <v>1369.6389047964312</v>
      </c>
      <c r="AE391" s="2">
        <f t="shared" si="119"/>
        <v>70.361095203568766</v>
      </c>
      <c r="AF391" s="10">
        <v>0</v>
      </c>
      <c r="AG391" s="3">
        <f t="shared" si="120"/>
        <v>0</v>
      </c>
      <c r="AH391" s="7">
        <v>1720</v>
      </c>
      <c r="AI391">
        <f t="shared" si="121"/>
        <v>360</v>
      </c>
      <c r="AJ391" t="e">
        <f>VLOOKUP(A391,'Borrower Details'!$A$1:$H$1493,8,FALSE)</f>
        <v>#N/A</v>
      </c>
      <c r="AK391" s="4" t="e">
        <f t="shared" si="122"/>
        <v>#N/A</v>
      </c>
      <c r="AL391" s="10">
        <v>7.625</v>
      </c>
      <c r="AM391" s="3">
        <f t="shared" si="123"/>
        <v>173680.76074999996</v>
      </c>
      <c r="AN391">
        <v>7.625</v>
      </c>
      <c r="AO391" s="7">
        <f t="shared" si="124"/>
        <v>1301.6685468554908</v>
      </c>
      <c r="AP391" s="2">
        <f t="shared" si="125"/>
        <v>138.33145314450917</v>
      </c>
    </row>
    <row r="392" spans="1:42" x14ac:dyDescent="0.15">
      <c r="A392" s="8">
        <v>410581219</v>
      </c>
      <c r="B392" t="s">
        <v>35</v>
      </c>
      <c r="C392" t="s">
        <v>16</v>
      </c>
      <c r="D392" s="1">
        <v>39289</v>
      </c>
      <c r="E392" s="2">
        <v>144500</v>
      </c>
      <c r="F392" s="2">
        <v>127300</v>
      </c>
      <c r="G392" t="s">
        <v>17</v>
      </c>
      <c r="H392" s="2">
        <v>1015.14</v>
      </c>
      <c r="I392" s="2">
        <v>126641.72</v>
      </c>
      <c r="J392">
        <v>8.8999999999999996E-2</v>
      </c>
      <c r="K392">
        <v>9</v>
      </c>
      <c r="L392">
        <v>351</v>
      </c>
      <c r="M392" t="str">
        <f t="shared" si="111"/>
        <v>30 Year Fixed</v>
      </c>
      <c r="N392" s="2">
        <v>939.26</v>
      </c>
      <c r="O392" t="str">
        <f t="shared" si="108"/>
        <v>Refi</v>
      </c>
      <c r="P392" s="3">
        <f t="shared" si="112"/>
        <v>0</v>
      </c>
      <c r="Q392" s="4">
        <v>128541</v>
      </c>
      <c r="R392" s="4" t="s">
        <v>41</v>
      </c>
      <c r="S392" s="6">
        <v>660</v>
      </c>
      <c r="T392">
        <v>6.75</v>
      </c>
      <c r="U392" s="7">
        <f t="shared" si="109"/>
        <v>887.27322930974776</v>
      </c>
      <c r="V392" s="2">
        <f t="shared" si="113"/>
        <v>127.86677069025222</v>
      </c>
      <c r="W392" s="9">
        <f t="shared" si="114"/>
        <v>0</v>
      </c>
      <c r="X392" s="3">
        <v>128542</v>
      </c>
      <c r="Y392" s="3">
        <f t="shared" si="115"/>
        <v>0.64453201970900409</v>
      </c>
      <c r="Z392" s="7">
        <f t="shared" si="116"/>
        <v>887.28013195738004</v>
      </c>
      <c r="AA392" s="2">
        <f t="shared" si="110"/>
        <v>127.85986804261995</v>
      </c>
      <c r="AB392" s="8">
        <f t="shared" si="117"/>
        <v>0</v>
      </c>
      <c r="AC392" s="10">
        <v>6.75</v>
      </c>
      <c r="AD392" s="7">
        <f t="shared" si="118"/>
        <v>887.28013195738004</v>
      </c>
      <c r="AE392" s="2">
        <f t="shared" si="119"/>
        <v>127.85986804261995</v>
      </c>
      <c r="AF392" s="10">
        <v>0</v>
      </c>
      <c r="AG392" s="3">
        <f t="shared" si="120"/>
        <v>0</v>
      </c>
      <c r="AH392" s="7">
        <v>5664.85</v>
      </c>
      <c r="AI392">
        <f t="shared" si="121"/>
        <v>360</v>
      </c>
      <c r="AJ392" t="e">
        <f>VLOOKUP(A392,'Borrower Details'!$A$1:$H$1493,8,FALSE)</f>
        <v>#N/A</v>
      </c>
      <c r="AK392" s="4" t="e">
        <f t="shared" si="122"/>
        <v>#N/A</v>
      </c>
      <c r="AL392" s="10">
        <v>6.75</v>
      </c>
      <c r="AM392" s="3">
        <f t="shared" si="123"/>
        <v>128541.3458</v>
      </c>
      <c r="AN392">
        <v>6.75</v>
      </c>
      <c r="AO392" s="7">
        <f t="shared" si="124"/>
        <v>887.27561624529903</v>
      </c>
      <c r="AP392" s="2">
        <f t="shared" si="125"/>
        <v>127.86438375470095</v>
      </c>
    </row>
    <row r="393" spans="1:42" x14ac:dyDescent="0.15">
      <c r="A393" s="8">
        <v>410424881</v>
      </c>
      <c r="B393" t="s">
        <v>36</v>
      </c>
      <c r="C393" t="s">
        <v>19</v>
      </c>
      <c r="D393" s="1">
        <v>39258</v>
      </c>
      <c r="E393" s="2">
        <v>180000</v>
      </c>
      <c r="F393" s="2">
        <v>153000</v>
      </c>
      <c r="G393" t="s">
        <v>20</v>
      </c>
      <c r="H393" s="2">
        <v>1187.3</v>
      </c>
      <c r="I393" s="2">
        <v>152061.53</v>
      </c>
      <c r="J393">
        <v>8.5999999999999993E-2</v>
      </c>
      <c r="K393">
        <v>10</v>
      </c>
      <c r="L393">
        <v>350</v>
      </c>
      <c r="M393" t="str">
        <f t="shared" si="111"/>
        <v>30 Year Fixed</v>
      </c>
      <c r="N393" s="2">
        <v>1089.77</v>
      </c>
      <c r="O393" t="str">
        <f t="shared" si="108"/>
        <v>Refi</v>
      </c>
      <c r="P393" s="3">
        <f t="shared" si="112"/>
        <v>0</v>
      </c>
      <c r="Q393" s="4">
        <v>154342</v>
      </c>
      <c r="R393" s="4" t="s">
        <v>41</v>
      </c>
      <c r="S393" s="6">
        <v>572</v>
      </c>
      <c r="T393">
        <v>7.625</v>
      </c>
      <c r="U393" s="7">
        <f t="shared" si="109"/>
        <v>1156.7321906653397</v>
      </c>
      <c r="V393" s="2">
        <f t="shared" si="113"/>
        <v>30.567809334660296</v>
      </c>
      <c r="W393" s="9">
        <f t="shared" si="114"/>
        <v>0</v>
      </c>
      <c r="X393" s="3">
        <v>154343</v>
      </c>
      <c r="Y393" s="3">
        <f t="shared" si="115"/>
        <v>0.53896551724756137</v>
      </c>
      <c r="Z393" s="7">
        <f t="shared" si="116"/>
        <v>1156.7396852694699</v>
      </c>
      <c r="AA393" s="2">
        <f t="shared" si="110"/>
        <v>30.560314730530081</v>
      </c>
      <c r="AB393" s="8">
        <f t="shared" si="117"/>
        <v>1</v>
      </c>
      <c r="AC393" s="10">
        <v>6.875</v>
      </c>
      <c r="AD393" s="7">
        <f t="shared" si="118"/>
        <v>1078.2332222245354</v>
      </c>
      <c r="AE393" s="2">
        <f t="shared" si="119"/>
        <v>109.06677777546452</v>
      </c>
      <c r="AF393" s="10">
        <v>1</v>
      </c>
      <c r="AG393" s="3">
        <f t="shared" si="120"/>
        <v>1543.43</v>
      </c>
      <c r="AH393" s="7">
        <v>3060</v>
      </c>
      <c r="AI393">
        <f t="shared" si="121"/>
        <v>360</v>
      </c>
      <c r="AJ393" t="e">
        <f>VLOOKUP(A393,'Borrower Details'!$A$1:$H$1493,8,FALSE)</f>
        <v>#N/A</v>
      </c>
      <c r="AK393" s="4" t="e">
        <f t="shared" si="122"/>
        <v>#N/A</v>
      </c>
      <c r="AL393" s="10">
        <v>7.625</v>
      </c>
      <c r="AM393" s="3">
        <f t="shared" si="123"/>
        <v>154342.45294999998</v>
      </c>
      <c r="AN393">
        <v>7.625</v>
      </c>
      <c r="AO393" s="7">
        <f t="shared" si="124"/>
        <v>1156.7355853462802</v>
      </c>
      <c r="AP393" s="2">
        <f t="shared" si="125"/>
        <v>30.564414653719723</v>
      </c>
    </row>
    <row r="394" spans="1:42" x14ac:dyDescent="0.15">
      <c r="A394" s="8">
        <v>410334379</v>
      </c>
      <c r="B394" t="s">
        <v>38</v>
      </c>
      <c r="C394" t="s">
        <v>19</v>
      </c>
      <c r="D394" s="1">
        <v>39238</v>
      </c>
      <c r="E394" s="2">
        <v>64000</v>
      </c>
      <c r="F394" s="2">
        <v>54400</v>
      </c>
      <c r="G394" t="s">
        <v>17</v>
      </c>
      <c r="H394" s="2">
        <v>580.14</v>
      </c>
      <c r="I394" s="2">
        <v>53785.91</v>
      </c>
      <c r="J394">
        <v>0.115</v>
      </c>
      <c r="K394">
        <v>10</v>
      </c>
      <c r="L394">
        <v>230</v>
      </c>
      <c r="M394" t="str">
        <f t="shared" si="111"/>
        <v>30 Year Fixed</v>
      </c>
      <c r="N394" s="2">
        <v>515.45000000000005</v>
      </c>
      <c r="O394" t="str">
        <f t="shared" si="108"/>
        <v>Refi</v>
      </c>
      <c r="P394" s="3">
        <f t="shared" si="112"/>
        <v>0</v>
      </c>
      <c r="Q394" s="4">
        <v>54593</v>
      </c>
      <c r="R394" s="4" t="s">
        <v>41</v>
      </c>
      <c r="S394" s="6">
        <v>556</v>
      </c>
      <c r="T394">
        <v>7.625</v>
      </c>
      <c r="U394" s="7">
        <f t="shared" si="109"/>
        <v>409.15292328071996</v>
      </c>
      <c r="V394" s="2">
        <f t="shared" si="113"/>
        <v>170.98707671928003</v>
      </c>
      <c r="W394" s="9">
        <f t="shared" si="114"/>
        <v>0</v>
      </c>
      <c r="X394" s="3">
        <v>54593</v>
      </c>
      <c r="Y394" s="3">
        <f t="shared" si="115"/>
        <v>0.29689655172842322</v>
      </c>
      <c r="Z394" s="7">
        <f t="shared" si="116"/>
        <v>409.15292328071996</v>
      </c>
      <c r="AA394" s="2">
        <f t="shared" si="110"/>
        <v>170.98707671928003</v>
      </c>
      <c r="AB394" s="8">
        <f t="shared" si="117"/>
        <v>0</v>
      </c>
      <c r="AC394" s="10">
        <v>7.625</v>
      </c>
      <c r="AD394" s="7">
        <f t="shared" si="118"/>
        <v>409.15292328071996</v>
      </c>
      <c r="AE394" s="2">
        <f t="shared" si="119"/>
        <v>170.98707671928003</v>
      </c>
      <c r="AF394" s="10">
        <v>0</v>
      </c>
      <c r="AG394" s="3">
        <f t="shared" si="120"/>
        <v>0</v>
      </c>
      <c r="AH394" s="7">
        <v>0</v>
      </c>
      <c r="AI394">
        <f t="shared" si="121"/>
        <v>360</v>
      </c>
      <c r="AJ394" t="e">
        <f>VLOOKUP(A394,'Borrower Details'!$A$1:$H$1493,8,FALSE)</f>
        <v>#N/A</v>
      </c>
      <c r="AK394" s="4" t="e">
        <f t="shared" si="122"/>
        <v>#N/A</v>
      </c>
      <c r="AL394" s="10">
        <v>7.625</v>
      </c>
      <c r="AM394" s="3">
        <f t="shared" si="123"/>
        <v>54592.698649999998</v>
      </c>
      <c r="AN394">
        <v>7.625</v>
      </c>
      <c r="AO394" s="7">
        <f t="shared" si="124"/>
        <v>409.15066478176533</v>
      </c>
      <c r="AP394" s="2">
        <f t="shared" si="125"/>
        <v>170.98933521823466</v>
      </c>
    </row>
    <row r="395" spans="1:42" x14ac:dyDescent="0.15">
      <c r="A395" s="8">
        <v>410460703</v>
      </c>
      <c r="B395" t="s">
        <v>37</v>
      </c>
      <c r="C395" t="s">
        <v>19</v>
      </c>
      <c r="D395" s="1">
        <v>39255</v>
      </c>
      <c r="E395" s="2">
        <v>99900</v>
      </c>
      <c r="F395" s="2">
        <v>84150</v>
      </c>
      <c r="G395" t="s">
        <v>17</v>
      </c>
      <c r="H395" s="2">
        <v>674.07</v>
      </c>
      <c r="I395" s="2">
        <v>83619.55</v>
      </c>
      <c r="J395">
        <v>8.9499999999999996E-2</v>
      </c>
      <c r="K395">
        <v>10</v>
      </c>
      <c r="L395">
        <v>349</v>
      </c>
      <c r="M395" t="str">
        <f t="shared" si="111"/>
        <v>30 Year Fixed</v>
      </c>
      <c r="N395" s="2">
        <v>623.66</v>
      </c>
      <c r="O395" t="str">
        <f t="shared" si="108"/>
        <v>Cash Out</v>
      </c>
      <c r="P395" s="3">
        <f t="shared" si="112"/>
        <v>40.548522167489864</v>
      </c>
      <c r="Q395" s="4">
        <v>84915</v>
      </c>
      <c r="R395" s="4" t="s">
        <v>41</v>
      </c>
      <c r="S395" s="6">
        <v>636</v>
      </c>
      <c r="T395">
        <v>6.875</v>
      </c>
      <c r="U395" s="7">
        <f t="shared" si="109"/>
        <v>593.21235213256466</v>
      </c>
      <c r="V395" s="2">
        <f t="shared" si="113"/>
        <v>80.857647867435389</v>
      </c>
      <c r="W395" s="9">
        <f t="shared" si="114"/>
        <v>0</v>
      </c>
      <c r="X395" s="3">
        <v>84915</v>
      </c>
      <c r="Y395" s="3">
        <f t="shared" si="115"/>
        <v>40.548522167489864</v>
      </c>
      <c r="Z395" s="7">
        <f t="shared" si="116"/>
        <v>593.21235213256466</v>
      </c>
      <c r="AA395" s="2">
        <f t="shared" si="110"/>
        <v>80.857647867435389</v>
      </c>
      <c r="AB395" s="8">
        <f t="shared" si="117"/>
        <v>0</v>
      </c>
      <c r="AC395" s="10">
        <v>6.875</v>
      </c>
      <c r="AD395" s="7">
        <f t="shared" si="118"/>
        <v>593.21235213256466</v>
      </c>
      <c r="AE395" s="2">
        <f t="shared" si="119"/>
        <v>80.857647867435389</v>
      </c>
      <c r="AF395" s="10">
        <v>0</v>
      </c>
      <c r="AG395" s="3">
        <f t="shared" si="120"/>
        <v>0</v>
      </c>
      <c r="AH395" s="7">
        <v>0</v>
      </c>
      <c r="AI395">
        <f t="shared" si="121"/>
        <v>360</v>
      </c>
      <c r="AJ395" t="e">
        <f>VLOOKUP(A395,'Borrower Details'!$A$1:$H$1493,8,FALSE)</f>
        <v>#N/A</v>
      </c>
      <c r="AK395" s="4" t="e">
        <f t="shared" si="122"/>
        <v>#N/A</v>
      </c>
      <c r="AL395" s="10">
        <v>6.875</v>
      </c>
      <c r="AM395" s="3">
        <f t="shared" si="123"/>
        <v>84873.843249999991</v>
      </c>
      <c r="AN395">
        <v>6.875</v>
      </c>
      <c r="AO395" s="7">
        <f t="shared" si="124"/>
        <v>592.92483293720886</v>
      </c>
      <c r="AP395" s="2">
        <f t="shared" si="125"/>
        <v>81.145167062791188</v>
      </c>
    </row>
    <row r="396" spans="1:42" x14ac:dyDescent="0.15">
      <c r="A396" s="8">
        <v>1166432</v>
      </c>
      <c r="B396" t="s">
        <v>35</v>
      </c>
      <c r="C396" t="s">
        <v>16</v>
      </c>
      <c r="D396" s="1">
        <v>39174</v>
      </c>
      <c r="E396" s="2">
        <v>107000</v>
      </c>
      <c r="F396" s="2">
        <v>89880</v>
      </c>
      <c r="G396" t="s">
        <v>17</v>
      </c>
      <c r="H396" s="2">
        <v>759.05</v>
      </c>
      <c r="I396" s="2">
        <v>89331.35</v>
      </c>
      <c r="J396">
        <v>9.5500000000000002E-2</v>
      </c>
      <c r="K396">
        <v>12</v>
      </c>
      <c r="L396">
        <v>348</v>
      </c>
      <c r="M396" t="str">
        <f t="shared" si="111"/>
        <v>30 Year Fixed</v>
      </c>
      <c r="N396" s="2">
        <v>710.93</v>
      </c>
      <c r="O396" t="str">
        <f t="shared" si="108"/>
        <v>Cash Out</v>
      </c>
      <c r="P396" s="3">
        <f t="shared" si="112"/>
        <v>274.5613300492696</v>
      </c>
      <c r="Q396" s="4">
        <v>90950</v>
      </c>
      <c r="R396" s="4" t="s">
        <v>41</v>
      </c>
      <c r="S396" s="6">
        <v>565</v>
      </c>
      <c r="T396">
        <v>7.625</v>
      </c>
      <c r="U396" s="7">
        <f t="shared" si="109"/>
        <v>681.63424564287516</v>
      </c>
      <c r="V396" s="2">
        <f t="shared" si="113"/>
        <v>77.415754357124797</v>
      </c>
      <c r="W396" s="9">
        <f t="shared" si="114"/>
        <v>0</v>
      </c>
      <c r="X396" s="3">
        <v>90950</v>
      </c>
      <c r="Y396" s="3">
        <f t="shared" si="115"/>
        <v>274.5613300492696</v>
      </c>
      <c r="Z396" s="7">
        <f t="shared" si="116"/>
        <v>681.63424564287516</v>
      </c>
      <c r="AA396" s="2">
        <f t="shared" si="110"/>
        <v>77.415754357124797</v>
      </c>
      <c r="AB396" s="8">
        <f t="shared" si="117"/>
        <v>0</v>
      </c>
      <c r="AC396" s="10">
        <v>7.625</v>
      </c>
      <c r="AD396" s="7">
        <f t="shared" si="118"/>
        <v>681.63424564287516</v>
      </c>
      <c r="AE396" s="2">
        <f t="shared" si="119"/>
        <v>77.415754357124797</v>
      </c>
      <c r="AF396" s="10">
        <v>0</v>
      </c>
      <c r="AG396" s="3">
        <f t="shared" si="120"/>
        <v>0</v>
      </c>
      <c r="AH396" s="7">
        <v>4291.7700000000004</v>
      </c>
      <c r="AI396">
        <f t="shared" si="121"/>
        <v>360</v>
      </c>
      <c r="AJ396" t="e">
        <f>VLOOKUP(A396,'Borrower Details'!$A$1:$H$1493,8,FALSE)</f>
        <v>#N/A</v>
      </c>
      <c r="AK396" s="4" t="e">
        <f t="shared" si="122"/>
        <v>#N/A</v>
      </c>
      <c r="AL396" s="10">
        <v>7.625</v>
      </c>
      <c r="AM396" s="3">
        <f t="shared" si="123"/>
        <v>90671.320250000004</v>
      </c>
      <c r="AN396">
        <v>7.625</v>
      </c>
      <c r="AO396" s="7">
        <f t="shared" si="124"/>
        <v>679.54565123751843</v>
      </c>
      <c r="AP396" s="2">
        <f t="shared" si="125"/>
        <v>79.504348762481527</v>
      </c>
    </row>
    <row r="397" spans="1:42" x14ac:dyDescent="0.15">
      <c r="A397" s="8">
        <v>1153893</v>
      </c>
      <c r="B397" t="s">
        <v>36</v>
      </c>
      <c r="C397" t="s">
        <v>19</v>
      </c>
      <c r="D397" s="1">
        <v>39183</v>
      </c>
      <c r="E397" s="2">
        <v>190000</v>
      </c>
      <c r="F397" s="2">
        <v>122000</v>
      </c>
      <c r="G397" t="s">
        <v>15</v>
      </c>
      <c r="H397" s="2">
        <v>791.29</v>
      </c>
      <c r="I397" s="2">
        <v>120699.77</v>
      </c>
      <c r="J397">
        <v>6.7500000000000004E-2</v>
      </c>
      <c r="K397">
        <v>12</v>
      </c>
      <c r="L397">
        <v>348</v>
      </c>
      <c r="M397" t="str">
        <f t="shared" si="111"/>
        <v>30 Year Fixed</v>
      </c>
      <c r="N397" s="2">
        <v>678.94</v>
      </c>
      <c r="O397" t="str">
        <f t="shared" si="108"/>
        <v>Cash Out</v>
      </c>
      <c r="P397" s="3">
        <f t="shared" si="112"/>
        <v>38413.530492610837</v>
      </c>
      <c r="Q397" s="4">
        <v>161500</v>
      </c>
      <c r="R397" s="4" t="s">
        <v>41</v>
      </c>
      <c r="S397" s="6">
        <v>599</v>
      </c>
      <c r="T397">
        <v>7.375</v>
      </c>
      <c r="U397" s="7">
        <f t="shared" si="109"/>
        <v>1182.7320300363672</v>
      </c>
      <c r="V397" s="2">
        <f t="shared" si="113"/>
        <v>-391.44203003636721</v>
      </c>
      <c r="W397" s="9">
        <f t="shared" si="114"/>
        <v>1</v>
      </c>
      <c r="X397" s="3">
        <v>122510</v>
      </c>
      <c r="Y397" s="3">
        <f t="shared" si="115"/>
        <v>-0.26261083742429037</v>
      </c>
      <c r="Z397" s="7">
        <f t="shared" si="116"/>
        <v>897.19195665483187</v>
      </c>
      <c r="AA397" s="2">
        <f t="shared" si="110"/>
        <v>-105.90195665483191</v>
      </c>
      <c r="AB397" s="8">
        <f t="shared" si="117"/>
        <v>1</v>
      </c>
      <c r="AC397" s="10">
        <v>6.625</v>
      </c>
      <c r="AD397" s="7">
        <f t="shared" si="118"/>
        <v>835.49079174645999</v>
      </c>
      <c r="AE397" s="2">
        <f t="shared" si="119"/>
        <v>-44.200791746460027</v>
      </c>
      <c r="AF397" s="10">
        <v>1.875</v>
      </c>
      <c r="AG397" s="3">
        <f t="shared" si="120"/>
        <v>2297.0625</v>
      </c>
      <c r="AH397" s="7">
        <v>2440</v>
      </c>
      <c r="AI397">
        <f t="shared" si="121"/>
        <v>360</v>
      </c>
      <c r="AJ397" t="e">
        <f>VLOOKUP(A397,'Borrower Details'!$A$1:$H$1493,8,FALSE)</f>
        <v>#N/A</v>
      </c>
      <c r="AK397" s="4" t="e">
        <f t="shared" si="122"/>
        <v>#N/A</v>
      </c>
      <c r="AL397" s="10">
        <v>7.375</v>
      </c>
      <c r="AM397" s="3">
        <f t="shared" si="123"/>
        <v>122510.26654999999</v>
      </c>
      <c r="AN397">
        <v>7.375</v>
      </c>
      <c r="AO397" s="7">
        <f t="shared" si="124"/>
        <v>897.19390871193764</v>
      </c>
      <c r="AP397" s="2">
        <f t="shared" si="125"/>
        <v>-105.90390871193767</v>
      </c>
    </row>
    <row r="398" spans="1:42" x14ac:dyDescent="0.15">
      <c r="A398" s="8">
        <v>1183952</v>
      </c>
      <c r="B398" t="s">
        <v>36</v>
      </c>
      <c r="C398" t="s">
        <v>19</v>
      </c>
      <c r="D398" s="1">
        <v>39195</v>
      </c>
      <c r="E398" s="2">
        <v>159000</v>
      </c>
      <c r="F398" s="2">
        <v>103000</v>
      </c>
      <c r="G398" t="s">
        <v>15</v>
      </c>
      <c r="H398" s="2">
        <v>723.92</v>
      </c>
      <c r="I398" s="2">
        <v>102642.9</v>
      </c>
      <c r="J398">
        <v>8.1000000000000003E-2</v>
      </c>
      <c r="K398">
        <v>12</v>
      </c>
      <c r="L398">
        <v>348</v>
      </c>
      <c r="M398" t="str">
        <f t="shared" si="111"/>
        <v>30 Year Fixed</v>
      </c>
      <c r="N398" s="2">
        <v>692.84</v>
      </c>
      <c r="O398" t="str">
        <f t="shared" si="108"/>
        <v>Cash Out</v>
      </c>
      <c r="P398" s="3">
        <f t="shared" si="112"/>
        <v>30509.809359605919</v>
      </c>
      <c r="Q398" s="4">
        <v>135150</v>
      </c>
      <c r="R398" s="4" t="s">
        <v>41</v>
      </c>
      <c r="S398" s="6">
        <v>532</v>
      </c>
      <c r="T398">
        <v>7.625</v>
      </c>
      <c r="U398" s="7">
        <f t="shared" si="109"/>
        <v>1012.8957481982911</v>
      </c>
      <c r="V398" s="2">
        <f t="shared" si="113"/>
        <v>-288.97574819829117</v>
      </c>
      <c r="W398" s="9">
        <f t="shared" si="114"/>
        <v>1</v>
      </c>
      <c r="X398" s="3">
        <v>104183</v>
      </c>
      <c r="Y398" s="3">
        <f t="shared" si="115"/>
        <v>0.44975369460007641</v>
      </c>
      <c r="Z398" s="7">
        <f t="shared" si="116"/>
        <v>780.81034209798418</v>
      </c>
      <c r="AA398" s="2">
        <f t="shared" si="110"/>
        <v>-56.890342097984217</v>
      </c>
      <c r="AB398" s="8">
        <f t="shared" si="117"/>
        <v>1</v>
      </c>
      <c r="AC398" s="10">
        <v>6.875</v>
      </c>
      <c r="AD398" s="7">
        <f t="shared" si="118"/>
        <v>727.81772928489647</v>
      </c>
      <c r="AE398" s="2">
        <f t="shared" si="119"/>
        <v>-3.8977292848965135</v>
      </c>
      <c r="AF398" s="10">
        <v>1</v>
      </c>
      <c r="AG398" s="3">
        <f t="shared" si="120"/>
        <v>1041.83</v>
      </c>
      <c r="AH398" s="7">
        <v>2060</v>
      </c>
      <c r="AI398">
        <f t="shared" si="121"/>
        <v>360</v>
      </c>
      <c r="AJ398" t="e">
        <f>VLOOKUP(A398,'Borrower Details'!$A$1:$H$1493,8,FALSE)</f>
        <v>#N/A</v>
      </c>
      <c r="AK398" s="4" t="e">
        <f t="shared" si="122"/>
        <v>#N/A</v>
      </c>
      <c r="AL398" s="10">
        <v>7.625</v>
      </c>
      <c r="AM398" s="3">
        <f t="shared" si="123"/>
        <v>104182.54349999999</v>
      </c>
      <c r="AN398">
        <v>7.625</v>
      </c>
      <c r="AO398" s="7">
        <f t="shared" si="124"/>
        <v>780.80692081119855</v>
      </c>
      <c r="AP398" s="2">
        <f t="shared" si="125"/>
        <v>-56.886920811198593</v>
      </c>
    </row>
    <row r="399" spans="1:42" x14ac:dyDescent="0.15">
      <c r="A399" s="8">
        <v>410513899</v>
      </c>
      <c r="B399" t="s">
        <v>36</v>
      </c>
      <c r="C399" t="s">
        <v>19</v>
      </c>
      <c r="D399" s="1">
        <v>39276</v>
      </c>
      <c r="E399" s="2">
        <v>600000</v>
      </c>
      <c r="F399" s="2">
        <v>325000</v>
      </c>
      <c r="G399" t="s">
        <v>15</v>
      </c>
      <c r="H399" s="2">
        <v>2208.71</v>
      </c>
      <c r="I399" s="2">
        <v>324086.27</v>
      </c>
      <c r="J399">
        <v>7.7899999999999997E-2</v>
      </c>
      <c r="K399">
        <v>9</v>
      </c>
      <c r="L399">
        <v>351</v>
      </c>
      <c r="M399" t="str">
        <f t="shared" si="111"/>
        <v>30 Year Fixed</v>
      </c>
      <c r="N399" s="2">
        <v>2103.86</v>
      </c>
      <c r="O399" t="str">
        <f t="shared" si="108"/>
        <v>Cash Out</v>
      </c>
      <c r="P399" s="3">
        <f t="shared" si="112"/>
        <v>178376.78418719216</v>
      </c>
      <c r="Q399" s="4">
        <v>510000</v>
      </c>
      <c r="R399" s="4" t="s">
        <v>41</v>
      </c>
      <c r="S399" s="6">
        <v>523</v>
      </c>
      <c r="T399">
        <v>7.625</v>
      </c>
      <c r="U399" s="7">
        <f t="shared" si="109"/>
        <v>3822.2481064086455</v>
      </c>
      <c r="V399" s="2">
        <f t="shared" si="113"/>
        <v>-1613.5381064086455</v>
      </c>
      <c r="W399" s="9">
        <f t="shared" si="114"/>
        <v>1</v>
      </c>
      <c r="X399" s="3">
        <v>328947</v>
      </c>
      <c r="Y399" s="3">
        <f t="shared" si="115"/>
        <v>-0.55571428569965065</v>
      </c>
      <c r="Z399" s="7">
        <f t="shared" si="116"/>
        <v>2465.3275448211862</v>
      </c>
      <c r="AA399" s="2">
        <f t="shared" si="110"/>
        <v>-256.61754482118613</v>
      </c>
      <c r="AB399" s="8">
        <f t="shared" si="117"/>
        <v>1</v>
      </c>
      <c r="AC399" s="10">
        <v>6.875</v>
      </c>
      <c r="AD399" s="7">
        <f t="shared" si="118"/>
        <v>2298.0088747212008</v>
      </c>
      <c r="AE399" s="2">
        <f t="shared" si="119"/>
        <v>-89.298874721200718</v>
      </c>
      <c r="AF399" s="10">
        <v>1.75</v>
      </c>
      <c r="AG399" s="3">
        <f t="shared" si="120"/>
        <v>5756.5725000000002</v>
      </c>
      <c r="AH399" s="7">
        <v>6500</v>
      </c>
      <c r="AI399">
        <f t="shared" si="121"/>
        <v>360</v>
      </c>
      <c r="AJ399" t="e">
        <f>VLOOKUP(A399,'Borrower Details'!$A$1:$H$1493,8,FALSE)</f>
        <v>#N/A</v>
      </c>
      <c r="AK399" s="4" t="e">
        <f t="shared" si="122"/>
        <v>#N/A</v>
      </c>
      <c r="AL399" s="10">
        <v>7.625</v>
      </c>
      <c r="AM399" s="3">
        <f t="shared" si="123"/>
        <v>328947.56404999999</v>
      </c>
      <c r="AN399">
        <v>7.625</v>
      </c>
      <c r="AO399" s="7">
        <f t="shared" si="124"/>
        <v>2465.3317721526455</v>
      </c>
      <c r="AP399" s="2">
        <f t="shared" si="125"/>
        <v>-256.62177215264546</v>
      </c>
    </row>
    <row r="400" spans="1:42" x14ac:dyDescent="0.15">
      <c r="A400" s="8">
        <v>410417091</v>
      </c>
      <c r="B400" t="s">
        <v>36</v>
      </c>
      <c r="C400" t="s">
        <v>19</v>
      </c>
      <c r="D400" s="1">
        <v>39244</v>
      </c>
      <c r="E400" s="2">
        <v>250000</v>
      </c>
      <c r="F400" s="2">
        <v>211700</v>
      </c>
      <c r="G400" t="s">
        <v>17</v>
      </c>
      <c r="H400" s="2">
        <v>1277.31</v>
      </c>
      <c r="I400" s="2">
        <v>210721.3</v>
      </c>
      <c r="J400">
        <v>6.7500000000000004E-2</v>
      </c>
      <c r="K400">
        <v>10</v>
      </c>
      <c r="L400">
        <v>349</v>
      </c>
      <c r="M400" t="str">
        <f t="shared" si="111"/>
        <v>30 Year Fixed</v>
      </c>
      <c r="N400" s="2">
        <v>1185.31</v>
      </c>
      <c r="O400" t="str">
        <f t="shared" si="108"/>
        <v>Refi</v>
      </c>
      <c r="P400" s="3">
        <f t="shared" si="112"/>
        <v>0</v>
      </c>
      <c r="Q400" s="4">
        <v>213882</v>
      </c>
      <c r="R400" s="4" t="s">
        <v>41</v>
      </c>
      <c r="S400" s="6">
        <v>677</v>
      </c>
      <c r="T400">
        <v>6.75</v>
      </c>
      <c r="U400" s="7">
        <f t="shared" si="109"/>
        <v>1476.3520809020272</v>
      </c>
      <c r="V400" s="2">
        <f t="shared" si="113"/>
        <v>-199.04208090202724</v>
      </c>
      <c r="W400" s="9">
        <f t="shared" si="114"/>
        <v>0</v>
      </c>
      <c r="X400" s="3">
        <v>213882</v>
      </c>
      <c r="Y400" s="3">
        <f t="shared" si="115"/>
        <v>-0.11773399010417052</v>
      </c>
      <c r="Z400" s="7">
        <f t="shared" si="116"/>
        <v>1476.3520809020272</v>
      </c>
      <c r="AA400" s="2">
        <f t="shared" si="110"/>
        <v>-199.04208090202724</v>
      </c>
      <c r="AB400" s="8">
        <f t="shared" si="117"/>
        <v>1</v>
      </c>
      <c r="AC400" s="10">
        <v>6.125</v>
      </c>
      <c r="AD400" s="7">
        <f t="shared" si="118"/>
        <v>1388.6870742659705</v>
      </c>
      <c r="AE400" s="2">
        <f t="shared" si="119"/>
        <v>-111.37707426597058</v>
      </c>
      <c r="AF400" s="10">
        <v>3</v>
      </c>
      <c r="AG400" s="3">
        <f t="shared" si="120"/>
        <v>6416.46</v>
      </c>
      <c r="AH400" s="7">
        <v>4234</v>
      </c>
      <c r="AI400">
        <f t="shared" si="121"/>
        <v>360</v>
      </c>
      <c r="AJ400" t="e">
        <f>VLOOKUP(A400,'Borrower Details'!$A$1:$H$1493,8,FALSE)</f>
        <v>#N/A</v>
      </c>
      <c r="AK400" s="4" t="e">
        <f t="shared" si="122"/>
        <v>#N/A</v>
      </c>
      <c r="AL400" s="10">
        <v>6.75</v>
      </c>
      <c r="AM400" s="3">
        <f t="shared" si="123"/>
        <v>213882.11949999997</v>
      </c>
      <c r="AN400">
        <v>6.75</v>
      </c>
      <c r="AO400" s="7">
        <f t="shared" si="124"/>
        <v>1476.3529057684191</v>
      </c>
      <c r="AP400" s="2">
        <f t="shared" si="125"/>
        <v>-199.04290576841913</v>
      </c>
    </row>
    <row r="401" spans="1:42" x14ac:dyDescent="0.15">
      <c r="A401" s="8">
        <v>1170062</v>
      </c>
      <c r="B401" t="s">
        <v>38</v>
      </c>
      <c r="C401" t="s">
        <v>19</v>
      </c>
      <c r="D401" s="1">
        <v>39161</v>
      </c>
      <c r="E401" s="2">
        <v>142900</v>
      </c>
      <c r="F401" s="2">
        <v>128610</v>
      </c>
      <c r="G401" t="s">
        <v>15</v>
      </c>
      <c r="H401" s="2">
        <v>1003.52</v>
      </c>
      <c r="I401" s="2">
        <v>127446.84</v>
      </c>
      <c r="J401">
        <v>8.6599999999999996E-2</v>
      </c>
      <c r="K401">
        <v>13</v>
      </c>
      <c r="L401">
        <v>347</v>
      </c>
      <c r="M401" t="str">
        <f t="shared" si="111"/>
        <v>30 Year Fixed</v>
      </c>
      <c r="N401" s="2">
        <v>919.74</v>
      </c>
      <c r="O401" t="str">
        <f t="shared" si="108"/>
        <v>Refi</v>
      </c>
      <c r="P401" s="3">
        <f t="shared" si="112"/>
        <v>0</v>
      </c>
      <c r="Q401" s="4">
        <v>129359</v>
      </c>
      <c r="R401" s="4" t="s">
        <v>41</v>
      </c>
      <c r="S401" s="6">
        <v>574</v>
      </c>
      <c r="T401">
        <v>7.625</v>
      </c>
      <c r="U401" s="7">
        <f t="shared" si="109"/>
        <v>969.49449568022737</v>
      </c>
      <c r="V401" s="2">
        <f t="shared" si="113"/>
        <v>34.025504319772608</v>
      </c>
      <c r="W401" s="9">
        <f t="shared" si="114"/>
        <v>0</v>
      </c>
      <c r="X401" s="3">
        <v>129359</v>
      </c>
      <c r="Y401" s="3">
        <f t="shared" si="115"/>
        <v>0.4506403941049939</v>
      </c>
      <c r="Z401" s="7">
        <f t="shared" si="116"/>
        <v>969.49449568022737</v>
      </c>
      <c r="AA401" s="2">
        <f t="shared" si="110"/>
        <v>34.025504319772608</v>
      </c>
      <c r="AB401" s="8">
        <f t="shared" si="117"/>
        <v>1</v>
      </c>
      <c r="AC401" s="10">
        <v>6.5</v>
      </c>
      <c r="AD401" s="7">
        <f t="shared" si="118"/>
        <v>871.53645784359924</v>
      </c>
      <c r="AE401" s="2">
        <f t="shared" si="119"/>
        <v>131.98354215640074</v>
      </c>
      <c r="AF401" s="10">
        <v>2.375</v>
      </c>
      <c r="AG401" s="3">
        <f t="shared" si="120"/>
        <v>3072.2762499999999</v>
      </c>
      <c r="AH401" s="7">
        <v>0</v>
      </c>
      <c r="AI401">
        <f t="shared" si="121"/>
        <v>360</v>
      </c>
      <c r="AJ401" t="e">
        <f>VLOOKUP(A401,'Borrower Details'!$A$1:$H$1493,8,FALSE)</f>
        <v>#N/A</v>
      </c>
      <c r="AK401" s="4" t="e">
        <f t="shared" si="122"/>
        <v>#N/A</v>
      </c>
      <c r="AL401" s="10">
        <v>7.625</v>
      </c>
      <c r="AM401" s="3">
        <f t="shared" si="123"/>
        <v>129358.54259999999</v>
      </c>
      <c r="AN401">
        <v>7.625</v>
      </c>
      <c r="AO401" s="7">
        <f t="shared" si="124"/>
        <v>969.4910676482981</v>
      </c>
      <c r="AP401" s="2">
        <f t="shared" si="125"/>
        <v>34.028932351701883</v>
      </c>
    </row>
    <row r="402" spans="1:42" x14ac:dyDescent="0.15">
      <c r="A402" s="8">
        <v>411253867</v>
      </c>
      <c r="B402" t="s">
        <v>36</v>
      </c>
      <c r="C402" t="s">
        <v>18</v>
      </c>
      <c r="D402" s="1">
        <v>39491</v>
      </c>
      <c r="E402" s="2">
        <v>260000</v>
      </c>
      <c r="F402" s="2">
        <v>247000</v>
      </c>
      <c r="G402" t="s">
        <v>17</v>
      </c>
      <c r="H402" s="2">
        <v>2149.38</v>
      </c>
      <c r="I402" s="2">
        <v>246775.82</v>
      </c>
      <c r="J402">
        <v>9.9000000000000005E-2</v>
      </c>
      <c r="K402">
        <v>2</v>
      </c>
      <c r="L402">
        <v>358</v>
      </c>
      <c r="M402" t="str">
        <f t="shared" si="111"/>
        <v>30 Year Fixed</v>
      </c>
      <c r="N402" s="2">
        <v>2035.9</v>
      </c>
      <c r="O402" t="str">
        <f t="shared" si="108"/>
        <v>Refi</v>
      </c>
      <c r="P402" s="3">
        <f t="shared" si="112"/>
        <v>0</v>
      </c>
      <c r="Q402" s="4">
        <v>250477</v>
      </c>
      <c r="R402" s="4" t="s">
        <v>41</v>
      </c>
      <c r="S402" s="6">
        <v>692</v>
      </c>
      <c r="T402">
        <v>6.75</v>
      </c>
      <c r="U402" s="7">
        <f t="shared" si="109"/>
        <v>1728.9544710078317</v>
      </c>
      <c r="V402" s="2">
        <f t="shared" si="113"/>
        <v>420.42552899216844</v>
      </c>
      <c r="W402" s="9">
        <f t="shared" si="114"/>
        <v>0</v>
      </c>
      <c r="X402" s="3">
        <v>250478</v>
      </c>
      <c r="Y402" s="3">
        <f t="shared" si="115"/>
        <v>0.53467980297864415</v>
      </c>
      <c r="Z402" s="7">
        <f t="shared" si="116"/>
        <v>1728.9613736554638</v>
      </c>
      <c r="AA402" s="2">
        <f t="shared" si="110"/>
        <v>420.41862634453628</v>
      </c>
      <c r="AB402" s="8">
        <f t="shared" si="117"/>
        <v>0</v>
      </c>
      <c r="AC402" s="10">
        <v>6.75</v>
      </c>
      <c r="AD402" s="7">
        <f t="shared" si="118"/>
        <v>1728.9613736554638</v>
      </c>
      <c r="AE402" s="2">
        <f t="shared" si="119"/>
        <v>420.41862634453628</v>
      </c>
      <c r="AF402" s="10">
        <v>0</v>
      </c>
      <c r="AG402" s="3">
        <f t="shared" si="120"/>
        <v>0</v>
      </c>
      <c r="AH402" s="7">
        <v>4940</v>
      </c>
      <c r="AI402">
        <f t="shared" si="121"/>
        <v>360</v>
      </c>
      <c r="AJ402" t="e">
        <f>VLOOKUP(A402,'Borrower Details'!$A$1:$H$1493,8,FALSE)</f>
        <v>#N/A</v>
      </c>
      <c r="AK402" s="4" t="e">
        <f t="shared" si="122"/>
        <v>#N/A</v>
      </c>
      <c r="AL402" s="10">
        <v>6.75</v>
      </c>
      <c r="AM402" s="3">
        <f t="shared" si="123"/>
        <v>250477.45729999998</v>
      </c>
      <c r="AN402">
        <v>6.75</v>
      </c>
      <c r="AO402" s="7">
        <f t="shared" si="124"/>
        <v>1728.9576275885938</v>
      </c>
      <c r="AP402" s="2">
        <f t="shared" si="125"/>
        <v>420.42237241140629</v>
      </c>
    </row>
    <row r="403" spans="1:42" x14ac:dyDescent="0.15">
      <c r="A403" s="8">
        <v>411092471</v>
      </c>
      <c r="B403" t="s">
        <v>37</v>
      </c>
      <c r="C403" t="s">
        <v>16</v>
      </c>
      <c r="D403" s="1">
        <v>39393</v>
      </c>
      <c r="E403" s="2">
        <v>81000</v>
      </c>
      <c r="F403" s="2">
        <v>72900</v>
      </c>
      <c r="G403" t="s">
        <v>17</v>
      </c>
      <c r="H403" s="2">
        <v>758.29</v>
      </c>
      <c r="I403" s="2">
        <v>72797.039999999994</v>
      </c>
      <c r="J403">
        <v>0.1215</v>
      </c>
      <c r="K403">
        <v>5</v>
      </c>
      <c r="L403">
        <v>355</v>
      </c>
      <c r="M403" t="str">
        <f t="shared" si="111"/>
        <v>30 Year Fixed</v>
      </c>
      <c r="N403" s="2">
        <v>737.07</v>
      </c>
      <c r="O403" t="str">
        <f t="shared" si="108"/>
        <v>Refi</v>
      </c>
      <c r="P403" s="3">
        <f t="shared" si="112"/>
        <v>0</v>
      </c>
      <c r="Q403" s="4">
        <v>73889</v>
      </c>
      <c r="R403" s="4" t="s">
        <v>41</v>
      </c>
      <c r="S403" s="6">
        <v>591</v>
      </c>
      <c r="T403">
        <v>7.625</v>
      </c>
      <c r="U403" s="7">
        <f t="shared" si="109"/>
        <v>553.76880457731068</v>
      </c>
      <c r="V403" s="2">
        <f t="shared" si="113"/>
        <v>204.52119542268929</v>
      </c>
      <c r="W403" s="9">
        <f t="shared" si="114"/>
        <v>0</v>
      </c>
      <c r="X403" s="3">
        <v>73889</v>
      </c>
      <c r="Y403" s="3">
        <f t="shared" si="115"/>
        <v>4.3349753832444549E-3</v>
      </c>
      <c r="Z403" s="7">
        <f t="shared" si="116"/>
        <v>553.76880457731068</v>
      </c>
      <c r="AA403" s="2">
        <f t="shared" si="110"/>
        <v>204.52119542268929</v>
      </c>
      <c r="AB403" s="8">
        <f t="shared" si="117"/>
        <v>0</v>
      </c>
      <c r="AC403" s="10">
        <v>7.625</v>
      </c>
      <c r="AD403" s="7">
        <f t="shared" si="118"/>
        <v>553.76880457731068</v>
      </c>
      <c r="AE403" s="2">
        <f t="shared" si="119"/>
        <v>204.52119542268929</v>
      </c>
      <c r="AF403" s="10">
        <v>0</v>
      </c>
      <c r="AG403" s="3">
        <f t="shared" si="120"/>
        <v>0</v>
      </c>
      <c r="AH403" s="7">
        <v>0</v>
      </c>
      <c r="AI403">
        <f t="shared" si="121"/>
        <v>360</v>
      </c>
      <c r="AJ403" t="e">
        <f>VLOOKUP(A403,'Borrower Details'!$A$1:$H$1493,8,FALSE)</f>
        <v>#N/A</v>
      </c>
      <c r="AK403" s="4" t="e">
        <f t="shared" si="122"/>
        <v>#N/A</v>
      </c>
      <c r="AL403" s="10">
        <v>7.625</v>
      </c>
      <c r="AM403" s="3">
        <f t="shared" si="123"/>
        <v>73888.99559999998</v>
      </c>
      <c r="AN403">
        <v>7.625</v>
      </c>
      <c r="AO403" s="7">
        <f t="shared" si="124"/>
        <v>553.76877160105232</v>
      </c>
      <c r="AP403" s="2">
        <f t="shared" si="125"/>
        <v>204.52122839894764</v>
      </c>
    </row>
    <row r="404" spans="1:42" x14ac:dyDescent="0.15">
      <c r="A404" s="8">
        <v>1186404</v>
      </c>
      <c r="B404" t="s">
        <v>37</v>
      </c>
      <c r="C404" t="s">
        <v>19</v>
      </c>
      <c r="D404" s="1">
        <v>39185</v>
      </c>
      <c r="E404" s="2">
        <v>150000</v>
      </c>
      <c r="F404" s="2">
        <v>127500</v>
      </c>
      <c r="G404" t="s">
        <v>20</v>
      </c>
      <c r="H404" s="2">
        <v>1008.1</v>
      </c>
      <c r="I404" s="2">
        <v>127183.33</v>
      </c>
      <c r="J404">
        <v>9.2499999999999999E-2</v>
      </c>
      <c r="K404">
        <v>12</v>
      </c>
      <c r="L404">
        <v>348</v>
      </c>
      <c r="M404" t="str">
        <f t="shared" si="111"/>
        <v>30 Year Fixed</v>
      </c>
      <c r="N404" s="2">
        <v>980.37</v>
      </c>
      <c r="O404" t="str">
        <f t="shared" si="108"/>
        <v>Refi</v>
      </c>
      <c r="P404" s="3">
        <f t="shared" si="112"/>
        <v>0</v>
      </c>
      <c r="Q404" s="4">
        <v>129091</v>
      </c>
      <c r="R404" s="4" t="s">
        <v>41</v>
      </c>
      <c r="S404" s="6">
        <v>553</v>
      </c>
      <c r="T404">
        <v>7.625</v>
      </c>
      <c r="U404" s="7">
        <f t="shared" si="109"/>
        <v>967.4859417733303</v>
      </c>
      <c r="V404" s="2">
        <f t="shared" si="113"/>
        <v>40.614058226669727</v>
      </c>
      <c r="W404" s="9">
        <f t="shared" si="114"/>
        <v>0</v>
      </c>
      <c r="X404" s="3">
        <v>129091</v>
      </c>
      <c r="Y404" s="3">
        <f t="shared" si="115"/>
        <v>-7.8768472900264896E-2</v>
      </c>
      <c r="Z404" s="7">
        <f t="shared" si="116"/>
        <v>967.4859417733303</v>
      </c>
      <c r="AA404" s="2">
        <f t="shared" si="110"/>
        <v>40.614058226669727</v>
      </c>
      <c r="AB404" s="8">
        <f t="shared" si="117"/>
        <v>1</v>
      </c>
      <c r="AC404" s="10">
        <v>6.5</v>
      </c>
      <c r="AD404" s="7">
        <f t="shared" si="118"/>
        <v>869.73084887397147</v>
      </c>
      <c r="AE404" s="2">
        <f t="shared" si="119"/>
        <v>138.36915112602856</v>
      </c>
      <c r="AF404" s="10">
        <v>2.375</v>
      </c>
      <c r="AG404" s="3">
        <f t="shared" si="120"/>
        <v>3065.9112500000001</v>
      </c>
      <c r="AH404" s="7">
        <v>0</v>
      </c>
      <c r="AI404">
        <f t="shared" si="121"/>
        <v>360</v>
      </c>
      <c r="AJ404" t="e">
        <f>VLOOKUP(A404,'Borrower Details'!$A$1:$H$1493,8,FALSE)</f>
        <v>#N/A</v>
      </c>
      <c r="AK404" s="4" t="e">
        <f t="shared" si="122"/>
        <v>#N/A</v>
      </c>
      <c r="AL404" s="10">
        <v>7.625</v>
      </c>
      <c r="AM404" s="3">
        <f t="shared" si="123"/>
        <v>129091.07994999998</v>
      </c>
      <c r="AN404">
        <v>7.625</v>
      </c>
      <c r="AO404" s="7">
        <f t="shared" si="124"/>
        <v>967.48654096693042</v>
      </c>
      <c r="AP404" s="2">
        <f t="shared" si="125"/>
        <v>40.613459033069603</v>
      </c>
    </row>
    <row r="405" spans="1:42" x14ac:dyDescent="0.15">
      <c r="A405" s="8">
        <v>411020951</v>
      </c>
      <c r="B405" t="s">
        <v>37</v>
      </c>
      <c r="C405" t="s">
        <v>16</v>
      </c>
      <c r="D405" s="1">
        <v>39405</v>
      </c>
      <c r="E405" s="2">
        <v>214000</v>
      </c>
      <c r="F405" s="2">
        <v>176900</v>
      </c>
      <c r="G405" t="s">
        <v>20</v>
      </c>
      <c r="H405" s="2">
        <v>1624.8</v>
      </c>
      <c r="I405" s="2">
        <v>176546.07</v>
      </c>
      <c r="J405">
        <v>0.1055</v>
      </c>
      <c r="K405">
        <v>5</v>
      </c>
      <c r="L405">
        <v>355</v>
      </c>
      <c r="M405" t="str">
        <f t="shared" si="111"/>
        <v>30 Year Fixed</v>
      </c>
      <c r="N405" s="2">
        <v>1552.13</v>
      </c>
      <c r="O405" t="str">
        <f t="shared" si="108"/>
        <v>Cash Out</v>
      </c>
      <c r="P405" s="3">
        <f t="shared" si="112"/>
        <v>2665.7526600985439</v>
      </c>
      <c r="Q405" s="4">
        <v>181900</v>
      </c>
      <c r="R405" s="4" t="s">
        <v>41</v>
      </c>
      <c r="S405" s="6">
        <v>570</v>
      </c>
      <c r="T405">
        <v>7.625</v>
      </c>
      <c r="U405" s="7">
        <f t="shared" si="109"/>
        <v>1363.2684912857503</v>
      </c>
      <c r="V405" s="2">
        <f t="shared" si="113"/>
        <v>261.53150871424964</v>
      </c>
      <c r="W405" s="9">
        <f t="shared" si="114"/>
        <v>0</v>
      </c>
      <c r="X405" s="3">
        <v>181900</v>
      </c>
      <c r="Y405" s="3">
        <f t="shared" si="115"/>
        <v>2665.7526600985439</v>
      </c>
      <c r="Z405" s="7">
        <f t="shared" si="116"/>
        <v>1363.2684912857503</v>
      </c>
      <c r="AA405" s="2">
        <f t="shared" si="110"/>
        <v>261.53150871424964</v>
      </c>
      <c r="AB405" s="8">
        <f t="shared" si="117"/>
        <v>0</v>
      </c>
      <c r="AC405" s="10">
        <v>7.625</v>
      </c>
      <c r="AD405" s="7">
        <f t="shared" si="118"/>
        <v>1363.2684912857503</v>
      </c>
      <c r="AE405" s="2">
        <f t="shared" si="119"/>
        <v>261.53150871424964</v>
      </c>
      <c r="AF405" s="10">
        <v>0</v>
      </c>
      <c r="AG405" s="3">
        <f t="shared" si="120"/>
        <v>0</v>
      </c>
      <c r="AH405" s="7">
        <v>1769</v>
      </c>
      <c r="AI405">
        <f t="shared" si="121"/>
        <v>360</v>
      </c>
      <c r="AJ405" t="e">
        <f>VLOOKUP(A405,'Borrower Details'!$A$1:$H$1493,8,FALSE)</f>
        <v>#N/A</v>
      </c>
      <c r="AK405" s="4" t="e">
        <f t="shared" si="122"/>
        <v>#N/A</v>
      </c>
      <c r="AL405" s="10">
        <v>7.625</v>
      </c>
      <c r="AM405" s="3">
        <f t="shared" si="123"/>
        <v>179194.26105</v>
      </c>
      <c r="AN405">
        <v>7.625</v>
      </c>
      <c r="AO405" s="7">
        <f t="shared" si="124"/>
        <v>1342.990048975802</v>
      </c>
      <c r="AP405" s="2">
        <f t="shared" si="125"/>
        <v>281.80995102419797</v>
      </c>
    </row>
    <row r="406" spans="1:42" x14ac:dyDescent="0.15">
      <c r="A406" s="8">
        <v>410860761</v>
      </c>
      <c r="B406" t="s">
        <v>36</v>
      </c>
      <c r="C406" t="s">
        <v>16</v>
      </c>
      <c r="D406" s="1">
        <v>39349</v>
      </c>
      <c r="E406" s="2">
        <v>171000</v>
      </c>
      <c r="F406" s="2">
        <v>153900</v>
      </c>
      <c r="G406" t="s">
        <v>17</v>
      </c>
      <c r="H406" s="2">
        <v>1398.03</v>
      </c>
      <c r="I406" s="2">
        <v>153360.82999999999</v>
      </c>
      <c r="J406">
        <v>0.1075</v>
      </c>
      <c r="K406">
        <v>7</v>
      </c>
      <c r="L406">
        <v>353</v>
      </c>
      <c r="M406" t="str">
        <f t="shared" si="111"/>
        <v>30 Year Fixed</v>
      </c>
      <c r="N406" s="2">
        <v>1373.86</v>
      </c>
      <c r="O406" t="str">
        <f t="shared" si="108"/>
        <v>Refi</v>
      </c>
      <c r="P406" s="3">
        <f t="shared" si="112"/>
        <v>0</v>
      </c>
      <c r="Q406" s="4">
        <v>155661</v>
      </c>
      <c r="R406" s="4" t="s">
        <v>41</v>
      </c>
      <c r="S406" s="6">
        <v>581</v>
      </c>
      <c r="T406">
        <v>7.375</v>
      </c>
      <c r="U406" s="7">
        <f t="shared" si="109"/>
        <v>1139.970591501492</v>
      </c>
      <c r="V406" s="2">
        <f t="shared" si="113"/>
        <v>258.05940849850799</v>
      </c>
      <c r="W406" s="9">
        <f t="shared" si="114"/>
        <v>0</v>
      </c>
      <c r="X406" s="3">
        <v>155661</v>
      </c>
      <c r="Y406" s="3">
        <f t="shared" si="115"/>
        <v>-0.23886699505965225</v>
      </c>
      <c r="Z406" s="7">
        <f t="shared" si="116"/>
        <v>1139.970591501492</v>
      </c>
      <c r="AA406" s="2">
        <f t="shared" si="110"/>
        <v>258.05940849850799</v>
      </c>
      <c r="AB406" s="8">
        <f t="shared" si="117"/>
        <v>0</v>
      </c>
      <c r="AC406" s="10">
        <v>7.375</v>
      </c>
      <c r="AD406" s="7">
        <f t="shared" si="118"/>
        <v>1139.970591501492</v>
      </c>
      <c r="AE406" s="2">
        <f t="shared" si="119"/>
        <v>258.05940849850799</v>
      </c>
      <c r="AF406" s="10">
        <v>0</v>
      </c>
      <c r="AG406" s="3">
        <f t="shared" si="120"/>
        <v>0</v>
      </c>
      <c r="AH406" s="7">
        <v>3078</v>
      </c>
      <c r="AI406">
        <f t="shared" si="121"/>
        <v>360</v>
      </c>
      <c r="AJ406" t="e">
        <f>VLOOKUP(A406,'Borrower Details'!$A$1:$H$1493,8,FALSE)</f>
        <v>#N/A</v>
      </c>
      <c r="AK406" s="4" t="e">
        <f t="shared" si="122"/>
        <v>#N/A</v>
      </c>
      <c r="AL406" s="10">
        <v>7.375</v>
      </c>
      <c r="AM406" s="3">
        <f t="shared" si="123"/>
        <v>155661.24244999996</v>
      </c>
      <c r="AN406">
        <v>7.375</v>
      </c>
      <c r="AO406" s="7">
        <f t="shared" si="124"/>
        <v>1139.9723670642204</v>
      </c>
      <c r="AP406" s="2">
        <f t="shared" si="125"/>
        <v>258.05763293577957</v>
      </c>
    </row>
    <row r="407" spans="1:42" x14ac:dyDescent="0.15">
      <c r="A407" s="8">
        <v>1164831</v>
      </c>
      <c r="B407" t="s">
        <v>36</v>
      </c>
      <c r="C407" t="s">
        <v>19</v>
      </c>
      <c r="D407" s="1">
        <v>39202</v>
      </c>
      <c r="E407" s="2">
        <v>452000</v>
      </c>
      <c r="F407" s="2">
        <v>229500</v>
      </c>
      <c r="G407" t="s">
        <v>15</v>
      </c>
      <c r="H407" s="2">
        <v>1292.3</v>
      </c>
      <c r="I407" s="2">
        <v>226365.6</v>
      </c>
      <c r="J407">
        <v>5.425E-2</v>
      </c>
      <c r="K407">
        <v>12</v>
      </c>
      <c r="L407">
        <v>348</v>
      </c>
      <c r="M407" t="str">
        <f t="shared" si="111"/>
        <v>30 Year Fixed</v>
      </c>
      <c r="N407" s="2">
        <v>1023.36</v>
      </c>
      <c r="O407" t="str">
        <f t="shared" si="108"/>
        <v>Cash Out</v>
      </c>
      <c r="P407" s="3">
        <f t="shared" si="112"/>
        <v>152156.56748768475</v>
      </c>
      <c r="Q407" s="4">
        <v>384200</v>
      </c>
      <c r="R407" s="4" t="s">
        <v>41</v>
      </c>
      <c r="S407" s="6">
        <v>642</v>
      </c>
      <c r="T407">
        <v>7.375</v>
      </c>
      <c r="U407" s="7">
        <f t="shared" si="109"/>
        <v>2813.6572504023052</v>
      </c>
      <c r="V407" s="2">
        <f t="shared" si="113"/>
        <v>-1521.3572504023052</v>
      </c>
      <c r="W407" s="9">
        <f t="shared" si="114"/>
        <v>1</v>
      </c>
      <c r="X407" s="3">
        <v>229761</v>
      </c>
      <c r="Y407" s="3">
        <f t="shared" si="115"/>
        <v>-8.275862067239359E-2</v>
      </c>
      <c r="Z407" s="7">
        <f t="shared" si="116"/>
        <v>1585.9592226560937</v>
      </c>
      <c r="AA407" s="2">
        <f t="shared" si="110"/>
        <v>-293.65922265609379</v>
      </c>
      <c r="AB407" s="8">
        <f t="shared" si="117"/>
        <v>1</v>
      </c>
      <c r="AC407" s="10">
        <v>6.125</v>
      </c>
      <c r="AD407" s="7">
        <f t="shared" si="118"/>
        <v>1491.7858018459883</v>
      </c>
      <c r="AE407" s="2">
        <f t="shared" si="119"/>
        <v>-199.48580184598836</v>
      </c>
      <c r="AF407" s="10">
        <v>3</v>
      </c>
      <c r="AG407" s="3">
        <f t="shared" si="120"/>
        <v>6892.83</v>
      </c>
      <c r="AH407" s="7">
        <v>4590</v>
      </c>
      <c r="AI407">
        <f t="shared" si="121"/>
        <v>360</v>
      </c>
      <c r="AJ407" t="e">
        <f>VLOOKUP(A407,'Borrower Details'!$A$1:$H$1493,8,FALSE)</f>
        <v>#N/A</v>
      </c>
      <c r="AK407" s="4" t="e">
        <f t="shared" si="122"/>
        <v>#N/A</v>
      </c>
      <c r="AL407" s="10">
        <v>6.75</v>
      </c>
      <c r="AM407" s="3">
        <f t="shared" si="123"/>
        <v>229761.08399999997</v>
      </c>
      <c r="AN407">
        <v>6.75</v>
      </c>
      <c r="AO407" s="7">
        <f t="shared" si="124"/>
        <v>1585.9598024784946</v>
      </c>
      <c r="AP407" s="2">
        <f t="shared" si="125"/>
        <v>-293.65980247849461</v>
      </c>
    </row>
    <row r="408" spans="1:42" x14ac:dyDescent="0.15">
      <c r="A408" s="8">
        <v>411311459</v>
      </c>
      <c r="B408" t="s">
        <v>35</v>
      </c>
      <c r="C408" t="s">
        <v>16</v>
      </c>
      <c r="D408" s="1">
        <v>39498</v>
      </c>
      <c r="E408" s="2">
        <v>195000</v>
      </c>
      <c r="F408" s="2">
        <v>165750</v>
      </c>
      <c r="G408" t="s">
        <v>17</v>
      </c>
      <c r="H408" s="2">
        <v>1454.58</v>
      </c>
      <c r="I408" s="2">
        <v>165602.73000000001</v>
      </c>
      <c r="J408">
        <v>0.1</v>
      </c>
      <c r="K408">
        <v>2</v>
      </c>
      <c r="L408">
        <v>358</v>
      </c>
      <c r="M408" t="str">
        <f t="shared" si="111"/>
        <v>30 Year Fixed</v>
      </c>
      <c r="N408" s="2">
        <v>1380.02</v>
      </c>
      <c r="O408" t="str">
        <f t="shared" si="108"/>
        <v>Refi</v>
      </c>
      <c r="P408" s="3">
        <f t="shared" si="112"/>
        <v>0</v>
      </c>
      <c r="Q408" s="4">
        <v>168087</v>
      </c>
      <c r="R408" s="4" t="s">
        <v>41</v>
      </c>
      <c r="S408" s="6">
        <v>603</v>
      </c>
      <c r="T408">
        <v>6.875</v>
      </c>
      <c r="U408" s="7">
        <f t="shared" si="109"/>
        <v>1174.2481850427653</v>
      </c>
      <c r="V408" s="2">
        <f t="shared" si="113"/>
        <v>280.33181495723466</v>
      </c>
      <c r="W408" s="9">
        <f t="shared" si="114"/>
        <v>0</v>
      </c>
      <c r="X408" s="3">
        <v>168087</v>
      </c>
      <c r="Y408" s="3">
        <f t="shared" si="115"/>
        <v>0.22566502462723292</v>
      </c>
      <c r="Z408" s="7">
        <f t="shared" si="116"/>
        <v>1174.2481850427653</v>
      </c>
      <c r="AA408" s="2">
        <f t="shared" si="110"/>
        <v>280.33181495723466</v>
      </c>
      <c r="AB408" s="8">
        <f t="shared" si="117"/>
        <v>0</v>
      </c>
      <c r="AC408" s="10">
        <v>6.875</v>
      </c>
      <c r="AD408" s="7">
        <f t="shared" si="118"/>
        <v>1174.2481850427653</v>
      </c>
      <c r="AE408" s="2">
        <f t="shared" si="119"/>
        <v>280.33181495723466</v>
      </c>
      <c r="AF408" s="10">
        <v>0</v>
      </c>
      <c r="AG408" s="3">
        <f t="shared" si="120"/>
        <v>0</v>
      </c>
      <c r="AH408" s="7">
        <v>8287.5</v>
      </c>
      <c r="AI408">
        <f t="shared" si="121"/>
        <v>360</v>
      </c>
      <c r="AJ408" t="e">
        <f>VLOOKUP(A408,'Borrower Details'!$A$1:$H$1493,8,FALSE)</f>
        <v>#N/A</v>
      </c>
      <c r="AK408" s="4" t="e">
        <f t="shared" si="122"/>
        <v>#N/A</v>
      </c>
      <c r="AL408" s="10">
        <v>6.875</v>
      </c>
      <c r="AM408" s="3">
        <f t="shared" si="123"/>
        <v>168086.77095000001</v>
      </c>
      <c r="AN408">
        <v>6.875</v>
      </c>
      <c r="AO408" s="7">
        <f t="shared" si="124"/>
        <v>1174.2465849098176</v>
      </c>
      <c r="AP408" s="2">
        <f t="shared" si="125"/>
        <v>280.33341509018237</v>
      </c>
    </row>
    <row r="409" spans="1:42" x14ac:dyDescent="0.15">
      <c r="A409" s="8">
        <v>410585673</v>
      </c>
      <c r="B409" t="s">
        <v>36</v>
      </c>
      <c r="C409" t="s">
        <v>19</v>
      </c>
      <c r="D409" s="1">
        <v>39283</v>
      </c>
      <c r="E409" s="2">
        <v>595000</v>
      </c>
      <c r="F409" s="2">
        <v>291500</v>
      </c>
      <c r="G409" t="s">
        <v>17</v>
      </c>
      <c r="H409" s="2">
        <v>2116.62</v>
      </c>
      <c r="I409" s="2">
        <v>289651.84999999998</v>
      </c>
      <c r="J409">
        <v>7.8899999999999998E-2</v>
      </c>
      <c r="K409">
        <v>9</v>
      </c>
      <c r="L409">
        <v>351</v>
      </c>
      <c r="M409" t="str">
        <f t="shared" si="111"/>
        <v>30 Year Fixed</v>
      </c>
      <c r="N409" s="2">
        <v>1904.46</v>
      </c>
      <c r="O409" t="str">
        <f t="shared" si="108"/>
        <v>Cash Out</v>
      </c>
      <c r="P409" s="3">
        <f t="shared" si="112"/>
        <v>208624.01206896559</v>
      </c>
      <c r="Q409" s="4">
        <v>505750</v>
      </c>
      <c r="R409" s="4" t="s">
        <v>41</v>
      </c>
      <c r="S409" s="6">
        <v>567</v>
      </c>
      <c r="T409">
        <v>7.625</v>
      </c>
      <c r="U409" s="7">
        <f t="shared" si="109"/>
        <v>3790.39603885524</v>
      </c>
      <c r="V409" s="2">
        <f t="shared" si="113"/>
        <v>-1673.7760388552401</v>
      </c>
      <c r="W409" s="9">
        <f t="shared" si="114"/>
        <v>1</v>
      </c>
      <c r="X409" s="3">
        <v>293997</v>
      </c>
      <c r="Y409" s="3">
        <f t="shared" si="115"/>
        <v>0.36674876854522154</v>
      </c>
      <c r="Z409" s="7">
        <f t="shared" si="116"/>
        <v>2203.3911304702406</v>
      </c>
      <c r="AA409" s="2">
        <f t="shared" si="110"/>
        <v>-86.771130470240678</v>
      </c>
      <c r="AB409" s="8">
        <f t="shared" si="117"/>
        <v>1</v>
      </c>
      <c r="AC409" s="10">
        <v>6.875</v>
      </c>
      <c r="AD409" s="7">
        <f t="shared" si="118"/>
        <v>2053.8497543416079</v>
      </c>
      <c r="AE409" s="2">
        <f t="shared" si="119"/>
        <v>62.770245658392014</v>
      </c>
      <c r="AF409" s="10">
        <v>1</v>
      </c>
      <c r="AG409" s="3">
        <f t="shared" si="120"/>
        <v>2939.97</v>
      </c>
      <c r="AH409" s="7">
        <v>5830</v>
      </c>
      <c r="AI409">
        <f t="shared" si="121"/>
        <v>360</v>
      </c>
      <c r="AJ409" t="e">
        <f>VLOOKUP(A409,'Borrower Details'!$A$1:$H$1493,8,FALSE)</f>
        <v>#N/A</v>
      </c>
      <c r="AK409" s="4" t="e">
        <f t="shared" si="122"/>
        <v>#N/A</v>
      </c>
      <c r="AL409" s="10">
        <v>7.625</v>
      </c>
      <c r="AM409" s="3">
        <f t="shared" si="123"/>
        <v>293996.62774999993</v>
      </c>
      <c r="AN409">
        <v>7.625</v>
      </c>
      <c r="AO409" s="7">
        <f t="shared" si="124"/>
        <v>2203.3883406038522</v>
      </c>
      <c r="AP409" s="2">
        <f t="shared" si="125"/>
        <v>-86.768340603852266</v>
      </c>
    </row>
    <row r="410" spans="1:42" x14ac:dyDescent="0.15">
      <c r="A410" s="8">
        <v>411139983</v>
      </c>
      <c r="B410" t="s">
        <v>37</v>
      </c>
      <c r="C410" t="s">
        <v>16</v>
      </c>
      <c r="D410" s="1">
        <v>39449</v>
      </c>
      <c r="E410" s="2">
        <v>247000</v>
      </c>
      <c r="F410" s="2">
        <v>209950</v>
      </c>
      <c r="G410" t="s">
        <v>20</v>
      </c>
      <c r="H410" s="2">
        <v>2035.98</v>
      </c>
      <c r="I410" s="2">
        <v>209661.18</v>
      </c>
      <c r="J410">
        <v>0.1123</v>
      </c>
      <c r="K410">
        <v>4</v>
      </c>
      <c r="L410">
        <v>356</v>
      </c>
      <c r="M410" t="str">
        <f t="shared" si="111"/>
        <v>30 Year Fixed</v>
      </c>
      <c r="N410" s="2">
        <v>1962.08</v>
      </c>
      <c r="O410" t="str">
        <f t="shared" si="108"/>
        <v>Refi</v>
      </c>
      <c r="P410" s="3">
        <f t="shared" si="112"/>
        <v>0</v>
      </c>
      <c r="Q410" s="4">
        <v>212806</v>
      </c>
      <c r="R410" s="4" t="s">
        <v>41</v>
      </c>
      <c r="S410" s="6">
        <v>549</v>
      </c>
      <c r="T410">
        <v>7.625</v>
      </c>
      <c r="U410" s="7">
        <f t="shared" si="109"/>
        <v>1594.8967265341141</v>
      </c>
      <c r="V410" s="2">
        <f t="shared" si="113"/>
        <v>441.0832734658859</v>
      </c>
      <c r="W410" s="9">
        <f t="shared" si="114"/>
        <v>0</v>
      </c>
      <c r="X410" s="3">
        <v>212806</v>
      </c>
      <c r="Y410" s="3">
        <f t="shared" si="115"/>
        <v>-9.6256157616153359E-2</v>
      </c>
      <c r="Z410" s="7">
        <f t="shared" si="116"/>
        <v>1594.8967265341141</v>
      </c>
      <c r="AA410" s="2">
        <f t="shared" si="110"/>
        <v>441.0832734658859</v>
      </c>
      <c r="AB410" s="8">
        <f t="shared" si="117"/>
        <v>0</v>
      </c>
      <c r="AC410" s="10">
        <v>7.625</v>
      </c>
      <c r="AD410" s="7">
        <f t="shared" si="118"/>
        <v>1594.8967265341141</v>
      </c>
      <c r="AE410" s="2">
        <f t="shared" si="119"/>
        <v>441.0832734658859</v>
      </c>
      <c r="AF410" s="10">
        <v>0</v>
      </c>
      <c r="AG410" s="3">
        <f t="shared" si="120"/>
        <v>0</v>
      </c>
      <c r="AH410" s="7">
        <v>2099.5</v>
      </c>
      <c r="AI410">
        <f t="shared" si="121"/>
        <v>360</v>
      </c>
      <c r="AJ410" t="e">
        <f>VLOOKUP(A410,'Borrower Details'!$A$1:$H$1493,8,FALSE)</f>
        <v>#N/A</v>
      </c>
      <c r="AK410" s="4" t="e">
        <f t="shared" si="122"/>
        <v>#N/A</v>
      </c>
      <c r="AL410" s="10">
        <v>7.625</v>
      </c>
      <c r="AM410" s="3">
        <f t="shared" si="123"/>
        <v>212806.09769999998</v>
      </c>
      <c r="AN410">
        <v>7.625</v>
      </c>
      <c r="AO410" s="7">
        <f t="shared" si="124"/>
        <v>1594.8974587569376</v>
      </c>
      <c r="AP410" s="2">
        <f t="shared" si="125"/>
        <v>441.08254124306245</v>
      </c>
    </row>
    <row r="411" spans="1:42" x14ac:dyDescent="0.15">
      <c r="A411" s="8">
        <v>1157712</v>
      </c>
      <c r="B411" t="s">
        <v>38</v>
      </c>
      <c r="C411" t="s">
        <v>18</v>
      </c>
      <c r="D411" s="1">
        <v>39160</v>
      </c>
      <c r="E411" s="2">
        <v>124000</v>
      </c>
      <c r="F411" s="2">
        <v>117800</v>
      </c>
      <c r="G411" t="s">
        <v>17</v>
      </c>
      <c r="H411" s="2">
        <v>969.12</v>
      </c>
      <c r="I411" s="2">
        <v>117035.18</v>
      </c>
      <c r="J411">
        <v>9.2499999999999999E-2</v>
      </c>
      <c r="K411">
        <v>13</v>
      </c>
      <c r="L411">
        <v>348</v>
      </c>
      <c r="M411" t="str">
        <f t="shared" si="111"/>
        <v>30 Year Fixed</v>
      </c>
      <c r="N411" s="2">
        <v>902.15</v>
      </c>
      <c r="O411" t="str">
        <f t="shared" si="108"/>
        <v>Refi</v>
      </c>
      <c r="P411" s="3">
        <f t="shared" si="112"/>
        <v>0</v>
      </c>
      <c r="Q411" s="4">
        <v>118791</v>
      </c>
      <c r="R411" s="4" t="s">
        <v>41</v>
      </c>
      <c r="S411" s="6">
        <v>614</v>
      </c>
      <c r="T411">
        <v>6.875</v>
      </c>
      <c r="U411" s="7">
        <f t="shared" si="109"/>
        <v>829.86855705328264</v>
      </c>
      <c r="V411" s="2">
        <f t="shared" si="113"/>
        <v>139.25144294671736</v>
      </c>
      <c r="W411" s="9">
        <f t="shared" si="114"/>
        <v>0</v>
      </c>
      <c r="X411" s="3">
        <v>118791</v>
      </c>
      <c r="Y411" s="3">
        <f t="shared" si="115"/>
        <v>0.28798029558674898</v>
      </c>
      <c r="Z411" s="7">
        <f t="shared" si="116"/>
        <v>829.86855705328264</v>
      </c>
      <c r="AA411" s="2">
        <f t="shared" si="110"/>
        <v>139.25144294671736</v>
      </c>
      <c r="AB411" s="8">
        <f t="shared" si="117"/>
        <v>0</v>
      </c>
      <c r="AC411" s="10">
        <v>6.875</v>
      </c>
      <c r="AD411" s="7">
        <f t="shared" si="118"/>
        <v>829.86855705328264</v>
      </c>
      <c r="AE411" s="2">
        <f t="shared" si="119"/>
        <v>139.25144294671736</v>
      </c>
      <c r="AF411" s="10">
        <v>0</v>
      </c>
      <c r="AG411" s="3">
        <f t="shared" si="120"/>
        <v>0</v>
      </c>
      <c r="AH411" s="7">
        <v>0</v>
      </c>
      <c r="AI411">
        <f t="shared" si="121"/>
        <v>360</v>
      </c>
      <c r="AJ411" t="e">
        <f>VLOOKUP(A411,'Borrower Details'!$A$1:$H$1493,8,FALSE)</f>
        <v>#N/A</v>
      </c>
      <c r="AK411" s="4" t="e">
        <f t="shared" si="122"/>
        <v>#N/A</v>
      </c>
      <c r="AL411" s="10">
        <v>6.875</v>
      </c>
      <c r="AM411" s="3">
        <f t="shared" si="123"/>
        <v>118790.70769999998</v>
      </c>
      <c r="AN411">
        <v>6.875</v>
      </c>
      <c r="AO411" s="7">
        <f t="shared" si="124"/>
        <v>829.86651505869338</v>
      </c>
      <c r="AP411" s="2">
        <f t="shared" si="125"/>
        <v>139.25348494130662</v>
      </c>
    </row>
    <row r="412" spans="1:42" x14ac:dyDescent="0.15">
      <c r="A412" s="8">
        <v>410266365</v>
      </c>
      <c r="B412" t="s">
        <v>36</v>
      </c>
      <c r="C412" t="s">
        <v>19</v>
      </c>
      <c r="D412" s="1">
        <v>39238</v>
      </c>
      <c r="E412" s="2">
        <v>225000</v>
      </c>
      <c r="F412" s="2">
        <v>188000</v>
      </c>
      <c r="G412" t="s">
        <v>17</v>
      </c>
      <c r="H412" s="2">
        <v>1249.51</v>
      </c>
      <c r="I412" s="2">
        <v>186250.09</v>
      </c>
      <c r="J412">
        <v>6.9900000000000004E-2</v>
      </c>
      <c r="K412">
        <v>11</v>
      </c>
      <c r="L412">
        <v>349</v>
      </c>
      <c r="M412" t="str">
        <f t="shared" si="111"/>
        <v>30 Year Fixed</v>
      </c>
      <c r="N412" s="2">
        <v>1084.9100000000001</v>
      </c>
      <c r="O412" t="str">
        <f t="shared" si="108"/>
        <v>Cash Out</v>
      </c>
      <c r="P412" s="3">
        <f t="shared" si="112"/>
        <v>2173.5553201970761</v>
      </c>
      <c r="Q412" s="4">
        <v>191250</v>
      </c>
      <c r="R412" s="4" t="s">
        <v>41</v>
      </c>
      <c r="S412" s="6">
        <v>678</v>
      </c>
      <c r="T412">
        <v>6.75</v>
      </c>
      <c r="U412" s="7">
        <f t="shared" si="109"/>
        <v>1320.1313596867089</v>
      </c>
      <c r="V412" s="2">
        <f t="shared" si="113"/>
        <v>-70.621359686708956</v>
      </c>
      <c r="W412" s="9">
        <f t="shared" si="114"/>
        <v>1</v>
      </c>
      <c r="X412" s="3">
        <v>189044</v>
      </c>
      <c r="Y412" s="3">
        <f t="shared" si="115"/>
        <v>0.15630541872815229</v>
      </c>
      <c r="Z412" s="7">
        <f t="shared" si="116"/>
        <v>1304.9041190097475</v>
      </c>
      <c r="AA412" s="2">
        <f t="shared" si="110"/>
        <v>-55.394119009747556</v>
      </c>
      <c r="AB412" s="8">
        <f t="shared" si="117"/>
        <v>1</v>
      </c>
      <c r="AC412" s="10">
        <v>6.125</v>
      </c>
      <c r="AD412" s="7">
        <f t="shared" si="118"/>
        <v>1227.4196017782522</v>
      </c>
      <c r="AE412" s="2">
        <f t="shared" si="119"/>
        <v>22.090398221747819</v>
      </c>
      <c r="AF412" s="10">
        <v>3</v>
      </c>
      <c r="AG412" s="3">
        <f t="shared" si="120"/>
        <v>5671.32</v>
      </c>
      <c r="AH412" s="7">
        <v>3760</v>
      </c>
      <c r="AI412">
        <f t="shared" si="121"/>
        <v>360</v>
      </c>
      <c r="AJ412" t="e">
        <f>VLOOKUP(A412,'Borrower Details'!$A$1:$H$1493,8,FALSE)</f>
        <v>#N/A</v>
      </c>
      <c r="AK412" s="4" t="e">
        <f t="shared" si="122"/>
        <v>#N/A</v>
      </c>
      <c r="AL412" s="10">
        <v>6.75</v>
      </c>
      <c r="AM412" s="3">
        <f t="shared" si="123"/>
        <v>189043.84134999997</v>
      </c>
      <c r="AN412">
        <v>6.75</v>
      </c>
      <c r="AO412" s="7">
        <f t="shared" si="124"/>
        <v>1304.9030239047004</v>
      </c>
      <c r="AP412" s="2">
        <f t="shared" si="125"/>
        <v>-55.393023904700385</v>
      </c>
    </row>
    <row r="413" spans="1:42" x14ac:dyDescent="0.15">
      <c r="A413" s="8">
        <v>1167653</v>
      </c>
      <c r="B413" t="s">
        <v>37</v>
      </c>
      <c r="C413" t="s">
        <v>18</v>
      </c>
      <c r="D413" s="1">
        <v>39169</v>
      </c>
      <c r="E413" s="2">
        <v>107500</v>
      </c>
      <c r="F413" s="2">
        <v>102125</v>
      </c>
      <c r="G413" t="s">
        <v>17</v>
      </c>
      <c r="H413" s="2">
        <v>895.47</v>
      </c>
      <c r="I413" s="2">
        <v>101454.63</v>
      </c>
      <c r="J413">
        <v>9.9900000000000003E-2</v>
      </c>
      <c r="K413">
        <v>13</v>
      </c>
      <c r="L413">
        <v>347</v>
      </c>
      <c r="M413" t="str">
        <f t="shared" si="111"/>
        <v>30 Year Fixed</v>
      </c>
      <c r="N413" s="2">
        <v>844.61</v>
      </c>
      <c r="O413" t="str">
        <f t="shared" si="108"/>
        <v>Refi</v>
      </c>
      <c r="P413" s="3">
        <f t="shared" si="112"/>
        <v>0</v>
      </c>
      <c r="Q413" s="4">
        <v>102976</v>
      </c>
      <c r="R413" s="4" t="s">
        <v>41</v>
      </c>
      <c r="S413" s="6">
        <v>623</v>
      </c>
      <c r="T413">
        <v>6.75</v>
      </c>
      <c r="U413" s="7">
        <f t="shared" si="109"/>
        <v>710.80704258875051</v>
      </c>
      <c r="V413" s="2">
        <f t="shared" si="113"/>
        <v>184.66295741124952</v>
      </c>
      <c r="W413" s="9">
        <f t="shared" si="114"/>
        <v>0</v>
      </c>
      <c r="X413" s="3">
        <v>102977</v>
      </c>
      <c r="Y413" s="3">
        <f t="shared" si="115"/>
        <v>0.54241379311133642</v>
      </c>
      <c r="Z413" s="7">
        <f t="shared" si="116"/>
        <v>710.81394523638278</v>
      </c>
      <c r="AA413" s="2">
        <f t="shared" si="110"/>
        <v>184.65605476361725</v>
      </c>
      <c r="AB413" s="8">
        <f t="shared" si="117"/>
        <v>0</v>
      </c>
      <c r="AC413" s="10">
        <v>6.75</v>
      </c>
      <c r="AD413" s="7">
        <f t="shared" si="118"/>
        <v>710.81394523638278</v>
      </c>
      <c r="AE413" s="2">
        <f t="shared" si="119"/>
        <v>184.65605476361725</v>
      </c>
      <c r="AF413" s="10">
        <v>0</v>
      </c>
      <c r="AG413" s="3">
        <f t="shared" si="120"/>
        <v>0</v>
      </c>
      <c r="AH413" s="7">
        <v>0</v>
      </c>
      <c r="AI413">
        <f t="shared" si="121"/>
        <v>360</v>
      </c>
      <c r="AJ413" t="e">
        <f>VLOOKUP(A413,'Borrower Details'!$A$1:$H$1493,8,FALSE)</f>
        <v>#N/A</v>
      </c>
      <c r="AK413" s="4" t="e">
        <f t="shared" si="122"/>
        <v>#N/A</v>
      </c>
      <c r="AL413" s="10">
        <v>6.75</v>
      </c>
      <c r="AM413" s="3">
        <f t="shared" si="123"/>
        <v>102976.44945</v>
      </c>
      <c r="AN413">
        <v>6.75</v>
      </c>
      <c r="AO413" s="7">
        <f t="shared" si="124"/>
        <v>710.81014498372895</v>
      </c>
      <c r="AP413" s="2">
        <f t="shared" si="125"/>
        <v>184.65985501627108</v>
      </c>
    </row>
    <row r="414" spans="1:42" x14ac:dyDescent="0.15">
      <c r="A414" s="8">
        <v>410296925</v>
      </c>
      <c r="B414" t="s">
        <v>36</v>
      </c>
      <c r="C414" t="s">
        <v>19</v>
      </c>
      <c r="D414" s="1">
        <v>39237</v>
      </c>
      <c r="E414" s="2">
        <v>220000</v>
      </c>
      <c r="F414" s="2">
        <v>153000</v>
      </c>
      <c r="G414" t="s">
        <v>17</v>
      </c>
      <c r="H414" s="2">
        <v>1112.02</v>
      </c>
      <c r="I414" s="2">
        <v>151920.72</v>
      </c>
      <c r="J414">
        <v>7.9000000000000001E-2</v>
      </c>
      <c r="K414">
        <v>10</v>
      </c>
      <c r="L414">
        <v>350</v>
      </c>
      <c r="M414" t="str">
        <f t="shared" si="111"/>
        <v>30 Year Fixed</v>
      </c>
      <c r="N414" s="2">
        <v>1000.14</v>
      </c>
      <c r="O414" t="str">
        <f t="shared" si="108"/>
        <v>Cash Out</v>
      </c>
      <c r="P414" s="3">
        <f t="shared" si="112"/>
        <v>32315.733201970463</v>
      </c>
      <c r="Q414" s="4">
        <v>187000</v>
      </c>
      <c r="R414" s="4" t="s">
        <v>41</v>
      </c>
      <c r="S414" s="6">
        <v>630</v>
      </c>
      <c r="T414">
        <v>6.75</v>
      </c>
      <c r="U414" s="7">
        <f t="shared" si="109"/>
        <v>1290.7951072492265</v>
      </c>
      <c r="V414" s="2">
        <f t="shared" si="113"/>
        <v>-178.77510724922649</v>
      </c>
      <c r="W414" s="9">
        <f t="shared" si="114"/>
        <v>1</v>
      </c>
      <c r="X414" s="3">
        <v>161020</v>
      </c>
      <c r="Y414" s="3">
        <f t="shared" si="115"/>
        <v>6719.6740886699699</v>
      </c>
      <c r="Z414" s="7">
        <f t="shared" si="116"/>
        <v>1111.4643217608045</v>
      </c>
      <c r="AA414" s="2">
        <f t="shared" si="110"/>
        <v>0.55567823919545845</v>
      </c>
      <c r="AB414" s="8">
        <f t="shared" si="117"/>
        <v>1</v>
      </c>
      <c r="AC414" s="10">
        <v>6.125</v>
      </c>
      <c r="AD414" s="7">
        <f t="shared" si="118"/>
        <v>1045.466157499493</v>
      </c>
      <c r="AE414" s="2">
        <f t="shared" si="119"/>
        <v>66.553842500507017</v>
      </c>
      <c r="AF414" s="10">
        <v>3</v>
      </c>
      <c r="AG414" s="3">
        <f t="shared" si="120"/>
        <v>4830.6000000000004</v>
      </c>
      <c r="AH414" s="7">
        <v>3060</v>
      </c>
      <c r="AI414">
        <f t="shared" si="121"/>
        <v>360</v>
      </c>
      <c r="AJ414" t="e">
        <f>VLOOKUP(A414,'Borrower Details'!$A$1:$H$1493,8,FALSE)</f>
        <v>#N/A</v>
      </c>
      <c r="AK414" s="4" t="e">
        <f t="shared" si="122"/>
        <v>#N/A</v>
      </c>
      <c r="AL414" s="10">
        <v>6.75</v>
      </c>
      <c r="AM414" s="3">
        <f t="shared" si="123"/>
        <v>154199.53079999998</v>
      </c>
      <c r="AN414">
        <v>6.75</v>
      </c>
      <c r="AO414" s="7">
        <f t="shared" si="124"/>
        <v>1064.3850261859166</v>
      </c>
      <c r="AP414" s="2">
        <f t="shared" si="125"/>
        <v>47.634973814083423</v>
      </c>
    </row>
    <row r="415" spans="1:42" x14ac:dyDescent="0.15">
      <c r="A415" s="8">
        <v>1142807</v>
      </c>
      <c r="B415" t="s">
        <v>36</v>
      </c>
      <c r="C415" t="s">
        <v>19</v>
      </c>
      <c r="D415" s="1">
        <v>39175</v>
      </c>
      <c r="E415" s="2">
        <v>585000</v>
      </c>
      <c r="F415" s="2">
        <v>351000</v>
      </c>
      <c r="G415" t="s">
        <v>17</v>
      </c>
      <c r="H415" s="2">
        <v>2332.86</v>
      </c>
      <c r="I415" s="2">
        <v>346361.59</v>
      </c>
      <c r="J415">
        <v>6.9900000000000004E-2</v>
      </c>
      <c r="K415">
        <v>12</v>
      </c>
      <c r="L415">
        <v>348</v>
      </c>
      <c r="M415" t="str">
        <f t="shared" si="111"/>
        <v>30 Year Fixed</v>
      </c>
      <c r="N415" s="2">
        <v>2017.56</v>
      </c>
      <c r="O415" t="str">
        <f t="shared" si="108"/>
        <v>Cash Out</v>
      </c>
      <c r="P415" s="3">
        <f t="shared" si="112"/>
        <v>143539.88783251232</v>
      </c>
      <c r="Q415" s="4">
        <v>497250</v>
      </c>
      <c r="R415" s="4" t="s">
        <v>41</v>
      </c>
      <c r="S415" s="6">
        <v>587</v>
      </c>
      <c r="T415">
        <v>7.625</v>
      </c>
      <c r="U415" s="7">
        <f t="shared" si="109"/>
        <v>3726.6919037484295</v>
      </c>
      <c r="V415" s="2">
        <f t="shared" si="113"/>
        <v>-1393.8319037484293</v>
      </c>
      <c r="W415" s="9">
        <f t="shared" si="114"/>
        <v>1</v>
      </c>
      <c r="X415" s="3">
        <v>351557</v>
      </c>
      <c r="Y415" s="3">
        <f t="shared" si="115"/>
        <v>-1.3645320199429989E-2</v>
      </c>
      <c r="Z415" s="7">
        <f t="shared" si="116"/>
        <v>2574.5989119721062</v>
      </c>
      <c r="AA415" s="2">
        <f t="shared" si="110"/>
        <v>-241.73891197210605</v>
      </c>
      <c r="AB415" s="8">
        <f t="shared" si="117"/>
        <v>1</v>
      </c>
      <c r="AC415" s="10">
        <v>6.625</v>
      </c>
      <c r="AD415" s="7">
        <f t="shared" si="118"/>
        <v>2397.540088760185</v>
      </c>
      <c r="AE415" s="2">
        <f t="shared" si="119"/>
        <v>-64.680088760184844</v>
      </c>
      <c r="AF415" s="10">
        <v>1.875</v>
      </c>
      <c r="AG415" s="3">
        <f t="shared" si="120"/>
        <v>6591.6937500000004</v>
      </c>
      <c r="AH415" s="7">
        <v>7020</v>
      </c>
      <c r="AI415">
        <f t="shared" si="121"/>
        <v>360</v>
      </c>
      <c r="AJ415" t="e">
        <f>VLOOKUP(A415,'Borrower Details'!$A$1:$H$1493,8,FALSE)</f>
        <v>#N/A</v>
      </c>
      <c r="AK415" s="4" t="e">
        <f t="shared" si="122"/>
        <v>#N/A</v>
      </c>
      <c r="AL415" s="10">
        <v>7.375</v>
      </c>
      <c r="AM415" s="3">
        <f t="shared" si="123"/>
        <v>351557.01384999999</v>
      </c>
      <c r="AN415">
        <v>7.375</v>
      </c>
      <c r="AO415" s="7">
        <f t="shared" si="124"/>
        <v>2574.5990134014473</v>
      </c>
      <c r="AP415" s="2">
        <f t="shared" si="125"/>
        <v>-241.73901340144721</v>
      </c>
    </row>
    <row r="416" spans="1:42" x14ac:dyDescent="0.15">
      <c r="A416" s="8">
        <v>1130930</v>
      </c>
      <c r="B416" t="s">
        <v>36</v>
      </c>
      <c r="C416" t="s">
        <v>18</v>
      </c>
      <c r="D416" s="1">
        <v>39147</v>
      </c>
      <c r="E416" s="2">
        <v>188000</v>
      </c>
      <c r="F416" s="2">
        <v>120000</v>
      </c>
      <c r="G416" t="s">
        <v>17</v>
      </c>
      <c r="H416" s="2">
        <v>826.77</v>
      </c>
      <c r="I416" s="2">
        <v>118547.32</v>
      </c>
      <c r="J416">
        <v>7.3499999999999996E-2</v>
      </c>
      <c r="K416">
        <v>13</v>
      </c>
      <c r="L416">
        <v>347</v>
      </c>
      <c r="M416" t="str">
        <f t="shared" si="111"/>
        <v>30 Year Fixed</v>
      </c>
      <c r="N416" s="2">
        <v>726.1</v>
      </c>
      <c r="O416" t="str">
        <f t="shared" si="108"/>
        <v>Cash Out</v>
      </c>
      <c r="P416" s="3">
        <f t="shared" si="112"/>
        <v>38891.103645320196</v>
      </c>
      <c r="Q416" s="4">
        <v>159800</v>
      </c>
      <c r="R416" s="4" t="s">
        <v>41</v>
      </c>
      <c r="S416" s="6">
        <v>602</v>
      </c>
      <c r="T416">
        <v>6.875</v>
      </c>
      <c r="U416" s="7">
        <f t="shared" si="109"/>
        <v>1116.3555775868083</v>
      </c>
      <c r="V416" s="2">
        <f t="shared" si="113"/>
        <v>-289.58557758680831</v>
      </c>
      <c r="W416" s="9">
        <f t="shared" si="114"/>
        <v>1</v>
      </c>
      <c r="X416" s="3">
        <v>120325</v>
      </c>
      <c r="Y416" s="3">
        <f t="shared" si="115"/>
        <v>-0.52197044334025122</v>
      </c>
      <c r="Z416" s="7">
        <f t="shared" si="116"/>
        <v>840.58501172173169</v>
      </c>
      <c r="AA416" s="2">
        <f t="shared" si="110"/>
        <v>-13.815011721731707</v>
      </c>
      <c r="AB416" s="8">
        <f t="shared" si="117"/>
        <v>1</v>
      </c>
      <c r="AC416" s="10">
        <v>6.25</v>
      </c>
      <c r="AD416" s="7">
        <f t="shared" si="118"/>
        <v>790.99713807972466</v>
      </c>
      <c r="AE416" s="2">
        <f t="shared" si="119"/>
        <v>35.772861920275318</v>
      </c>
      <c r="AF416" s="10">
        <v>2.5</v>
      </c>
      <c r="AG416" s="3">
        <f t="shared" si="120"/>
        <v>3008.125</v>
      </c>
      <c r="AH416" s="7">
        <v>2400</v>
      </c>
      <c r="AI416">
        <f t="shared" si="121"/>
        <v>360</v>
      </c>
      <c r="AJ416" t="e">
        <f>VLOOKUP(A416,'Borrower Details'!$A$1:$H$1493,8,FALSE)</f>
        <v>#N/A</v>
      </c>
      <c r="AK416" s="4" t="e">
        <f t="shared" si="122"/>
        <v>#N/A</v>
      </c>
      <c r="AL416" s="10">
        <v>6.875</v>
      </c>
      <c r="AM416" s="3">
        <f t="shared" si="123"/>
        <v>120325.52979999999</v>
      </c>
      <c r="AN416">
        <v>6.875</v>
      </c>
      <c r="AO416" s="7">
        <f t="shared" si="124"/>
        <v>840.5887128805864</v>
      </c>
      <c r="AP416" s="2">
        <f t="shared" si="125"/>
        <v>-13.818712880586418</v>
      </c>
    </row>
    <row r="417" spans="1:42" x14ac:dyDescent="0.15">
      <c r="A417" s="8">
        <v>1122597</v>
      </c>
      <c r="B417" t="s">
        <v>36</v>
      </c>
      <c r="C417" t="s">
        <v>19</v>
      </c>
      <c r="D417" s="1">
        <v>39141</v>
      </c>
      <c r="E417" s="2">
        <v>280000</v>
      </c>
      <c r="F417" s="2">
        <v>224000</v>
      </c>
      <c r="G417" t="s">
        <v>15</v>
      </c>
      <c r="H417" s="2">
        <v>1566.25</v>
      </c>
      <c r="I417" s="2">
        <v>221575.53</v>
      </c>
      <c r="J417">
        <v>7.4999999999999997E-2</v>
      </c>
      <c r="K417">
        <v>14</v>
      </c>
      <c r="L417">
        <v>346</v>
      </c>
      <c r="M417" t="str">
        <f t="shared" si="111"/>
        <v>30 Year Fixed</v>
      </c>
      <c r="N417" s="2">
        <v>1384.85</v>
      </c>
      <c r="O417" t="str">
        <f t="shared" si="108"/>
        <v>Cash Out</v>
      </c>
      <c r="P417" s="3">
        <f t="shared" si="112"/>
        <v>12907.228620689682</v>
      </c>
      <c r="Q417" s="4">
        <v>238000</v>
      </c>
      <c r="R417" s="4" t="s">
        <v>41</v>
      </c>
      <c r="S417" s="6">
        <v>575</v>
      </c>
      <c r="T417">
        <v>7.625</v>
      </c>
      <c r="U417" s="7">
        <f t="shared" si="109"/>
        <v>1783.7157829907014</v>
      </c>
      <c r="V417" s="2">
        <f t="shared" si="113"/>
        <v>-217.46578299070143</v>
      </c>
      <c r="W417" s="9">
        <f t="shared" si="114"/>
        <v>1</v>
      </c>
      <c r="X417" s="3">
        <v>224900</v>
      </c>
      <c r="Y417" s="3">
        <f t="shared" si="115"/>
        <v>0.82467980298679322</v>
      </c>
      <c r="Z417" s="7">
        <f t="shared" si="116"/>
        <v>1685.5364688849104</v>
      </c>
      <c r="AA417" s="2">
        <f t="shared" si="110"/>
        <v>-119.28646888491039</v>
      </c>
      <c r="AB417" s="8">
        <f t="shared" si="117"/>
        <v>1</v>
      </c>
      <c r="AC417" s="10">
        <v>6.875</v>
      </c>
      <c r="AD417" s="7">
        <f t="shared" si="118"/>
        <v>1571.1412352895695</v>
      </c>
      <c r="AE417" s="2">
        <f t="shared" si="119"/>
        <v>-4.8912352895695221</v>
      </c>
      <c r="AF417" s="10">
        <v>1</v>
      </c>
      <c r="AG417" s="3">
        <f t="shared" si="120"/>
        <v>2249</v>
      </c>
      <c r="AH417" s="7">
        <v>4480</v>
      </c>
      <c r="AI417">
        <f t="shared" si="121"/>
        <v>360</v>
      </c>
      <c r="AJ417" t="e">
        <f>VLOOKUP(A417,'Borrower Details'!$A$1:$H$1493,8,FALSE)</f>
        <v>#N/A</v>
      </c>
      <c r="AK417" s="4" t="e">
        <f t="shared" si="122"/>
        <v>#N/A</v>
      </c>
      <c r="AL417" s="10">
        <v>7.625</v>
      </c>
      <c r="AM417" s="3">
        <f t="shared" si="123"/>
        <v>224899.16294999997</v>
      </c>
      <c r="AN417">
        <v>7.625</v>
      </c>
      <c r="AO417" s="7">
        <f t="shared" si="124"/>
        <v>1685.5301955265234</v>
      </c>
      <c r="AP417" s="2">
        <f t="shared" si="125"/>
        <v>-119.28019552652336</v>
      </c>
    </row>
    <row r="418" spans="1:42" x14ac:dyDescent="0.15">
      <c r="A418" s="8">
        <v>1174416</v>
      </c>
      <c r="B418" t="s">
        <v>38</v>
      </c>
      <c r="C418" t="s">
        <v>19</v>
      </c>
      <c r="D418" s="1">
        <v>39167</v>
      </c>
      <c r="E418" s="2">
        <v>93000</v>
      </c>
      <c r="F418" s="2">
        <v>65100</v>
      </c>
      <c r="G418" t="s">
        <v>17</v>
      </c>
      <c r="H418" s="2">
        <v>593.07000000000005</v>
      </c>
      <c r="I418" s="2">
        <v>64370.66</v>
      </c>
      <c r="J418">
        <v>0.1045</v>
      </c>
      <c r="K418">
        <v>13</v>
      </c>
      <c r="L418">
        <v>347</v>
      </c>
      <c r="M418" t="str">
        <f t="shared" si="111"/>
        <v>30 Year Fixed</v>
      </c>
      <c r="N418" s="2">
        <v>560.55999999999995</v>
      </c>
      <c r="O418" t="str">
        <f t="shared" si="108"/>
        <v>Cash Out</v>
      </c>
      <c r="P418" s="3">
        <f t="shared" si="112"/>
        <v>13511.113399014779</v>
      </c>
      <c r="Q418" s="4">
        <v>79050</v>
      </c>
      <c r="R418" s="4" t="s">
        <v>41</v>
      </c>
      <c r="S418" s="6">
        <v>506</v>
      </c>
      <c r="T418">
        <v>7.625</v>
      </c>
      <c r="U418" s="7">
        <f t="shared" si="109"/>
        <v>592.44845649334002</v>
      </c>
      <c r="V418" s="2">
        <f t="shared" si="113"/>
        <v>0.62154350666003211</v>
      </c>
      <c r="W418" s="9">
        <f t="shared" si="114"/>
        <v>0</v>
      </c>
      <c r="X418" s="3">
        <v>79050</v>
      </c>
      <c r="Y418" s="3">
        <f t="shared" si="115"/>
        <v>13511.113399014779</v>
      </c>
      <c r="Z418" s="7">
        <f t="shared" si="116"/>
        <v>592.44845649334002</v>
      </c>
      <c r="AA418" s="2">
        <f t="shared" si="110"/>
        <v>0.62154350666003211</v>
      </c>
      <c r="AB418" s="8">
        <f t="shared" si="117"/>
        <v>0</v>
      </c>
      <c r="AC418" s="10">
        <v>7.625</v>
      </c>
      <c r="AD418" s="7">
        <f t="shared" si="118"/>
        <v>592.44845649334002</v>
      </c>
      <c r="AE418" s="2">
        <f t="shared" si="119"/>
        <v>0.62154350666003211</v>
      </c>
      <c r="AF418" s="10">
        <v>0</v>
      </c>
      <c r="AG418" s="3">
        <f t="shared" si="120"/>
        <v>0</v>
      </c>
      <c r="AH418" s="7">
        <v>0</v>
      </c>
      <c r="AI418">
        <f t="shared" si="121"/>
        <v>360</v>
      </c>
      <c r="AJ418" t="e">
        <f>VLOOKUP(A418,'Borrower Details'!$A$1:$H$1493,8,FALSE)</f>
        <v>#N/A</v>
      </c>
      <c r="AK418" s="4" t="e">
        <f t="shared" si="122"/>
        <v>#N/A</v>
      </c>
      <c r="AL418" s="10">
        <v>7.625</v>
      </c>
      <c r="AM418" s="3">
        <f t="shared" si="123"/>
        <v>65336.219899999996</v>
      </c>
      <c r="AN418">
        <v>7.625</v>
      </c>
      <c r="AO418" s="7">
        <f t="shared" si="124"/>
        <v>489.6691035150468</v>
      </c>
      <c r="AP418" s="2">
        <f t="shared" si="125"/>
        <v>103.40089648495325</v>
      </c>
    </row>
    <row r="419" spans="1:42" x14ac:dyDescent="0.15">
      <c r="A419" s="8">
        <v>1181714</v>
      </c>
      <c r="B419" t="s">
        <v>37</v>
      </c>
      <c r="C419" t="s">
        <v>19</v>
      </c>
      <c r="D419" s="1">
        <v>39181</v>
      </c>
      <c r="E419" s="2">
        <v>126000</v>
      </c>
      <c r="F419" s="2">
        <v>113400</v>
      </c>
      <c r="G419" t="s">
        <v>15</v>
      </c>
      <c r="H419" s="2">
        <v>970.12</v>
      </c>
      <c r="I419" s="2">
        <v>112729.04</v>
      </c>
      <c r="J419">
        <v>9.7000000000000003E-2</v>
      </c>
      <c r="K419">
        <v>12</v>
      </c>
      <c r="L419">
        <v>348</v>
      </c>
      <c r="M419" t="str">
        <f t="shared" si="111"/>
        <v>30 Year Fixed</v>
      </c>
      <c r="N419" s="2">
        <v>911.23</v>
      </c>
      <c r="O419" t="str">
        <f t="shared" si="108"/>
        <v>Refi</v>
      </c>
      <c r="P419" s="3">
        <f t="shared" si="112"/>
        <v>0</v>
      </c>
      <c r="Q419" s="4">
        <v>114420</v>
      </c>
      <c r="R419" s="4" t="s">
        <v>41</v>
      </c>
      <c r="S419" s="6">
        <v>560</v>
      </c>
      <c r="T419">
        <v>7.625</v>
      </c>
      <c r="U419" s="7">
        <f t="shared" si="109"/>
        <v>857.53260457897488</v>
      </c>
      <c r="V419" s="2">
        <f t="shared" si="113"/>
        <v>112.58739542102512</v>
      </c>
      <c r="W419" s="9">
        <f t="shared" si="114"/>
        <v>0</v>
      </c>
      <c r="X419" s="3">
        <v>114420</v>
      </c>
      <c r="Y419" s="3">
        <f t="shared" si="115"/>
        <v>2.4039408890530467E-2</v>
      </c>
      <c r="Z419" s="7">
        <f t="shared" si="116"/>
        <v>857.53260457897488</v>
      </c>
      <c r="AA419" s="2">
        <f t="shared" si="110"/>
        <v>112.58739542102512</v>
      </c>
      <c r="AB419" s="8">
        <f t="shared" si="117"/>
        <v>0</v>
      </c>
      <c r="AC419" s="10">
        <v>7.625</v>
      </c>
      <c r="AD419" s="7">
        <f t="shared" si="118"/>
        <v>857.53260457897488</v>
      </c>
      <c r="AE419" s="2">
        <f t="shared" si="119"/>
        <v>112.58739542102512</v>
      </c>
      <c r="AF419" s="10">
        <v>0</v>
      </c>
      <c r="AG419" s="3">
        <f t="shared" si="120"/>
        <v>0</v>
      </c>
      <c r="AH419" s="7">
        <v>0</v>
      </c>
      <c r="AI419">
        <f t="shared" si="121"/>
        <v>360</v>
      </c>
      <c r="AJ419" t="e">
        <f>VLOOKUP(A419,'Borrower Details'!$A$1:$H$1493,8,FALSE)</f>
        <v>#N/A</v>
      </c>
      <c r="AK419" s="4" t="e">
        <f t="shared" si="122"/>
        <v>#N/A</v>
      </c>
      <c r="AL419" s="10">
        <v>7.625</v>
      </c>
      <c r="AM419" s="3">
        <f t="shared" si="123"/>
        <v>114419.97559999998</v>
      </c>
      <c r="AN419">
        <v>7.625</v>
      </c>
      <c r="AO419" s="7">
        <f t="shared" si="124"/>
        <v>857.53242171063403</v>
      </c>
      <c r="AP419" s="2">
        <f t="shared" si="125"/>
        <v>112.58757828936598</v>
      </c>
    </row>
    <row r="420" spans="1:42" x14ac:dyDescent="0.15">
      <c r="A420" s="8">
        <v>1166667</v>
      </c>
      <c r="B420" t="s">
        <v>35</v>
      </c>
      <c r="C420" t="s">
        <v>16</v>
      </c>
      <c r="D420" s="1">
        <v>39169</v>
      </c>
      <c r="E420" s="2">
        <v>215000</v>
      </c>
      <c r="F420" s="2">
        <v>191610</v>
      </c>
      <c r="G420" t="s">
        <v>15</v>
      </c>
      <c r="H420" s="2">
        <v>1438.19</v>
      </c>
      <c r="I420" s="2">
        <v>191377.76</v>
      </c>
      <c r="J420">
        <v>8.8999999999999996E-2</v>
      </c>
      <c r="K420">
        <v>13</v>
      </c>
      <c r="L420">
        <v>347</v>
      </c>
      <c r="M420" t="str">
        <f t="shared" si="111"/>
        <v>30 Year Fixed</v>
      </c>
      <c r="N420" s="2">
        <v>1419.39</v>
      </c>
      <c r="O420" t="str">
        <f t="shared" si="108"/>
        <v>Refi</v>
      </c>
      <c r="P420" s="3">
        <f t="shared" si="112"/>
        <v>0</v>
      </c>
      <c r="Q420" s="4">
        <v>194248</v>
      </c>
      <c r="R420" s="4" t="s">
        <v>41</v>
      </c>
      <c r="S420" s="6">
        <v>561</v>
      </c>
      <c r="T420">
        <v>7.625</v>
      </c>
      <c r="U420" s="7">
        <f t="shared" si="109"/>
        <v>1455.8118630856209</v>
      </c>
      <c r="V420" s="2">
        <f t="shared" si="113"/>
        <v>-17.621863085620816</v>
      </c>
      <c r="W420" s="9">
        <f t="shared" si="114"/>
        <v>0</v>
      </c>
      <c r="X420" s="3">
        <v>194249</v>
      </c>
      <c r="Y420" s="3">
        <f t="shared" si="115"/>
        <v>0.56512315271538682</v>
      </c>
      <c r="Z420" s="7">
        <f t="shared" si="116"/>
        <v>1455.8193576897509</v>
      </c>
      <c r="AA420" s="2">
        <f t="shared" si="110"/>
        <v>-17.629357689750805</v>
      </c>
      <c r="AB420" s="8">
        <f t="shared" si="117"/>
        <v>1</v>
      </c>
      <c r="AC420" s="10">
        <v>6.875</v>
      </c>
      <c r="AD420" s="7">
        <f t="shared" si="118"/>
        <v>1357.014734609887</v>
      </c>
      <c r="AE420" s="2">
        <f t="shared" si="119"/>
        <v>81.175265390113054</v>
      </c>
      <c r="AF420" s="10">
        <v>1</v>
      </c>
      <c r="AG420" s="3">
        <f t="shared" si="120"/>
        <v>1942.49</v>
      </c>
      <c r="AH420" s="7">
        <v>8526.6450000000004</v>
      </c>
      <c r="AI420">
        <f t="shared" si="121"/>
        <v>360</v>
      </c>
      <c r="AJ420" t="e">
        <f>VLOOKUP(A420,'Borrower Details'!$A$1:$H$1493,8,FALSE)</f>
        <v>#N/A</v>
      </c>
      <c r="AK420" s="4" t="e">
        <f t="shared" si="122"/>
        <v>#N/A</v>
      </c>
      <c r="AL420" s="10">
        <v>7.625</v>
      </c>
      <c r="AM420" s="3">
        <f t="shared" si="123"/>
        <v>194248.4264</v>
      </c>
      <c r="AN420">
        <v>7.625</v>
      </c>
      <c r="AO420" s="7">
        <f t="shared" si="124"/>
        <v>1455.8150587848218</v>
      </c>
      <c r="AP420" s="2">
        <f t="shared" si="125"/>
        <v>-17.625058784821704</v>
      </c>
    </row>
    <row r="421" spans="1:42" x14ac:dyDescent="0.15">
      <c r="A421" s="8">
        <v>410045975</v>
      </c>
      <c r="B421" t="s">
        <v>37</v>
      </c>
      <c r="C421" t="s">
        <v>19</v>
      </c>
      <c r="D421" s="1">
        <v>39202</v>
      </c>
      <c r="E421" s="2">
        <v>225000</v>
      </c>
      <c r="F421" s="2">
        <v>202500</v>
      </c>
      <c r="G421" t="s">
        <v>17</v>
      </c>
      <c r="H421" s="2">
        <v>1747.23</v>
      </c>
      <c r="I421" s="2">
        <v>201050.04</v>
      </c>
      <c r="J421">
        <v>9.8000000000000004E-2</v>
      </c>
      <c r="K421">
        <v>12</v>
      </c>
      <c r="L421">
        <v>348</v>
      </c>
      <c r="M421" t="str">
        <f t="shared" si="111"/>
        <v>30 Year Fixed</v>
      </c>
      <c r="N421" s="2">
        <v>1641.91</v>
      </c>
      <c r="O421" t="str">
        <f t="shared" si="108"/>
        <v>Refi</v>
      </c>
      <c r="P421" s="3">
        <f t="shared" si="112"/>
        <v>0</v>
      </c>
      <c r="Q421" s="4">
        <v>204066</v>
      </c>
      <c r="R421" s="4" t="s">
        <v>41</v>
      </c>
      <c r="S421" s="6">
        <v>570</v>
      </c>
      <c r="T421">
        <v>7.625</v>
      </c>
      <c r="U421" s="7">
        <f t="shared" si="109"/>
        <v>1529.3938864360523</v>
      </c>
      <c r="V421" s="2">
        <f t="shared" si="113"/>
        <v>217.83611356394772</v>
      </c>
      <c r="W421" s="9">
        <f t="shared" si="114"/>
        <v>0</v>
      </c>
      <c r="X421" s="3">
        <v>204066</v>
      </c>
      <c r="Y421" s="3">
        <f t="shared" si="115"/>
        <v>0.20630541871651076</v>
      </c>
      <c r="Z421" s="7">
        <f t="shared" si="116"/>
        <v>1529.3938864360523</v>
      </c>
      <c r="AA421" s="2">
        <f t="shared" si="110"/>
        <v>217.83611356394772</v>
      </c>
      <c r="AB421" s="8">
        <f t="shared" si="117"/>
        <v>0</v>
      </c>
      <c r="AC421" s="10">
        <v>7.625</v>
      </c>
      <c r="AD421" s="7">
        <f t="shared" si="118"/>
        <v>1529.3938864360523</v>
      </c>
      <c r="AE421" s="2">
        <f t="shared" si="119"/>
        <v>217.83611356394772</v>
      </c>
      <c r="AF421" s="10">
        <v>0</v>
      </c>
      <c r="AG421" s="3">
        <f t="shared" si="120"/>
        <v>0</v>
      </c>
      <c r="AH421" s="7">
        <v>2025</v>
      </c>
      <c r="AI421">
        <f t="shared" si="121"/>
        <v>360</v>
      </c>
      <c r="AJ421" t="e">
        <f>VLOOKUP(A421,'Borrower Details'!$A$1:$H$1493,8,FALSE)</f>
        <v>#N/A</v>
      </c>
      <c r="AK421" s="4" t="e">
        <f t="shared" si="122"/>
        <v>#N/A</v>
      </c>
      <c r="AL421" s="10">
        <v>7.625</v>
      </c>
      <c r="AM421" s="3">
        <f t="shared" si="123"/>
        <v>204065.79059999998</v>
      </c>
      <c r="AN421">
        <v>7.625</v>
      </c>
      <c r="AO421" s="7">
        <f t="shared" si="124"/>
        <v>1529.3923170659473</v>
      </c>
      <c r="AP421" s="2">
        <f t="shared" si="125"/>
        <v>217.83768293405274</v>
      </c>
    </row>
    <row r="422" spans="1:42" x14ac:dyDescent="0.15">
      <c r="A422" s="8">
        <v>411074214</v>
      </c>
      <c r="B422" t="s">
        <v>38</v>
      </c>
      <c r="C422" t="s">
        <v>16</v>
      </c>
      <c r="D422" s="1">
        <v>39393</v>
      </c>
      <c r="E422" s="2">
        <v>150000</v>
      </c>
      <c r="F422" s="2">
        <v>100000</v>
      </c>
      <c r="G422" t="s">
        <v>17</v>
      </c>
      <c r="H422" s="2">
        <v>822.68</v>
      </c>
      <c r="I422" s="2">
        <v>99736.74</v>
      </c>
      <c r="J422">
        <v>9.2499999999999999E-2</v>
      </c>
      <c r="K422">
        <v>5</v>
      </c>
      <c r="L422">
        <v>355</v>
      </c>
      <c r="M422" t="str">
        <f t="shared" si="111"/>
        <v>30 Year Fixed</v>
      </c>
      <c r="N422" s="2">
        <v>768.8</v>
      </c>
      <c r="O422" t="str">
        <f t="shared" si="108"/>
        <v>Cash Out</v>
      </c>
      <c r="P422" s="3">
        <f t="shared" si="112"/>
        <v>25879.023546798038</v>
      </c>
      <c r="Q422" s="4">
        <v>127500</v>
      </c>
      <c r="R422" s="4" t="s">
        <v>41</v>
      </c>
      <c r="S422" s="6">
        <v>554</v>
      </c>
      <c r="T422">
        <v>7.625</v>
      </c>
      <c r="U422" s="7">
        <f t="shared" si="109"/>
        <v>955.56202660216138</v>
      </c>
      <c r="V422" s="2">
        <f t="shared" si="113"/>
        <v>-132.88202660216143</v>
      </c>
      <c r="W422" s="9">
        <f t="shared" si="114"/>
        <v>1</v>
      </c>
      <c r="X422" s="3">
        <v>109700</v>
      </c>
      <c r="Y422" s="3">
        <f t="shared" si="115"/>
        <v>8342.0777339901542</v>
      </c>
      <c r="Z422" s="7">
        <f t="shared" si="116"/>
        <v>822.15807308436945</v>
      </c>
      <c r="AA422" s="2">
        <f t="shared" si="110"/>
        <v>0.52192691563050175</v>
      </c>
      <c r="AB422" s="8">
        <f t="shared" si="117"/>
        <v>1</v>
      </c>
      <c r="AC422" s="10">
        <v>6.5</v>
      </c>
      <c r="AD422" s="7">
        <f t="shared" si="118"/>
        <v>739.08695510511711</v>
      </c>
      <c r="AE422" s="2">
        <f t="shared" si="119"/>
        <v>83.593044894882837</v>
      </c>
      <c r="AF422" s="10">
        <v>2.375</v>
      </c>
      <c r="AG422" s="3">
        <f t="shared" si="120"/>
        <v>2605.375</v>
      </c>
      <c r="AH422" s="7">
        <v>0</v>
      </c>
      <c r="AI422">
        <f t="shared" si="121"/>
        <v>360</v>
      </c>
      <c r="AJ422" t="e">
        <f>VLOOKUP(A422,'Borrower Details'!$A$1:$H$1493,8,FALSE)</f>
        <v>#N/A</v>
      </c>
      <c r="AK422" s="4" t="e">
        <f t="shared" si="122"/>
        <v>#N/A</v>
      </c>
      <c r="AL422" s="10">
        <v>7.625</v>
      </c>
      <c r="AM422" s="3">
        <f t="shared" si="123"/>
        <v>101232.7911</v>
      </c>
      <c r="AN422">
        <v>7.625</v>
      </c>
      <c r="AO422" s="7">
        <f t="shared" si="124"/>
        <v>758.69969429105299</v>
      </c>
      <c r="AP422" s="2">
        <f t="shared" si="125"/>
        <v>63.980305708946958</v>
      </c>
    </row>
    <row r="423" spans="1:42" x14ac:dyDescent="0.15">
      <c r="A423" s="8">
        <v>411028350</v>
      </c>
      <c r="B423" t="s">
        <v>35</v>
      </c>
      <c r="C423" t="s">
        <v>16</v>
      </c>
      <c r="D423" s="1">
        <v>39386</v>
      </c>
      <c r="E423" s="2">
        <v>66000</v>
      </c>
      <c r="F423" s="2">
        <v>59400</v>
      </c>
      <c r="G423" t="s">
        <v>17</v>
      </c>
      <c r="H423" s="2">
        <v>565.24</v>
      </c>
      <c r="I423" s="2">
        <v>59189.75</v>
      </c>
      <c r="J423">
        <v>0.1099</v>
      </c>
      <c r="K423">
        <v>6</v>
      </c>
      <c r="L423">
        <v>354</v>
      </c>
      <c r="M423" t="str">
        <f t="shared" si="111"/>
        <v>30 Year Fixed</v>
      </c>
      <c r="N423" s="2">
        <v>542.08000000000004</v>
      </c>
      <c r="O423" t="str">
        <f t="shared" si="108"/>
        <v>Refi</v>
      </c>
      <c r="P423" s="3">
        <f t="shared" si="112"/>
        <v>0</v>
      </c>
      <c r="Q423" s="4">
        <v>60078</v>
      </c>
      <c r="R423" s="4" t="s">
        <v>41</v>
      </c>
      <c r="S423" s="6">
        <v>637</v>
      </c>
      <c r="T423">
        <v>6.875</v>
      </c>
      <c r="U423" s="7">
        <f t="shared" si="109"/>
        <v>419.70219267997663</v>
      </c>
      <c r="V423" s="2">
        <f t="shared" si="113"/>
        <v>145.53780732002338</v>
      </c>
      <c r="W423" s="9">
        <f t="shared" si="114"/>
        <v>0</v>
      </c>
      <c r="X423" s="3">
        <v>60078</v>
      </c>
      <c r="Y423" s="3">
        <f t="shared" si="115"/>
        <v>0.39778325123916147</v>
      </c>
      <c r="Z423" s="7">
        <f t="shared" si="116"/>
        <v>419.70219267997663</v>
      </c>
      <c r="AA423" s="2">
        <f t="shared" si="110"/>
        <v>145.53780732002338</v>
      </c>
      <c r="AB423" s="8">
        <f t="shared" si="117"/>
        <v>0</v>
      </c>
      <c r="AC423" s="10">
        <v>6.875</v>
      </c>
      <c r="AD423" s="7">
        <f t="shared" si="118"/>
        <v>419.70219267997663</v>
      </c>
      <c r="AE423" s="2">
        <f t="shared" si="119"/>
        <v>145.53780732002338</v>
      </c>
      <c r="AF423" s="10">
        <v>0</v>
      </c>
      <c r="AG423" s="3">
        <f t="shared" si="120"/>
        <v>0</v>
      </c>
      <c r="AH423" s="7">
        <v>3264.03</v>
      </c>
      <c r="AI423">
        <f t="shared" si="121"/>
        <v>360</v>
      </c>
      <c r="AJ423" t="e">
        <f>VLOOKUP(A423,'Borrower Details'!$A$1:$H$1493,8,FALSE)</f>
        <v>#N/A</v>
      </c>
      <c r="AK423" s="4" t="e">
        <f t="shared" si="122"/>
        <v>#N/A</v>
      </c>
      <c r="AL423" s="10">
        <v>6.875</v>
      </c>
      <c r="AM423" s="3">
        <f t="shared" si="123"/>
        <v>60077.596249999995</v>
      </c>
      <c r="AN423">
        <v>6.875</v>
      </c>
      <c r="AO423" s="7">
        <f t="shared" si="124"/>
        <v>419.69937210072476</v>
      </c>
      <c r="AP423" s="2">
        <f t="shared" si="125"/>
        <v>145.54062789927525</v>
      </c>
    </row>
    <row r="424" spans="1:42" x14ac:dyDescent="0.15">
      <c r="A424" s="8">
        <v>410685788</v>
      </c>
      <c r="B424" t="s">
        <v>36</v>
      </c>
      <c r="C424" t="s">
        <v>19</v>
      </c>
      <c r="D424" s="1">
        <v>39293</v>
      </c>
      <c r="E424" s="2">
        <v>415000</v>
      </c>
      <c r="F424" s="2">
        <v>311250</v>
      </c>
      <c r="G424" t="s">
        <v>17</v>
      </c>
      <c r="H424" s="2">
        <v>1932.54</v>
      </c>
      <c r="I424" s="2">
        <v>310767.65999999997</v>
      </c>
      <c r="J424">
        <v>7.2499999999999995E-2</v>
      </c>
      <c r="K424">
        <v>9</v>
      </c>
      <c r="L424">
        <v>351</v>
      </c>
      <c r="M424" t="str">
        <f t="shared" si="111"/>
        <v>30 Year Fixed</v>
      </c>
      <c r="N424" s="2">
        <v>1877.55</v>
      </c>
      <c r="O424" t="str">
        <f t="shared" si="108"/>
        <v>Cash Out</v>
      </c>
      <c r="P424" s="3">
        <f t="shared" si="112"/>
        <v>36769.285812807968</v>
      </c>
      <c r="Q424" s="4">
        <v>352750</v>
      </c>
      <c r="R424" s="4" t="s">
        <v>41</v>
      </c>
      <c r="S424" s="6">
        <v>605</v>
      </c>
      <c r="T424">
        <v>6.875</v>
      </c>
      <c r="U424" s="7">
        <f t="shared" si="109"/>
        <v>2464.2955569070505</v>
      </c>
      <c r="V424" s="2">
        <f t="shared" si="113"/>
        <v>-531.7555569070505</v>
      </c>
      <c r="W424" s="9">
        <f t="shared" si="114"/>
        <v>1</v>
      </c>
      <c r="X424" s="3">
        <v>315430</v>
      </c>
      <c r="Y424" s="3">
        <f t="shared" si="115"/>
        <v>0.81290640396764502</v>
      </c>
      <c r="Z424" s="7">
        <f t="shared" si="116"/>
        <v>2203.5797236433477</v>
      </c>
      <c r="AA424" s="2">
        <f t="shared" si="110"/>
        <v>-271.03972364334777</v>
      </c>
      <c r="AB424" s="8">
        <f t="shared" si="117"/>
        <v>1</v>
      </c>
      <c r="AC424" s="10">
        <v>6.25</v>
      </c>
      <c r="AD424" s="7">
        <f t="shared" si="118"/>
        <v>2073.5859319716396</v>
      </c>
      <c r="AE424" s="2">
        <f t="shared" si="119"/>
        <v>-141.04593197163967</v>
      </c>
      <c r="AF424" s="10">
        <v>2.5</v>
      </c>
      <c r="AG424" s="3">
        <f t="shared" si="120"/>
        <v>7885.75</v>
      </c>
      <c r="AH424" s="7">
        <v>6225</v>
      </c>
      <c r="AI424">
        <f t="shared" si="121"/>
        <v>360</v>
      </c>
      <c r="AJ424" t="e">
        <f>VLOOKUP(A424,'Borrower Details'!$A$1:$H$1493,8,FALSE)</f>
        <v>#N/A</v>
      </c>
      <c r="AK424" s="4" t="e">
        <f t="shared" si="122"/>
        <v>#N/A</v>
      </c>
      <c r="AL424" s="10">
        <v>6.875</v>
      </c>
      <c r="AM424" s="3">
        <f t="shared" si="123"/>
        <v>315429.17489999993</v>
      </c>
      <c r="AN424">
        <v>6.875</v>
      </c>
      <c r="AO424" s="7">
        <f t="shared" si="124"/>
        <v>2203.5739595320392</v>
      </c>
      <c r="AP424" s="2">
        <f t="shared" si="125"/>
        <v>-271.03395953203926</v>
      </c>
    </row>
    <row r="425" spans="1:42" x14ac:dyDescent="0.15">
      <c r="A425" s="8">
        <v>410791834</v>
      </c>
      <c r="B425" t="s">
        <v>36</v>
      </c>
      <c r="C425" t="s">
        <v>16</v>
      </c>
      <c r="D425" s="1">
        <v>39322</v>
      </c>
      <c r="E425" s="2">
        <v>75000</v>
      </c>
      <c r="F425" s="2">
        <v>67500</v>
      </c>
      <c r="G425" t="s">
        <v>20</v>
      </c>
      <c r="H425" s="2">
        <v>630.1</v>
      </c>
      <c r="I425" s="2">
        <v>67098.009999999995</v>
      </c>
      <c r="J425">
        <v>0.1075</v>
      </c>
      <c r="K425">
        <v>8</v>
      </c>
      <c r="L425">
        <v>351</v>
      </c>
      <c r="M425" t="str">
        <f t="shared" si="111"/>
        <v>30 Year Fixed</v>
      </c>
      <c r="N425" s="2">
        <v>601.52</v>
      </c>
      <c r="O425" t="str">
        <f t="shared" si="108"/>
        <v>Refi</v>
      </c>
      <c r="P425" s="3">
        <f t="shared" si="112"/>
        <v>0</v>
      </c>
      <c r="Q425" s="4">
        <v>68104</v>
      </c>
      <c r="R425" s="4" t="s">
        <v>41</v>
      </c>
      <c r="S425" s="6">
        <v>617</v>
      </c>
      <c r="T425">
        <v>7</v>
      </c>
      <c r="U425" s="7">
        <f t="shared" si="109"/>
        <v>481.47427798349719</v>
      </c>
      <c r="V425" s="2">
        <f t="shared" si="113"/>
        <v>148.62572201650283</v>
      </c>
      <c r="W425" s="9">
        <f t="shared" si="114"/>
        <v>0</v>
      </c>
      <c r="X425" s="3">
        <v>68104</v>
      </c>
      <c r="Y425" s="3">
        <f t="shared" si="115"/>
        <v>-0.47305418718315195</v>
      </c>
      <c r="Z425" s="7">
        <f t="shared" si="116"/>
        <v>481.47427798349719</v>
      </c>
      <c r="AA425" s="2">
        <f t="shared" si="110"/>
        <v>148.62572201650283</v>
      </c>
      <c r="AB425" s="8">
        <f t="shared" si="117"/>
        <v>0</v>
      </c>
      <c r="AC425" s="10">
        <v>7</v>
      </c>
      <c r="AD425" s="7">
        <f t="shared" si="118"/>
        <v>481.47427798349719</v>
      </c>
      <c r="AE425" s="2">
        <f t="shared" si="119"/>
        <v>148.62572201650283</v>
      </c>
      <c r="AF425" s="10">
        <v>0</v>
      </c>
      <c r="AG425" s="3">
        <f t="shared" si="120"/>
        <v>0</v>
      </c>
      <c r="AH425" s="7">
        <v>1350</v>
      </c>
      <c r="AI425">
        <f t="shared" si="121"/>
        <v>360</v>
      </c>
      <c r="AJ425" t="e">
        <f>VLOOKUP(A425,'Borrower Details'!$A$1:$H$1493,8,FALSE)</f>
        <v>#N/A</v>
      </c>
      <c r="AK425" s="4" t="e">
        <f t="shared" si="122"/>
        <v>#N/A</v>
      </c>
      <c r="AL425" s="10">
        <v>7</v>
      </c>
      <c r="AM425" s="3">
        <f t="shared" si="123"/>
        <v>68104.480149999988</v>
      </c>
      <c r="AN425">
        <v>7</v>
      </c>
      <c r="AO425" s="7">
        <f t="shared" si="124"/>
        <v>481.47767249592778</v>
      </c>
      <c r="AP425" s="2">
        <f t="shared" si="125"/>
        <v>148.62232750407225</v>
      </c>
    </row>
    <row r="426" spans="1:42" x14ac:dyDescent="0.15">
      <c r="A426" s="8">
        <v>410575336</v>
      </c>
      <c r="B426" t="s">
        <v>36</v>
      </c>
      <c r="C426" t="s">
        <v>19</v>
      </c>
      <c r="D426" s="1">
        <v>39279</v>
      </c>
      <c r="E426" s="2">
        <v>140000</v>
      </c>
      <c r="F426" s="2">
        <v>100000</v>
      </c>
      <c r="G426" t="s">
        <v>15</v>
      </c>
      <c r="H426" s="2">
        <v>761.84</v>
      </c>
      <c r="I426" s="2">
        <v>99424.07</v>
      </c>
      <c r="J426">
        <v>8.4000000000000005E-2</v>
      </c>
      <c r="K426">
        <v>9</v>
      </c>
      <c r="L426">
        <v>351</v>
      </c>
      <c r="M426" t="str">
        <f t="shared" si="111"/>
        <v>30 Year Fixed</v>
      </c>
      <c r="N426" s="2">
        <v>695.97</v>
      </c>
      <c r="O426" t="str">
        <f t="shared" si="108"/>
        <v>Cash Out</v>
      </c>
      <c r="P426" s="3">
        <f t="shared" si="112"/>
        <v>17817.309310344834</v>
      </c>
      <c r="Q426" s="4">
        <v>119000</v>
      </c>
      <c r="R426" s="4" t="s">
        <v>41</v>
      </c>
      <c r="S426" s="6">
        <v>534</v>
      </c>
      <c r="T426">
        <v>7.625</v>
      </c>
      <c r="U426" s="7">
        <f t="shared" si="109"/>
        <v>891.85789149535071</v>
      </c>
      <c r="V426" s="2">
        <f t="shared" si="113"/>
        <v>-130.01789149535068</v>
      </c>
      <c r="W426" s="9">
        <f t="shared" si="114"/>
        <v>1</v>
      </c>
      <c r="X426" s="3">
        <v>101580</v>
      </c>
      <c r="Y426" s="3">
        <f t="shared" si="115"/>
        <v>654.74773399015248</v>
      </c>
      <c r="Z426" s="7">
        <f t="shared" si="116"/>
        <v>761.30188754703966</v>
      </c>
      <c r="AA426" s="2">
        <f t="shared" si="110"/>
        <v>0.53811245296037669</v>
      </c>
      <c r="AB426" s="8">
        <f t="shared" si="117"/>
        <v>1</v>
      </c>
      <c r="AC426" s="10">
        <v>6.875</v>
      </c>
      <c r="AD426" s="7">
        <f t="shared" si="118"/>
        <v>709.6332889315895</v>
      </c>
      <c r="AE426" s="2">
        <f t="shared" si="119"/>
        <v>52.206711068410527</v>
      </c>
      <c r="AF426" s="10">
        <v>1</v>
      </c>
      <c r="AG426" s="3">
        <f t="shared" si="120"/>
        <v>1015.8</v>
      </c>
      <c r="AH426" s="7">
        <v>2000</v>
      </c>
      <c r="AI426">
        <f t="shared" si="121"/>
        <v>360</v>
      </c>
      <c r="AJ426" t="e">
        <f>VLOOKUP(A426,'Borrower Details'!$A$1:$H$1493,8,FALSE)</f>
        <v>#N/A</v>
      </c>
      <c r="AK426" s="4" t="e">
        <f t="shared" si="122"/>
        <v>#N/A</v>
      </c>
      <c r="AL426" s="10">
        <v>7.625</v>
      </c>
      <c r="AM426" s="3">
        <f t="shared" si="123"/>
        <v>100915.43105</v>
      </c>
      <c r="AN426">
        <v>7.625</v>
      </c>
      <c r="AO426" s="7">
        <f t="shared" si="124"/>
        <v>756.32120634955822</v>
      </c>
      <c r="AP426" s="2">
        <f t="shared" si="125"/>
        <v>5.5187936504418076</v>
      </c>
    </row>
    <row r="427" spans="1:42" x14ac:dyDescent="0.15">
      <c r="A427" s="8">
        <v>410412514</v>
      </c>
      <c r="B427" t="s">
        <v>36</v>
      </c>
      <c r="C427" t="s">
        <v>19</v>
      </c>
      <c r="D427" s="1">
        <v>39255</v>
      </c>
      <c r="E427" s="2">
        <v>232500</v>
      </c>
      <c r="F427" s="2">
        <v>100000</v>
      </c>
      <c r="G427" t="s">
        <v>17</v>
      </c>
      <c r="H427" s="2">
        <v>699.22</v>
      </c>
      <c r="I427" s="2">
        <v>99236.56</v>
      </c>
      <c r="J427">
        <v>7.4999999999999997E-2</v>
      </c>
      <c r="K427">
        <v>10</v>
      </c>
      <c r="L427">
        <v>350</v>
      </c>
      <c r="M427" t="str">
        <f t="shared" si="111"/>
        <v>30 Year Fixed</v>
      </c>
      <c r="N427" s="2">
        <v>620.23</v>
      </c>
      <c r="O427" t="str">
        <f t="shared" si="108"/>
        <v>Cash Out</v>
      </c>
      <c r="P427" s="3">
        <f t="shared" si="112"/>
        <v>95467.873497536959</v>
      </c>
      <c r="Q427" s="4">
        <v>197625</v>
      </c>
      <c r="R427" s="4" t="s">
        <v>41</v>
      </c>
      <c r="S427" s="6">
        <v>602</v>
      </c>
      <c r="T427">
        <v>6.875</v>
      </c>
      <c r="U427" s="7">
        <f t="shared" si="109"/>
        <v>1380.5993180262392</v>
      </c>
      <c r="V427" s="2">
        <f t="shared" si="113"/>
        <v>-681.37931802623916</v>
      </c>
      <c r="W427" s="9">
        <f t="shared" si="114"/>
        <v>1</v>
      </c>
      <c r="X427" s="3">
        <v>100726</v>
      </c>
      <c r="Y427" s="3">
        <f t="shared" si="115"/>
        <v>0.87842364533571526</v>
      </c>
      <c r="Z427" s="7">
        <f t="shared" si="116"/>
        <v>703.66728352946723</v>
      </c>
      <c r="AA427" s="2">
        <f t="shared" si="110"/>
        <v>-4.4472835294671995</v>
      </c>
      <c r="AB427" s="8">
        <f t="shared" si="117"/>
        <v>1</v>
      </c>
      <c r="AC427" s="10">
        <v>6.25</v>
      </c>
      <c r="AD427" s="7">
        <f t="shared" si="118"/>
        <v>662.15647396815575</v>
      </c>
      <c r="AE427" s="2">
        <f t="shared" si="119"/>
        <v>37.063526031844276</v>
      </c>
      <c r="AF427" s="10">
        <v>2.5</v>
      </c>
      <c r="AG427" s="3">
        <f t="shared" si="120"/>
        <v>2518.15</v>
      </c>
      <c r="AH427" s="7">
        <v>2000</v>
      </c>
      <c r="AI427">
        <f t="shared" si="121"/>
        <v>360</v>
      </c>
      <c r="AJ427" t="e">
        <f>VLOOKUP(A427,'Borrower Details'!$A$1:$H$1493,8,FALSE)</f>
        <v>#N/A</v>
      </c>
      <c r="AK427" s="4" t="e">
        <f t="shared" si="122"/>
        <v>#N/A</v>
      </c>
      <c r="AL427" s="10">
        <v>6.875</v>
      </c>
      <c r="AM427" s="3">
        <f t="shared" si="123"/>
        <v>100725.10839999998</v>
      </c>
      <c r="AN427">
        <v>6.875</v>
      </c>
      <c r="AO427" s="7">
        <f t="shared" si="124"/>
        <v>703.66105485216428</v>
      </c>
      <c r="AP427" s="2">
        <f t="shared" si="125"/>
        <v>-4.4410548521642568</v>
      </c>
    </row>
    <row r="428" spans="1:42" x14ac:dyDescent="0.15">
      <c r="A428" s="8">
        <v>410921670</v>
      </c>
      <c r="B428" t="s">
        <v>36</v>
      </c>
      <c r="C428" t="s">
        <v>16</v>
      </c>
      <c r="D428" s="1">
        <v>39349</v>
      </c>
      <c r="E428" s="2">
        <v>166000</v>
      </c>
      <c r="F428" s="2">
        <v>120000</v>
      </c>
      <c r="G428" t="s">
        <v>17</v>
      </c>
      <c r="H428" s="2">
        <v>986.1</v>
      </c>
      <c r="I428" s="2">
        <v>119848.69</v>
      </c>
      <c r="J428">
        <v>9.6500000000000002E-2</v>
      </c>
      <c r="K428">
        <v>7</v>
      </c>
      <c r="L428">
        <v>353</v>
      </c>
      <c r="M428" t="str">
        <f t="shared" si="111"/>
        <v>30 Year Fixed</v>
      </c>
      <c r="N428" s="2">
        <v>963.78</v>
      </c>
      <c r="O428" t="str">
        <f t="shared" si="108"/>
        <v>Cash Out</v>
      </c>
      <c r="P428" s="3">
        <f t="shared" si="112"/>
        <v>19166.088325123157</v>
      </c>
      <c r="Q428" s="4">
        <v>141100</v>
      </c>
      <c r="R428" s="4" t="s">
        <v>41</v>
      </c>
      <c r="S428" s="6">
        <v>549</v>
      </c>
      <c r="T428">
        <v>7.625</v>
      </c>
      <c r="U428" s="7">
        <f t="shared" si="109"/>
        <v>1057.4886427730587</v>
      </c>
      <c r="V428" s="2">
        <f t="shared" si="113"/>
        <v>-71.388642773058677</v>
      </c>
      <c r="W428" s="9">
        <f t="shared" si="114"/>
        <v>1</v>
      </c>
      <c r="X428" s="3">
        <v>131500</v>
      </c>
      <c r="Y428" s="3">
        <f t="shared" si="115"/>
        <v>9707.9602463054325</v>
      </c>
      <c r="Z428" s="7">
        <f t="shared" si="116"/>
        <v>985.54044312301346</v>
      </c>
      <c r="AA428" s="2">
        <f t="shared" si="110"/>
        <v>0.5595568769865622</v>
      </c>
      <c r="AB428" s="8">
        <f t="shared" si="117"/>
        <v>0</v>
      </c>
      <c r="AC428" s="10">
        <v>7.625</v>
      </c>
      <c r="AD428" s="7">
        <f t="shared" si="118"/>
        <v>985.54044312301346</v>
      </c>
      <c r="AE428" s="2">
        <f t="shared" si="119"/>
        <v>0.5595568769865622</v>
      </c>
      <c r="AF428" s="10">
        <v>0</v>
      </c>
      <c r="AG428" s="3">
        <f t="shared" si="120"/>
        <v>0</v>
      </c>
      <c r="AH428" s="7">
        <v>2400</v>
      </c>
      <c r="AI428">
        <f t="shared" si="121"/>
        <v>360</v>
      </c>
      <c r="AJ428" t="e">
        <f>VLOOKUP(A428,'Borrower Details'!$A$1:$H$1493,8,FALSE)</f>
        <v>#N/A</v>
      </c>
      <c r="AK428" s="4" t="e">
        <f t="shared" si="122"/>
        <v>#N/A</v>
      </c>
      <c r="AL428" s="10">
        <v>7.625</v>
      </c>
      <c r="AM428" s="3">
        <f t="shared" si="123"/>
        <v>121646.42034999999</v>
      </c>
      <c r="AN428">
        <v>7.625</v>
      </c>
      <c r="AO428" s="7">
        <f t="shared" si="124"/>
        <v>911.69176438074032</v>
      </c>
      <c r="AP428" s="2">
        <f t="shared" si="125"/>
        <v>74.408235619259699</v>
      </c>
    </row>
    <row r="429" spans="1:42" x14ac:dyDescent="0.15">
      <c r="A429" s="8">
        <v>410667554</v>
      </c>
      <c r="B429" t="s">
        <v>36</v>
      </c>
      <c r="C429" t="s">
        <v>19</v>
      </c>
      <c r="D429" s="1">
        <v>39286</v>
      </c>
      <c r="E429" s="2">
        <v>163000</v>
      </c>
      <c r="F429" s="2">
        <v>154000</v>
      </c>
      <c r="G429" t="s">
        <v>17</v>
      </c>
      <c r="H429" s="2">
        <v>1014.25</v>
      </c>
      <c r="I429" s="2">
        <v>152814.25</v>
      </c>
      <c r="J429">
        <v>6.9000000000000006E-2</v>
      </c>
      <c r="K429">
        <v>9</v>
      </c>
      <c r="L429">
        <v>351</v>
      </c>
      <c r="M429" t="str">
        <f t="shared" si="111"/>
        <v>30 Year Fixed</v>
      </c>
      <c r="N429" s="2">
        <v>878.68</v>
      </c>
      <c r="O429" t="str">
        <f t="shared" si="108"/>
        <v>Refi</v>
      </c>
      <c r="P429" s="3">
        <f t="shared" si="112"/>
        <v>0</v>
      </c>
      <c r="Q429" s="4">
        <v>155106</v>
      </c>
      <c r="R429" s="4" t="s">
        <v>41</v>
      </c>
      <c r="S429" s="6">
        <v>735</v>
      </c>
      <c r="T429">
        <v>6.75</v>
      </c>
      <c r="U429" s="7">
        <f t="shared" si="109"/>
        <v>1070.6420636630937</v>
      </c>
      <c r="V429" s="2">
        <f t="shared" si="113"/>
        <v>-56.392063663093722</v>
      </c>
      <c r="W429" s="9">
        <f t="shared" si="114"/>
        <v>0</v>
      </c>
      <c r="X429" s="3">
        <v>155106</v>
      </c>
      <c r="Y429" s="3">
        <f t="shared" si="115"/>
        <v>-0.45689655171008781</v>
      </c>
      <c r="Z429" s="7">
        <f t="shared" si="116"/>
        <v>1070.6420636630937</v>
      </c>
      <c r="AA429" s="2">
        <f t="shared" si="110"/>
        <v>-56.392063663093722</v>
      </c>
      <c r="AB429" s="8">
        <f t="shared" si="117"/>
        <v>1</v>
      </c>
      <c r="AC429" s="10">
        <v>6.125</v>
      </c>
      <c r="AD429" s="7">
        <f t="shared" si="118"/>
        <v>1007.0679035220244</v>
      </c>
      <c r="AE429" s="2">
        <f t="shared" si="119"/>
        <v>7.1820964779756196</v>
      </c>
      <c r="AF429" s="10">
        <v>3</v>
      </c>
      <c r="AG429" s="3">
        <f t="shared" si="120"/>
        <v>4653.18</v>
      </c>
      <c r="AH429" s="7">
        <v>3080</v>
      </c>
      <c r="AI429">
        <f t="shared" si="121"/>
        <v>360</v>
      </c>
      <c r="AJ429" t="e">
        <f>VLOOKUP(A429,'Borrower Details'!$A$1:$H$1493,8,FALSE)</f>
        <v>#N/A</v>
      </c>
      <c r="AK429" s="4" t="e">
        <f t="shared" si="122"/>
        <v>#N/A</v>
      </c>
      <c r="AL429" s="10">
        <v>6.75</v>
      </c>
      <c r="AM429" s="3">
        <f t="shared" si="123"/>
        <v>155106.46375</v>
      </c>
      <c r="AN429">
        <v>6.75</v>
      </c>
      <c r="AO429" s="7">
        <f t="shared" si="124"/>
        <v>1070.6452647659332</v>
      </c>
      <c r="AP429" s="2">
        <f t="shared" si="125"/>
        <v>-56.395264765933234</v>
      </c>
    </row>
    <row r="430" spans="1:42" x14ac:dyDescent="0.15">
      <c r="A430" s="8">
        <v>410316434</v>
      </c>
      <c r="B430" t="s">
        <v>36</v>
      </c>
      <c r="C430" t="s">
        <v>19</v>
      </c>
      <c r="D430" s="1">
        <v>39238</v>
      </c>
      <c r="E430" s="2">
        <v>180000</v>
      </c>
      <c r="F430" s="2">
        <v>161950</v>
      </c>
      <c r="G430" t="s">
        <v>15</v>
      </c>
      <c r="H430" s="2">
        <v>1222.03</v>
      </c>
      <c r="I430" s="2">
        <v>161788.39000000001</v>
      </c>
      <c r="J430">
        <v>8.9499999999999996E-2</v>
      </c>
      <c r="K430">
        <v>10</v>
      </c>
      <c r="L430">
        <v>349</v>
      </c>
      <c r="M430" t="str">
        <f t="shared" si="111"/>
        <v>30 Year Fixed</v>
      </c>
      <c r="N430" s="2">
        <v>1206.79</v>
      </c>
      <c r="O430" t="str">
        <f t="shared" si="108"/>
        <v>Refi</v>
      </c>
      <c r="P430" s="3">
        <f t="shared" si="112"/>
        <v>0</v>
      </c>
      <c r="Q430" s="4">
        <v>164215</v>
      </c>
      <c r="R430" s="4" t="s">
        <v>41</v>
      </c>
      <c r="S430" s="6">
        <v>594</v>
      </c>
      <c r="T430">
        <v>7.375</v>
      </c>
      <c r="U430" s="7">
        <f t="shared" si="109"/>
        <v>1202.6151102936349</v>
      </c>
      <c r="V430" s="2">
        <f t="shared" si="113"/>
        <v>19.414889706365102</v>
      </c>
      <c r="W430" s="9">
        <f t="shared" si="114"/>
        <v>0</v>
      </c>
      <c r="X430" s="3">
        <v>164215</v>
      </c>
      <c r="Y430" s="3">
        <f t="shared" si="115"/>
        <v>-0.21266009850660339</v>
      </c>
      <c r="Z430" s="7">
        <f t="shared" si="116"/>
        <v>1202.6151102936349</v>
      </c>
      <c r="AA430" s="2">
        <f t="shared" si="110"/>
        <v>19.414889706365102</v>
      </c>
      <c r="AB430" s="8">
        <f t="shared" si="117"/>
        <v>1</v>
      </c>
      <c r="AC430" s="10">
        <v>6.625</v>
      </c>
      <c r="AD430" s="7">
        <f t="shared" si="118"/>
        <v>1119.9095613961711</v>
      </c>
      <c r="AE430" s="2">
        <f t="shared" si="119"/>
        <v>102.12043860382892</v>
      </c>
      <c r="AF430" s="10">
        <v>1.875</v>
      </c>
      <c r="AG430" s="3">
        <f t="shared" si="120"/>
        <v>3079.03125</v>
      </c>
      <c r="AH430" s="7">
        <v>3239</v>
      </c>
      <c r="AI430">
        <f t="shared" si="121"/>
        <v>360</v>
      </c>
      <c r="AJ430" t="e">
        <f>VLOOKUP(A430,'Borrower Details'!$A$1:$H$1493,8,FALSE)</f>
        <v>#N/A</v>
      </c>
      <c r="AK430" s="4" t="e">
        <f t="shared" si="122"/>
        <v>#N/A</v>
      </c>
      <c r="AL430" s="10">
        <v>7.375</v>
      </c>
      <c r="AM430" s="3">
        <f t="shared" si="123"/>
        <v>164215.21585000001</v>
      </c>
      <c r="AN430">
        <v>7.375</v>
      </c>
      <c r="AO430" s="7">
        <f t="shared" si="124"/>
        <v>1202.6166910534409</v>
      </c>
      <c r="AP430" s="2">
        <f t="shared" si="125"/>
        <v>19.413308946559027</v>
      </c>
    </row>
    <row r="431" spans="1:42" x14ac:dyDescent="0.15">
      <c r="A431" s="8">
        <v>410587984</v>
      </c>
      <c r="B431" t="s">
        <v>36</v>
      </c>
      <c r="C431" t="s">
        <v>19</v>
      </c>
      <c r="D431" s="1">
        <v>39283</v>
      </c>
      <c r="E431" s="2">
        <v>262000</v>
      </c>
      <c r="F431" s="2">
        <v>246950</v>
      </c>
      <c r="G431" t="s">
        <v>15</v>
      </c>
      <c r="H431" s="2">
        <v>2174.8000000000002</v>
      </c>
      <c r="I431" s="2">
        <v>246627.89</v>
      </c>
      <c r="J431">
        <v>0.104</v>
      </c>
      <c r="K431">
        <v>9</v>
      </c>
      <c r="L431">
        <v>351</v>
      </c>
      <c r="M431" t="str">
        <f t="shared" si="111"/>
        <v>30 Year Fixed</v>
      </c>
      <c r="N431" s="2">
        <v>2137.44</v>
      </c>
      <c r="O431" t="str">
        <f t="shared" si="108"/>
        <v>Refi</v>
      </c>
      <c r="P431" s="3">
        <f t="shared" si="112"/>
        <v>0</v>
      </c>
      <c r="Q431" s="4">
        <v>250327</v>
      </c>
      <c r="R431" s="4" t="s">
        <v>41</v>
      </c>
      <c r="S431" s="6">
        <v>594</v>
      </c>
      <c r="T431">
        <v>7.375</v>
      </c>
      <c r="U431" s="7">
        <f t="shared" si="109"/>
        <v>1833.2492933926546</v>
      </c>
      <c r="V431" s="2">
        <f t="shared" si="113"/>
        <v>341.55070660734555</v>
      </c>
      <c r="W431" s="9">
        <f t="shared" si="114"/>
        <v>0</v>
      </c>
      <c r="X431" s="3">
        <v>250327</v>
      </c>
      <c r="Y431" s="3">
        <f t="shared" si="115"/>
        <v>-0.30379310343414545</v>
      </c>
      <c r="Z431" s="7">
        <f t="shared" si="116"/>
        <v>1833.2492933926546</v>
      </c>
      <c r="AA431" s="2">
        <f t="shared" si="110"/>
        <v>341.55070660734555</v>
      </c>
      <c r="AB431" s="8">
        <f t="shared" si="117"/>
        <v>0</v>
      </c>
      <c r="AC431" s="10">
        <v>7.375</v>
      </c>
      <c r="AD431" s="7">
        <f t="shared" si="118"/>
        <v>1833.2492933926546</v>
      </c>
      <c r="AE431" s="2">
        <f t="shared" si="119"/>
        <v>341.55070660734555</v>
      </c>
      <c r="AF431" s="10">
        <v>0</v>
      </c>
      <c r="AG431" s="3">
        <f t="shared" si="120"/>
        <v>0</v>
      </c>
      <c r="AH431" s="7">
        <v>4939</v>
      </c>
      <c r="AI431">
        <f t="shared" si="121"/>
        <v>360</v>
      </c>
      <c r="AJ431" t="e">
        <f>VLOOKUP(A431,'Borrower Details'!$A$1:$H$1493,8,FALSE)</f>
        <v>#N/A</v>
      </c>
      <c r="AK431" s="4" t="e">
        <f t="shared" si="122"/>
        <v>#N/A</v>
      </c>
      <c r="AL431" s="10">
        <v>7.375</v>
      </c>
      <c r="AM431" s="3">
        <f t="shared" si="123"/>
        <v>250327.30834999998</v>
      </c>
      <c r="AN431">
        <v>7.375</v>
      </c>
      <c r="AO431" s="7">
        <f t="shared" si="124"/>
        <v>1833.2515515686384</v>
      </c>
      <c r="AP431" s="2">
        <f t="shared" si="125"/>
        <v>341.54844843136175</v>
      </c>
    </row>
    <row r="432" spans="1:42" x14ac:dyDescent="0.15">
      <c r="A432" s="8">
        <v>410832026</v>
      </c>
      <c r="B432" t="s">
        <v>35</v>
      </c>
      <c r="C432" t="s">
        <v>16</v>
      </c>
      <c r="D432" s="1">
        <v>39318</v>
      </c>
      <c r="E432" s="2">
        <v>204500</v>
      </c>
      <c r="F432" s="2">
        <v>163600</v>
      </c>
      <c r="G432" t="s">
        <v>17</v>
      </c>
      <c r="H432" s="2">
        <v>1304.6099999999999</v>
      </c>
      <c r="I432" s="2">
        <v>162754.01999999999</v>
      </c>
      <c r="J432">
        <v>8.8999999999999996E-2</v>
      </c>
      <c r="K432">
        <v>8</v>
      </c>
      <c r="L432">
        <v>351</v>
      </c>
      <c r="M432" t="str">
        <f t="shared" si="111"/>
        <v>30 Year Fixed</v>
      </c>
      <c r="N432" s="2">
        <v>1207.0899999999999</v>
      </c>
      <c r="O432" t="str">
        <f t="shared" si="108"/>
        <v>Cash Out</v>
      </c>
      <c r="P432" s="3">
        <f t="shared" si="112"/>
        <v>8502.1376354680106</v>
      </c>
      <c r="Q432" s="4">
        <v>173825</v>
      </c>
      <c r="R432" s="4" t="s">
        <v>41</v>
      </c>
      <c r="S432" s="6">
        <v>548</v>
      </c>
      <c r="T432">
        <v>7.625</v>
      </c>
      <c r="U432" s="7">
        <f t="shared" si="109"/>
        <v>1302.74956293428</v>
      </c>
      <c r="V432" s="2">
        <f t="shared" si="113"/>
        <v>1.860437065719907</v>
      </c>
      <c r="W432" s="9">
        <f t="shared" si="114"/>
        <v>0</v>
      </c>
      <c r="X432" s="3">
        <v>173825</v>
      </c>
      <c r="Y432" s="3">
        <f t="shared" si="115"/>
        <v>8502.1376354680106</v>
      </c>
      <c r="Z432" s="7">
        <f t="shared" si="116"/>
        <v>1302.74956293428</v>
      </c>
      <c r="AA432" s="2">
        <f t="shared" si="110"/>
        <v>1.860437065719907</v>
      </c>
      <c r="AB432" s="8">
        <f t="shared" si="117"/>
        <v>1</v>
      </c>
      <c r="AC432" s="10">
        <v>6.875</v>
      </c>
      <c r="AD432" s="7">
        <f t="shared" si="118"/>
        <v>1214.3335937047996</v>
      </c>
      <c r="AE432" s="2">
        <f t="shared" si="119"/>
        <v>90.276406295200331</v>
      </c>
      <c r="AF432" s="10">
        <v>1</v>
      </c>
      <c r="AG432" s="3">
        <f t="shared" si="120"/>
        <v>1738.25</v>
      </c>
      <c r="AH432" s="7">
        <v>7280.2</v>
      </c>
      <c r="AI432">
        <f t="shared" si="121"/>
        <v>360</v>
      </c>
      <c r="AJ432" t="e">
        <f>VLOOKUP(A432,'Borrower Details'!$A$1:$H$1493,8,FALSE)</f>
        <v>#N/A</v>
      </c>
      <c r="AK432" s="4" t="e">
        <f t="shared" si="122"/>
        <v>#N/A</v>
      </c>
      <c r="AL432" s="10">
        <v>7.625</v>
      </c>
      <c r="AM432" s="3">
        <f t="shared" si="123"/>
        <v>165195.33029999997</v>
      </c>
      <c r="AN432">
        <v>7.625</v>
      </c>
      <c r="AO432" s="7">
        <f t="shared" si="124"/>
        <v>1238.0736047582855</v>
      </c>
      <c r="AP432" s="2">
        <f t="shared" si="125"/>
        <v>66.536395241714445</v>
      </c>
    </row>
    <row r="433" spans="1:42" x14ac:dyDescent="0.15">
      <c r="A433" s="8">
        <v>1144982</v>
      </c>
      <c r="B433" t="s">
        <v>36</v>
      </c>
      <c r="C433" t="s">
        <v>18</v>
      </c>
      <c r="D433" s="1">
        <v>39136</v>
      </c>
      <c r="E433" s="2">
        <v>155000</v>
      </c>
      <c r="F433" s="2">
        <v>124000</v>
      </c>
      <c r="G433" t="s">
        <v>17</v>
      </c>
      <c r="H433" s="2">
        <v>892.64</v>
      </c>
      <c r="I433" s="2">
        <v>122630.11</v>
      </c>
      <c r="J433">
        <v>7.8E-2</v>
      </c>
      <c r="K433">
        <v>14</v>
      </c>
      <c r="L433">
        <v>346</v>
      </c>
      <c r="M433" t="str">
        <f t="shared" si="111"/>
        <v>30 Year Fixed</v>
      </c>
      <c r="N433" s="2">
        <v>797.1</v>
      </c>
      <c r="O433" t="str">
        <f t="shared" si="108"/>
        <v>Cash Out</v>
      </c>
      <c r="P433" s="3">
        <f t="shared" si="112"/>
        <v>7172.8456650246371</v>
      </c>
      <c r="Q433" s="4">
        <v>131750</v>
      </c>
      <c r="R433" s="4" t="s">
        <v>41</v>
      </c>
      <c r="S433" s="6">
        <v>596</v>
      </c>
      <c r="T433">
        <v>7.375</v>
      </c>
      <c r="U433" s="7">
        <f t="shared" si="109"/>
        <v>964.86034029282587</v>
      </c>
      <c r="V433" s="2">
        <f t="shared" si="113"/>
        <v>-72.220340292825881</v>
      </c>
      <c r="W433" s="9">
        <f t="shared" si="114"/>
        <v>1</v>
      </c>
      <c r="X433" s="3">
        <v>124469</v>
      </c>
      <c r="Y433" s="3">
        <f t="shared" si="115"/>
        <v>-0.55334975368168671</v>
      </c>
      <c r="Z433" s="7">
        <f t="shared" si="116"/>
        <v>911.53853279626367</v>
      </c>
      <c r="AA433" s="2">
        <f t="shared" si="110"/>
        <v>-18.89853279626368</v>
      </c>
      <c r="AB433" s="8">
        <f t="shared" si="117"/>
        <v>1</v>
      </c>
      <c r="AC433" s="10">
        <v>6.625</v>
      </c>
      <c r="AD433" s="7">
        <f t="shared" si="118"/>
        <v>848.85073347392154</v>
      </c>
      <c r="AE433" s="2">
        <f t="shared" si="119"/>
        <v>43.78926652607845</v>
      </c>
      <c r="AF433" s="10">
        <v>1.875</v>
      </c>
      <c r="AG433" s="3">
        <f t="shared" si="120"/>
        <v>2333.7937499999998</v>
      </c>
      <c r="AH433" s="7">
        <v>2480</v>
      </c>
      <c r="AI433">
        <f t="shared" si="121"/>
        <v>360</v>
      </c>
      <c r="AJ433" t="e">
        <f>VLOOKUP(A433,'Borrower Details'!$A$1:$H$1493,8,FALSE)</f>
        <v>#N/A</v>
      </c>
      <c r="AK433" s="4" t="e">
        <f t="shared" si="122"/>
        <v>#N/A</v>
      </c>
      <c r="AL433" s="10">
        <v>7.375</v>
      </c>
      <c r="AM433" s="3">
        <f t="shared" si="123"/>
        <v>124469.56164999999</v>
      </c>
      <c r="AN433">
        <v>7.375</v>
      </c>
      <c r="AO433" s="7">
        <f t="shared" si="124"/>
        <v>911.54264599406338</v>
      </c>
      <c r="AP433" s="2">
        <f t="shared" si="125"/>
        <v>-18.902645994063391</v>
      </c>
    </row>
    <row r="434" spans="1:42" x14ac:dyDescent="0.15">
      <c r="A434" s="8">
        <v>1165180</v>
      </c>
      <c r="B434" t="s">
        <v>36</v>
      </c>
      <c r="C434" t="s">
        <v>19</v>
      </c>
      <c r="D434" s="1">
        <v>39160</v>
      </c>
      <c r="E434" s="2">
        <v>150000</v>
      </c>
      <c r="F434" s="2">
        <v>105000</v>
      </c>
      <c r="G434" t="s">
        <v>17</v>
      </c>
      <c r="H434" s="2">
        <v>588.75</v>
      </c>
      <c r="I434" s="2">
        <v>104256.94</v>
      </c>
      <c r="J434">
        <v>6.1499999999999999E-2</v>
      </c>
      <c r="K434">
        <v>13</v>
      </c>
      <c r="L434">
        <v>346</v>
      </c>
      <c r="M434" t="str">
        <f t="shared" si="111"/>
        <v>30 Year Fixed</v>
      </c>
      <c r="N434" s="2">
        <v>534.32000000000005</v>
      </c>
      <c r="O434" t="str">
        <f t="shared" si="108"/>
        <v>Cash Out</v>
      </c>
      <c r="P434" s="3">
        <f t="shared" si="112"/>
        <v>21358.823546798041</v>
      </c>
      <c r="Q434" s="4">
        <v>127500</v>
      </c>
      <c r="R434" s="4" t="s">
        <v>41</v>
      </c>
      <c r="S434" s="6">
        <v>735</v>
      </c>
      <c r="T434">
        <v>6.75</v>
      </c>
      <c r="U434" s="7">
        <f t="shared" si="109"/>
        <v>880.08757312447256</v>
      </c>
      <c r="V434" s="2">
        <f t="shared" si="113"/>
        <v>-291.33757312447256</v>
      </c>
      <c r="W434" s="9">
        <f t="shared" si="114"/>
        <v>1</v>
      </c>
      <c r="X434" s="3">
        <v>105821</v>
      </c>
      <c r="Y434" s="3">
        <f t="shared" si="115"/>
        <v>0.20285714286728762</v>
      </c>
      <c r="Z434" s="7">
        <f t="shared" si="116"/>
        <v>730.44507510278288</v>
      </c>
      <c r="AA434" s="2">
        <f t="shared" si="110"/>
        <v>-141.69507510278288</v>
      </c>
      <c r="AB434" s="8">
        <f t="shared" si="117"/>
        <v>1</v>
      </c>
      <c r="AC434" s="10">
        <v>6.125</v>
      </c>
      <c r="AD434" s="7">
        <f t="shared" si="118"/>
        <v>687.07163242301488</v>
      </c>
      <c r="AE434" s="2">
        <f t="shared" si="119"/>
        <v>-98.321632423014876</v>
      </c>
      <c r="AF434" s="10">
        <v>3</v>
      </c>
      <c r="AG434" s="3">
        <f t="shared" si="120"/>
        <v>3174.63</v>
      </c>
      <c r="AH434" s="7">
        <v>2100</v>
      </c>
      <c r="AI434">
        <f t="shared" si="121"/>
        <v>360</v>
      </c>
      <c r="AJ434" t="e">
        <f>VLOOKUP(A434,'Borrower Details'!$A$1:$H$1493,8,FALSE)</f>
        <v>#N/A</v>
      </c>
      <c r="AK434" s="4" t="e">
        <f t="shared" si="122"/>
        <v>#N/A</v>
      </c>
      <c r="AL434" s="10">
        <v>6.75</v>
      </c>
      <c r="AM434" s="3">
        <f t="shared" si="123"/>
        <v>105820.7941</v>
      </c>
      <c r="AN434">
        <v>6.75</v>
      </c>
      <c r="AO434" s="7">
        <f t="shared" si="124"/>
        <v>730.44365384763546</v>
      </c>
      <c r="AP434" s="2">
        <f t="shared" si="125"/>
        <v>-141.69365384763546</v>
      </c>
    </row>
    <row r="435" spans="1:42" x14ac:dyDescent="0.15">
      <c r="A435" s="8">
        <v>1165722</v>
      </c>
      <c r="B435" t="s">
        <v>36</v>
      </c>
      <c r="C435" t="s">
        <v>18</v>
      </c>
      <c r="D435" s="1">
        <v>39160</v>
      </c>
      <c r="E435" s="2">
        <v>220000</v>
      </c>
      <c r="F435" s="2">
        <v>165000</v>
      </c>
      <c r="G435" t="s">
        <v>15</v>
      </c>
      <c r="H435" s="2">
        <v>1315.78</v>
      </c>
      <c r="I435" s="2">
        <v>163748.91</v>
      </c>
      <c r="J435">
        <v>8.8999999999999996E-2</v>
      </c>
      <c r="K435">
        <v>13</v>
      </c>
      <c r="L435">
        <v>347</v>
      </c>
      <c r="M435" t="str">
        <f t="shared" si="111"/>
        <v>30 Year Fixed</v>
      </c>
      <c r="N435" s="2">
        <v>1214.47</v>
      </c>
      <c r="O435" t="str">
        <f t="shared" si="108"/>
        <v>Cash Out</v>
      </c>
      <c r="P435" s="3">
        <f t="shared" si="112"/>
        <v>20487.54320197046</v>
      </c>
      <c r="Q435" s="4">
        <v>187000</v>
      </c>
      <c r="R435" s="4" t="s">
        <v>41</v>
      </c>
      <c r="S435" s="6">
        <v>529</v>
      </c>
      <c r="T435">
        <v>7.625</v>
      </c>
      <c r="U435" s="7">
        <f t="shared" si="109"/>
        <v>1401.4909723498367</v>
      </c>
      <c r="V435" s="2">
        <f t="shared" si="113"/>
        <v>-85.710972349836766</v>
      </c>
      <c r="W435" s="9">
        <f t="shared" si="114"/>
        <v>1</v>
      </c>
      <c r="X435" s="3">
        <v>175490</v>
      </c>
      <c r="Y435" s="3">
        <f t="shared" si="115"/>
        <v>9147.6417241379386</v>
      </c>
      <c r="Z435" s="7">
        <f t="shared" si="116"/>
        <v>1315.2280788110847</v>
      </c>
      <c r="AA435" s="2">
        <f t="shared" si="110"/>
        <v>0.55192118891523023</v>
      </c>
      <c r="AB435" s="8">
        <f t="shared" si="117"/>
        <v>1</v>
      </c>
      <c r="AC435" s="10">
        <v>6.875</v>
      </c>
      <c r="AD435" s="7">
        <f t="shared" si="118"/>
        <v>1225.9652084524969</v>
      </c>
      <c r="AE435" s="2">
        <f t="shared" si="119"/>
        <v>89.814791547503091</v>
      </c>
      <c r="AF435" s="10">
        <v>1.75</v>
      </c>
      <c r="AG435" s="3">
        <f t="shared" si="120"/>
        <v>3071.0749999999998</v>
      </c>
      <c r="AH435" s="7">
        <v>3300</v>
      </c>
      <c r="AI435">
        <f t="shared" si="121"/>
        <v>360</v>
      </c>
      <c r="AJ435" t="e">
        <f>VLOOKUP(A435,'Borrower Details'!$A$1:$H$1493,8,FALSE)</f>
        <v>#N/A</v>
      </c>
      <c r="AK435" s="4" t="e">
        <f t="shared" si="122"/>
        <v>#N/A</v>
      </c>
      <c r="AL435" s="10">
        <v>7.625</v>
      </c>
      <c r="AM435" s="3">
        <f t="shared" si="123"/>
        <v>166205.14364999998</v>
      </c>
      <c r="AN435">
        <v>7.625</v>
      </c>
      <c r="AO435" s="7">
        <f t="shared" si="124"/>
        <v>1245.64175606194</v>
      </c>
      <c r="AP435" s="2">
        <f t="shared" si="125"/>
        <v>70.138243938059986</v>
      </c>
    </row>
    <row r="436" spans="1:42" x14ac:dyDescent="0.15">
      <c r="A436" s="8">
        <v>410336010</v>
      </c>
      <c r="B436" t="s">
        <v>36</v>
      </c>
      <c r="C436" t="s">
        <v>19</v>
      </c>
      <c r="D436" s="1">
        <v>39232</v>
      </c>
      <c r="E436" s="2">
        <v>310000</v>
      </c>
      <c r="F436" s="2">
        <v>186000</v>
      </c>
      <c r="G436" t="s">
        <v>17</v>
      </c>
      <c r="H436" s="2">
        <v>1550.44</v>
      </c>
      <c r="I436" s="2">
        <v>185031.96</v>
      </c>
      <c r="J436">
        <v>9.4E-2</v>
      </c>
      <c r="K436">
        <v>11</v>
      </c>
      <c r="L436">
        <v>350</v>
      </c>
      <c r="M436" t="str">
        <f t="shared" si="111"/>
        <v>30 Year Fixed</v>
      </c>
      <c r="N436" s="2">
        <v>1449.42</v>
      </c>
      <c r="O436" t="str">
        <f t="shared" si="108"/>
        <v>Cash Out</v>
      </c>
      <c r="P436" s="3">
        <f t="shared" si="112"/>
        <v>74573.951330049284</v>
      </c>
      <c r="Q436" s="4">
        <v>263500</v>
      </c>
      <c r="R436" s="4" t="s">
        <v>41</v>
      </c>
      <c r="S436" s="6">
        <v>539</v>
      </c>
      <c r="T436">
        <v>7.625</v>
      </c>
      <c r="U436" s="7">
        <f t="shared" si="109"/>
        <v>1974.8281883111335</v>
      </c>
      <c r="V436" s="2">
        <f t="shared" si="113"/>
        <v>-424.38818831113349</v>
      </c>
      <c r="W436" s="9">
        <f t="shared" si="114"/>
        <v>1</v>
      </c>
      <c r="X436" s="3">
        <v>206800</v>
      </c>
      <c r="Y436" s="3">
        <f t="shared" si="115"/>
        <v>18711.882364532037</v>
      </c>
      <c r="Z436" s="7">
        <f t="shared" si="116"/>
        <v>1549.8841341280547</v>
      </c>
      <c r="AA436" s="2">
        <f t="shared" si="110"/>
        <v>0.55586587194534332</v>
      </c>
      <c r="AB436" s="8">
        <f t="shared" si="117"/>
        <v>0</v>
      </c>
      <c r="AC436" s="10">
        <v>7.625</v>
      </c>
      <c r="AD436" s="7">
        <f t="shared" si="118"/>
        <v>1549.8841341280547</v>
      </c>
      <c r="AE436" s="2">
        <f t="shared" si="119"/>
        <v>0.55586587194534332</v>
      </c>
      <c r="AF436" s="10">
        <v>0</v>
      </c>
      <c r="AG436" s="3">
        <f t="shared" si="120"/>
        <v>0</v>
      </c>
      <c r="AH436" s="7">
        <v>3720</v>
      </c>
      <c r="AI436">
        <f t="shared" si="121"/>
        <v>360</v>
      </c>
      <c r="AJ436" t="e">
        <f>VLOOKUP(A436,'Borrower Details'!$A$1:$H$1493,8,FALSE)</f>
        <v>#N/A</v>
      </c>
      <c r="AK436" s="4" t="e">
        <f t="shared" si="122"/>
        <v>#N/A</v>
      </c>
      <c r="AL436" s="10">
        <v>7.625</v>
      </c>
      <c r="AM436" s="3">
        <f t="shared" si="123"/>
        <v>187807.43939999997</v>
      </c>
      <c r="AN436">
        <v>7.625</v>
      </c>
      <c r="AO436" s="7">
        <f t="shared" si="124"/>
        <v>1407.5424110119734</v>
      </c>
      <c r="AP436" s="2">
        <f t="shared" si="125"/>
        <v>142.89758898802665</v>
      </c>
    </row>
    <row r="437" spans="1:42" x14ac:dyDescent="0.15">
      <c r="A437" s="8">
        <v>410495154</v>
      </c>
      <c r="B437" t="s">
        <v>35</v>
      </c>
      <c r="C437" t="s">
        <v>16</v>
      </c>
      <c r="D437" s="1">
        <v>39260</v>
      </c>
      <c r="E437" s="2">
        <v>62500</v>
      </c>
      <c r="F437" s="2">
        <v>50000</v>
      </c>
      <c r="G437" t="s">
        <v>17</v>
      </c>
      <c r="H437" s="2">
        <v>476.17</v>
      </c>
      <c r="I437" s="2">
        <v>49792.53</v>
      </c>
      <c r="J437">
        <v>0.11</v>
      </c>
      <c r="K437">
        <v>10</v>
      </c>
      <c r="L437">
        <v>349</v>
      </c>
      <c r="M437" t="str">
        <f t="shared" si="111"/>
        <v>30 Year Fixed</v>
      </c>
      <c r="N437" s="2">
        <v>456.43</v>
      </c>
      <c r="O437" t="str">
        <f t="shared" si="108"/>
        <v>Cash Out</v>
      </c>
      <c r="P437" s="3">
        <f t="shared" si="112"/>
        <v>2547.3714778325157</v>
      </c>
      <c r="Q437" s="4">
        <v>53125</v>
      </c>
      <c r="R437" s="4" t="s">
        <v>41</v>
      </c>
      <c r="S437" s="6">
        <v>539</v>
      </c>
      <c r="T437">
        <v>7.625</v>
      </c>
      <c r="U437" s="7">
        <f t="shared" si="109"/>
        <v>398.15084441756727</v>
      </c>
      <c r="V437" s="2">
        <f t="shared" si="113"/>
        <v>78.019155582432745</v>
      </c>
      <c r="W437" s="9">
        <f t="shared" si="114"/>
        <v>0</v>
      </c>
      <c r="X437" s="3">
        <v>53125</v>
      </c>
      <c r="Y437" s="3">
        <f t="shared" si="115"/>
        <v>2547.3714778325157</v>
      </c>
      <c r="Z437" s="7">
        <f t="shared" si="116"/>
        <v>398.15084441756727</v>
      </c>
      <c r="AA437" s="2">
        <f t="shared" si="110"/>
        <v>78.019155582432745</v>
      </c>
      <c r="AB437" s="8">
        <f t="shared" si="117"/>
        <v>0</v>
      </c>
      <c r="AC437" s="10">
        <v>7.625</v>
      </c>
      <c r="AD437" s="7">
        <f t="shared" si="118"/>
        <v>398.15084441756727</v>
      </c>
      <c r="AE437" s="2">
        <f t="shared" si="119"/>
        <v>78.019155582432745</v>
      </c>
      <c r="AF437" s="10">
        <v>0</v>
      </c>
      <c r="AG437" s="3">
        <f t="shared" si="120"/>
        <v>0</v>
      </c>
      <c r="AH437" s="7">
        <v>2750</v>
      </c>
      <c r="AI437">
        <f t="shared" si="121"/>
        <v>360</v>
      </c>
      <c r="AJ437" t="e">
        <f>VLOOKUP(A437,'Borrower Details'!$A$1:$H$1493,8,FALSE)</f>
        <v>#N/A</v>
      </c>
      <c r="AK437" s="4" t="e">
        <f t="shared" si="122"/>
        <v>#N/A</v>
      </c>
      <c r="AL437" s="10">
        <v>7.625</v>
      </c>
      <c r="AM437" s="3">
        <f t="shared" si="123"/>
        <v>50539.417949999995</v>
      </c>
      <c r="AN437">
        <v>7.625</v>
      </c>
      <c r="AO437" s="7">
        <f t="shared" si="124"/>
        <v>378.77293050663252</v>
      </c>
      <c r="AP437" s="2">
        <f t="shared" si="125"/>
        <v>97.397069493367496</v>
      </c>
    </row>
    <row r="438" spans="1:42" x14ac:dyDescent="0.15">
      <c r="A438" s="8">
        <v>410026850</v>
      </c>
      <c r="B438" t="s">
        <v>37</v>
      </c>
      <c r="C438" t="s">
        <v>19</v>
      </c>
      <c r="D438" s="1">
        <v>39204</v>
      </c>
      <c r="E438" s="2">
        <v>108000</v>
      </c>
      <c r="F438" s="2">
        <v>63500</v>
      </c>
      <c r="G438" t="s">
        <v>17</v>
      </c>
      <c r="H438" s="2">
        <v>547.9</v>
      </c>
      <c r="I438" s="2">
        <v>62981.09</v>
      </c>
      <c r="J438">
        <v>9.8000000000000004E-2</v>
      </c>
      <c r="K438">
        <v>12</v>
      </c>
      <c r="L438">
        <v>348</v>
      </c>
      <c r="M438" t="str">
        <f t="shared" si="111"/>
        <v>30 Year Fixed</v>
      </c>
      <c r="N438" s="2">
        <v>514.35</v>
      </c>
      <c r="O438" t="str">
        <f t="shared" si="108"/>
        <v>Cash Out</v>
      </c>
      <c r="P438" s="3">
        <f t="shared" si="112"/>
        <v>27462.259753694598</v>
      </c>
      <c r="Q438" s="4">
        <v>91800</v>
      </c>
      <c r="R438" s="4" t="s">
        <v>41</v>
      </c>
      <c r="S438" s="6">
        <v>542</v>
      </c>
      <c r="T438">
        <v>7.625</v>
      </c>
      <c r="U438" s="7">
        <f t="shared" si="109"/>
        <v>688.00465915355619</v>
      </c>
      <c r="V438" s="2">
        <f t="shared" si="113"/>
        <v>-140.10465915355621</v>
      </c>
      <c r="W438" s="9">
        <f t="shared" si="114"/>
        <v>1</v>
      </c>
      <c r="X438" s="3">
        <v>73030</v>
      </c>
      <c r="Y438" s="3">
        <f t="shared" si="115"/>
        <v>8969.6489162561629</v>
      </c>
      <c r="Z438" s="7">
        <f t="shared" si="116"/>
        <v>547.33093962945759</v>
      </c>
      <c r="AA438" s="2">
        <f t="shared" si="110"/>
        <v>0.56906037054238823</v>
      </c>
      <c r="AB438" s="8">
        <f t="shared" si="117"/>
        <v>0</v>
      </c>
      <c r="AC438" s="10">
        <v>7.625</v>
      </c>
      <c r="AD438" s="7">
        <f t="shared" si="118"/>
        <v>547.33093962945759</v>
      </c>
      <c r="AE438" s="2">
        <f t="shared" si="119"/>
        <v>0.56906037054238823</v>
      </c>
      <c r="AF438" s="10">
        <v>0</v>
      </c>
      <c r="AG438" s="3">
        <f t="shared" si="120"/>
        <v>0</v>
      </c>
      <c r="AH438" s="7">
        <v>0</v>
      </c>
      <c r="AI438">
        <f t="shared" si="121"/>
        <v>360</v>
      </c>
      <c r="AJ438" t="e">
        <f>VLOOKUP(A438,'Borrower Details'!$A$1:$H$1493,8,FALSE)</f>
        <v>#N/A</v>
      </c>
      <c r="AK438" s="4" t="e">
        <f t="shared" si="122"/>
        <v>#N/A</v>
      </c>
      <c r="AL438" s="10">
        <v>7.625</v>
      </c>
      <c r="AM438" s="3">
        <f t="shared" si="123"/>
        <v>63925.806349999992</v>
      </c>
      <c r="AN438">
        <v>7.625</v>
      </c>
      <c r="AO438" s="7">
        <f t="shared" si="124"/>
        <v>479.09861229790835</v>
      </c>
      <c r="AP438" s="2">
        <f t="shared" si="125"/>
        <v>68.801387702091631</v>
      </c>
    </row>
    <row r="439" spans="1:42" x14ac:dyDescent="0.15">
      <c r="A439" s="8">
        <v>1168003</v>
      </c>
      <c r="B439" t="s">
        <v>36</v>
      </c>
      <c r="C439" t="s">
        <v>19</v>
      </c>
      <c r="D439" s="1">
        <v>39174</v>
      </c>
      <c r="E439" s="2">
        <v>312000</v>
      </c>
      <c r="F439" s="2">
        <v>241200</v>
      </c>
      <c r="G439" t="s">
        <v>17</v>
      </c>
      <c r="H439" s="2">
        <v>1736.33</v>
      </c>
      <c r="I439" s="2">
        <v>238921.58</v>
      </c>
      <c r="J439">
        <v>7.8E-2</v>
      </c>
      <c r="K439">
        <v>13</v>
      </c>
      <c r="L439">
        <v>347</v>
      </c>
      <c r="M439" t="str">
        <f t="shared" si="111"/>
        <v>30 Year Fixed</v>
      </c>
      <c r="N439" s="2">
        <v>1552.99</v>
      </c>
      <c r="O439" t="str">
        <f t="shared" si="108"/>
        <v>Cash Out</v>
      </c>
      <c r="P439" s="3">
        <f t="shared" si="112"/>
        <v>22359.208177339926</v>
      </c>
      <c r="Q439" s="4">
        <v>265200</v>
      </c>
      <c r="R439" s="4" t="s">
        <v>41</v>
      </c>
      <c r="S439" s="6">
        <v>641</v>
      </c>
      <c r="T439">
        <v>6.75</v>
      </c>
      <c r="U439" s="7">
        <f t="shared" si="109"/>
        <v>1830.582152098903</v>
      </c>
      <c r="V439" s="2">
        <f t="shared" si="113"/>
        <v>-94.252152098903025</v>
      </c>
      <c r="W439" s="9">
        <f t="shared" si="114"/>
        <v>1</v>
      </c>
      <c r="X439" s="3">
        <v>251470</v>
      </c>
      <c r="Y439" s="3">
        <f t="shared" si="115"/>
        <v>8832.1145812808245</v>
      </c>
      <c r="Z439" s="7">
        <f t="shared" si="116"/>
        <v>1735.808800106754</v>
      </c>
      <c r="AA439" s="2">
        <f t="shared" si="110"/>
        <v>0.52119989324592098</v>
      </c>
      <c r="AB439" s="8">
        <f t="shared" si="117"/>
        <v>1</v>
      </c>
      <c r="AC439" s="10">
        <v>6.125</v>
      </c>
      <c r="AD439" s="7">
        <f t="shared" si="118"/>
        <v>1632.7373905502268</v>
      </c>
      <c r="AE439" s="2">
        <f t="shared" si="119"/>
        <v>103.59260944977314</v>
      </c>
      <c r="AF439" s="10">
        <v>3</v>
      </c>
      <c r="AG439" s="3">
        <f t="shared" si="120"/>
        <v>7544.1</v>
      </c>
      <c r="AH439" s="7">
        <v>4824</v>
      </c>
      <c r="AI439">
        <f t="shared" si="121"/>
        <v>360</v>
      </c>
      <c r="AJ439" t="e">
        <f>VLOOKUP(A439,'Borrower Details'!$A$1:$H$1493,8,FALSE)</f>
        <v>#N/A</v>
      </c>
      <c r="AK439" s="4" t="e">
        <f t="shared" si="122"/>
        <v>#N/A</v>
      </c>
      <c r="AL439" s="10">
        <v>6.75</v>
      </c>
      <c r="AM439" s="3">
        <f t="shared" si="123"/>
        <v>242505.40369999997</v>
      </c>
      <c r="AN439">
        <v>6.75</v>
      </c>
      <c r="AO439" s="7">
        <f t="shared" si="124"/>
        <v>1673.9293506815957</v>
      </c>
      <c r="AP439" s="2">
        <f t="shared" si="125"/>
        <v>62.400649318404248</v>
      </c>
    </row>
    <row r="440" spans="1:42" x14ac:dyDescent="0.15">
      <c r="A440" s="8">
        <v>410112684</v>
      </c>
      <c r="B440" t="s">
        <v>37</v>
      </c>
      <c r="C440" t="s">
        <v>19</v>
      </c>
      <c r="D440" s="1">
        <v>39219</v>
      </c>
      <c r="E440" s="2">
        <v>390000</v>
      </c>
      <c r="F440" s="2">
        <v>135000</v>
      </c>
      <c r="G440" t="s">
        <v>17</v>
      </c>
      <c r="H440" s="2">
        <v>957.85</v>
      </c>
      <c r="I440" s="2">
        <v>133895.78</v>
      </c>
      <c r="J440">
        <v>7.6499999999999999E-2</v>
      </c>
      <c r="K440">
        <v>11</v>
      </c>
      <c r="L440">
        <v>349</v>
      </c>
      <c r="M440" t="str">
        <f t="shared" si="111"/>
        <v>30 Year Fixed</v>
      </c>
      <c r="N440" s="2">
        <v>853.59</v>
      </c>
      <c r="O440" t="str">
        <f t="shared" si="108"/>
        <v>Cash Out</v>
      </c>
      <c r="P440" s="3">
        <f t="shared" si="112"/>
        <v>192705.2052216749</v>
      </c>
      <c r="Q440" s="4">
        <v>331500</v>
      </c>
      <c r="R440" s="4" t="s">
        <v>41</v>
      </c>
      <c r="S440" s="6">
        <v>588</v>
      </c>
      <c r="T440">
        <v>7.375</v>
      </c>
      <c r="U440" s="7">
        <f t="shared" si="109"/>
        <v>2427.7131142851749</v>
      </c>
      <c r="V440" s="2">
        <f t="shared" si="113"/>
        <v>-1469.863114285175</v>
      </c>
      <c r="W440" s="9">
        <f t="shared" si="114"/>
        <v>1</v>
      </c>
      <c r="X440" s="3">
        <v>135904</v>
      </c>
      <c r="Y440" s="3">
        <f t="shared" si="115"/>
        <v>-0.21349753692629747</v>
      </c>
      <c r="Z440" s="7">
        <f t="shared" si="116"/>
        <v>995.28181925735259</v>
      </c>
      <c r="AA440" s="2">
        <f t="shared" si="110"/>
        <v>-37.431819257352572</v>
      </c>
      <c r="AB440" s="8">
        <f t="shared" si="117"/>
        <v>1</v>
      </c>
      <c r="AC440" s="10">
        <v>6.375</v>
      </c>
      <c r="AD440" s="7">
        <f t="shared" si="118"/>
        <v>904.49081397142072</v>
      </c>
      <c r="AE440" s="2">
        <f t="shared" si="119"/>
        <v>53.359186028579302</v>
      </c>
      <c r="AF440" s="10">
        <v>2.625</v>
      </c>
      <c r="AG440" s="3">
        <f t="shared" si="120"/>
        <v>3567.48</v>
      </c>
      <c r="AH440" s="7">
        <v>0</v>
      </c>
      <c r="AI440">
        <f t="shared" si="121"/>
        <v>360</v>
      </c>
      <c r="AJ440" t="e">
        <f>VLOOKUP(A440,'Borrower Details'!$A$1:$H$1493,8,FALSE)</f>
        <v>#N/A</v>
      </c>
      <c r="AK440" s="4" t="e">
        <f t="shared" si="122"/>
        <v>#N/A</v>
      </c>
      <c r="AL440" s="10">
        <v>7.375</v>
      </c>
      <c r="AM440" s="3">
        <f t="shared" si="123"/>
        <v>135904.21669999999</v>
      </c>
      <c r="AN440">
        <v>7.375</v>
      </c>
      <c r="AO440" s="7">
        <f t="shared" si="124"/>
        <v>995.28340624206407</v>
      </c>
      <c r="AP440" s="2">
        <f t="shared" si="125"/>
        <v>-37.433406242064052</v>
      </c>
    </row>
    <row r="441" spans="1:42" x14ac:dyDescent="0.15">
      <c r="A441" s="8">
        <v>410087704</v>
      </c>
      <c r="B441" t="s">
        <v>38</v>
      </c>
      <c r="C441" t="s">
        <v>19</v>
      </c>
      <c r="D441" s="1">
        <v>39190</v>
      </c>
      <c r="E441" s="2">
        <v>153000</v>
      </c>
      <c r="F441" s="2">
        <v>145350</v>
      </c>
      <c r="G441" t="s">
        <v>15</v>
      </c>
      <c r="H441" s="2">
        <v>1088.92</v>
      </c>
      <c r="I441" s="2">
        <v>145350</v>
      </c>
      <c r="J441">
        <v>8.9899999999999994E-2</v>
      </c>
      <c r="K441">
        <v>12</v>
      </c>
      <c r="L441">
        <v>348</v>
      </c>
      <c r="M441" t="str">
        <f t="shared" si="111"/>
        <v>30 Year Fixed</v>
      </c>
      <c r="N441" s="2">
        <v>1088.9100000000001</v>
      </c>
      <c r="O441" t="str">
        <f t="shared" si="108"/>
        <v>Refi</v>
      </c>
      <c r="P441" s="3">
        <f t="shared" si="112"/>
        <v>0</v>
      </c>
      <c r="Q441" s="4">
        <v>147530</v>
      </c>
      <c r="R441" s="4" t="s">
        <v>41</v>
      </c>
      <c r="S441" s="6">
        <v>624</v>
      </c>
      <c r="T441">
        <v>6.75</v>
      </c>
      <c r="U441" s="7">
        <f t="shared" si="109"/>
        <v>1018.3476052004191</v>
      </c>
      <c r="V441" s="2">
        <f t="shared" si="113"/>
        <v>70.572394799580934</v>
      </c>
      <c r="W441" s="9">
        <f t="shared" si="114"/>
        <v>0</v>
      </c>
      <c r="X441" s="3">
        <v>147530</v>
      </c>
      <c r="Y441" s="3">
        <f t="shared" si="115"/>
        <v>-0.246305418695556</v>
      </c>
      <c r="Z441" s="7">
        <f t="shared" si="116"/>
        <v>1018.3476052004191</v>
      </c>
      <c r="AA441" s="2">
        <f t="shared" si="110"/>
        <v>70.572394799580934</v>
      </c>
      <c r="AB441" s="8">
        <f t="shared" si="117"/>
        <v>1</v>
      </c>
      <c r="AC441" s="10">
        <v>6.125</v>
      </c>
      <c r="AD441" s="7">
        <f t="shared" si="118"/>
        <v>957.87866237672472</v>
      </c>
      <c r="AE441" s="2">
        <f t="shared" si="119"/>
        <v>131.04133762327535</v>
      </c>
      <c r="AF441" s="10">
        <v>3</v>
      </c>
      <c r="AG441" s="3">
        <f t="shared" si="120"/>
        <v>4425.8999999999996</v>
      </c>
      <c r="AH441" s="7">
        <v>0</v>
      </c>
      <c r="AI441">
        <f t="shared" si="121"/>
        <v>360</v>
      </c>
      <c r="AJ441" t="e">
        <f>VLOOKUP(A441,'Borrower Details'!$A$1:$H$1493,8,FALSE)</f>
        <v>#N/A</v>
      </c>
      <c r="AK441" s="4" t="e">
        <f t="shared" si="122"/>
        <v>#N/A</v>
      </c>
      <c r="AL441" s="10">
        <v>6.75</v>
      </c>
      <c r="AM441" s="3">
        <f t="shared" si="123"/>
        <v>147530.25</v>
      </c>
      <c r="AN441">
        <v>6.75</v>
      </c>
      <c r="AO441" s="7">
        <f t="shared" si="124"/>
        <v>1018.3493308623273</v>
      </c>
      <c r="AP441" s="2">
        <f t="shared" si="125"/>
        <v>70.57066913767278</v>
      </c>
    </row>
    <row r="442" spans="1:42" x14ac:dyDescent="0.15">
      <c r="A442" s="8">
        <v>411190622</v>
      </c>
      <c r="B442" t="s">
        <v>35</v>
      </c>
      <c r="C442" t="s">
        <v>16</v>
      </c>
      <c r="D442" s="1">
        <v>39447</v>
      </c>
      <c r="E442" s="2">
        <v>123000</v>
      </c>
      <c r="F442" s="2">
        <v>110700</v>
      </c>
      <c r="G442" t="s">
        <v>17</v>
      </c>
      <c r="H442" s="2">
        <v>967.39</v>
      </c>
      <c r="I442" s="2">
        <v>110497.04</v>
      </c>
      <c r="J442">
        <v>9.9500000000000005E-2</v>
      </c>
      <c r="K442">
        <v>4</v>
      </c>
      <c r="L442">
        <v>356</v>
      </c>
      <c r="M442" t="str">
        <f t="shared" si="111"/>
        <v>30 Year Fixed</v>
      </c>
      <c r="N442" s="2">
        <v>916.2</v>
      </c>
      <c r="O442" t="str">
        <f t="shared" si="108"/>
        <v>Refi</v>
      </c>
      <c r="P442" s="3">
        <f t="shared" si="112"/>
        <v>0</v>
      </c>
      <c r="Q442" s="4">
        <v>112154</v>
      </c>
      <c r="R442" s="4" t="s">
        <v>41</v>
      </c>
      <c r="S442" s="6">
        <v>624</v>
      </c>
      <c r="T442">
        <v>6.75</v>
      </c>
      <c r="U442" s="7">
        <f t="shared" si="109"/>
        <v>774.15954255844781</v>
      </c>
      <c r="V442" s="2">
        <f t="shared" si="113"/>
        <v>193.23045744155218</v>
      </c>
      <c r="W442" s="9">
        <f t="shared" si="114"/>
        <v>0</v>
      </c>
      <c r="X442" s="3">
        <v>112154</v>
      </c>
      <c r="Y442" s="3">
        <f t="shared" si="115"/>
        <v>-0.48827586205152329</v>
      </c>
      <c r="Z442" s="7">
        <f t="shared" si="116"/>
        <v>774.15954255844781</v>
      </c>
      <c r="AA442" s="2">
        <f t="shared" si="110"/>
        <v>193.23045744155218</v>
      </c>
      <c r="AB442" s="8">
        <f t="shared" si="117"/>
        <v>0</v>
      </c>
      <c r="AC442" s="10">
        <v>6.75</v>
      </c>
      <c r="AD442" s="7">
        <f t="shared" si="118"/>
        <v>774.15954255844781</v>
      </c>
      <c r="AE442" s="2">
        <f t="shared" si="119"/>
        <v>193.23045744155218</v>
      </c>
      <c r="AF442" s="10">
        <v>0</v>
      </c>
      <c r="AG442" s="3">
        <f t="shared" si="120"/>
        <v>0</v>
      </c>
      <c r="AH442" s="7">
        <v>5507.3250000000007</v>
      </c>
      <c r="AI442">
        <f t="shared" si="121"/>
        <v>360</v>
      </c>
      <c r="AJ442" t="e">
        <f>VLOOKUP(A442,'Borrower Details'!$A$1:$H$1493,8,FALSE)</f>
        <v>#N/A</v>
      </c>
      <c r="AK442" s="4" t="e">
        <f t="shared" si="122"/>
        <v>#N/A</v>
      </c>
      <c r="AL442" s="10">
        <v>6.75</v>
      </c>
      <c r="AM442" s="3">
        <f t="shared" si="123"/>
        <v>112154.49559999998</v>
      </c>
      <c r="AN442">
        <v>6.75</v>
      </c>
      <c r="AO442" s="7">
        <f t="shared" si="124"/>
        <v>774.1629635106143</v>
      </c>
      <c r="AP442" s="2">
        <f t="shared" si="125"/>
        <v>193.22703648938568</v>
      </c>
    </row>
    <row r="443" spans="1:42" x14ac:dyDescent="0.15">
      <c r="A443" s="8">
        <v>1152886</v>
      </c>
      <c r="B443" t="s">
        <v>37</v>
      </c>
      <c r="C443" t="s">
        <v>19</v>
      </c>
      <c r="D443" s="1">
        <v>39141</v>
      </c>
      <c r="E443" s="2">
        <v>128000</v>
      </c>
      <c r="F443" s="2">
        <v>121600</v>
      </c>
      <c r="G443" t="s">
        <v>15</v>
      </c>
      <c r="H443" s="2">
        <v>1130.55</v>
      </c>
      <c r="I443" s="2">
        <v>120631.28</v>
      </c>
      <c r="J443">
        <v>0.107</v>
      </c>
      <c r="K443">
        <v>14</v>
      </c>
      <c r="L443">
        <v>346</v>
      </c>
      <c r="M443" t="str">
        <f t="shared" si="111"/>
        <v>30 Year Fixed</v>
      </c>
      <c r="N443" s="2">
        <v>1075.6300000000001</v>
      </c>
      <c r="O443" t="str">
        <f t="shared" si="108"/>
        <v>Refi</v>
      </c>
      <c r="P443" s="3">
        <f t="shared" si="112"/>
        <v>0</v>
      </c>
      <c r="Q443" s="4">
        <v>122441</v>
      </c>
      <c r="R443" s="4" t="s">
        <v>41</v>
      </c>
      <c r="S443" s="6">
        <v>559</v>
      </c>
      <c r="T443">
        <v>7.625</v>
      </c>
      <c r="U443" s="7">
        <f t="shared" si="109"/>
        <v>917.64682430741368</v>
      </c>
      <c r="V443" s="2">
        <f t="shared" si="113"/>
        <v>212.90317569258627</v>
      </c>
      <c r="W443" s="9">
        <f t="shared" si="114"/>
        <v>0</v>
      </c>
      <c r="X443" s="3">
        <v>122441</v>
      </c>
      <c r="Y443" s="3">
        <f t="shared" si="115"/>
        <v>0.24709359607368242</v>
      </c>
      <c r="Z443" s="7">
        <f t="shared" si="116"/>
        <v>917.64682430741368</v>
      </c>
      <c r="AA443" s="2">
        <f t="shared" si="110"/>
        <v>212.90317569258627</v>
      </c>
      <c r="AB443" s="8">
        <f t="shared" si="117"/>
        <v>0</v>
      </c>
      <c r="AC443" s="10">
        <v>7.625</v>
      </c>
      <c r="AD443" s="7">
        <f t="shared" si="118"/>
        <v>917.64682430741368</v>
      </c>
      <c r="AE443" s="2">
        <f t="shared" si="119"/>
        <v>212.90317569258627</v>
      </c>
      <c r="AF443" s="10">
        <v>0</v>
      </c>
      <c r="AG443" s="3">
        <f t="shared" si="120"/>
        <v>0</v>
      </c>
      <c r="AH443" s="7">
        <v>0</v>
      </c>
      <c r="AI443">
        <f t="shared" si="121"/>
        <v>360</v>
      </c>
      <c r="AJ443" t="e">
        <f>VLOOKUP(A443,'Borrower Details'!$A$1:$H$1493,8,FALSE)</f>
        <v>#N/A</v>
      </c>
      <c r="AK443" s="4" t="e">
        <f t="shared" si="122"/>
        <v>#N/A</v>
      </c>
      <c r="AL443" s="10">
        <v>7.625</v>
      </c>
      <c r="AM443" s="3">
        <f t="shared" si="123"/>
        <v>122440.74919999999</v>
      </c>
      <c r="AN443">
        <v>7.625</v>
      </c>
      <c r="AO443" s="7">
        <f t="shared" si="124"/>
        <v>917.64494466069777</v>
      </c>
      <c r="AP443" s="2">
        <f t="shared" si="125"/>
        <v>212.90505533930218</v>
      </c>
    </row>
    <row r="444" spans="1:42" x14ac:dyDescent="0.15">
      <c r="A444" s="8">
        <v>410736318</v>
      </c>
      <c r="B444" t="s">
        <v>36</v>
      </c>
      <c r="C444" t="s">
        <v>16</v>
      </c>
      <c r="D444" s="1">
        <v>39314</v>
      </c>
      <c r="E444" s="2">
        <v>227000</v>
      </c>
      <c r="F444" s="2">
        <v>170250</v>
      </c>
      <c r="G444" t="s">
        <v>20</v>
      </c>
      <c r="H444" s="2">
        <v>1379.13</v>
      </c>
      <c r="I444" s="2">
        <v>169986.72</v>
      </c>
      <c r="J444">
        <v>9.5000000000000001E-2</v>
      </c>
      <c r="K444">
        <v>8</v>
      </c>
      <c r="L444">
        <v>352</v>
      </c>
      <c r="M444" t="str">
        <f t="shared" si="111"/>
        <v>30 Year Fixed</v>
      </c>
      <c r="N444" s="2">
        <v>1345.99</v>
      </c>
      <c r="O444" t="str">
        <f t="shared" si="108"/>
        <v>Cash Out</v>
      </c>
      <c r="P444" s="3">
        <f t="shared" si="112"/>
        <v>20111.802167487709</v>
      </c>
      <c r="Q444" s="4">
        <v>192950</v>
      </c>
      <c r="R444" s="4" t="s">
        <v>41</v>
      </c>
      <c r="S444" s="6">
        <v>522</v>
      </c>
      <c r="T444">
        <v>7.625</v>
      </c>
      <c r="U444" s="7">
        <f t="shared" si="109"/>
        <v>1446.0838669246041</v>
      </c>
      <c r="V444" s="2">
        <f t="shared" si="113"/>
        <v>-66.953866924603972</v>
      </c>
      <c r="W444" s="9">
        <f t="shared" si="114"/>
        <v>1</v>
      </c>
      <c r="X444" s="3">
        <v>183940</v>
      </c>
      <c r="Y444" s="3">
        <f t="shared" si="115"/>
        <v>11234.954876847303</v>
      </c>
      <c r="Z444" s="7">
        <f t="shared" si="116"/>
        <v>1378.5574837113847</v>
      </c>
      <c r="AA444" s="2">
        <f t="shared" si="110"/>
        <v>0.57251628861536119</v>
      </c>
      <c r="AB444" s="8">
        <f t="shared" si="117"/>
        <v>1</v>
      </c>
      <c r="AC444" s="10">
        <v>6.875</v>
      </c>
      <c r="AD444" s="7">
        <f t="shared" si="118"/>
        <v>1284.9965265414114</v>
      </c>
      <c r="AE444" s="2">
        <f t="shared" si="119"/>
        <v>94.133473458588696</v>
      </c>
      <c r="AF444" s="10">
        <v>1.75</v>
      </c>
      <c r="AG444" s="3">
        <f t="shared" si="120"/>
        <v>3218.95</v>
      </c>
      <c r="AH444" s="7">
        <v>3405</v>
      </c>
      <c r="AI444">
        <f t="shared" si="121"/>
        <v>360</v>
      </c>
      <c r="AJ444" t="e">
        <f>VLOOKUP(A444,'Borrower Details'!$A$1:$H$1493,8,FALSE)</f>
        <v>#N/A</v>
      </c>
      <c r="AK444" s="4" t="e">
        <f t="shared" si="122"/>
        <v>#N/A</v>
      </c>
      <c r="AL444" s="10">
        <v>7.625</v>
      </c>
      <c r="AM444" s="3">
        <f t="shared" si="123"/>
        <v>172536.5208</v>
      </c>
      <c r="AN444">
        <v>7.625</v>
      </c>
      <c r="AO444" s="7">
        <f t="shared" si="124"/>
        <v>1293.0929214002663</v>
      </c>
      <c r="AP444" s="2">
        <f t="shared" si="125"/>
        <v>86.037078599733832</v>
      </c>
    </row>
    <row r="445" spans="1:42" x14ac:dyDescent="0.15">
      <c r="A445" s="8">
        <v>1159624</v>
      </c>
      <c r="B445" t="s">
        <v>37</v>
      </c>
      <c r="C445" t="s">
        <v>18</v>
      </c>
      <c r="D445" s="1">
        <v>39169</v>
      </c>
      <c r="E445" s="2">
        <v>170000</v>
      </c>
      <c r="F445" s="2">
        <v>152500</v>
      </c>
      <c r="G445" t="s">
        <v>17</v>
      </c>
      <c r="H445" s="2">
        <v>1164.5999999999999</v>
      </c>
      <c r="I445" s="2">
        <v>152043.78</v>
      </c>
      <c r="J445">
        <v>8.8999999999999996E-2</v>
      </c>
      <c r="K445">
        <v>13</v>
      </c>
      <c r="L445">
        <v>347</v>
      </c>
      <c r="M445" t="str">
        <f t="shared" si="111"/>
        <v>30 Year Fixed</v>
      </c>
      <c r="N445" s="2">
        <v>1127.6600000000001</v>
      </c>
      <c r="O445" t="str">
        <f t="shared" si="108"/>
        <v>Refi</v>
      </c>
      <c r="P445" s="3">
        <f t="shared" si="112"/>
        <v>0</v>
      </c>
      <c r="Q445" s="4">
        <v>154324</v>
      </c>
      <c r="R445" s="4" t="s">
        <v>41</v>
      </c>
      <c r="S445" s="6">
        <v>589</v>
      </c>
      <c r="T445">
        <v>7.375</v>
      </c>
      <c r="U445" s="7">
        <f t="shared" si="109"/>
        <v>1130.1791814447822</v>
      </c>
      <c r="V445" s="2">
        <f t="shared" si="113"/>
        <v>34.420818555217693</v>
      </c>
      <c r="W445" s="9">
        <f t="shared" si="114"/>
        <v>0</v>
      </c>
      <c r="X445" s="3">
        <v>154325</v>
      </c>
      <c r="Y445" s="3">
        <f t="shared" si="115"/>
        <v>0.55497536947950721</v>
      </c>
      <c r="Z445" s="7">
        <f t="shared" si="116"/>
        <v>1130.1865048629247</v>
      </c>
      <c r="AA445" s="2">
        <f t="shared" si="110"/>
        <v>34.413495137075188</v>
      </c>
      <c r="AB445" s="8">
        <f t="shared" si="117"/>
        <v>1</v>
      </c>
      <c r="AC445" s="10">
        <v>6.625</v>
      </c>
      <c r="AD445" s="7">
        <f t="shared" si="118"/>
        <v>1052.4619740125086</v>
      </c>
      <c r="AE445" s="2">
        <f t="shared" si="119"/>
        <v>112.13802598749135</v>
      </c>
      <c r="AF445" s="10">
        <v>1.875</v>
      </c>
      <c r="AG445" s="3">
        <f t="shared" si="120"/>
        <v>2893.59375</v>
      </c>
      <c r="AH445" s="7">
        <v>1525</v>
      </c>
      <c r="AI445">
        <f t="shared" si="121"/>
        <v>360</v>
      </c>
      <c r="AJ445" t="e">
        <f>VLOOKUP(A445,'Borrower Details'!$A$1:$H$1493,8,FALSE)</f>
        <v>#N/A</v>
      </c>
      <c r="AK445" s="4" t="e">
        <f t="shared" si="122"/>
        <v>#N/A</v>
      </c>
      <c r="AL445" s="10">
        <v>7.375</v>
      </c>
      <c r="AM445" s="3">
        <f t="shared" si="123"/>
        <v>154324.43669999999</v>
      </c>
      <c r="AN445">
        <v>7.375</v>
      </c>
      <c r="AO445" s="7">
        <f t="shared" si="124"/>
        <v>1130.1823795814851</v>
      </c>
      <c r="AP445" s="2">
        <f t="shared" si="125"/>
        <v>34.417620418514844</v>
      </c>
    </row>
    <row r="446" spans="1:42" x14ac:dyDescent="0.15">
      <c r="A446" s="8">
        <v>411174238</v>
      </c>
      <c r="B446" t="s">
        <v>36</v>
      </c>
      <c r="C446" t="s">
        <v>16</v>
      </c>
      <c r="D446" s="1">
        <v>39428</v>
      </c>
      <c r="E446" s="2">
        <v>269600</v>
      </c>
      <c r="F446" s="2">
        <v>165000</v>
      </c>
      <c r="G446" t="s">
        <v>17</v>
      </c>
      <c r="H446" s="2">
        <v>1262.8699999999999</v>
      </c>
      <c r="I446" s="2">
        <v>164591.74</v>
      </c>
      <c r="J446">
        <v>8.4500000000000006E-2</v>
      </c>
      <c r="K446">
        <v>4</v>
      </c>
      <c r="L446">
        <v>356</v>
      </c>
      <c r="M446" t="str">
        <f t="shared" si="111"/>
        <v>30 Year Fixed</v>
      </c>
      <c r="N446" s="2">
        <v>1159</v>
      </c>
      <c r="O446" t="str">
        <f t="shared" si="108"/>
        <v>Cash Out</v>
      </c>
      <c r="P446" s="3">
        <f t="shared" si="112"/>
        <v>61181.659014778357</v>
      </c>
      <c r="Q446" s="4">
        <v>229160</v>
      </c>
      <c r="R446" s="4" t="s">
        <v>41</v>
      </c>
      <c r="S446" s="6">
        <v>631</v>
      </c>
      <c r="T446">
        <v>6.75</v>
      </c>
      <c r="U446" s="7">
        <f t="shared" si="109"/>
        <v>1581.8107314290521</v>
      </c>
      <c r="V446" s="2">
        <f t="shared" si="113"/>
        <v>-318.94073142905222</v>
      </c>
      <c r="W446" s="9">
        <f t="shared" si="114"/>
        <v>1</v>
      </c>
      <c r="X446" s="3">
        <v>182880</v>
      </c>
      <c r="Y446" s="3">
        <f t="shared" si="115"/>
        <v>15585.599901477864</v>
      </c>
      <c r="Z446" s="7">
        <f t="shared" si="116"/>
        <v>1262.3561990039495</v>
      </c>
      <c r="AA446" s="2">
        <f t="shared" si="110"/>
        <v>0.51380099605034957</v>
      </c>
      <c r="AB446" s="8">
        <f t="shared" si="117"/>
        <v>0</v>
      </c>
      <c r="AC446" s="10">
        <v>6.75</v>
      </c>
      <c r="AD446" s="7">
        <f t="shared" si="118"/>
        <v>1262.3561990039495</v>
      </c>
      <c r="AE446" s="2">
        <f t="shared" si="119"/>
        <v>0.51380099605034957</v>
      </c>
      <c r="AF446" s="10">
        <v>0</v>
      </c>
      <c r="AG446" s="3">
        <f t="shared" si="120"/>
        <v>0</v>
      </c>
      <c r="AH446" s="7">
        <v>3300</v>
      </c>
      <c r="AI446">
        <f t="shared" si="121"/>
        <v>360</v>
      </c>
      <c r="AJ446" t="e">
        <f>VLOOKUP(A446,'Borrower Details'!$A$1:$H$1493,8,FALSE)</f>
        <v>#N/A</v>
      </c>
      <c r="AK446" s="4" t="e">
        <f t="shared" si="122"/>
        <v>#N/A</v>
      </c>
      <c r="AL446" s="10">
        <v>6.75</v>
      </c>
      <c r="AM446" s="3">
        <f t="shared" si="123"/>
        <v>167060.61609999998</v>
      </c>
      <c r="AN446">
        <v>6.75</v>
      </c>
      <c r="AO446" s="7">
        <f t="shared" si="124"/>
        <v>1153.1605661813976</v>
      </c>
      <c r="AP446" s="2">
        <f t="shared" si="125"/>
        <v>109.70943381860229</v>
      </c>
    </row>
    <row r="447" spans="1:42" x14ac:dyDescent="0.15">
      <c r="A447" s="8">
        <v>410631352</v>
      </c>
      <c r="B447" t="s">
        <v>36</v>
      </c>
      <c r="C447" t="s">
        <v>16</v>
      </c>
      <c r="D447" s="1">
        <v>39297</v>
      </c>
      <c r="E447" s="2">
        <v>180000</v>
      </c>
      <c r="F447" s="2">
        <v>153000</v>
      </c>
      <c r="G447" t="s">
        <v>17</v>
      </c>
      <c r="H447" s="2">
        <v>1418.33</v>
      </c>
      <c r="I447" s="2">
        <v>148247.04999999999</v>
      </c>
      <c r="J447">
        <v>7.4999999999999997E-2</v>
      </c>
      <c r="K447">
        <v>9</v>
      </c>
      <c r="L447">
        <v>170</v>
      </c>
      <c r="M447" t="str">
        <f t="shared" si="111"/>
        <v>15 Year Fixed</v>
      </c>
      <c r="N447" s="2">
        <v>926.54</v>
      </c>
      <c r="O447" t="str">
        <f t="shared" si="108"/>
        <v>Cash Out</v>
      </c>
      <c r="P447" s="3">
        <f t="shared" si="112"/>
        <v>2491.8662561576639</v>
      </c>
      <c r="Q447" s="4">
        <v>153000</v>
      </c>
      <c r="R447" s="4" t="s">
        <v>41</v>
      </c>
      <c r="S447" s="6">
        <v>672</v>
      </c>
      <c r="T447">
        <v>6.5</v>
      </c>
      <c r="U447" s="7">
        <f t="shared" si="109"/>
        <v>1396.5442689049717</v>
      </c>
      <c r="V447" s="2">
        <f t="shared" si="113"/>
        <v>21.785731095028268</v>
      </c>
      <c r="W447" s="9">
        <f t="shared" si="114"/>
        <v>0</v>
      </c>
      <c r="X447" s="3">
        <v>153000</v>
      </c>
      <c r="Y447" s="3">
        <f t="shared" si="115"/>
        <v>2491.8662561576639</v>
      </c>
      <c r="Z447" s="7">
        <f t="shared" si="116"/>
        <v>1396.5442689049717</v>
      </c>
      <c r="AA447" s="2">
        <f t="shared" si="110"/>
        <v>21.785731095028268</v>
      </c>
      <c r="AB447" s="8">
        <f t="shared" si="117"/>
        <v>1</v>
      </c>
      <c r="AC447" s="10">
        <v>6</v>
      </c>
      <c r="AD447" s="7">
        <f t="shared" si="118"/>
        <v>1354.8509469141545</v>
      </c>
      <c r="AE447" s="2">
        <f t="shared" si="119"/>
        <v>63.479053085845408</v>
      </c>
      <c r="AF447" s="10">
        <v>2</v>
      </c>
      <c r="AG447" s="3">
        <f t="shared" si="120"/>
        <v>3060</v>
      </c>
      <c r="AH447" s="7">
        <v>3060</v>
      </c>
      <c r="AI447">
        <f t="shared" si="121"/>
        <v>180</v>
      </c>
      <c r="AJ447" t="e">
        <f>VLOOKUP(A447,'Borrower Details'!$A$1:$H$1493,8,FALSE)</f>
        <v>#N/A</v>
      </c>
      <c r="AK447" s="4" t="e">
        <f t="shared" si="122"/>
        <v>#N/A</v>
      </c>
      <c r="AL447" s="10">
        <v>6.5</v>
      </c>
      <c r="AM447" s="3">
        <f t="shared" si="123"/>
        <v>150470.75574999998</v>
      </c>
      <c r="AN447">
        <v>6.5</v>
      </c>
      <c r="AO447" s="7">
        <f t="shared" si="124"/>
        <v>1373.4579841860282</v>
      </c>
      <c r="AP447" s="2">
        <f t="shared" si="125"/>
        <v>44.872015813971757</v>
      </c>
    </row>
    <row r="448" spans="1:42" x14ac:dyDescent="0.15">
      <c r="A448" s="8">
        <v>410757918</v>
      </c>
      <c r="B448" t="s">
        <v>36</v>
      </c>
      <c r="C448" t="s">
        <v>16</v>
      </c>
      <c r="D448" s="1">
        <v>39300</v>
      </c>
      <c r="E448" s="2">
        <v>157000</v>
      </c>
      <c r="F448" s="2">
        <v>125600</v>
      </c>
      <c r="G448" t="s">
        <v>17</v>
      </c>
      <c r="H448" s="2">
        <v>988.1</v>
      </c>
      <c r="I448" s="2">
        <v>125006.89</v>
      </c>
      <c r="J448">
        <v>8.7499999999999994E-2</v>
      </c>
      <c r="K448">
        <v>8</v>
      </c>
      <c r="L448">
        <v>352</v>
      </c>
      <c r="M448" t="str">
        <f t="shared" si="111"/>
        <v>30 Year Fixed</v>
      </c>
      <c r="N448" s="2">
        <v>911.51</v>
      </c>
      <c r="O448" t="str">
        <f t="shared" si="108"/>
        <v>Cash Out</v>
      </c>
      <c r="P448" s="3">
        <f t="shared" si="112"/>
        <v>6470.942512315276</v>
      </c>
      <c r="Q448" s="4">
        <v>133450</v>
      </c>
      <c r="R448" s="4" t="s">
        <v>41</v>
      </c>
      <c r="S448" s="6">
        <v>599</v>
      </c>
      <c r="T448">
        <v>7.375</v>
      </c>
      <c r="U448" s="7">
        <f t="shared" si="109"/>
        <v>977.31015113531396</v>
      </c>
      <c r="V448" s="2">
        <f t="shared" si="113"/>
        <v>10.789848864686064</v>
      </c>
      <c r="W448" s="9">
        <f t="shared" si="114"/>
        <v>0</v>
      </c>
      <c r="X448" s="3">
        <v>133450</v>
      </c>
      <c r="Y448" s="3">
        <f t="shared" si="115"/>
        <v>6470.942512315276</v>
      </c>
      <c r="Z448" s="7">
        <f t="shared" si="116"/>
        <v>977.31015113531396</v>
      </c>
      <c r="AA448" s="2">
        <f t="shared" si="110"/>
        <v>10.789848864686064</v>
      </c>
      <c r="AB448" s="8">
        <f t="shared" si="117"/>
        <v>1</v>
      </c>
      <c r="AC448" s="10">
        <v>6.625</v>
      </c>
      <c r="AD448" s="7">
        <f t="shared" si="118"/>
        <v>910.09914422141117</v>
      </c>
      <c r="AE448" s="2">
        <f t="shared" si="119"/>
        <v>78.000855778588857</v>
      </c>
      <c r="AF448" s="10">
        <v>1.875</v>
      </c>
      <c r="AG448" s="3">
        <f t="shared" si="120"/>
        <v>2502.1875</v>
      </c>
      <c r="AH448" s="7">
        <v>2512</v>
      </c>
      <c r="AI448">
        <f t="shared" si="121"/>
        <v>360</v>
      </c>
      <c r="AJ448" t="e">
        <f>VLOOKUP(A448,'Borrower Details'!$A$1:$H$1493,8,FALSE)</f>
        <v>#N/A</v>
      </c>
      <c r="AK448" s="4" t="e">
        <f t="shared" si="122"/>
        <v>#N/A</v>
      </c>
      <c r="AL448" s="10">
        <v>7.375</v>
      </c>
      <c r="AM448" s="3">
        <f t="shared" si="123"/>
        <v>126881.99334999999</v>
      </c>
      <c r="AN448">
        <v>7.375</v>
      </c>
      <c r="AO448" s="7">
        <f t="shared" si="124"/>
        <v>929.20989207372349</v>
      </c>
      <c r="AP448" s="2">
        <f t="shared" si="125"/>
        <v>58.890107926276528</v>
      </c>
    </row>
    <row r="449" spans="1:42" x14ac:dyDescent="0.15">
      <c r="A449" s="8">
        <v>410820922</v>
      </c>
      <c r="B449" t="s">
        <v>35</v>
      </c>
      <c r="C449" t="s">
        <v>16</v>
      </c>
      <c r="D449" s="1">
        <v>39309</v>
      </c>
      <c r="E449" s="2">
        <v>150000</v>
      </c>
      <c r="F449" s="2">
        <v>142500</v>
      </c>
      <c r="G449" t="s">
        <v>17</v>
      </c>
      <c r="H449" s="2">
        <v>1121.05</v>
      </c>
      <c r="I449" s="2">
        <v>141827.10999999999</v>
      </c>
      <c r="J449">
        <v>8.7499999999999994E-2</v>
      </c>
      <c r="K449">
        <v>8</v>
      </c>
      <c r="L449">
        <v>352</v>
      </c>
      <c r="M449" t="str">
        <f t="shared" si="111"/>
        <v>30 Year Fixed</v>
      </c>
      <c r="N449" s="2">
        <v>1034.1600000000001</v>
      </c>
      <c r="O449" t="str">
        <f t="shared" si="108"/>
        <v>Refi</v>
      </c>
      <c r="P449" s="3">
        <f t="shared" si="112"/>
        <v>0</v>
      </c>
      <c r="Q449" s="4">
        <v>143955</v>
      </c>
      <c r="R449" s="4" t="s">
        <v>41</v>
      </c>
      <c r="S449" s="6">
        <v>696</v>
      </c>
      <c r="T449">
        <v>6.75</v>
      </c>
      <c r="U449" s="7">
        <f t="shared" si="109"/>
        <v>993.67063991477221</v>
      </c>
      <c r="V449" s="2">
        <f t="shared" si="113"/>
        <v>127.37936008522775</v>
      </c>
      <c r="W449" s="9">
        <f t="shared" si="114"/>
        <v>0</v>
      </c>
      <c r="X449" s="3">
        <v>143955</v>
      </c>
      <c r="Y449" s="3">
        <f t="shared" si="115"/>
        <v>0.47620689659379423</v>
      </c>
      <c r="Z449" s="7">
        <f t="shared" si="116"/>
        <v>993.67063991477221</v>
      </c>
      <c r="AA449" s="2">
        <f t="shared" si="110"/>
        <v>127.37936008522775</v>
      </c>
      <c r="AB449" s="8">
        <f t="shared" si="117"/>
        <v>0</v>
      </c>
      <c r="AC449" s="10">
        <v>6.75</v>
      </c>
      <c r="AD449" s="7">
        <f t="shared" si="118"/>
        <v>993.67063991477221</v>
      </c>
      <c r="AE449" s="2">
        <f t="shared" si="119"/>
        <v>127.37936008522775</v>
      </c>
      <c r="AF449" s="10">
        <v>0</v>
      </c>
      <c r="AG449" s="3">
        <f t="shared" si="120"/>
        <v>0</v>
      </c>
      <c r="AH449" s="7">
        <v>6234.375</v>
      </c>
      <c r="AI449">
        <f t="shared" si="121"/>
        <v>360</v>
      </c>
      <c r="AJ449" t="e">
        <f>VLOOKUP(A449,'Borrower Details'!$A$1:$H$1493,8,FALSE)</f>
        <v>#N/A</v>
      </c>
      <c r="AK449" s="4" t="e">
        <f t="shared" si="122"/>
        <v>#N/A</v>
      </c>
      <c r="AL449" s="10">
        <v>6.75</v>
      </c>
      <c r="AM449" s="3">
        <f t="shared" si="123"/>
        <v>143954.51664999998</v>
      </c>
      <c r="AN449">
        <v>6.75</v>
      </c>
      <c r="AO449" s="7">
        <f t="shared" si="124"/>
        <v>993.6673035200389</v>
      </c>
      <c r="AP449" s="2">
        <f t="shared" si="125"/>
        <v>127.38269647996106</v>
      </c>
    </row>
    <row r="450" spans="1:42" x14ac:dyDescent="0.15">
      <c r="A450" s="8">
        <v>410825368</v>
      </c>
      <c r="B450" t="s">
        <v>37</v>
      </c>
      <c r="C450" t="s">
        <v>16</v>
      </c>
      <c r="D450" s="1">
        <v>39311</v>
      </c>
      <c r="E450" s="2">
        <v>239900</v>
      </c>
      <c r="F450" s="2">
        <v>227905</v>
      </c>
      <c r="G450" t="s">
        <v>20</v>
      </c>
      <c r="H450" s="2">
        <v>2266.14</v>
      </c>
      <c r="I450" s="2">
        <v>227848.36</v>
      </c>
      <c r="J450">
        <v>0.11899999999999999</v>
      </c>
      <c r="K450">
        <v>8</v>
      </c>
      <c r="L450">
        <v>352</v>
      </c>
      <c r="M450" t="str">
        <f t="shared" si="111"/>
        <v>30 Year Fixed</v>
      </c>
      <c r="N450" s="2">
        <v>2259.5</v>
      </c>
      <c r="O450" t="str">
        <f t="shared" ref="O450:O513" si="126">IF((0.85*E450)&gt;(I450*1.015),"Cash Out","Refi")</f>
        <v>Refi</v>
      </c>
      <c r="P450" s="3">
        <f t="shared" si="112"/>
        <v>0</v>
      </c>
      <c r="Q450" s="4">
        <v>231266</v>
      </c>
      <c r="R450" s="4" t="s">
        <v>41</v>
      </c>
      <c r="S450" s="6">
        <v>629</v>
      </c>
      <c r="T450">
        <v>6.75</v>
      </c>
      <c r="U450" s="7">
        <f t="shared" ref="U450:U513" si="127">(Q450*((T450/1200)/(1-(1+(T450/1200))^-AI450)))+((Q450*0.005)/12)</f>
        <v>1596.3477073427787</v>
      </c>
      <c r="V450" s="2">
        <f t="shared" si="113"/>
        <v>669.7922926572212</v>
      </c>
      <c r="W450" s="9">
        <f t="shared" si="114"/>
        <v>0</v>
      </c>
      <c r="X450" s="3">
        <v>231266</v>
      </c>
      <c r="Y450" s="3">
        <f t="shared" si="115"/>
        <v>-8.4137931000441313E-2</v>
      </c>
      <c r="Z450" s="7">
        <f t="shared" si="116"/>
        <v>1596.3477073427787</v>
      </c>
      <c r="AA450" s="2">
        <f t="shared" ref="AA450:AA513" si="128">H450-Z450</f>
        <v>669.7922926572212</v>
      </c>
      <c r="AB450" s="8">
        <f t="shared" si="117"/>
        <v>0</v>
      </c>
      <c r="AC450" s="10">
        <v>6.75</v>
      </c>
      <c r="AD450" s="7">
        <f t="shared" si="118"/>
        <v>1596.3477073427787</v>
      </c>
      <c r="AE450" s="2">
        <f t="shared" si="119"/>
        <v>669.7922926572212</v>
      </c>
      <c r="AF450" s="10">
        <v>0</v>
      </c>
      <c r="AG450" s="3">
        <f t="shared" si="120"/>
        <v>0</v>
      </c>
      <c r="AH450" s="7">
        <v>2279.0500000000002</v>
      </c>
      <c r="AI450">
        <f t="shared" si="121"/>
        <v>360</v>
      </c>
      <c r="AJ450" t="e">
        <f>VLOOKUP(A450,'Borrower Details'!$A$1:$H$1493,8,FALSE)</f>
        <v>#N/A</v>
      </c>
      <c r="AK450" s="4" t="e">
        <f t="shared" si="122"/>
        <v>#N/A</v>
      </c>
      <c r="AL450" s="10">
        <v>6.75</v>
      </c>
      <c r="AM450" s="3">
        <f t="shared" si="123"/>
        <v>231266.08539999995</v>
      </c>
      <c r="AN450">
        <v>6.75</v>
      </c>
      <c r="AO450" s="7">
        <f t="shared" si="124"/>
        <v>1596.3482968288863</v>
      </c>
      <c r="AP450" s="2">
        <f t="shared" si="125"/>
        <v>669.79170317111357</v>
      </c>
    </row>
    <row r="451" spans="1:42" x14ac:dyDescent="0.15">
      <c r="A451" s="8">
        <v>410705586</v>
      </c>
      <c r="B451" t="s">
        <v>37</v>
      </c>
      <c r="C451" t="s">
        <v>19</v>
      </c>
      <c r="D451" s="1">
        <v>39293</v>
      </c>
      <c r="E451" s="2">
        <v>113500</v>
      </c>
      <c r="F451" s="2">
        <v>101700</v>
      </c>
      <c r="G451" t="s">
        <v>17</v>
      </c>
      <c r="H451" s="2">
        <v>870.03</v>
      </c>
      <c r="I451" s="2">
        <v>101150.64</v>
      </c>
      <c r="J451">
        <v>9.7000000000000003E-2</v>
      </c>
      <c r="K451">
        <v>9</v>
      </c>
      <c r="L451">
        <v>349</v>
      </c>
      <c r="M451" t="str">
        <f t="shared" ref="M451:M514" si="129">(IF((L451+K451)&lt;180,"15 Year Fixed","30 Year Fixed"))</f>
        <v>30 Year Fixed</v>
      </c>
      <c r="N451" s="2">
        <v>818.47</v>
      </c>
      <c r="O451" t="str">
        <f t="shared" si="126"/>
        <v>Refi</v>
      </c>
      <c r="P451" s="3">
        <f t="shared" ref="P451:P514" si="130">IF((0.85*E451)&gt;(I451*1.015),((0.85*E451)/1.015)-(I451),0)</f>
        <v>0</v>
      </c>
      <c r="Q451" s="4">
        <v>102668</v>
      </c>
      <c r="R451" s="4" t="s">
        <v>41</v>
      </c>
      <c r="S451" s="6">
        <v>615</v>
      </c>
      <c r="T451">
        <v>6.875</v>
      </c>
      <c r="U451" s="7">
        <f t="shared" si="127"/>
        <v>717.23400775771245</v>
      </c>
      <c r="V451" s="2">
        <f t="shared" ref="V451:V514" si="131">H451-U451</f>
        <v>152.79599224228753</v>
      </c>
      <c r="W451" s="9">
        <f t="shared" ref="W451:W514" si="132">IF(AND(O451="Cash Out",V451&lt;0),1,0)</f>
        <v>0</v>
      </c>
      <c r="X451" s="3">
        <v>102668</v>
      </c>
      <c r="Y451" s="3">
        <f t="shared" ref="Y451:Y514" si="133">(X451/1.015)-(I451)</f>
        <v>9.8916256174561568E-2</v>
      </c>
      <c r="Z451" s="7">
        <f t="shared" ref="Z451:Z514" si="134">(X451*((AL451/1200)/(1-(1+(AL451/1200))^-AI451)))+((X451*0.005)/12)</f>
        <v>717.23400775771245</v>
      </c>
      <c r="AA451" s="2">
        <f t="shared" si="128"/>
        <v>152.79599224228753</v>
      </c>
      <c r="AB451" s="8">
        <f t="shared" ref="AB451:AB514" si="135">IF(I451=0,0,IF(AND(AH451&gt;0,(AP451/AO451)&lt;0.07),1,IF(AND(AH451=0,(AP451/AO451)&lt;0.1),1,0)))</f>
        <v>0</v>
      </c>
      <c r="AC451" s="10">
        <v>6.875</v>
      </c>
      <c r="AD451" s="7">
        <f t="shared" ref="AD451:AD514" si="136">(X451*((AC451/1200)/(1-(1+(AC451/1200))^-AI451)))+((X451*0.005)/12)</f>
        <v>717.23400775771245</v>
      </c>
      <c r="AE451" s="2">
        <f t="shared" ref="AE451:AE514" si="137">H451-AD451</f>
        <v>152.79599224228753</v>
      </c>
      <c r="AF451" s="10">
        <v>0</v>
      </c>
      <c r="AG451" s="3">
        <f t="shared" ref="AG451:AG514" si="138">AF451*X451/100</f>
        <v>0</v>
      </c>
      <c r="AH451" s="7">
        <v>0</v>
      </c>
      <c r="AI451">
        <f t="shared" ref="AI451:AI514" si="139">IF(M451="30 Year Fixed",360,180)</f>
        <v>360</v>
      </c>
      <c r="AJ451" t="e">
        <f>VLOOKUP(A451,'Borrower Details'!$A$1:$H$1493,8,FALSE)</f>
        <v>#N/A</v>
      </c>
      <c r="AK451" s="4" t="e">
        <f t="shared" ref="AK451:AK514" si="140">IF(AJ451&gt;360,PV((J451/12),AJ451-AI451,-H451),"NA")</f>
        <v>#N/A</v>
      </c>
      <c r="AL451" s="10">
        <v>6.875</v>
      </c>
      <c r="AM451" s="3">
        <f t="shared" ref="AM451:AM514" si="141">I451*1.015</f>
        <v>102667.89959999999</v>
      </c>
      <c r="AN451">
        <v>6.875</v>
      </c>
      <c r="AO451" s="7">
        <f t="shared" ref="AO451:AO514" si="142">(AM451*((AN451/1200)/(1-(1+(AN451/1200))^-AI451)))+((AM451*0.005)/12)</f>
        <v>717.2333063678501</v>
      </c>
      <c r="AP451" s="2">
        <f t="shared" ref="AP451:AP514" si="143">H451-AO451</f>
        <v>152.79669363214987</v>
      </c>
    </row>
    <row r="452" spans="1:42" x14ac:dyDescent="0.15">
      <c r="A452" s="8">
        <v>410654768</v>
      </c>
      <c r="B452" t="s">
        <v>36</v>
      </c>
      <c r="C452" t="s">
        <v>19</v>
      </c>
      <c r="D452" s="1">
        <v>39293</v>
      </c>
      <c r="E452" s="2">
        <v>250000</v>
      </c>
      <c r="F452" s="2">
        <v>140000</v>
      </c>
      <c r="G452" t="s">
        <v>17</v>
      </c>
      <c r="H452" s="2">
        <v>921.67</v>
      </c>
      <c r="I452" s="2">
        <v>139941.44</v>
      </c>
      <c r="J452">
        <v>7.9000000000000001E-2</v>
      </c>
      <c r="K452">
        <v>9</v>
      </c>
      <c r="L452">
        <v>350</v>
      </c>
      <c r="M452" t="str">
        <f t="shared" si="129"/>
        <v>30 Year Fixed</v>
      </c>
      <c r="N452" s="2">
        <v>921.32</v>
      </c>
      <c r="O452" t="str">
        <f t="shared" si="126"/>
        <v>Cash Out</v>
      </c>
      <c r="P452" s="3">
        <f t="shared" si="130"/>
        <v>69418.165911330056</v>
      </c>
      <c r="Q452" s="4">
        <v>212500</v>
      </c>
      <c r="R452" s="4" t="s">
        <v>41</v>
      </c>
      <c r="S452" s="6">
        <v>596</v>
      </c>
      <c r="T452">
        <v>7.375</v>
      </c>
      <c r="U452" s="7">
        <f t="shared" si="127"/>
        <v>1556.2263553110095</v>
      </c>
      <c r="V452" s="2">
        <f t="shared" si="131"/>
        <v>-634.5563553110095</v>
      </c>
      <c r="W452" s="9">
        <f t="shared" si="132"/>
        <v>1</v>
      </c>
      <c r="X452" s="3">
        <v>142040</v>
      </c>
      <c r="Y452" s="3">
        <f t="shared" si="133"/>
        <v>-0.55330049261101522</v>
      </c>
      <c r="Z452" s="7">
        <f t="shared" si="134"/>
        <v>1040.2183129805919</v>
      </c>
      <c r="AA452" s="2">
        <f t="shared" si="128"/>
        <v>-118.54831298059196</v>
      </c>
      <c r="AB452" s="8">
        <f t="shared" si="135"/>
        <v>1</v>
      </c>
      <c r="AC452" s="10">
        <v>6.625</v>
      </c>
      <c r="AD452" s="7">
        <f t="shared" si="136"/>
        <v>968.68102244443048</v>
      </c>
      <c r="AE452" s="2">
        <f t="shared" si="137"/>
        <v>-47.011022444430523</v>
      </c>
      <c r="AF452" s="10">
        <v>1.875</v>
      </c>
      <c r="AG452" s="3">
        <f t="shared" si="138"/>
        <v>2663.25</v>
      </c>
      <c r="AH452" s="7">
        <v>2800</v>
      </c>
      <c r="AI452">
        <f t="shared" si="139"/>
        <v>360</v>
      </c>
      <c r="AJ452" t="e">
        <f>VLOOKUP(A452,'Borrower Details'!$A$1:$H$1493,8,FALSE)</f>
        <v>#N/A</v>
      </c>
      <c r="AK452" s="4" t="e">
        <f t="shared" si="140"/>
        <v>#N/A</v>
      </c>
      <c r="AL452" s="10">
        <v>7.375</v>
      </c>
      <c r="AM452" s="3">
        <f t="shared" si="141"/>
        <v>142040.56159999999</v>
      </c>
      <c r="AN452">
        <v>7.375</v>
      </c>
      <c r="AO452" s="7">
        <f t="shared" si="142"/>
        <v>1040.2224258122208</v>
      </c>
      <c r="AP452" s="2">
        <f t="shared" si="143"/>
        <v>-118.5524258122208</v>
      </c>
    </row>
    <row r="453" spans="1:42" x14ac:dyDescent="0.15">
      <c r="A453" s="8">
        <v>1162089</v>
      </c>
      <c r="B453" t="s">
        <v>37</v>
      </c>
      <c r="C453" t="s">
        <v>18</v>
      </c>
      <c r="D453" s="1">
        <v>39167</v>
      </c>
      <c r="E453" s="2">
        <v>117000</v>
      </c>
      <c r="F453" s="2">
        <v>93600</v>
      </c>
      <c r="G453" t="s">
        <v>17</v>
      </c>
      <c r="H453" s="2">
        <v>629.03</v>
      </c>
      <c r="I453" s="2">
        <v>92191.82</v>
      </c>
      <c r="J453">
        <v>7.0999999999999994E-2</v>
      </c>
      <c r="K453">
        <v>13</v>
      </c>
      <c r="L453">
        <v>347</v>
      </c>
      <c r="M453" t="str">
        <f t="shared" si="129"/>
        <v>30 Year Fixed</v>
      </c>
      <c r="N453" s="2">
        <v>545.47</v>
      </c>
      <c r="O453" t="str">
        <f t="shared" si="126"/>
        <v>Cash Out</v>
      </c>
      <c r="P453" s="3">
        <f t="shared" si="130"/>
        <v>5788.4755665024713</v>
      </c>
      <c r="Q453" s="4">
        <v>99450</v>
      </c>
      <c r="R453" s="4" t="s">
        <v>41</v>
      </c>
      <c r="S453" s="6">
        <v>694</v>
      </c>
      <c r="T453">
        <v>6.875</v>
      </c>
      <c r="U453" s="7">
        <f t="shared" si="127"/>
        <v>694.75320520030095</v>
      </c>
      <c r="V453" s="2">
        <f t="shared" si="131"/>
        <v>-65.723205200300981</v>
      </c>
      <c r="W453" s="9">
        <f t="shared" si="132"/>
        <v>1</v>
      </c>
      <c r="X453" s="3">
        <v>93575</v>
      </c>
      <c r="Y453" s="3">
        <f t="shared" si="133"/>
        <v>0.29822660099307541</v>
      </c>
      <c r="Z453" s="7">
        <f t="shared" si="134"/>
        <v>653.71072073019775</v>
      </c>
      <c r="AA453" s="2">
        <f t="shared" si="128"/>
        <v>-24.680720730197777</v>
      </c>
      <c r="AB453" s="8">
        <f t="shared" si="135"/>
        <v>1</v>
      </c>
      <c r="AC453" s="10">
        <v>6.25</v>
      </c>
      <c r="AD453" s="7">
        <f t="shared" si="136"/>
        <v>615.14695363233113</v>
      </c>
      <c r="AE453" s="2">
        <f t="shared" si="137"/>
        <v>13.88304636766884</v>
      </c>
      <c r="AF453" s="10">
        <v>2.5</v>
      </c>
      <c r="AG453" s="3">
        <f t="shared" si="138"/>
        <v>2339.375</v>
      </c>
      <c r="AH453" s="7">
        <v>0</v>
      </c>
      <c r="AI453">
        <f t="shared" si="139"/>
        <v>360</v>
      </c>
      <c r="AJ453" t="e">
        <f>VLOOKUP(A453,'Borrower Details'!$A$1:$H$1493,8,FALSE)</f>
        <v>#N/A</v>
      </c>
      <c r="AK453" s="4" t="e">
        <f t="shared" si="140"/>
        <v>#N/A</v>
      </c>
      <c r="AL453" s="10">
        <v>6.875</v>
      </c>
      <c r="AM453" s="3">
        <f t="shared" si="141"/>
        <v>93574.6973</v>
      </c>
      <c r="AN453">
        <v>6.875</v>
      </c>
      <c r="AO453" s="7">
        <f t="shared" si="142"/>
        <v>653.70860608167868</v>
      </c>
      <c r="AP453" s="2">
        <f t="shared" si="143"/>
        <v>-24.678606081678709</v>
      </c>
    </row>
    <row r="454" spans="1:42" x14ac:dyDescent="0.15">
      <c r="A454" s="8">
        <v>410565766</v>
      </c>
      <c r="B454" t="s">
        <v>36</v>
      </c>
      <c r="C454" t="s">
        <v>19</v>
      </c>
      <c r="D454" s="1">
        <v>39276</v>
      </c>
      <c r="E454" s="2">
        <v>132000</v>
      </c>
      <c r="F454" s="2">
        <v>70000</v>
      </c>
      <c r="G454" t="s">
        <v>17</v>
      </c>
      <c r="H454" s="2">
        <v>550.70000000000005</v>
      </c>
      <c r="I454" s="2">
        <v>69626.710000000006</v>
      </c>
      <c r="J454">
        <v>8.7499999999999994E-2</v>
      </c>
      <c r="K454">
        <v>9</v>
      </c>
      <c r="L454">
        <v>351</v>
      </c>
      <c r="M454" t="str">
        <f t="shared" si="129"/>
        <v>30 Year Fixed</v>
      </c>
      <c r="N454" s="2">
        <v>507.69</v>
      </c>
      <c r="O454" t="str">
        <f t="shared" si="126"/>
        <v>Cash Out</v>
      </c>
      <c r="P454" s="3">
        <f t="shared" si="130"/>
        <v>40915.161921182269</v>
      </c>
      <c r="Q454" s="4">
        <v>112200</v>
      </c>
      <c r="R454" s="4" t="s">
        <v>41</v>
      </c>
      <c r="S454" s="6">
        <v>546</v>
      </c>
      <c r="T454">
        <v>7.625</v>
      </c>
      <c r="U454" s="7">
        <f t="shared" si="127"/>
        <v>840.894583409902</v>
      </c>
      <c r="V454" s="2">
        <f t="shared" si="131"/>
        <v>-290.19458340990195</v>
      </c>
      <c r="W454" s="9">
        <f t="shared" si="132"/>
        <v>1</v>
      </c>
      <c r="X454" s="3">
        <v>73410</v>
      </c>
      <c r="Y454" s="3">
        <f t="shared" si="133"/>
        <v>2698.4131527093559</v>
      </c>
      <c r="Z454" s="7">
        <f t="shared" si="134"/>
        <v>550.17888919893858</v>
      </c>
      <c r="AA454" s="2">
        <f t="shared" si="128"/>
        <v>0.52111080106146801</v>
      </c>
      <c r="AB454" s="8">
        <f t="shared" si="135"/>
        <v>1</v>
      </c>
      <c r="AC454" s="10">
        <v>6.875</v>
      </c>
      <c r="AD454" s="7">
        <f t="shared" si="136"/>
        <v>512.83894211919653</v>
      </c>
      <c r="AE454" s="2">
        <f t="shared" si="137"/>
        <v>37.861057880803514</v>
      </c>
      <c r="AF454" s="10">
        <v>1.25</v>
      </c>
      <c r="AG454" s="3">
        <f t="shared" si="138"/>
        <v>917.625</v>
      </c>
      <c r="AH454" s="7">
        <v>1400</v>
      </c>
      <c r="AI454">
        <f t="shared" si="139"/>
        <v>360</v>
      </c>
      <c r="AJ454" t="e">
        <f>VLOOKUP(A454,'Borrower Details'!$A$1:$H$1493,8,FALSE)</f>
        <v>#N/A</v>
      </c>
      <c r="AK454" s="4" t="e">
        <f t="shared" si="140"/>
        <v>#N/A</v>
      </c>
      <c r="AL454" s="10">
        <v>7.625</v>
      </c>
      <c r="AM454" s="3">
        <f t="shared" si="141"/>
        <v>70671.110650000002</v>
      </c>
      <c r="AN454">
        <v>7.625</v>
      </c>
      <c r="AO454" s="7">
        <f t="shared" si="142"/>
        <v>529.65199776423208</v>
      </c>
      <c r="AP454" s="2">
        <f t="shared" si="143"/>
        <v>21.048002235767967</v>
      </c>
    </row>
    <row r="455" spans="1:42" x14ac:dyDescent="0.15">
      <c r="A455" s="8">
        <v>410528376</v>
      </c>
      <c r="B455" t="s">
        <v>38</v>
      </c>
      <c r="C455" t="s">
        <v>19</v>
      </c>
      <c r="D455" s="1">
        <v>39288</v>
      </c>
      <c r="E455" s="2">
        <v>150000</v>
      </c>
      <c r="F455" s="2">
        <v>114500</v>
      </c>
      <c r="G455" t="s">
        <v>20</v>
      </c>
      <c r="H455" s="2">
        <v>736.63</v>
      </c>
      <c r="I455" s="2">
        <v>114172.39</v>
      </c>
      <c r="J455">
        <v>7.2999999999999995E-2</v>
      </c>
      <c r="K455">
        <v>9</v>
      </c>
      <c r="L455">
        <v>352</v>
      </c>
      <c r="M455" t="str">
        <f t="shared" si="129"/>
        <v>30 Year Fixed</v>
      </c>
      <c r="N455" s="2">
        <v>694.55</v>
      </c>
      <c r="O455" t="str">
        <f t="shared" si="126"/>
        <v>Cash Out</v>
      </c>
      <c r="P455" s="3">
        <f t="shared" si="130"/>
        <v>11443.373546798044</v>
      </c>
      <c r="Q455" s="4">
        <v>127500</v>
      </c>
      <c r="R455" s="4" t="s">
        <v>41</v>
      </c>
      <c r="S455" s="6">
        <v>583</v>
      </c>
      <c r="T455">
        <v>7.375</v>
      </c>
      <c r="U455" s="7">
        <f t="shared" si="127"/>
        <v>933.7358131866057</v>
      </c>
      <c r="V455" s="2">
        <f t="shared" si="131"/>
        <v>-197.1058131866057</v>
      </c>
      <c r="W455" s="9">
        <f t="shared" si="132"/>
        <v>1</v>
      </c>
      <c r="X455" s="3">
        <v>115885</v>
      </c>
      <c r="Y455" s="3">
        <f t="shared" si="133"/>
        <v>2.3793103464413434E-2</v>
      </c>
      <c r="Z455" s="7">
        <f t="shared" si="134"/>
        <v>848.67431145984165</v>
      </c>
      <c r="AA455" s="2">
        <f t="shared" si="128"/>
        <v>-112.04431145984165</v>
      </c>
      <c r="AB455" s="8">
        <f t="shared" si="135"/>
        <v>1</v>
      </c>
      <c r="AC455" s="10">
        <v>6.375</v>
      </c>
      <c r="AD455" s="7">
        <f t="shared" si="136"/>
        <v>771.25704892481531</v>
      </c>
      <c r="AE455" s="2">
        <f t="shared" si="137"/>
        <v>-34.627048924815313</v>
      </c>
      <c r="AF455" s="10">
        <v>2.625</v>
      </c>
      <c r="AG455" s="3">
        <f t="shared" si="138"/>
        <v>3041.9812499999998</v>
      </c>
      <c r="AH455" s="7">
        <v>0</v>
      </c>
      <c r="AI455">
        <f t="shared" si="139"/>
        <v>360</v>
      </c>
      <c r="AJ455" t="e">
        <f>VLOOKUP(A455,'Borrower Details'!$A$1:$H$1493,8,FALSE)</f>
        <v>#N/A</v>
      </c>
      <c r="AK455" s="4" t="e">
        <f t="shared" si="140"/>
        <v>#N/A</v>
      </c>
      <c r="AL455" s="10">
        <v>7.375</v>
      </c>
      <c r="AM455" s="3">
        <f t="shared" si="141"/>
        <v>115884.97584999999</v>
      </c>
      <c r="AN455">
        <v>7.375</v>
      </c>
      <c r="AO455" s="7">
        <f t="shared" si="142"/>
        <v>848.67413459929344</v>
      </c>
      <c r="AP455" s="2">
        <f t="shared" si="143"/>
        <v>-112.04413459929344</v>
      </c>
    </row>
    <row r="456" spans="1:42" x14ac:dyDescent="0.15">
      <c r="A456" s="8">
        <v>1161876</v>
      </c>
      <c r="B456" t="s">
        <v>37</v>
      </c>
      <c r="C456" t="s">
        <v>19</v>
      </c>
      <c r="D456" s="1">
        <v>39150</v>
      </c>
      <c r="E456" s="2">
        <v>120000</v>
      </c>
      <c r="F456" s="2">
        <v>95600</v>
      </c>
      <c r="G456" t="s">
        <v>15</v>
      </c>
      <c r="H456" s="2">
        <v>652.16999999999996</v>
      </c>
      <c r="I456" s="2">
        <v>94594.41</v>
      </c>
      <c r="J456">
        <v>7.2499999999999995E-2</v>
      </c>
      <c r="K456">
        <v>13</v>
      </c>
      <c r="L456">
        <v>347</v>
      </c>
      <c r="M456" t="str">
        <f t="shared" si="129"/>
        <v>30 Year Fixed</v>
      </c>
      <c r="N456" s="2">
        <v>571.51</v>
      </c>
      <c r="O456" t="str">
        <f t="shared" si="126"/>
        <v>Cash Out</v>
      </c>
      <c r="P456" s="3">
        <f t="shared" si="130"/>
        <v>5898.2008374384313</v>
      </c>
      <c r="Q456" s="4">
        <v>102000</v>
      </c>
      <c r="R456" s="4" t="s">
        <v>41</v>
      </c>
      <c r="S456" s="6">
        <v>640</v>
      </c>
      <c r="T456">
        <v>6.75</v>
      </c>
      <c r="U456" s="7">
        <f t="shared" si="127"/>
        <v>704.07005849957807</v>
      </c>
      <c r="V456" s="2">
        <f t="shared" si="131"/>
        <v>-51.900058499578108</v>
      </c>
      <c r="W456" s="9">
        <f t="shared" si="132"/>
        <v>1</v>
      </c>
      <c r="X456" s="3">
        <v>96013</v>
      </c>
      <c r="Y456" s="3">
        <f t="shared" si="133"/>
        <v>-0.32133004924980924</v>
      </c>
      <c r="Z456" s="7">
        <f t="shared" si="134"/>
        <v>670.74247854094006</v>
      </c>
      <c r="AA456" s="2">
        <f t="shared" si="128"/>
        <v>-18.572478540940097</v>
      </c>
      <c r="AB456" s="8">
        <f t="shared" si="135"/>
        <v>1</v>
      </c>
      <c r="AC456" s="10">
        <v>6.25</v>
      </c>
      <c r="AD456" s="7">
        <f t="shared" si="136"/>
        <v>631.17397231205985</v>
      </c>
      <c r="AE456" s="2">
        <f t="shared" si="137"/>
        <v>20.996027687940114</v>
      </c>
      <c r="AF456" s="10">
        <v>2.5</v>
      </c>
      <c r="AG456" s="3">
        <f t="shared" si="138"/>
        <v>2400.3249999999998</v>
      </c>
      <c r="AH456" s="7">
        <v>0</v>
      </c>
      <c r="AI456">
        <f t="shared" si="139"/>
        <v>360</v>
      </c>
      <c r="AJ456" t="e">
        <f>VLOOKUP(A456,'Borrower Details'!$A$1:$H$1493,8,FALSE)</f>
        <v>#N/A</v>
      </c>
      <c r="AK456" s="4" t="e">
        <f t="shared" si="140"/>
        <v>#N/A</v>
      </c>
      <c r="AL456" s="10">
        <v>6.875</v>
      </c>
      <c r="AM456" s="3">
        <f t="shared" si="141"/>
        <v>96013.326149999994</v>
      </c>
      <c r="AN456">
        <v>6.875</v>
      </c>
      <c r="AO456" s="7">
        <f t="shared" si="142"/>
        <v>670.74475701009931</v>
      </c>
      <c r="AP456" s="2">
        <f t="shared" si="143"/>
        <v>-18.574757010099347</v>
      </c>
    </row>
    <row r="457" spans="1:42" x14ac:dyDescent="0.15">
      <c r="A457" s="8">
        <v>1155229</v>
      </c>
      <c r="B457" t="s">
        <v>35</v>
      </c>
      <c r="C457" t="s">
        <v>16</v>
      </c>
      <c r="D457" s="1">
        <v>39192</v>
      </c>
      <c r="E457" s="2">
        <v>71500</v>
      </c>
      <c r="F457" s="2">
        <v>64350</v>
      </c>
      <c r="G457" t="s">
        <v>17</v>
      </c>
      <c r="H457" s="2">
        <v>576.65</v>
      </c>
      <c r="I457" s="2">
        <v>64010.42</v>
      </c>
      <c r="J457">
        <v>0.10249999999999999</v>
      </c>
      <c r="K457">
        <v>12</v>
      </c>
      <c r="L457">
        <v>348</v>
      </c>
      <c r="M457" t="str">
        <f t="shared" si="129"/>
        <v>30 Year Fixed</v>
      </c>
      <c r="N457" s="2">
        <v>546.76</v>
      </c>
      <c r="O457" t="str">
        <f t="shared" si="126"/>
        <v>Refi</v>
      </c>
      <c r="P457" s="3">
        <f t="shared" si="130"/>
        <v>0</v>
      </c>
      <c r="Q457" s="4">
        <v>64971</v>
      </c>
      <c r="R457" s="4" t="s">
        <v>41</v>
      </c>
      <c r="S457" s="6">
        <v>585</v>
      </c>
      <c r="T457">
        <v>7.625</v>
      </c>
      <c r="U457" s="7">
        <f t="shared" si="127"/>
        <v>486.93192494407083</v>
      </c>
      <c r="V457" s="2">
        <f t="shared" si="131"/>
        <v>89.718075055929148</v>
      </c>
      <c r="W457" s="9">
        <f t="shared" si="132"/>
        <v>0</v>
      </c>
      <c r="X457" s="3">
        <v>64971</v>
      </c>
      <c r="Y457" s="3">
        <f t="shared" si="133"/>
        <v>0.41743842365394812</v>
      </c>
      <c r="Z457" s="7">
        <f t="shared" si="134"/>
        <v>486.93192494407083</v>
      </c>
      <c r="AA457" s="2">
        <f t="shared" si="128"/>
        <v>89.718075055929148</v>
      </c>
      <c r="AB457" s="8">
        <f t="shared" si="135"/>
        <v>0</v>
      </c>
      <c r="AC457" s="10">
        <v>7.625</v>
      </c>
      <c r="AD457" s="7">
        <f t="shared" si="136"/>
        <v>486.93192494407083</v>
      </c>
      <c r="AE457" s="2">
        <f t="shared" si="137"/>
        <v>89.718075055929148</v>
      </c>
      <c r="AF457" s="10">
        <v>0</v>
      </c>
      <c r="AG457" s="3">
        <f t="shared" si="138"/>
        <v>0</v>
      </c>
      <c r="AH457" s="7">
        <v>3297.9375</v>
      </c>
      <c r="AI457">
        <f t="shared" si="139"/>
        <v>360</v>
      </c>
      <c r="AJ457" t="e">
        <f>VLOOKUP(A457,'Borrower Details'!$A$1:$H$1493,8,FALSE)</f>
        <v>#N/A</v>
      </c>
      <c r="AK457" s="4" t="e">
        <f t="shared" si="140"/>
        <v>#N/A</v>
      </c>
      <c r="AL457" s="10">
        <v>7.625</v>
      </c>
      <c r="AM457" s="3">
        <f t="shared" si="141"/>
        <v>64970.576299999993</v>
      </c>
      <c r="AN457">
        <v>7.625</v>
      </c>
      <c r="AO457" s="7">
        <f t="shared" si="142"/>
        <v>486.92874948030078</v>
      </c>
      <c r="AP457" s="2">
        <f t="shared" si="143"/>
        <v>89.721250519699197</v>
      </c>
    </row>
    <row r="458" spans="1:42" x14ac:dyDescent="0.15">
      <c r="A458" s="8">
        <v>1179368</v>
      </c>
      <c r="B458" t="s">
        <v>36</v>
      </c>
      <c r="C458" t="s">
        <v>19</v>
      </c>
      <c r="D458" s="1">
        <v>39171</v>
      </c>
      <c r="E458" s="2">
        <v>157430</v>
      </c>
      <c r="F458" s="2">
        <v>133800</v>
      </c>
      <c r="G458" t="s">
        <v>17</v>
      </c>
      <c r="H458" s="2">
        <v>949.34</v>
      </c>
      <c r="I458" s="2">
        <v>132498.19</v>
      </c>
      <c r="J458">
        <v>7.6499999999999999E-2</v>
      </c>
      <c r="K458">
        <v>13</v>
      </c>
      <c r="L458">
        <v>347</v>
      </c>
      <c r="M458" t="str">
        <f t="shared" si="129"/>
        <v>30 Year Fixed</v>
      </c>
      <c r="N458" s="2">
        <v>844.68</v>
      </c>
      <c r="O458" t="str">
        <f t="shared" si="126"/>
        <v>Refi</v>
      </c>
      <c r="P458" s="3">
        <f t="shared" si="130"/>
        <v>0</v>
      </c>
      <c r="Q458" s="4">
        <v>134486</v>
      </c>
      <c r="R458" s="4" t="s">
        <v>41</v>
      </c>
      <c r="S458" s="6">
        <v>604</v>
      </c>
      <c r="T458">
        <v>6.875</v>
      </c>
      <c r="U458" s="7">
        <f t="shared" si="127"/>
        <v>939.5131176929882</v>
      </c>
      <c r="V458" s="2">
        <f t="shared" si="131"/>
        <v>9.8268823070118287</v>
      </c>
      <c r="W458" s="9">
        <f t="shared" si="132"/>
        <v>0</v>
      </c>
      <c r="X458" s="3">
        <v>134486</v>
      </c>
      <c r="Y458" s="3">
        <f t="shared" si="133"/>
        <v>0.33216748770792037</v>
      </c>
      <c r="Z458" s="7">
        <f t="shared" si="134"/>
        <v>939.5131176929882</v>
      </c>
      <c r="AA458" s="2">
        <f t="shared" si="128"/>
        <v>9.8268823070118287</v>
      </c>
      <c r="AB458" s="8">
        <f t="shared" si="135"/>
        <v>1</v>
      </c>
      <c r="AC458" s="10">
        <v>6.25</v>
      </c>
      <c r="AD458" s="7">
        <f t="shared" si="136"/>
        <v>884.08926749877298</v>
      </c>
      <c r="AE458" s="2">
        <f t="shared" si="137"/>
        <v>65.250732501227048</v>
      </c>
      <c r="AF458" s="10">
        <v>2.5</v>
      </c>
      <c r="AG458" s="3">
        <f t="shared" si="138"/>
        <v>3362.15</v>
      </c>
      <c r="AH458" s="7">
        <v>2676</v>
      </c>
      <c r="AI458">
        <f t="shared" si="139"/>
        <v>360</v>
      </c>
      <c r="AJ458" t="e">
        <f>VLOOKUP(A458,'Borrower Details'!$A$1:$H$1493,8,FALSE)</f>
        <v>#N/A</v>
      </c>
      <c r="AK458" s="4" t="e">
        <f t="shared" si="140"/>
        <v>#N/A</v>
      </c>
      <c r="AL458" s="10">
        <v>6.875</v>
      </c>
      <c r="AM458" s="3">
        <f t="shared" si="141"/>
        <v>134485.66284999999</v>
      </c>
      <c r="AN458">
        <v>6.875</v>
      </c>
      <c r="AO458" s="7">
        <f t="shared" si="142"/>
        <v>939.51076237832615</v>
      </c>
      <c r="AP458" s="2">
        <f t="shared" si="143"/>
        <v>9.829237621673883</v>
      </c>
    </row>
    <row r="459" spans="1:42" x14ac:dyDescent="0.15">
      <c r="A459" s="8">
        <v>1187482</v>
      </c>
      <c r="B459" t="s">
        <v>36</v>
      </c>
      <c r="C459" t="s">
        <v>19</v>
      </c>
      <c r="D459" s="1">
        <v>39202</v>
      </c>
      <c r="E459" s="2">
        <v>445000</v>
      </c>
      <c r="F459" s="2">
        <v>231000</v>
      </c>
      <c r="G459" t="s">
        <v>15</v>
      </c>
      <c r="H459" s="2">
        <v>1560.19</v>
      </c>
      <c r="I459" s="2">
        <v>228720.46</v>
      </c>
      <c r="J459">
        <v>7.1499999999999994E-2</v>
      </c>
      <c r="K459">
        <v>12</v>
      </c>
      <c r="L459">
        <v>348</v>
      </c>
      <c r="M459" t="str">
        <f t="shared" si="129"/>
        <v>30 Year Fixed</v>
      </c>
      <c r="N459" s="2">
        <v>1362.79</v>
      </c>
      <c r="O459" t="str">
        <f t="shared" si="126"/>
        <v>Cash Out</v>
      </c>
      <c r="P459" s="3">
        <f t="shared" si="130"/>
        <v>143939.63852216754</v>
      </c>
      <c r="Q459" s="4">
        <v>378250</v>
      </c>
      <c r="R459" s="4" t="s">
        <v>41</v>
      </c>
      <c r="S459" s="6">
        <v>549</v>
      </c>
      <c r="T459">
        <v>7.625</v>
      </c>
      <c r="U459" s="7">
        <f t="shared" si="127"/>
        <v>2834.8340122530785</v>
      </c>
      <c r="V459" s="2">
        <f t="shared" si="131"/>
        <v>-1274.6440122530785</v>
      </c>
      <c r="W459" s="9">
        <f t="shared" si="132"/>
        <v>1</v>
      </c>
      <c r="X459" s="3">
        <v>232151</v>
      </c>
      <c r="Y459" s="3">
        <f t="shared" si="133"/>
        <v>-0.2629556650063023</v>
      </c>
      <c r="Z459" s="7">
        <f t="shared" si="134"/>
        <v>1739.8798434330852</v>
      </c>
      <c r="AA459" s="2">
        <f t="shared" si="128"/>
        <v>-179.68984343308512</v>
      </c>
      <c r="AB459" s="8">
        <f t="shared" si="135"/>
        <v>1</v>
      </c>
      <c r="AC459" s="10">
        <v>6.875</v>
      </c>
      <c r="AD459" s="7">
        <f t="shared" si="136"/>
        <v>1621.7963935691812</v>
      </c>
      <c r="AE459" s="2">
        <f t="shared" si="137"/>
        <v>-61.606393569181137</v>
      </c>
      <c r="AF459" s="10">
        <v>1</v>
      </c>
      <c r="AG459" s="3">
        <f t="shared" si="138"/>
        <v>2321.5100000000002</v>
      </c>
      <c r="AH459" s="7">
        <v>4620</v>
      </c>
      <c r="AI459">
        <f t="shared" si="139"/>
        <v>360</v>
      </c>
      <c r="AJ459" t="e">
        <f>VLOOKUP(A459,'Borrower Details'!$A$1:$H$1493,8,FALSE)</f>
        <v>#N/A</v>
      </c>
      <c r="AK459" s="4" t="e">
        <f t="shared" si="140"/>
        <v>#N/A</v>
      </c>
      <c r="AL459" s="10">
        <v>7.625</v>
      </c>
      <c r="AM459" s="3">
        <f t="shared" si="141"/>
        <v>232151.26689999996</v>
      </c>
      <c r="AN459">
        <v>7.625</v>
      </c>
      <c r="AO459" s="7">
        <f t="shared" si="142"/>
        <v>1739.8818437429275</v>
      </c>
      <c r="AP459" s="2">
        <f t="shared" si="143"/>
        <v>-179.6918437429274</v>
      </c>
    </row>
    <row r="460" spans="1:42" x14ac:dyDescent="0.15">
      <c r="A460" s="8">
        <v>411063274</v>
      </c>
      <c r="B460" t="s">
        <v>37</v>
      </c>
      <c r="C460" t="s">
        <v>16</v>
      </c>
      <c r="D460" s="1">
        <v>39393</v>
      </c>
      <c r="E460" s="2">
        <v>185000</v>
      </c>
      <c r="F460" s="2">
        <v>135000</v>
      </c>
      <c r="G460" t="s">
        <v>17</v>
      </c>
      <c r="H460" s="2">
        <v>1219.79</v>
      </c>
      <c r="I460" s="2">
        <v>134717.25</v>
      </c>
      <c r="J460">
        <v>0.10349999999999999</v>
      </c>
      <c r="K460">
        <v>5</v>
      </c>
      <c r="L460">
        <v>355</v>
      </c>
      <c r="M460" t="str">
        <f t="shared" si="129"/>
        <v>30 Year Fixed</v>
      </c>
      <c r="N460" s="2">
        <v>1161.94</v>
      </c>
      <c r="O460" t="str">
        <f t="shared" si="126"/>
        <v>Cash Out</v>
      </c>
      <c r="P460" s="3">
        <f t="shared" si="130"/>
        <v>20208.858374384261</v>
      </c>
      <c r="Q460" s="4">
        <v>157250</v>
      </c>
      <c r="R460" s="4" t="s">
        <v>41</v>
      </c>
      <c r="S460" s="6">
        <v>528</v>
      </c>
      <c r="T460">
        <v>7.625</v>
      </c>
      <c r="U460" s="7">
        <f t="shared" si="127"/>
        <v>1178.5264994759989</v>
      </c>
      <c r="V460" s="2">
        <f t="shared" si="131"/>
        <v>41.263500524001074</v>
      </c>
      <c r="W460" s="9">
        <f t="shared" si="132"/>
        <v>0</v>
      </c>
      <c r="X460" s="3">
        <v>157250</v>
      </c>
      <c r="Y460" s="3">
        <f t="shared" si="133"/>
        <v>20208.858374384261</v>
      </c>
      <c r="Z460" s="7">
        <f t="shared" si="134"/>
        <v>1178.5264994759989</v>
      </c>
      <c r="AA460" s="2">
        <f t="shared" si="128"/>
        <v>41.263500524001074</v>
      </c>
      <c r="AB460" s="8">
        <f t="shared" si="135"/>
        <v>0</v>
      </c>
      <c r="AC460" s="10">
        <v>7.625</v>
      </c>
      <c r="AD460" s="7">
        <f t="shared" si="136"/>
        <v>1178.5264994759989</v>
      </c>
      <c r="AE460" s="2">
        <f t="shared" si="137"/>
        <v>41.263500524001074</v>
      </c>
      <c r="AF460" s="10">
        <v>0</v>
      </c>
      <c r="AG460" s="3">
        <f t="shared" si="138"/>
        <v>0</v>
      </c>
      <c r="AH460" s="7">
        <v>0</v>
      </c>
      <c r="AI460">
        <f t="shared" si="139"/>
        <v>360</v>
      </c>
      <c r="AJ460" t="e">
        <f>VLOOKUP(A460,'Borrower Details'!$A$1:$H$1493,8,FALSE)</f>
        <v>#N/A</v>
      </c>
      <c r="AK460" s="4" t="e">
        <f t="shared" si="140"/>
        <v>#N/A</v>
      </c>
      <c r="AL460" s="10">
        <v>7.625</v>
      </c>
      <c r="AM460" s="3">
        <f t="shared" si="141"/>
        <v>136738.00874999998</v>
      </c>
      <c r="AN460">
        <v>7.625</v>
      </c>
      <c r="AO460" s="7">
        <f t="shared" si="142"/>
        <v>1024.7972451348553</v>
      </c>
      <c r="AP460" s="2">
        <f t="shared" si="143"/>
        <v>194.99275486514466</v>
      </c>
    </row>
    <row r="461" spans="1:42" x14ac:dyDescent="0.15">
      <c r="A461" s="8">
        <v>411110356</v>
      </c>
      <c r="B461" t="s">
        <v>38</v>
      </c>
      <c r="C461" t="s">
        <v>16</v>
      </c>
      <c r="D461" s="1">
        <v>39428</v>
      </c>
      <c r="E461" s="2">
        <v>265000</v>
      </c>
      <c r="F461" s="2">
        <v>212000</v>
      </c>
      <c r="G461" t="s">
        <v>17</v>
      </c>
      <c r="H461" s="2">
        <v>1682.97</v>
      </c>
      <c r="I461" s="2">
        <v>211516.81</v>
      </c>
      <c r="J461">
        <v>8.8499999999999995E-2</v>
      </c>
      <c r="K461">
        <v>4</v>
      </c>
      <c r="L461">
        <v>356</v>
      </c>
      <c r="M461" t="str">
        <f t="shared" si="129"/>
        <v>30 Year Fixed</v>
      </c>
      <c r="N461" s="2">
        <v>1559.94</v>
      </c>
      <c r="O461" t="str">
        <f t="shared" si="126"/>
        <v>Cash Out</v>
      </c>
      <c r="P461" s="3">
        <f t="shared" si="130"/>
        <v>10404.372266009887</v>
      </c>
      <c r="Q461" s="4">
        <v>225250</v>
      </c>
      <c r="R461" s="4" t="s">
        <v>41</v>
      </c>
      <c r="S461" s="6">
        <v>654</v>
      </c>
      <c r="T461">
        <v>6.75</v>
      </c>
      <c r="U461" s="7">
        <f t="shared" si="127"/>
        <v>1554.8213791865683</v>
      </c>
      <c r="V461" s="2">
        <f t="shared" si="131"/>
        <v>128.14862081343176</v>
      </c>
      <c r="W461" s="9">
        <f t="shared" si="132"/>
        <v>0</v>
      </c>
      <c r="X461" s="3">
        <v>225250</v>
      </c>
      <c r="Y461" s="3">
        <f t="shared" si="133"/>
        <v>10404.372266009887</v>
      </c>
      <c r="Z461" s="7">
        <f t="shared" si="134"/>
        <v>1554.8213791865683</v>
      </c>
      <c r="AA461" s="2">
        <f t="shared" si="128"/>
        <v>128.14862081343176</v>
      </c>
      <c r="AB461" s="8">
        <f t="shared" si="135"/>
        <v>0</v>
      </c>
      <c r="AC461" s="10">
        <v>6.75</v>
      </c>
      <c r="AD461" s="7">
        <f t="shared" si="136"/>
        <v>1554.8213791865683</v>
      </c>
      <c r="AE461" s="2">
        <f t="shared" si="137"/>
        <v>128.14862081343176</v>
      </c>
      <c r="AF461" s="10">
        <v>0</v>
      </c>
      <c r="AG461" s="3">
        <f t="shared" si="138"/>
        <v>0</v>
      </c>
      <c r="AH461" s="7">
        <v>2120</v>
      </c>
      <c r="AI461">
        <f t="shared" si="139"/>
        <v>360</v>
      </c>
      <c r="AJ461" t="e">
        <f>VLOOKUP(A461,'Borrower Details'!$A$1:$H$1493,8,FALSE)</f>
        <v>#N/A</v>
      </c>
      <c r="AK461" s="4" t="e">
        <f t="shared" si="140"/>
        <v>#N/A</v>
      </c>
      <c r="AL461" s="10">
        <v>6.75</v>
      </c>
      <c r="AM461" s="3">
        <f t="shared" si="141"/>
        <v>214689.56214999998</v>
      </c>
      <c r="AN461">
        <v>6.75</v>
      </c>
      <c r="AO461" s="7">
        <f t="shared" si="142"/>
        <v>1481.9263978646991</v>
      </c>
      <c r="AP461" s="2">
        <f t="shared" si="143"/>
        <v>201.04360213530094</v>
      </c>
    </row>
    <row r="462" spans="1:42" x14ac:dyDescent="0.15">
      <c r="A462" s="8">
        <v>410055800</v>
      </c>
      <c r="B462" t="s">
        <v>37</v>
      </c>
      <c r="C462" t="s">
        <v>19</v>
      </c>
      <c r="D462" s="1">
        <v>39195</v>
      </c>
      <c r="E462" s="2">
        <v>245000</v>
      </c>
      <c r="F462" s="2">
        <v>208250</v>
      </c>
      <c r="G462" t="s">
        <v>17</v>
      </c>
      <c r="H462" s="2">
        <v>1616.05</v>
      </c>
      <c r="I462" s="2">
        <v>206639.71</v>
      </c>
      <c r="J462">
        <v>8.5999999999999993E-2</v>
      </c>
      <c r="K462">
        <v>12</v>
      </c>
      <c r="L462">
        <v>348</v>
      </c>
      <c r="M462" t="str">
        <f t="shared" si="129"/>
        <v>30 Year Fixed</v>
      </c>
      <c r="N462" s="2">
        <v>1480.92</v>
      </c>
      <c r="O462" t="str">
        <f t="shared" si="126"/>
        <v>Refi</v>
      </c>
      <c r="P462" s="3">
        <f t="shared" si="130"/>
        <v>0</v>
      </c>
      <c r="Q462" s="4">
        <v>209739</v>
      </c>
      <c r="R462" s="4" t="s">
        <v>41</v>
      </c>
      <c r="S462" s="6">
        <v>582</v>
      </c>
      <c r="T462">
        <v>7.375</v>
      </c>
      <c r="U462" s="7">
        <f t="shared" si="127"/>
        <v>1536.0063978191802</v>
      </c>
      <c r="V462" s="2">
        <f t="shared" si="131"/>
        <v>80.043602180819789</v>
      </c>
      <c r="W462" s="9">
        <f t="shared" si="132"/>
        <v>0</v>
      </c>
      <c r="X462" s="3">
        <v>209740</v>
      </c>
      <c r="Y462" s="3">
        <f t="shared" si="133"/>
        <v>0.68408866997924633</v>
      </c>
      <c r="Z462" s="7">
        <f t="shared" si="134"/>
        <v>1536.0137212373229</v>
      </c>
      <c r="AA462" s="2">
        <f t="shared" si="128"/>
        <v>80.036278762677057</v>
      </c>
      <c r="AB462" s="8">
        <f t="shared" si="135"/>
        <v>1</v>
      </c>
      <c r="AC462" s="10">
        <v>6.625</v>
      </c>
      <c r="AD462" s="7">
        <f t="shared" si="136"/>
        <v>1430.3798764256185</v>
      </c>
      <c r="AE462" s="2">
        <f t="shared" si="137"/>
        <v>185.67012357438148</v>
      </c>
      <c r="AF462" s="10">
        <v>1.875</v>
      </c>
      <c r="AG462" s="3">
        <f t="shared" si="138"/>
        <v>3932.625</v>
      </c>
      <c r="AH462" s="7">
        <v>2082.5</v>
      </c>
      <c r="AI462">
        <f t="shared" si="139"/>
        <v>360</v>
      </c>
      <c r="AJ462" t="e">
        <f>VLOOKUP(A462,'Borrower Details'!$A$1:$H$1493,8,FALSE)</f>
        <v>#N/A</v>
      </c>
      <c r="AK462" s="4" t="e">
        <f t="shared" si="140"/>
        <v>#N/A</v>
      </c>
      <c r="AL462" s="10">
        <v>7.375</v>
      </c>
      <c r="AM462" s="3">
        <f t="shared" si="141"/>
        <v>209739.30564999997</v>
      </c>
      <c r="AN462">
        <v>7.375</v>
      </c>
      <c r="AO462" s="7">
        <f t="shared" si="142"/>
        <v>1536.0086362219354</v>
      </c>
      <c r="AP462" s="2">
        <f t="shared" si="143"/>
        <v>80.041363778064579</v>
      </c>
    </row>
    <row r="463" spans="1:42" x14ac:dyDescent="0.15">
      <c r="A463" s="8">
        <v>410809446</v>
      </c>
      <c r="B463" t="s">
        <v>38</v>
      </c>
      <c r="C463" t="s">
        <v>16</v>
      </c>
      <c r="D463" s="1">
        <v>39386</v>
      </c>
      <c r="E463" s="2">
        <v>135000</v>
      </c>
      <c r="F463" s="2">
        <v>114750</v>
      </c>
      <c r="G463" t="s">
        <v>17</v>
      </c>
      <c r="H463" s="2">
        <v>1180.3399999999999</v>
      </c>
      <c r="I463" s="2">
        <v>113846.14</v>
      </c>
      <c r="J463">
        <v>0.12</v>
      </c>
      <c r="K463">
        <v>6</v>
      </c>
      <c r="L463">
        <v>353</v>
      </c>
      <c r="M463" t="str">
        <f t="shared" si="129"/>
        <v>30 Year Fixed</v>
      </c>
      <c r="N463" s="2">
        <v>1138.8800000000001</v>
      </c>
      <c r="O463" t="str">
        <f t="shared" si="126"/>
        <v>Refi</v>
      </c>
      <c r="P463" s="3">
        <f t="shared" si="130"/>
        <v>0</v>
      </c>
      <c r="Q463" s="4">
        <v>115554</v>
      </c>
      <c r="R463" s="4" t="s">
        <v>41</v>
      </c>
      <c r="S463" s="6">
        <v>579</v>
      </c>
      <c r="T463">
        <v>7.625</v>
      </c>
      <c r="U463" s="7">
        <f t="shared" si="127"/>
        <v>866.03148566263656</v>
      </c>
      <c r="V463" s="2">
        <f t="shared" si="131"/>
        <v>314.30851433736336</v>
      </c>
      <c r="W463" s="9">
        <f t="shared" si="132"/>
        <v>0</v>
      </c>
      <c r="X463" s="3">
        <v>115554</v>
      </c>
      <c r="Y463" s="3">
        <f t="shared" si="133"/>
        <v>0.16541871921799611</v>
      </c>
      <c r="Z463" s="7">
        <f t="shared" si="134"/>
        <v>866.03148566263656</v>
      </c>
      <c r="AA463" s="2">
        <f t="shared" si="128"/>
        <v>314.30851433736336</v>
      </c>
      <c r="AB463" s="8">
        <f t="shared" si="135"/>
        <v>0</v>
      </c>
      <c r="AC463" s="10">
        <v>7.625</v>
      </c>
      <c r="AD463" s="7">
        <f t="shared" si="136"/>
        <v>866.03148566263656</v>
      </c>
      <c r="AE463" s="2">
        <f t="shared" si="137"/>
        <v>314.30851433736336</v>
      </c>
      <c r="AF463" s="10">
        <v>0</v>
      </c>
      <c r="AG463" s="3">
        <f t="shared" si="138"/>
        <v>0</v>
      </c>
      <c r="AH463" s="7">
        <v>0</v>
      </c>
      <c r="AI463">
        <f t="shared" si="139"/>
        <v>360</v>
      </c>
      <c r="AJ463" t="e">
        <f>VLOOKUP(A463,'Borrower Details'!$A$1:$H$1493,8,FALSE)</f>
        <v>#N/A</v>
      </c>
      <c r="AK463" s="4" t="e">
        <f t="shared" si="140"/>
        <v>#N/A</v>
      </c>
      <c r="AL463" s="10">
        <v>7.625</v>
      </c>
      <c r="AM463" s="3">
        <f t="shared" si="141"/>
        <v>115553.83209999999</v>
      </c>
      <c r="AN463">
        <v>7.625</v>
      </c>
      <c r="AO463" s="7">
        <f t="shared" si="142"/>
        <v>866.03022731860301</v>
      </c>
      <c r="AP463" s="2">
        <f t="shared" si="143"/>
        <v>314.30977268139691</v>
      </c>
    </row>
    <row r="464" spans="1:42" x14ac:dyDescent="0.15">
      <c r="A464" s="8">
        <v>411322860</v>
      </c>
      <c r="B464" t="s">
        <v>38</v>
      </c>
      <c r="C464" t="s">
        <v>16</v>
      </c>
      <c r="D464" s="1">
        <v>39505</v>
      </c>
      <c r="E464" s="2">
        <v>185000</v>
      </c>
      <c r="F464" s="2">
        <v>133700</v>
      </c>
      <c r="G464" t="s">
        <v>17</v>
      </c>
      <c r="H464" s="2">
        <v>1013.86</v>
      </c>
      <c r="I464" s="2">
        <v>133447.66</v>
      </c>
      <c r="J464">
        <v>8.3500000000000005E-2</v>
      </c>
      <c r="K464">
        <v>2</v>
      </c>
      <c r="L464">
        <v>357</v>
      </c>
      <c r="M464" t="str">
        <f t="shared" si="129"/>
        <v>30 Year Fixed</v>
      </c>
      <c r="N464" s="2">
        <v>928.57</v>
      </c>
      <c r="O464" t="str">
        <f t="shared" si="126"/>
        <v>Cash Out</v>
      </c>
      <c r="P464" s="3">
        <f t="shared" si="130"/>
        <v>21478.448374384257</v>
      </c>
      <c r="Q464" s="4">
        <v>157250</v>
      </c>
      <c r="R464" s="4" t="s">
        <v>41</v>
      </c>
      <c r="S464" s="6">
        <v>632</v>
      </c>
      <c r="T464">
        <v>6.75</v>
      </c>
      <c r="U464" s="7">
        <f t="shared" si="127"/>
        <v>1085.4413401868496</v>
      </c>
      <c r="V464" s="2">
        <f t="shared" si="131"/>
        <v>-71.581340186849616</v>
      </c>
      <c r="W464" s="9">
        <f t="shared" si="132"/>
        <v>1</v>
      </c>
      <c r="X464" s="3">
        <v>146800</v>
      </c>
      <c r="Y464" s="3">
        <f t="shared" si="133"/>
        <v>11182.881871921185</v>
      </c>
      <c r="Z464" s="7">
        <f t="shared" si="134"/>
        <v>1013.3086724288045</v>
      </c>
      <c r="AA464" s="2">
        <f t="shared" si="128"/>
        <v>0.55132757119554299</v>
      </c>
      <c r="AB464" s="8">
        <f t="shared" si="135"/>
        <v>1</v>
      </c>
      <c r="AC464" s="10">
        <v>6.125</v>
      </c>
      <c r="AD464" s="7">
        <f t="shared" si="136"/>
        <v>953.138938771119</v>
      </c>
      <c r="AE464" s="2">
        <f t="shared" si="137"/>
        <v>60.721061228881013</v>
      </c>
      <c r="AF464" s="10">
        <v>3</v>
      </c>
      <c r="AG464" s="3">
        <f t="shared" si="138"/>
        <v>4404</v>
      </c>
      <c r="AH464" s="7">
        <v>0</v>
      </c>
      <c r="AI464">
        <f t="shared" si="139"/>
        <v>360</v>
      </c>
      <c r="AJ464" t="e">
        <f>VLOOKUP(A464,'Borrower Details'!$A$1:$H$1493,8,FALSE)</f>
        <v>#N/A</v>
      </c>
      <c r="AK464" s="4" t="e">
        <f t="shared" si="140"/>
        <v>#N/A</v>
      </c>
      <c r="AL464" s="10">
        <v>6.75</v>
      </c>
      <c r="AM464" s="3">
        <f t="shared" si="141"/>
        <v>135449.3749</v>
      </c>
      <c r="AN464">
        <v>6.75</v>
      </c>
      <c r="AO464" s="7">
        <f t="shared" si="142"/>
        <v>934.95930695661059</v>
      </c>
      <c r="AP464" s="2">
        <f t="shared" si="143"/>
        <v>78.900693043389424</v>
      </c>
    </row>
    <row r="465" spans="1:42" x14ac:dyDescent="0.15">
      <c r="A465" s="8">
        <v>1107880</v>
      </c>
      <c r="B465" t="s">
        <v>36</v>
      </c>
      <c r="C465" t="s">
        <v>19</v>
      </c>
      <c r="D465" s="1">
        <v>39146</v>
      </c>
      <c r="E465" s="2">
        <v>245000</v>
      </c>
      <c r="F465" s="2">
        <v>117500</v>
      </c>
      <c r="G465" t="s">
        <v>15</v>
      </c>
      <c r="H465" s="2">
        <v>833.68</v>
      </c>
      <c r="I465" s="2">
        <v>116356.88</v>
      </c>
      <c r="J465">
        <v>7.6499999999999999E-2</v>
      </c>
      <c r="K465">
        <v>13</v>
      </c>
      <c r="L465">
        <v>347</v>
      </c>
      <c r="M465" t="str">
        <f t="shared" si="129"/>
        <v>30 Year Fixed</v>
      </c>
      <c r="N465" s="2">
        <v>741.78</v>
      </c>
      <c r="O465" t="str">
        <f t="shared" si="126"/>
        <v>Cash Out</v>
      </c>
      <c r="P465" s="3">
        <f t="shared" si="130"/>
        <v>88815.533793103474</v>
      </c>
      <c r="Q465" s="4">
        <v>208250</v>
      </c>
      <c r="R465" s="4" t="s">
        <v>41</v>
      </c>
      <c r="S465" s="6">
        <v>508</v>
      </c>
      <c r="T465">
        <v>7.625</v>
      </c>
      <c r="U465" s="7">
        <f t="shared" si="127"/>
        <v>1560.7513101168636</v>
      </c>
      <c r="V465" s="2">
        <f t="shared" si="131"/>
        <v>-727.07131011686363</v>
      </c>
      <c r="W465" s="9">
        <f t="shared" si="132"/>
        <v>1</v>
      </c>
      <c r="X465" s="3">
        <v>118102</v>
      </c>
      <c r="Y465" s="3">
        <f t="shared" si="133"/>
        <v>-0.22975369456980843</v>
      </c>
      <c r="Z465" s="7">
        <f t="shared" si="134"/>
        <v>885.12773698641934</v>
      </c>
      <c r="AA465" s="2">
        <f t="shared" si="128"/>
        <v>-51.447736986419386</v>
      </c>
      <c r="AB465" s="8">
        <f t="shared" si="135"/>
        <v>1</v>
      </c>
      <c r="AC465" s="10">
        <v>6.875</v>
      </c>
      <c r="AD465" s="7">
        <f t="shared" si="136"/>
        <v>825.05523419372491</v>
      </c>
      <c r="AE465" s="2">
        <f t="shared" si="137"/>
        <v>8.6247658062750361</v>
      </c>
      <c r="AF465" s="10">
        <v>1.75</v>
      </c>
      <c r="AG465" s="3">
        <f t="shared" si="138"/>
        <v>2066.7849999999999</v>
      </c>
      <c r="AH465" s="7">
        <v>2350</v>
      </c>
      <c r="AI465">
        <f t="shared" si="139"/>
        <v>360</v>
      </c>
      <c r="AJ465" t="e">
        <f>VLOOKUP(A465,'Borrower Details'!$A$1:$H$1493,8,FALSE)</f>
        <v>#N/A</v>
      </c>
      <c r="AK465" s="4" t="e">
        <f t="shared" si="140"/>
        <v>#N/A</v>
      </c>
      <c r="AL465" s="10">
        <v>7.625</v>
      </c>
      <c r="AM465" s="3">
        <f t="shared" si="141"/>
        <v>118102.23319999999</v>
      </c>
      <c r="AN465">
        <v>7.625</v>
      </c>
      <c r="AO465" s="7">
        <f t="shared" si="142"/>
        <v>885.1294847281024</v>
      </c>
      <c r="AP465" s="2">
        <f t="shared" si="143"/>
        <v>-51.449484728102448</v>
      </c>
    </row>
    <row r="466" spans="1:42" x14ac:dyDescent="0.15">
      <c r="A466" s="8">
        <v>410005276</v>
      </c>
      <c r="B466" t="s">
        <v>36</v>
      </c>
      <c r="C466" t="s">
        <v>19</v>
      </c>
      <c r="D466" s="1">
        <v>39199</v>
      </c>
      <c r="E466" s="2">
        <v>230000</v>
      </c>
      <c r="F466" s="2">
        <v>207000</v>
      </c>
      <c r="G466" t="s">
        <v>15</v>
      </c>
      <c r="H466" s="2">
        <v>1544.23</v>
      </c>
      <c r="I466" s="2">
        <v>205321.13</v>
      </c>
      <c r="J466">
        <v>8.1750000000000003E-2</v>
      </c>
      <c r="K466">
        <v>12</v>
      </c>
      <c r="L466">
        <v>348</v>
      </c>
      <c r="M466" t="str">
        <f t="shared" si="129"/>
        <v>30 Year Fixed</v>
      </c>
      <c r="N466" s="2">
        <v>1398.75</v>
      </c>
      <c r="O466" t="str">
        <f t="shared" si="126"/>
        <v>Refi</v>
      </c>
      <c r="P466" s="3">
        <f t="shared" si="130"/>
        <v>0</v>
      </c>
      <c r="Q466" s="4">
        <v>208401</v>
      </c>
      <c r="R466" s="4" t="s">
        <v>41</v>
      </c>
      <c r="S466" s="6">
        <v>625</v>
      </c>
      <c r="T466">
        <v>6.75</v>
      </c>
      <c r="U466" s="7">
        <f t="shared" si="127"/>
        <v>1438.5186692291234</v>
      </c>
      <c r="V466" s="2">
        <f t="shared" si="131"/>
        <v>105.71133077087666</v>
      </c>
      <c r="W466" s="9">
        <f t="shared" si="132"/>
        <v>0</v>
      </c>
      <c r="X466" s="3">
        <v>208401</v>
      </c>
      <c r="Y466" s="3">
        <f t="shared" si="133"/>
        <v>5.2266009879531339E-2</v>
      </c>
      <c r="Z466" s="7">
        <f t="shared" si="134"/>
        <v>1438.5186692291234</v>
      </c>
      <c r="AA466" s="2">
        <f t="shared" si="128"/>
        <v>105.71133077087666</v>
      </c>
      <c r="AB466" s="8">
        <f t="shared" si="135"/>
        <v>0</v>
      </c>
      <c r="AC466" s="10">
        <v>6.75</v>
      </c>
      <c r="AD466" s="7">
        <f t="shared" si="136"/>
        <v>1438.5186692291234</v>
      </c>
      <c r="AE466" s="2">
        <f t="shared" si="137"/>
        <v>105.71133077087666</v>
      </c>
      <c r="AF466" s="10">
        <v>0</v>
      </c>
      <c r="AG466" s="3">
        <f t="shared" si="138"/>
        <v>0</v>
      </c>
      <c r="AH466" s="7">
        <v>4140</v>
      </c>
      <c r="AI466">
        <f t="shared" si="139"/>
        <v>360</v>
      </c>
      <c r="AJ466" t="e">
        <f>VLOOKUP(A466,'Borrower Details'!$A$1:$H$1493,8,FALSE)</f>
        <v>#N/A</v>
      </c>
      <c r="AK466" s="4" t="e">
        <f t="shared" si="140"/>
        <v>#N/A</v>
      </c>
      <c r="AL466" s="10">
        <v>6.75</v>
      </c>
      <c r="AM466" s="3">
        <f t="shared" si="141"/>
        <v>208400.94694999998</v>
      </c>
      <c r="AN466">
        <v>6.75</v>
      </c>
      <c r="AO466" s="7">
        <f t="shared" si="142"/>
        <v>1438.5183030436663</v>
      </c>
      <c r="AP466" s="2">
        <f t="shared" si="143"/>
        <v>105.71169695633375</v>
      </c>
    </row>
    <row r="467" spans="1:42" x14ac:dyDescent="0.15">
      <c r="A467" s="8">
        <v>411109432</v>
      </c>
      <c r="B467" t="s">
        <v>37</v>
      </c>
      <c r="C467" t="s">
        <v>16</v>
      </c>
      <c r="D467" s="1">
        <v>39428</v>
      </c>
      <c r="E467" s="2">
        <v>145000</v>
      </c>
      <c r="F467" s="2">
        <v>108750</v>
      </c>
      <c r="G467" t="s">
        <v>17</v>
      </c>
      <c r="H467" s="2">
        <v>912.45</v>
      </c>
      <c r="I467" s="2">
        <v>107452.95</v>
      </c>
      <c r="J467">
        <v>9.4750000000000001E-2</v>
      </c>
      <c r="K467">
        <v>4</v>
      </c>
      <c r="L467">
        <v>355</v>
      </c>
      <c r="M467" t="str">
        <f t="shared" si="129"/>
        <v>30 Year Fixed</v>
      </c>
      <c r="N467" s="2">
        <v>848.93</v>
      </c>
      <c r="O467" t="str">
        <f t="shared" si="126"/>
        <v>Cash Out</v>
      </c>
      <c r="P467" s="3">
        <f t="shared" si="130"/>
        <v>13975.621428571438</v>
      </c>
      <c r="Q467" s="4">
        <v>123250</v>
      </c>
      <c r="R467" s="4" t="s">
        <v>41</v>
      </c>
      <c r="S467" s="6">
        <v>584</v>
      </c>
      <c r="T467">
        <v>7.375</v>
      </c>
      <c r="U467" s="7">
        <f t="shared" si="127"/>
        <v>902.61128608038541</v>
      </c>
      <c r="V467" s="2">
        <f t="shared" si="131"/>
        <v>9.8387139196146336</v>
      </c>
      <c r="W467" s="9">
        <f t="shared" si="132"/>
        <v>0</v>
      </c>
      <c r="X467" s="3">
        <v>123250</v>
      </c>
      <c r="Y467" s="3">
        <f t="shared" si="133"/>
        <v>13975.621428571438</v>
      </c>
      <c r="Z467" s="7">
        <f t="shared" si="134"/>
        <v>902.61128608038541</v>
      </c>
      <c r="AA467" s="2">
        <f t="shared" si="128"/>
        <v>9.8387139196146336</v>
      </c>
      <c r="AB467" s="8">
        <f t="shared" si="135"/>
        <v>0</v>
      </c>
      <c r="AC467" s="10">
        <v>7.375</v>
      </c>
      <c r="AD467" s="7">
        <f t="shared" si="136"/>
        <v>902.61128608038541</v>
      </c>
      <c r="AE467" s="2">
        <f t="shared" si="137"/>
        <v>9.8387139196146336</v>
      </c>
      <c r="AF467" s="10">
        <v>0</v>
      </c>
      <c r="AG467" s="3">
        <f t="shared" si="138"/>
        <v>0</v>
      </c>
      <c r="AH467" s="7">
        <v>0</v>
      </c>
      <c r="AI467">
        <f t="shared" si="139"/>
        <v>360</v>
      </c>
      <c r="AJ467" t="e">
        <f>VLOOKUP(A467,'Borrower Details'!$A$1:$H$1493,8,FALSE)</f>
        <v>#N/A</v>
      </c>
      <c r="AK467" s="4" t="e">
        <f t="shared" si="140"/>
        <v>#N/A</v>
      </c>
      <c r="AL467" s="10">
        <v>7.375</v>
      </c>
      <c r="AM467" s="3">
        <f t="shared" si="141"/>
        <v>109064.74424999999</v>
      </c>
      <c r="AN467">
        <v>7.375</v>
      </c>
      <c r="AO467" s="7">
        <f t="shared" si="142"/>
        <v>798.7267267628464</v>
      </c>
      <c r="AP467" s="2">
        <f t="shared" si="143"/>
        <v>113.72327323715365</v>
      </c>
    </row>
    <row r="468" spans="1:42" x14ac:dyDescent="0.15">
      <c r="A468" s="8">
        <v>411130602</v>
      </c>
      <c r="B468" t="s">
        <v>37</v>
      </c>
      <c r="C468" t="s">
        <v>16</v>
      </c>
      <c r="D468" s="1">
        <v>39437</v>
      </c>
      <c r="E468" s="2">
        <v>310000</v>
      </c>
      <c r="F468" s="2">
        <v>248000</v>
      </c>
      <c r="G468" t="s">
        <v>17</v>
      </c>
      <c r="H468" s="2">
        <v>2153.5100000000002</v>
      </c>
      <c r="I468" s="2">
        <v>247543.7</v>
      </c>
      <c r="J468">
        <v>9.8750000000000004E-2</v>
      </c>
      <c r="K468">
        <v>4</v>
      </c>
      <c r="L468">
        <v>356</v>
      </c>
      <c r="M468" t="str">
        <f t="shared" si="129"/>
        <v>30 Year Fixed</v>
      </c>
      <c r="N468" s="2">
        <v>2037.08</v>
      </c>
      <c r="O468" t="str">
        <f t="shared" si="126"/>
        <v>Cash Out</v>
      </c>
      <c r="P468" s="3">
        <f t="shared" si="130"/>
        <v>12062.211330049264</v>
      </c>
      <c r="Q468" s="4">
        <v>263500</v>
      </c>
      <c r="R468" s="4" t="s">
        <v>41</v>
      </c>
      <c r="S468" s="6">
        <v>586</v>
      </c>
      <c r="T468">
        <v>7.375</v>
      </c>
      <c r="U468" s="7">
        <f t="shared" si="127"/>
        <v>1929.7206805856517</v>
      </c>
      <c r="V468" s="2">
        <f t="shared" si="131"/>
        <v>223.78931941434848</v>
      </c>
      <c r="W468" s="9">
        <f t="shared" si="132"/>
        <v>0</v>
      </c>
      <c r="X468" s="3">
        <v>263500</v>
      </c>
      <c r="Y468" s="3">
        <f t="shared" si="133"/>
        <v>12062.211330049264</v>
      </c>
      <c r="Z468" s="7">
        <f t="shared" si="134"/>
        <v>1929.7206805856517</v>
      </c>
      <c r="AA468" s="2">
        <f t="shared" si="128"/>
        <v>223.78931941434848</v>
      </c>
      <c r="AB468" s="8">
        <f t="shared" si="135"/>
        <v>0</v>
      </c>
      <c r="AC468" s="10">
        <v>7.375</v>
      </c>
      <c r="AD468" s="7">
        <f t="shared" si="136"/>
        <v>1929.7206805856517</v>
      </c>
      <c r="AE468" s="2">
        <f t="shared" si="137"/>
        <v>223.78931941434848</v>
      </c>
      <c r="AF468" s="10">
        <v>0</v>
      </c>
      <c r="AG468" s="3">
        <f t="shared" si="138"/>
        <v>0</v>
      </c>
      <c r="AH468" s="7">
        <v>2480</v>
      </c>
      <c r="AI468">
        <f t="shared" si="139"/>
        <v>360</v>
      </c>
      <c r="AJ468" t="e">
        <f>VLOOKUP(A468,'Borrower Details'!$A$1:$H$1493,8,FALSE)</f>
        <v>#N/A</v>
      </c>
      <c r="AK468" s="4" t="e">
        <f t="shared" si="140"/>
        <v>#N/A</v>
      </c>
      <c r="AL468" s="10">
        <v>7.375</v>
      </c>
      <c r="AM468" s="3">
        <f t="shared" si="141"/>
        <v>251256.85549999998</v>
      </c>
      <c r="AN468">
        <v>7.375</v>
      </c>
      <c r="AO468" s="7">
        <f t="shared" si="142"/>
        <v>1840.059014031388</v>
      </c>
      <c r="AP468" s="2">
        <f t="shared" si="143"/>
        <v>313.45098596861226</v>
      </c>
    </row>
    <row r="469" spans="1:42" x14ac:dyDescent="0.15">
      <c r="A469" s="8">
        <v>410183578</v>
      </c>
      <c r="B469" t="s">
        <v>36</v>
      </c>
      <c r="C469" t="s">
        <v>19</v>
      </c>
      <c r="D469" s="1">
        <v>39265</v>
      </c>
      <c r="E469" s="2">
        <v>360000</v>
      </c>
      <c r="F469" s="2">
        <v>320400</v>
      </c>
      <c r="G469" t="s">
        <v>15</v>
      </c>
      <c r="H469" s="2">
        <v>2705.8</v>
      </c>
      <c r="I469" s="2">
        <v>318783.45</v>
      </c>
      <c r="J469">
        <v>9.5500000000000002E-2</v>
      </c>
      <c r="K469">
        <v>10</v>
      </c>
      <c r="L469">
        <v>350</v>
      </c>
      <c r="M469" t="str">
        <f t="shared" si="129"/>
        <v>30 Year Fixed</v>
      </c>
      <c r="N469" s="2">
        <v>2536.98</v>
      </c>
      <c r="O469" t="str">
        <f t="shared" si="126"/>
        <v>Refi</v>
      </c>
      <c r="P469" s="3">
        <f t="shared" si="130"/>
        <v>0</v>
      </c>
      <c r="Q469" s="4">
        <v>323565</v>
      </c>
      <c r="R469" s="4" t="s">
        <v>41</v>
      </c>
      <c r="S469" s="6">
        <v>546</v>
      </c>
      <c r="T469">
        <v>7.625</v>
      </c>
      <c r="U469" s="7">
        <f t="shared" si="127"/>
        <v>2424.991585392379</v>
      </c>
      <c r="V469" s="2">
        <f t="shared" si="131"/>
        <v>280.80841460762122</v>
      </c>
      <c r="W469" s="9">
        <f t="shared" si="132"/>
        <v>0</v>
      </c>
      <c r="X469" s="3">
        <v>323565</v>
      </c>
      <c r="Y469" s="3">
        <f t="shared" si="133"/>
        <v>-0.19876847288105637</v>
      </c>
      <c r="Z469" s="7">
        <f t="shared" si="134"/>
        <v>2424.991585392379</v>
      </c>
      <c r="AA469" s="2">
        <f t="shared" si="128"/>
        <v>280.80841460762122</v>
      </c>
      <c r="AB469" s="8">
        <f t="shared" si="135"/>
        <v>0</v>
      </c>
      <c r="AC469" s="10">
        <v>7.625</v>
      </c>
      <c r="AD469" s="7">
        <f t="shared" si="136"/>
        <v>2424.991585392379</v>
      </c>
      <c r="AE469" s="2">
        <f t="shared" si="137"/>
        <v>280.80841460762122</v>
      </c>
      <c r="AF469" s="10">
        <v>0</v>
      </c>
      <c r="AG469" s="3">
        <f t="shared" si="138"/>
        <v>0</v>
      </c>
      <c r="AH469" s="7">
        <v>6408</v>
      </c>
      <c r="AI469">
        <f t="shared" si="139"/>
        <v>360</v>
      </c>
      <c r="AJ469" t="e">
        <f>VLOOKUP(A469,'Borrower Details'!$A$1:$H$1493,8,FALSE)</f>
        <v>#N/A</v>
      </c>
      <c r="AK469" s="4" t="e">
        <f t="shared" si="140"/>
        <v>#N/A</v>
      </c>
      <c r="AL469" s="10">
        <v>7.625</v>
      </c>
      <c r="AM469" s="3">
        <f t="shared" si="141"/>
        <v>323565.20175000001</v>
      </c>
      <c r="AN469">
        <v>7.625</v>
      </c>
      <c r="AO469" s="7">
        <f t="shared" si="142"/>
        <v>2424.9930974287627</v>
      </c>
      <c r="AP469" s="2">
        <f t="shared" si="143"/>
        <v>280.80690257123752</v>
      </c>
    </row>
    <row r="470" spans="1:42" x14ac:dyDescent="0.15">
      <c r="A470" s="8">
        <v>411100100</v>
      </c>
      <c r="B470" t="s">
        <v>37</v>
      </c>
      <c r="C470" t="s">
        <v>16</v>
      </c>
      <c r="D470" s="1">
        <v>39437</v>
      </c>
      <c r="E470" s="2">
        <v>136000</v>
      </c>
      <c r="F470" s="2">
        <v>115600</v>
      </c>
      <c r="G470" t="s">
        <v>21</v>
      </c>
      <c r="H470" s="2">
        <v>976.25</v>
      </c>
      <c r="I470" s="2">
        <v>115314.15</v>
      </c>
      <c r="J470">
        <v>9.5500000000000002E-2</v>
      </c>
      <c r="K470">
        <v>4</v>
      </c>
      <c r="L470">
        <v>355</v>
      </c>
      <c r="M470" t="str">
        <f t="shared" si="129"/>
        <v>30 Year Fixed</v>
      </c>
      <c r="N470" s="2">
        <v>917.71</v>
      </c>
      <c r="O470" t="str">
        <f t="shared" si="126"/>
        <v>Refi</v>
      </c>
      <c r="P470" s="3">
        <f t="shared" si="130"/>
        <v>0</v>
      </c>
      <c r="Q470" s="4">
        <v>117044</v>
      </c>
      <c r="R470" s="4" t="s">
        <v>41</v>
      </c>
      <c r="S470" s="6">
        <v>632</v>
      </c>
      <c r="T470">
        <v>6.75</v>
      </c>
      <c r="U470" s="7">
        <f t="shared" si="127"/>
        <v>807.91348948063353</v>
      </c>
      <c r="V470" s="2">
        <f t="shared" si="131"/>
        <v>168.33651051936647</v>
      </c>
      <c r="W470" s="9">
        <f t="shared" si="132"/>
        <v>0</v>
      </c>
      <c r="X470" s="3">
        <v>117044</v>
      </c>
      <c r="Y470" s="3">
        <f t="shared" si="133"/>
        <v>0.13571428573050071</v>
      </c>
      <c r="Z470" s="7">
        <f t="shared" si="134"/>
        <v>807.91348948063353</v>
      </c>
      <c r="AA470" s="2">
        <f t="shared" si="128"/>
        <v>168.33651051936647</v>
      </c>
      <c r="AB470" s="8">
        <f t="shared" si="135"/>
        <v>0</v>
      </c>
      <c r="AC470" s="10">
        <v>6.75</v>
      </c>
      <c r="AD470" s="7">
        <f t="shared" si="136"/>
        <v>807.91348948063353</v>
      </c>
      <c r="AE470" s="2">
        <f t="shared" si="137"/>
        <v>168.33651051936647</v>
      </c>
      <c r="AF470" s="10">
        <v>0</v>
      </c>
      <c r="AG470" s="3">
        <f t="shared" si="138"/>
        <v>0</v>
      </c>
      <c r="AH470" s="7">
        <v>0</v>
      </c>
      <c r="AI470">
        <f t="shared" si="139"/>
        <v>360</v>
      </c>
      <c r="AJ470" t="e">
        <f>VLOOKUP(A470,'Borrower Details'!$A$1:$H$1493,8,FALSE)</f>
        <v>#N/A</v>
      </c>
      <c r="AK470" s="4" t="e">
        <f t="shared" si="140"/>
        <v>#N/A</v>
      </c>
      <c r="AL470" s="10">
        <v>6.75</v>
      </c>
      <c r="AM470" s="3">
        <f t="shared" si="141"/>
        <v>117043.86224999998</v>
      </c>
      <c r="AN470">
        <v>6.75</v>
      </c>
      <c r="AO470" s="7">
        <f t="shared" si="142"/>
        <v>807.91253864092198</v>
      </c>
      <c r="AP470" s="2">
        <f t="shared" si="143"/>
        <v>168.33746135907802</v>
      </c>
    </row>
    <row r="471" spans="1:42" x14ac:dyDescent="0.15">
      <c r="A471" s="8">
        <v>410034094</v>
      </c>
      <c r="B471" t="s">
        <v>36</v>
      </c>
      <c r="C471" t="s">
        <v>19</v>
      </c>
      <c r="D471" s="1">
        <v>39202</v>
      </c>
      <c r="E471" s="2">
        <v>411000</v>
      </c>
      <c r="F471" s="2">
        <v>369900</v>
      </c>
      <c r="G471" t="s">
        <v>15</v>
      </c>
      <c r="H471" s="2">
        <v>2530.08</v>
      </c>
      <c r="I471" s="2">
        <v>368911.64</v>
      </c>
      <c r="J471">
        <v>8.0600000000000005E-2</v>
      </c>
      <c r="K471">
        <v>12</v>
      </c>
      <c r="L471">
        <v>348</v>
      </c>
      <c r="M471" t="str">
        <f t="shared" si="129"/>
        <v>30 Year Fixed</v>
      </c>
      <c r="N471" s="2">
        <v>2477.86</v>
      </c>
      <c r="O471" t="str">
        <f t="shared" si="126"/>
        <v>Refi</v>
      </c>
      <c r="P471" s="3">
        <f t="shared" si="130"/>
        <v>0</v>
      </c>
      <c r="Q471" s="4">
        <v>374445</v>
      </c>
      <c r="R471" s="4" t="s">
        <v>41</v>
      </c>
      <c r="S471" s="6">
        <v>603</v>
      </c>
      <c r="T471">
        <v>7.625</v>
      </c>
      <c r="U471" s="7">
        <f t="shared" si="127"/>
        <v>2806.3170435376182</v>
      </c>
      <c r="V471" s="2">
        <f t="shared" si="131"/>
        <v>-276.23704353761832</v>
      </c>
      <c r="W471" s="9">
        <f t="shared" si="132"/>
        <v>0</v>
      </c>
      <c r="X471" s="3">
        <v>374446</v>
      </c>
      <c r="Y471" s="3">
        <f t="shared" si="133"/>
        <v>0.67527093598619103</v>
      </c>
      <c r="Z471" s="7">
        <f t="shared" si="134"/>
        <v>2806.3245381417482</v>
      </c>
      <c r="AA471" s="2">
        <f t="shared" si="128"/>
        <v>-276.24453814174831</v>
      </c>
      <c r="AB471" s="8">
        <f t="shared" si="135"/>
        <v>1</v>
      </c>
      <c r="AC471" s="10">
        <v>6.875</v>
      </c>
      <c r="AD471" s="7">
        <f t="shared" si="136"/>
        <v>2615.8628323220901</v>
      </c>
      <c r="AE471" s="2">
        <f t="shared" si="137"/>
        <v>-85.782832322090144</v>
      </c>
      <c r="AF471" s="10">
        <v>1</v>
      </c>
      <c r="AG471" s="3">
        <f t="shared" si="138"/>
        <v>3744.46</v>
      </c>
      <c r="AH471" s="7">
        <v>7398</v>
      </c>
      <c r="AI471">
        <f t="shared" si="139"/>
        <v>360</v>
      </c>
      <c r="AJ471" t="e">
        <f>VLOOKUP(A471,'Borrower Details'!$A$1:$H$1493,8,FALSE)</f>
        <v>#N/A</v>
      </c>
      <c r="AK471" s="4" t="e">
        <f t="shared" si="140"/>
        <v>#N/A</v>
      </c>
      <c r="AL471" s="10">
        <v>7.625</v>
      </c>
      <c r="AM471" s="3">
        <f t="shared" si="141"/>
        <v>374445.31459999998</v>
      </c>
      <c r="AN471">
        <v>7.625</v>
      </c>
      <c r="AO471" s="7">
        <f t="shared" si="142"/>
        <v>2806.3194013400775</v>
      </c>
      <c r="AP471" s="2">
        <f t="shared" si="143"/>
        <v>-276.23940134007762</v>
      </c>
    </row>
    <row r="472" spans="1:42" x14ac:dyDescent="0.15">
      <c r="A472" s="8">
        <v>410617294</v>
      </c>
      <c r="B472" t="s">
        <v>38</v>
      </c>
      <c r="C472" t="s">
        <v>19</v>
      </c>
      <c r="D472" s="1">
        <v>39290</v>
      </c>
      <c r="E472" s="2">
        <v>95000</v>
      </c>
      <c r="F472" s="2">
        <v>83800</v>
      </c>
      <c r="G472" t="s">
        <v>17</v>
      </c>
      <c r="H472" s="2">
        <v>732.32</v>
      </c>
      <c r="I472" s="2">
        <v>83443.350000000006</v>
      </c>
      <c r="J472">
        <v>9.9500000000000005E-2</v>
      </c>
      <c r="K472">
        <v>9</v>
      </c>
      <c r="L472">
        <v>351</v>
      </c>
      <c r="M472" t="str">
        <f t="shared" si="129"/>
        <v>30 Year Fixed</v>
      </c>
      <c r="N472" s="2">
        <v>691.88</v>
      </c>
      <c r="O472" t="str">
        <f t="shared" si="126"/>
        <v>Refi</v>
      </c>
      <c r="P472" s="3">
        <f t="shared" si="130"/>
        <v>0</v>
      </c>
      <c r="Q472" s="4">
        <v>84695</v>
      </c>
      <c r="R472" s="4" t="s">
        <v>41</v>
      </c>
      <c r="S472" s="6">
        <v>618</v>
      </c>
      <c r="T472">
        <v>7</v>
      </c>
      <c r="U472" s="7">
        <f t="shared" si="127"/>
        <v>598.76753162534203</v>
      </c>
      <c r="V472" s="2">
        <f t="shared" si="131"/>
        <v>133.55246837465802</v>
      </c>
      <c r="W472" s="9">
        <f t="shared" si="132"/>
        <v>0</v>
      </c>
      <c r="X472" s="3">
        <v>84695</v>
      </c>
      <c r="Y472" s="3">
        <f t="shared" si="133"/>
        <v>-2.4630541156511754E-4</v>
      </c>
      <c r="Z472" s="7">
        <f t="shared" si="134"/>
        <v>598.76753162534203</v>
      </c>
      <c r="AA472" s="2">
        <f t="shared" si="128"/>
        <v>133.55246837465802</v>
      </c>
      <c r="AB472" s="8">
        <f t="shared" si="135"/>
        <v>0</v>
      </c>
      <c r="AC472" s="10">
        <v>7</v>
      </c>
      <c r="AD472" s="7">
        <f t="shared" si="136"/>
        <v>598.76753162534203</v>
      </c>
      <c r="AE472" s="2">
        <f t="shared" si="137"/>
        <v>133.55246837465802</v>
      </c>
      <c r="AF472" s="10">
        <v>0</v>
      </c>
      <c r="AG472" s="3">
        <f t="shared" si="138"/>
        <v>0</v>
      </c>
      <c r="AH472" s="7">
        <v>0</v>
      </c>
      <c r="AI472">
        <f t="shared" si="139"/>
        <v>360</v>
      </c>
      <c r="AJ472" t="e">
        <f>VLOOKUP(A472,'Borrower Details'!$A$1:$H$1493,8,FALSE)</f>
        <v>#N/A</v>
      </c>
      <c r="AK472" s="4" t="e">
        <f t="shared" si="140"/>
        <v>#N/A</v>
      </c>
      <c r="AL472" s="10">
        <v>7</v>
      </c>
      <c r="AM472" s="3">
        <f t="shared" si="141"/>
        <v>84695.000249999997</v>
      </c>
      <c r="AN472">
        <v>7</v>
      </c>
      <c r="AO472" s="7">
        <f t="shared" si="142"/>
        <v>598.76753339276502</v>
      </c>
      <c r="AP472" s="2">
        <f t="shared" si="143"/>
        <v>133.55246660723503</v>
      </c>
    </row>
    <row r="473" spans="1:42" x14ac:dyDescent="0.15">
      <c r="A473" s="8">
        <v>410563282</v>
      </c>
      <c r="B473" t="s">
        <v>36</v>
      </c>
      <c r="C473" t="s">
        <v>19</v>
      </c>
      <c r="D473" s="1">
        <v>39268</v>
      </c>
      <c r="E473" s="2">
        <v>220000</v>
      </c>
      <c r="F473" s="2">
        <v>187000</v>
      </c>
      <c r="G473" t="s">
        <v>17</v>
      </c>
      <c r="H473" s="2">
        <v>1200.48</v>
      </c>
      <c r="I473" s="2">
        <v>185489.13</v>
      </c>
      <c r="J473">
        <v>6.6500000000000004E-2</v>
      </c>
      <c r="K473">
        <v>9</v>
      </c>
      <c r="L473">
        <v>351</v>
      </c>
      <c r="M473" t="str">
        <f t="shared" si="129"/>
        <v>30 Year Fixed</v>
      </c>
      <c r="N473" s="2">
        <v>1027.92</v>
      </c>
      <c r="O473" t="str">
        <f t="shared" si="126"/>
        <v>Refi</v>
      </c>
      <c r="P473" s="3">
        <f t="shared" si="130"/>
        <v>0</v>
      </c>
      <c r="Q473" s="4">
        <v>188271</v>
      </c>
      <c r="R473" s="4" t="s">
        <v>41</v>
      </c>
      <c r="S473" s="6">
        <v>740</v>
      </c>
      <c r="T473">
        <v>6.75</v>
      </c>
      <c r="U473" s="7">
        <f t="shared" si="127"/>
        <v>1299.5683723899417</v>
      </c>
      <c r="V473" s="2">
        <f t="shared" si="131"/>
        <v>-99.088372389941696</v>
      </c>
      <c r="W473" s="9">
        <f t="shared" si="132"/>
        <v>0</v>
      </c>
      <c r="X473" s="3">
        <v>188271</v>
      </c>
      <c r="Y473" s="3">
        <f t="shared" si="133"/>
        <v>-0.46004926107707433</v>
      </c>
      <c r="Z473" s="7">
        <f t="shared" si="134"/>
        <v>1299.5683723899417</v>
      </c>
      <c r="AA473" s="2">
        <f t="shared" si="128"/>
        <v>-99.088372389941696</v>
      </c>
      <c r="AB473" s="8">
        <f t="shared" si="135"/>
        <v>1</v>
      </c>
      <c r="AC473" s="10">
        <v>6.125</v>
      </c>
      <c r="AD473" s="7">
        <f t="shared" si="136"/>
        <v>1222.4006889739601</v>
      </c>
      <c r="AE473" s="2">
        <f t="shared" si="137"/>
        <v>-21.920688973960068</v>
      </c>
      <c r="AF473" s="10">
        <v>3</v>
      </c>
      <c r="AG473" s="3">
        <f t="shared" si="138"/>
        <v>5648.13</v>
      </c>
      <c r="AH473" s="7">
        <v>3740</v>
      </c>
      <c r="AI473">
        <f t="shared" si="139"/>
        <v>360</v>
      </c>
      <c r="AJ473" t="e">
        <f>VLOOKUP(A473,'Borrower Details'!$A$1:$H$1493,8,FALSE)</f>
        <v>#N/A</v>
      </c>
      <c r="AK473" s="4" t="e">
        <f t="shared" si="140"/>
        <v>#N/A</v>
      </c>
      <c r="AL473" s="10">
        <v>6.75</v>
      </c>
      <c r="AM473" s="3">
        <f t="shared" si="141"/>
        <v>188271.46694999997</v>
      </c>
      <c r="AN473">
        <v>6.75</v>
      </c>
      <c r="AO473" s="7">
        <f t="shared" si="142"/>
        <v>1299.5715955812534</v>
      </c>
      <c r="AP473" s="2">
        <f t="shared" si="143"/>
        <v>-99.091595581253387</v>
      </c>
    </row>
    <row r="474" spans="1:42" x14ac:dyDescent="0.15">
      <c r="A474" s="8">
        <v>410437602</v>
      </c>
      <c r="B474" t="s">
        <v>38</v>
      </c>
      <c r="C474" t="s">
        <v>19</v>
      </c>
      <c r="D474" s="1">
        <v>39258</v>
      </c>
      <c r="E474" s="2">
        <v>130000</v>
      </c>
      <c r="F474" s="2">
        <v>117000</v>
      </c>
      <c r="G474" t="s">
        <v>17</v>
      </c>
      <c r="H474" s="2">
        <v>830.14</v>
      </c>
      <c r="I474" s="2">
        <v>116132.77</v>
      </c>
      <c r="J474">
        <v>7.6499999999999999E-2</v>
      </c>
      <c r="K474">
        <v>10</v>
      </c>
      <c r="L474">
        <v>350</v>
      </c>
      <c r="M474" t="str">
        <f t="shared" si="129"/>
        <v>30 Year Fixed</v>
      </c>
      <c r="N474" s="2">
        <v>740.35</v>
      </c>
      <c r="O474" t="str">
        <f t="shared" si="126"/>
        <v>Refi</v>
      </c>
      <c r="P474" s="3">
        <f t="shared" si="130"/>
        <v>0</v>
      </c>
      <c r="Q474" s="4">
        <v>117875</v>
      </c>
      <c r="R474" s="4" t="s">
        <v>41</v>
      </c>
      <c r="S474" s="6">
        <v>688</v>
      </c>
      <c r="T474">
        <v>6.75</v>
      </c>
      <c r="U474" s="7">
        <f t="shared" si="127"/>
        <v>813.64958966311542</v>
      </c>
      <c r="V474" s="2">
        <f t="shared" si="131"/>
        <v>16.490410336884565</v>
      </c>
      <c r="W474" s="9">
        <f t="shared" si="132"/>
        <v>0</v>
      </c>
      <c r="X474" s="3">
        <v>117875</v>
      </c>
      <c r="Y474" s="3">
        <f t="shared" si="133"/>
        <v>0.23492610838729888</v>
      </c>
      <c r="Z474" s="7">
        <f t="shared" si="134"/>
        <v>813.64958966311542</v>
      </c>
      <c r="AA474" s="2">
        <f t="shared" si="128"/>
        <v>16.490410336884565</v>
      </c>
      <c r="AB474" s="8">
        <f t="shared" si="135"/>
        <v>1</v>
      </c>
      <c r="AC474" s="10">
        <v>6.125</v>
      </c>
      <c r="AD474" s="7">
        <f t="shared" si="136"/>
        <v>765.33550686407125</v>
      </c>
      <c r="AE474" s="2">
        <f t="shared" si="137"/>
        <v>64.804493135928738</v>
      </c>
      <c r="AF474" s="10">
        <v>3</v>
      </c>
      <c r="AG474" s="3">
        <f t="shared" si="138"/>
        <v>3536.25</v>
      </c>
      <c r="AH474" s="7">
        <v>0</v>
      </c>
      <c r="AI474">
        <f t="shared" si="139"/>
        <v>360</v>
      </c>
      <c r="AJ474" t="e">
        <f>VLOOKUP(A474,'Borrower Details'!$A$1:$H$1493,8,FALSE)</f>
        <v>#N/A</v>
      </c>
      <c r="AK474" s="4" t="e">
        <f t="shared" si="140"/>
        <v>#N/A</v>
      </c>
      <c r="AL474" s="10">
        <v>6.75</v>
      </c>
      <c r="AM474" s="3">
        <f t="shared" si="141"/>
        <v>117874.76155</v>
      </c>
      <c r="AN474">
        <v>6.75</v>
      </c>
      <c r="AO474" s="7">
        <f t="shared" si="142"/>
        <v>813.64794372678739</v>
      </c>
      <c r="AP474" s="2">
        <f t="shared" si="143"/>
        <v>16.492056273212597</v>
      </c>
    </row>
    <row r="475" spans="1:42" x14ac:dyDescent="0.15">
      <c r="A475" s="8">
        <v>1162482</v>
      </c>
      <c r="B475" t="s">
        <v>35</v>
      </c>
      <c r="C475" t="s">
        <v>16</v>
      </c>
      <c r="D475" s="1">
        <v>39175</v>
      </c>
      <c r="E475" s="2">
        <v>175000</v>
      </c>
      <c r="F475" s="2">
        <v>127000</v>
      </c>
      <c r="G475" t="s">
        <v>17</v>
      </c>
      <c r="H475" s="2">
        <v>798.56</v>
      </c>
      <c r="I475" s="2">
        <v>125443.28</v>
      </c>
      <c r="J475">
        <v>6.4500000000000002E-2</v>
      </c>
      <c r="K475">
        <v>13</v>
      </c>
      <c r="L475">
        <v>347</v>
      </c>
      <c r="M475" t="str">
        <f t="shared" si="129"/>
        <v>30 Year Fixed</v>
      </c>
      <c r="N475" s="2">
        <v>674.26</v>
      </c>
      <c r="O475" t="str">
        <f t="shared" si="126"/>
        <v>Cash Out</v>
      </c>
      <c r="P475" s="3">
        <f t="shared" si="130"/>
        <v>21108.444137931045</v>
      </c>
      <c r="Q475" s="4">
        <v>148750</v>
      </c>
      <c r="R475" s="4" t="s">
        <v>41</v>
      </c>
      <c r="S475" s="6">
        <v>709</v>
      </c>
      <c r="T475">
        <v>6.75</v>
      </c>
      <c r="U475" s="7">
        <f t="shared" si="127"/>
        <v>1026.7688353118847</v>
      </c>
      <c r="V475" s="2">
        <f t="shared" si="131"/>
        <v>-228.20883531188474</v>
      </c>
      <c r="W475" s="9">
        <f t="shared" si="132"/>
        <v>1</v>
      </c>
      <c r="X475" s="3">
        <v>127325</v>
      </c>
      <c r="Y475" s="3">
        <f t="shared" si="133"/>
        <v>6.9753694595419802E-2</v>
      </c>
      <c r="Z475" s="7">
        <f t="shared" si="134"/>
        <v>878.87960978881165</v>
      </c>
      <c r="AA475" s="2">
        <f t="shared" si="128"/>
        <v>-80.319609788811704</v>
      </c>
      <c r="AB475" s="8">
        <f t="shared" si="135"/>
        <v>1</v>
      </c>
      <c r="AC475" s="10">
        <v>6.125</v>
      </c>
      <c r="AD475" s="7">
        <f t="shared" si="136"/>
        <v>826.69220285444635</v>
      </c>
      <c r="AE475" s="2">
        <f t="shared" si="137"/>
        <v>-28.132202854446405</v>
      </c>
      <c r="AF475" s="10">
        <v>3</v>
      </c>
      <c r="AG475" s="3">
        <f t="shared" si="138"/>
        <v>3819.75</v>
      </c>
      <c r="AH475" s="7">
        <v>4095.75</v>
      </c>
      <c r="AI475">
        <f t="shared" si="139"/>
        <v>360</v>
      </c>
      <c r="AJ475" t="e">
        <f>VLOOKUP(A475,'Borrower Details'!$A$1:$H$1493,8,FALSE)</f>
        <v>#N/A</v>
      </c>
      <c r="AK475" s="4" t="e">
        <f t="shared" si="140"/>
        <v>#N/A</v>
      </c>
      <c r="AL475" s="10">
        <v>6.75</v>
      </c>
      <c r="AM475" s="3">
        <f t="shared" si="141"/>
        <v>127324.92919999998</v>
      </c>
      <c r="AN475">
        <v>6.75</v>
      </c>
      <c r="AO475" s="7">
        <f t="shared" si="142"/>
        <v>878.87912108135902</v>
      </c>
      <c r="AP475" s="2">
        <f t="shared" si="143"/>
        <v>-80.319121081359071</v>
      </c>
    </row>
    <row r="476" spans="1:42" x14ac:dyDescent="0.15">
      <c r="A476" s="8">
        <v>410606214</v>
      </c>
      <c r="B476" t="s">
        <v>37</v>
      </c>
      <c r="C476" t="s">
        <v>19</v>
      </c>
      <c r="D476" s="1">
        <v>39288</v>
      </c>
      <c r="E476" s="2">
        <v>280000</v>
      </c>
      <c r="F476" s="2">
        <v>252000</v>
      </c>
      <c r="G476" t="s">
        <v>17</v>
      </c>
      <c r="H476" s="2">
        <v>2033.06</v>
      </c>
      <c r="I476" s="2">
        <v>251841.46</v>
      </c>
      <c r="J476">
        <v>9.6000000000000002E-2</v>
      </c>
      <c r="K476">
        <v>9</v>
      </c>
      <c r="L476">
        <v>351</v>
      </c>
      <c r="M476" t="str">
        <f t="shared" si="129"/>
        <v>30 Year Fixed</v>
      </c>
      <c r="N476" s="2">
        <v>2014.73</v>
      </c>
      <c r="O476" t="str">
        <f t="shared" si="126"/>
        <v>Refi</v>
      </c>
      <c r="P476" s="3">
        <f t="shared" si="130"/>
        <v>0</v>
      </c>
      <c r="Q476" s="4">
        <v>255619</v>
      </c>
      <c r="R476" s="4" t="s">
        <v>41</v>
      </c>
      <c r="S476" s="6">
        <v>608</v>
      </c>
      <c r="T476">
        <v>6.875</v>
      </c>
      <c r="U476" s="7">
        <f t="shared" si="127"/>
        <v>1785.7427808958848</v>
      </c>
      <c r="V476" s="2">
        <f t="shared" si="131"/>
        <v>247.31721910411511</v>
      </c>
      <c r="W476" s="9">
        <f t="shared" si="132"/>
        <v>0</v>
      </c>
      <c r="X476" s="3">
        <v>255619</v>
      </c>
      <c r="Y476" s="3">
        <f t="shared" si="133"/>
        <v>-8.0689655151218176E-2</v>
      </c>
      <c r="Z476" s="7">
        <f t="shared" si="134"/>
        <v>1785.7427808958848</v>
      </c>
      <c r="AA476" s="2">
        <f t="shared" si="128"/>
        <v>247.31721910411511</v>
      </c>
      <c r="AB476" s="8">
        <f t="shared" si="135"/>
        <v>0</v>
      </c>
      <c r="AC476" s="10">
        <v>6.875</v>
      </c>
      <c r="AD476" s="7">
        <f t="shared" si="136"/>
        <v>1785.7427808958848</v>
      </c>
      <c r="AE476" s="2">
        <f t="shared" si="137"/>
        <v>247.31721910411511</v>
      </c>
      <c r="AF476" s="10">
        <v>0</v>
      </c>
      <c r="AG476" s="3">
        <f t="shared" si="138"/>
        <v>0</v>
      </c>
      <c r="AH476" s="7">
        <v>2520</v>
      </c>
      <c r="AI476">
        <f t="shared" si="139"/>
        <v>360</v>
      </c>
      <c r="AJ476" t="e">
        <f>VLOOKUP(A476,'Borrower Details'!$A$1:$H$1493,8,FALSE)</f>
        <v>#N/A</v>
      </c>
      <c r="AK476" s="4" t="e">
        <f t="shared" si="140"/>
        <v>#N/A</v>
      </c>
      <c r="AL476" s="10">
        <v>6.875</v>
      </c>
      <c r="AM476" s="3">
        <f t="shared" si="141"/>
        <v>255619.08189999996</v>
      </c>
      <c r="AN476">
        <v>6.875</v>
      </c>
      <c r="AO476" s="7">
        <f t="shared" si="142"/>
        <v>1785.7433530455828</v>
      </c>
      <c r="AP476" s="2">
        <f t="shared" si="143"/>
        <v>247.31664695441714</v>
      </c>
    </row>
    <row r="477" spans="1:42" x14ac:dyDescent="0.15">
      <c r="A477" s="8">
        <v>410669220</v>
      </c>
      <c r="B477" t="s">
        <v>35</v>
      </c>
      <c r="C477" t="s">
        <v>16</v>
      </c>
      <c r="D477" s="1">
        <v>39295</v>
      </c>
      <c r="E477" s="2">
        <v>106000</v>
      </c>
      <c r="F477" s="2">
        <v>100700</v>
      </c>
      <c r="G477" t="s">
        <v>17</v>
      </c>
      <c r="H477" s="2">
        <v>909.87</v>
      </c>
      <c r="I477" s="2">
        <v>100314.91</v>
      </c>
      <c r="J477">
        <v>0.10349999999999999</v>
      </c>
      <c r="K477">
        <v>9</v>
      </c>
      <c r="L477">
        <v>351</v>
      </c>
      <c r="M477" t="str">
        <f t="shared" si="129"/>
        <v>30 Year Fixed</v>
      </c>
      <c r="N477" s="2">
        <v>865.22</v>
      </c>
      <c r="O477" t="str">
        <f t="shared" si="126"/>
        <v>Refi</v>
      </c>
      <c r="P477" s="3">
        <f t="shared" si="130"/>
        <v>0</v>
      </c>
      <c r="Q477" s="4">
        <v>101820</v>
      </c>
      <c r="R477" s="4" t="s">
        <v>41</v>
      </c>
      <c r="S477" s="6">
        <v>590</v>
      </c>
      <c r="T477">
        <v>7.375</v>
      </c>
      <c r="U477" s="7">
        <f t="shared" si="127"/>
        <v>745.67043528360932</v>
      </c>
      <c r="V477" s="2">
        <f t="shared" si="131"/>
        <v>164.19956471639068</v>
      </c>
      <c r="W477" s="9">
        <f t="shared" si="132"/>
        <v>0</v>
      </c>
      <c r="X477" s="3">
        <v>101820</v>
      </c>
      <c r="Y477" s="3">
        <f t="shared" si="133"/>
        <v>0.36093596059072297</v>
      </c>
      <c r="Z477" s="7">
        <f t="shared" si="134"/>
        <v>745.67043528360932</v>
      </c>
      <c r="AA477" s="2">
        <f t="shared" si="128"/>
        <v>164.19956471639068</v>
      </c>
      <c r="AB477" s="8">
        <f t="shared" si="135"/>
        <v>0</v>
      </c>
      <c r="AC477" s="10">
        <v>7.375</v>
      </c>
      <c r="AD477" s="7">
        <f t="shared" si="136"/>
        <v>745.67043528360932</v>
      </c>
      <c r="AE477" s="2">
        <f t="shared" si="137"/>
        <v>164.19956471639068</v>
      </c>
      <c r="AF477" s="10">
        <v>0</v>
      </c>
      <c r="AG477" s="3">
        <f t="shared" si="138"/>
        <v>0</v>
      </c>
      <c r="AH477" s="7">
        <v>5211.2249999999995</v>
      </c>
      <c r="AI477">
        <f t="shared" si="139"/>
        <v>360</v>
      </c>
      <c r="AJ477" t="e">
        <f>VLOOKUP(A477,'Borrower Details'!$A$1:$H$1493,8,FALSE)</f>
        <v>#N/A</v>
      </c>
      <c r="AK477" s="4" t="e">
        <f t="shared" si="140"/>
        <v>#N/A</v>
      </c>
      <c r="AL477" s="10">
        <v>7.375</v>
      </c>
      <c r="AM477" s="3">
        <f t="shared" si="141"/>
        <v>101819.63364999999</v>
      </c>
      <c r="AN477">
        <v>7.375</v>
      </c>
      <c r="AO477" s="7">
        <f t="shared" si="142"/>
        <v>745.66775234937268</v>
      </c>
      <c r="AP477" s="2">
        <f t="shared" si="143"/>
        <v>164.20224765062733</v>
      </c>
    </row>
    <row r="478" spans="1:42" x14ac:dyDescent="0.15">
      <c r="A478" s="8">
        <v>410247126</v>
      </c>
      <c r="B478" t="s">
        <v>36</v>
      </c>
      <c r="C478" t="s">
        <v>19</v>
      </c>
      <c r="D478" s="1">
        <v>39217</v>
      </c>
      <c r="E478" s="2">
        <v>218000</v>
      </c>
      <c r="F478" s="2">
        <v>207100</v>
      </c>
      <c r="G478" t="s">
        <v>15</v>
      </c>
      <c r="H478" s="2">
        <v>1636.66</v>
      </c>
      <c r="I478" s="2">
        <v>205754.18</v>
      </c>
      <c r="J478">
        <v>8.7999999999999995E-2</v>
      </c>
      <c r="K478">
        <v>11</v>
      </c>
      <c r="L478">
        <v>349</v>
      </c>
      <c r="M478" t="str">
        <f t="shared" si="129"/>
        <v>30 Year Fixed</v>
      </c>
      <c r="N478" s="2">
        <v>1508.86</v>
      </c>
      <c r="O478" t="str">
        <f t="shared" si="126"/>
        <v>Refi</v>
      </c>
      <c r="P478" s="3">
        <f t="shared" si="130"/>
        <v>0</v>
      </c>
      <c r="Q478" s="4">
        <v>208840</v>
      </c>
      <c r="R478" s="4" t="s">
        <v>41</v>
      </c>
      <c r="S478" s="6">
        <v>603</v>
      </c>
      <c r="T478">
        <v>6.875</v>
      </c>
      <c r="U478" s="7">
        <f t="shared" si="127"/>
        <v>1458.9468011466149</v>
      </c>
      <c r="V478" s="2">
        <f t="shared" si="131"/>
        <v>177.71319885338517</v>
      </c>
      <c r="W478" s="9">
        <f t="shared" si="132"/>
        <v>0</v>
      </c>
      <c r="X478" s="3">
        <v>208840</v>
      </c>
      <c r="Y478" s="3">
        <f t="shared" si="133"/>
        <v>-0.48541871918132529</v>
      </c>
      <c r="Z478" s="7">
        <f t="shared" si="134"/>
        <v>1458.9468011466149</v>
      </c>
      <c r="AA478" s="2">
        <f t="shared" si="128"/>
        <v>177.71319885338517</v>
      </c>
      <c r="AB478" s="8">
        <f t="shared" si="135"/>
        <v>0</v>
      </c>
      <c r="AC478" s="10">
        <v>6.875</v>
      </c>
      <c r="AD478" s="7">
        <f t="shared" si="136"/>
        <v>1458.9468011466149</v>
      </c>
      <c r="AE478" s="2">
        <f t="shared" si="137"/>
        <v>177.71319885338517</v>
      </c>
      <c r="AF478" s="10">
        <v>0</v>
      </c>
      <c r="AG478" s="3">
        <f t="shared" si="138"/>
        <v>0</v>
      </c>
      <c r="AH478" s="7">
        <v>4142</v>
      </c>
      <c r="AI478">
        <f t="shared" si="139"/>
        <v>360</v>
      </c>
      <c r="AJ478" t="e">
        <f>VLOOKUP(A478,'Borrower Details'!$A$1:$H$1493,8,FALSE)</f>
        <v>#N/A</v>
      </c>
      <c r="AK478" s="4" t="e">
        <f t="shared" si="140"/>
        <v>#N/A</v>
      </c>
      <c r="AL478" s="10">
        <v>6.875</v>
      </c>
      <c r="AM478" s="3">
        <f t="shared" si="141"/>
        <v>208840.49269999997</v>
      </c>
      <c r="AN478">
        <v>6.875</v>
      </c>
      <c r="AO478" s="7">
        <f t="shared" si="142"/>
        <v>1458.9502431265464</v>
      </c>
      <c r="AP478" s="2">
        <f t="shared" si="143"/>
        <v>177.70975687345367</v>
      </c>
    </row>
    <row r="479" spans="1:42" x14ac:dyDescent="0.15">
      <c r="A479" s="8">
        <v>1176993</v>
      </c>
      <c r="B479" t="s">
        <v>35</v>
      </c>
      <c r="C479" t="s">
        <v>16</v>
      </c>
      <c r="D479" s="1">
        <v>39183</v>
      </c>
      <c r="E479" s="2">
        <v>128000</v>
      </c>
      <c r="F479" s="2">
        <v>121600</v>
      </c>
      <c r="G479" t="s">
        <v>17</v>
      </c>
      <c r="H479" s="2">
        <v>1066.23</v>
      </c>
      <c r="I479" s="2">
        <v>120877.58</v>
      </c>
      <c r="J479">
        <v>9.9900000000000003E-2</v>
      </c>
      <c r="K479">
        <v>12</v>
      </c>
      <c r="L479">
        <v>348</v>
      </c>
      <c r="M479" t="str">
        <f t="shared" si="129"/>
        <v>30 Year Fixed</v>
      </c>
      <c r="N479" s="2">
        <v>1006.31</v>
      </c>
      <c r="O479" t="str">
        <f t="shared" si="126"/>
        <v>Refi</v>
      </c>
      <c r="P479" s="3">
        <f t="shared" si="130"/>
        <v>0</v>
      </c>
      <c r="Q479" s="4">
        <v>122691</v>
      </c>
      <c r="R479" s="4" t="s">
        <v>41</v>
      </c>
      <c r="S479" s="6">
        <v>647</v>
      </c>
      <c r="T479">
        <v>6.75</v>
      </c>
      <c r="U479" s="7">
        <f t="shared" si="127"/>
        <v>846.89274066050723</v>
      </c>
      <c r="V479" s="2">
        <f t="shared" si="131"/>
        <v>219.33725933949279</v>
      </c>
      <c r="W479" s="9">
        <f t="shared" si="132"/>
        <v>0</v>
      </c>
      <c r="X479" s="3">
        <v>122691</v>
      </c>
      <c r="Y479" s="3">
        <f t="shared" si="133"/>
        <v>0.25251231527363416</v>
      </c>
      <c r="Z479" s="7">
        <f t="shared" si="134"/>
        <v>846.89274066050723</v>
      </c>
      <c r="AA479" s="2">
        <f t="shared" si="128"/>
        <v>219.33725933949279</v>
      </c>
      <c r="AB479" s="8">
        <f t="shared" si="135"/>
        <v>0</v>
      </c>
      <c r="AC479" s="10">
        <v>6.75</v>
      </c>
      <c r="AD479" s="7">
        <f t="shared" si="136"/>
        <v>846.89274066050723</v>
      </c>
      <c r="AE479" s="2">
        <f t="shared" si="137"/>
        <v>219.33725933949279</v>
      </c>
      <c r="AF479" s="10">
        <v>0</v>
      </c>
      <c r="AG479" s="3">
        <f t="shared" si="138"/>
        <v>0</v>
      </c>
      <c r="AH479" s="7">
        <v>6073.92</v>
      </c>
      <c r="AI479">
        <f t="shared" si="139"/>
        <v>360</v>
      </c>
      <c r="AJ479" t="e">
        <f>VLOOKUP(A479,'Borrower Details'!$A$1:$H$1493,8,FALSE)</f>
        <v>#N/A</v>
      </c>
      <c r="AK479" s="4" t="e">
        <f t="shared" si="140"/>
        <v>#N/A</v>
      </c>
      <c r="AL479" s="10">
        <v>6.75</v>
      </c>
      <c r="AM479" s="3">
        <f t="shared" si="141"/>
        <v>122690.74369999999</v>
      </c>
      <c r="AN479">
        <v>6.75</v>
      </c>
      <c r="AO479" s="7">
        <f t="shared" si="142"/>
        <v>846.89097151191902</v>
      </c>
      <c r="AP479" s="2">
        <f t="shared" si="143"/>
        <v>219.339028488081</v>
      </c>
    </row>
    <row r="480" spans="1:42" x14ac:dyDescent="0.15">
      <c r="A480" s="8">
        <v>410540686</v>
      </c>
      <c r="B480" t="s">
        <v>35</v>
      </c>
      <c r="C480" t="s">
        <v>16</v>
      </c>
      <c r="D480" s="1">
        <v>39265</v>
      </c>
      <c r="E480" s="2">
        <v>84000</v>
      </c>
      <c r="F480" s="2">
        <v>75600</v>
      </c>
      <c r="G480" t="s">
        <v>15</v>
      </c>
      <c r="H480" s="2">
        <v>677.75</v>
      </c>
      <c r="I480" s="2">
        <v>75453.3</v>
      </c>
      <c r="J480">
        <v>0.106</v>
      </c>
      <c r="K480">
        <v>10</v>
      </c>
      <c r="L480">
        <v>350</v>
      </c>
      <c r="M480" t="str">
        <f t="shared" si="129"/>
        <v>30 Year Fixed</v>
      </c>
      <c r="N480" s="2">
        <v>666.5</v>
      </c>
      <c r="O480" t="str">
        <f t="shared" si="126"/>
        <v>Refi</v>
      </c>
      <c r="P480" s="3">
        <f t="shared" si="130"/>
        <v>0</v>
      </c>
      <c r="Q480" s="4">
        <v>76585</v>
      </c>
      <c r="R480" s="4" t="s">
        <v>41</v>
      </c>
      <c r="S480" s="6">
        <v>597</v>
      </c>
      <c r="T480">
        <v>7.625</v>
      </c>
      <c r="U480" s="7">
        <f t="shared" si="127"/>
        <v>573.97425731236501</v>
      </c>
      <c r="V480" s="2">
        <f t="shared" si="131"/>
        <v>103.77574268763499</v>
      </c>
      <c r="W480" s="9">
        <f t="shared" si="132"/>
        <v>0</v>
      </c>
      <c r="X480" s="3">
        <v>76585</v>
      </c>
      <c r="Y480" s="3">
        <f t="shared" si="133"/>
        <v>-9.802955664054025E-2</v>
      </c>
      <c r="Z480" s="7">
        <f t="shared" si="134"/>
        <v>573.97425731236501</v>
      </c>
      <c r="AA480" s="2">
        <f t="shared" si="128"/>
        <v>103.77574268763499</v>
      </c>
      <c r="AB480" s="8">
        <f t="shared" si="135"/>
        <v>0</v>
      </c>
      <c r="AC480" s="10">
        <v>7.625</v>
      </c>
      <c r="AD480" s="7">
        <f t="shared" si="136"/>
        <v>573.97425731236501</v>
      </c>
      <c r="AE480" s="2">
        <f t="shared" si="137"/>
        <v>103.77574268763499</v>
      </c>
      <c r="AF480" s="10">
        <v>0</v>
      </c>
      <c r="AG480" s="3">
        <f t="shared" si="138"/>
        <v>0</v>
      </c>
      <c r="AH480" s="7">
        <v>4006.8</v>
      </c>
      <c r="AI480">
        <f t="shared" si="139"/>
        <v>360</v>
      </c>
      <c r="AJ480" t="e">
        <f>VLOOKUP(A480,'Borrower Details'!$A$1:$H$1493,8,FALSE)</f>
        <v>#N/A</v>
      </c>
      <c r="AK480" s="4" t="e">
        <f t="shared" si="140"/>
        <v>#N/A</v>
      </c>
      <c r="AL480" s="10">
        <v>7.625</v>
      </c>
      <c r="AM480" s="3">
        <f t="shared" si="141"/>
        <v>76585.099499999997</v>
      </c>
      <c r="AN480">
        <v>7.625</v>
      </c>
      <c r="AO480" s="7">
        <f t="shared" si="142"/>
        <v>573.97500302547587</v>
      </c>
      <c r="AP480" s="2">
        <f t="shared" si="143"/>
        <v>103.77499697452413</v>
      </c>
    </row>
    <row r="481" spans="1:42" x14ac:dyDescent="0.15">
      <c r="A481" s="8">
        <v>1150295</v>
      </c>
      <c r="B481" t="s">
        <v>36</v>
      </c>
      <c r="C481" t="s">
        <v>19</v>
      </c>
      <c r="D481" s="1">
        <v>39141</v>
      </c>
      <c r="E481" s="2">
        <v>339000</v>
      </c>
      <c r="F481" s="2">
        <v>288150</v>
      </c>
      <c r="G481" t="s">
        <v>15</v>
      </c>
      <c r="H481" s="2">
        <v>2197.35</v>
      </c>
      <c r="I481" s="2">
        <v>287785.61</v>
      </c>
      <c r="J481">
        <v>9.0499999999999997E-2</v>
      </c>
      <c r="K481">
        <v>14</v>
      </c>
      <c r="L481">
        <v>346</v>
      </c>
      <c r="M481" t="str">
        <f t="shared" si="129"/>
        <v>30 Year Fixed</v>
      </c>
      <c r="N481" s="2">
        <v>2170.38</v>
      </c>
      <c r="O481" t="str">
        <f t="shared" si="126"/>
        <v>Refi</v>
      </c>
      <c r="P481" s="3">
        <f t="shared" si="130"/>
        <v>0</v>
      </c>
      <c r="Q481" s="4">
        <v>292102</v>
      </c>
      <c r="R481" s="4" t="s">
        <v>41</v>
      </c>
      <c r="S481" s="6">
        <v>550</v>
      </c>
      <c r="T481">
        <v>7.625</v>
      </c>
      <c r="U481" s="7">
        <f t="shared" si="127"/>
        <v>2189.1888556434865</v>
      </c>
      <c r="V481" s="2">
        <f t="shared" si="131"/>
        <v>8.1611443565134323</v>
      </c>
      <c r="W481" s="9">
        <f t="shared" si="132"/>
        <v>0</v>
      </c>
      <c r="X481" s="3">
        <v>292103</v>
      </c>
      <c r="Y481" s="3">
        <f t="shared" si="133"/>
        <v>0.59689655178226531</v>
      </c>
      <c r="Z481" s="7">
        <f t="shared" si="134"/>
        <v>2189.1963502476169</v>
      </c>
      <c r="AA481" s="2">
        <f t="shared" si="128"/>
        <v>8.1536497523829894</v>
      </c>
      <c r="AB481" s="8">
        <f t="shared" si="135"/>
        <v>1</v>
      </c>
      <c r="AC481" s="10">
        <v>6.875</v>
      </c>
      <c r="AD481" s="7">
        <f t="shared" si="136"/>
        <v>2040.6183559439266</v>
      </c>
      <c r="AE481" s="2">
        <f t="shared" si="137"/>
        <v>156.73164405607326</v>
      </c>
      <c r="AF481" s="10">
        <v>1</v>
      </c>
      <c r="AG481" s="3">
        <f t="shared" si="138"/>
        <v>2921.03</v>
      </c>
      <c r="AH481" s="7">
        <v>5763</v>
      </c>
      <c r="AI481">
        <f t="shared" si="139"/>
        <v>360</v>
      </c>
      <c r="AJ481" t="e">
        <f>VLOOKUP(A481,'Borrower Details'!$A$1:$H$1493,8,FALSE)</f>
        <v>#N/A</v>
      </c>
      <c r="AK481" s="4" t="e">
        <f t="shared" si="140"/>
        <v>#N/A</v>
      </c>
      <c r="AL481" s="10">
        <v>7.625</v>
      </c>
      <c r="AM481" s="3">
        <f t="shared" si="141"/>
        <v>292102.39414999995</v>
      </c>
      <c r="AN481">
        <v>7.625</v>
      </c>
      <c r="AO481" s="7">
        <f t="shared" si="142"/>
        <v>2189.1918096417044</v>
      </c>
      <c r="AP481" s="2">
        <f t="shared" si="143"/>
        <v>8.158190358295542</v>
      </c>
    </row>
    <row r="482" spans="1:42" x14ac:dyDescent="0.15">
      <c r="A482" s="8">
        <v>1167463</v>
      </c>
      <c r="B482" t="s">
        <v>37</v>
      </c>
      <c r="C482" t="s">
        <v>19</v>
      </c>
      <c r="D482" s="1">
        <v>39160</v>
      </c>
      <c r="E482" s="2">
        <v>132000</v>
      </c>
      <c r="F482" s="2">
        <v>99000</v>
      </c>
      <c r="G482" t="s">
        <v>15</v>
      </c>
      <c r="H482" s="2">
        <v>709.25</v>
      </c>
      <c r="I482" s="2">
        <v>98034.22</v>
      </c>
      <c r="J482">
        <v>7.7499999999999999E-2</v>
      </c>
      <c r="K482">
        <v>13</v>
      </c>
      <c r="L482">
        <v>347</v>
      </c>
      <c r="M482" t="str">
        <f t="shared" si="129"/>
        <v>30 Year Fixed</v>
      </c>
      <c r="N482" s="2">
        <v>633.14</v>
      </c>
      <c r="O482" t="str">
        <f t="shared" si="126"/>
        <v>Cash Out</v>
      </c>
      <c r="P482" s="3">
        <f t="shared" si="130"/>
        <v>12507.651921182274</v>
      </c>
      <c r="Q482" s="4">
        <v>112200</v>
      </c>
      <c r="R482" s="4" t="s">
        <v>41</v>
      </c>
      <c r="S482" s="6">
        <v>608</v>
      </c>
      <c r="T482">
        <v>6.875</v>
      </c>
      <c r="U482" s="7">
        <f t="shared" si="127"/>
        <v>783.82412894392928</v>
      </c>
      <c r="V482" s="2">
        <f t="shared" si="131"/>
        <v>-74.574128943929281</v>
      </c>
      <c r="W482" s="9">
        <f t="shared" si="132"/>
        <v>1</v>
      </c>
      <c r="X482" s="3">
        <v>101450</v>
      </c>
      <c r="Y482" s="3">
        <f t="shared" si="133"/>
        <v>1916.5189162561728</v>
      </c>
      <c r="Z482" s="7">
        <f t="shared" si="134"/>
        <v>708.72511480714468</v>
      </c>
      <c r="AA482" s="2">
        <f t="shared" si="128"/>
        <v>0.5248851928553222</v>
      </c>
      <c r="AB482" s="8">
        <f t="shared" si="135"/>
        <v>1</v>
      </c>
      <c r="AC482" s="10">
        <v>6.25</v>
      </c>
      <c r="AD482" s="7">
        <f t="shared" si="136"/>
        <v>666.91593316590956</v>
      </c>
      <c r="AE482" s="2">
        <f t="shared" si="137"/>
        <v>42.334066834090436</v>
      </c>
      <c r="AF482" s="10">
        <v>2.75</v>
      </c>
      <c r="AG482" s="3">
        <f t="shared" si="138"/>
        <v>2789.875</v>
      </c>
      <c r="AH482" s="7">
        <v>0</v>
      </c>
      <c r="AI482">
        <f t="shared" si="139"/>
        <v>360</v>
      </c>
      <c r="AJ482" t="e">
        <f>VLOOKUP(A482,'Borrower Details'!$A$1:$H$1493,8,FALSE)</f>
        <v>#N/A</v>
      </c>
      <c r="AK482" s="4" t="e">
        <f t="shared" si="140"/>
        <v>#N/A</v>
      </c>
      <c r="AL482" s="10">
        <v>6.875</v>
      </c>
      <c r="AM482" s="3">
        <f t="shared" si="141"/>
        <v>99504.733299999993</v>
      </c>
      <c r="AN482">
        <v>7</v>
      </c>
      <c r="AO482" s="7">
        <f t="shared" si="142"/>
        <v>703.46777900795769</v>
      </c>
      <c r="AP482" s="2">
        <f t="shared" si="143"/>
        <v>5.782220992042312</v>
      </c>
    </row>
    <row r="483" spans="1:42" x14ac:dyDescent="0.15">
      <c r="A483" s="8">
        <v>410071138</v>
      </c>
      <c r="B483" t="s">
        <v>37</v>
      </c>
      <c r="C483" t="s">
        <v>19</v>
      </c>
      <c r="D483" s="1">
        <v>39203</v>
      </c>
      <c r="E483" s="2">
        <v>230000</v>
      </c>
      <c r="F483" s="2">
        <v>218500</v>
      </c>
      <c r="G483" t="s">
        <v>15</v>
      </c>
      <c r="H483" s="2">
        <v>1881.27</v>
      </c>
      <c r="I483" s="2">
        <v>217140.38</v>
      </c>
      <c r="J483">
        <v>9.7750000000000004E-2</v>
      </c>
      <c r="K483">
        <v>12</v>
      </c>
      <c r="L483">
        <v>348</v>
      </c>
      <c r="M483" t="str">
        <f t="shared" si="129"/>
        <v>30 Year Fixed</v>
      </c>
      <c r="N483" s="2">
        <v>1768.79</v>
      </c>
      <c r="O483" t="str">
        <f t="shared" si="126"/>
        <v>Refi</v>
      </c>
      <c r="P483" s="3">
        <f t="shared" si="130"/>
        <v>0</v>
      </c>
      <c r="Q483" s="4">
        <v>220397</v>
      </c>
      <c r="R483" s="4" t="s">
        <v>41</v>
      </c>
      <c r="S483" s="6">
        <v>618</v>
      </c>
      <c r="T483">
        <v>6.875</v>
      </c>
      <c r="U483" s="7">
        <f t="shared" si="127"/>
        <v>1539.683480809761</v>
      </c>
      <c r="V483" s="2">
        <f t="shared" si="131"/>
        <v>341.58651919023896</v>
      </c>
      <c r="W483" s="9">
        <f t="shared" si="132"/>
        <v>0</v>
      </c>
      <c r="X483" s="3">
        <v>220397</v>
      </c>
      <c r="Y483" s="3">
        <f t="shared" si="133"/>
        <v>-0.47852216748287901</v>
      </c>
      <c r="Z483" s="7">
        <f t="shared" si="134"/>
        <v>1539.683480809761</v>
      </c>
      <c r="AA483" s="2">
        <f t="shared" si="128"/>
        <v>341.58651919023896</v>
      </c>
      <c r="AB483" s="8">
        <f t="shared" si="135"/>
        <v>0</v>
      </c>
      <c r="AC483" s="10">
        <v>6.875</v>
      </c>
      <c r="AD483" s="7">
        <f t="shared" si="136"/>
        <v>1539.683480809761</v>
      </c>
      <c r="AE483" s="2">
        <f t="shared" si="137"/>
        <v>341.58651919023896</v>
      </c>
      <c r="AF483" s="10">
        <v>0</v>
      </c>
      <c r="AG483" s="3">
        <f t="shared" si="138"/>
        <v>0</v>
      </c>
      <c r="AH483" s="7">
        <v>2185</v>
      </c>
      <c r="AI483">
        <f t="shared" si="139"/>
        <v>360</v>
      </c>
      <c r="AJ483" t="e">
        <f>VLOOKUP(A483,'Borrower Details'!$A$1:$H$1493,8,FALSE)</f>
        <v>#N/A</v>
      </c>
      <c r="AK483" s="4" t="e">
        <f t="shared" si="140"/>
        <v>#N/A</v>
      </c>
      <c r="AL483" s="10">
        <v>6.875</v>
      </c>
      <c r="AM483" s="3">
        <f t="shared" si="141"/>
        <v>220397.48569999999</v>
      </c>
      <c r="AN483">
        <v>6.875</v>
      </c>
      <c r="AO483" s="7">
        <f t="shared" si="142"/>
        <v>1539.6868738880089</v>
      </c>
      <c r="AP483" s="2">
        <f t="shared" si="143"/>
        <v>341.58312611199108</v>
      </c>
    </row>
    <row r="484" spans="1:42" x14ac:dyDescent="0.15">
      <c r="A484" s="8">
        <v>410094692</v>
      </c>
      <c r="B484" t="s">
        <v>35</v>
      </c>
      <c r="C484" t="s">
        <v>16</v>
      </c>
      <c r="D484" s="1">
        <v>39204</v>
      </c>
      <c r="E484" s="2">
        <v>158000</v>
      </c>
      <c r="F484" s="2">
        <v>107000</v>
      </c>
      <c r="G484" t="s">
        <v>17</v>
      </c>
      <c r="H484" s="2">
        <v>860.95</v>
      </c>
      <c r="I484" s="2">
        <v>106332.38</v>
      </c>
      <c r="J484">
        <v>0.09</v>
      </c>
      <c r="K484">
        <v>11</v>
      </c>
      <c r="L484">
        <v>349</v>
      </c>
      <c r="M484" t="str">
        <f t="shared" si="129"/>
        <v>30 Year Fixed</v>
      </c>
      <c r="N484" s="2">
        <v>797.49</v>
      </c>
      <c r="O484" t="str">
        <f t="shared" si="126"/>
        <v>Cash Out</v>
      </c>
      <c r="P484" s="3">
        <f t="shared" si="130"/>
        <v>25982.890935960604</v>
      </c>
      <c r="Q484" s="4">
        <v>134300</v>
      </c>
      <c r="R484" s="4" t="s">
        <v>41</v>
      </c>
      <c r="S484" s="6">
        <v>539</v>
      </c>
      <c r="T484">
        <v>7.625</v>
      </c>
      <c r="U484" s="7">
        <f t="shared" si="127"/>
        <v>1006.5253346876101</v>
      </c>
      <c r="V484" s="2">
        <f t="shared" si="131"/>
        <v>-145.57533468761005</v>
      </c>
      <c r="W484" s="9">
        <f t="shared" si="132"/>
        <v>1</v>
      </c>
      <c r="X484" s="3">
        <v>114800</v>
      </c>
      <c r="Y484" s="3">
        <f t="shared" si="133"/>
        <v>6771.0682758620824</v>
      </c>
      <c r="Z484" s="7">
        <f t="shared" si="134"/>
        <v>860.38055414845599</v>
      </c>
      <c r="AA484" s="2">
        <f t="shared" si="128"/>
        <v>0.56944585154406013</v>
      </c>
      <c r="AB484" s="8">
        <f t="shared" si="135"/>
        <v>1</v>
      </c>
      <c r="AC484" s="10">
        <v>6.875</v>
      </c>
      <c r="AD484" s="7">
        <f t="shared" si="136"/>
        <v>801.98761143282604</v>
      </c>
      <c r="AE484" s="2">
        <f t="shared" si="137"/>
        <v>58.962388567174003</v>
      </c>
      <c r="AF484" s="10">
        <v>1</v>
      </c>
      <c r="AG484" s="3">
        <f t="shared" si="138"/>
        <v>1148</v>
      </c>
      <c r="AH484" s="7">
        <v>4815</v>
      </c>
      <c r="AI484">
        <f t="shared" si="139"/>
        <v>360</v>
      </c>
      <c r="AJ484" t="e">
        <f>VLOOKUP(A484,'Borrower Details'!$A$1:$H$1493,8,FALSE)</f>
        <v>#N/A</v>
      </c>
      <c r="AK484" s="4" t="e">
        <f t="shared" si="140"/>
        <v>#N/A</v>
      </c>
      <c r="AL484" s="10">
        <v>7.625</v>
      </c>
      <c r="AM484" s="3">
        <f t="shared" si="141"/>
        <v>107927.36569999999</v>
      </c>
      <c r="AN484">
        <v>7.625</v>
      </c>
      <c r="AO484" s="7">
        <f t="shared" si="142"/>
        <v>808.8728807382322</v>
      </c>
      <c r="AP484" s="2">
        <f t="shared" si="143"/>
        <v>52.077119261767848</v>
      </c>
    </row>
    <row r="485" spans="1:42" x14ac:dyDescent="0.15">
      <c r="A485" s="8">
        <v>1169518</v>
      </c>
      <c r="B485" t="s">
        <v>35</v>
      </c>
      <c r="C485" t="s">
        <v>16</v>
      </c>
      <c r="D485" s="1">
        <v>39183</v>
      </c>
      <c r="E485" s="2">
        <v>99000</v>
      </c>
      <c r="F485" s="2">
        <v>79200</v>
      </c>
      <c r="G485" t="s">
        <v>17</v>
      </c>
      <c r="H485" s="2">
        <v>611.79</v>
      </c>
      <c r="I485" s="2">
        <v>78607.240000000005</v>
      </c>
      <c r="J485">
        <v>8.5500000000000007E-2</v>
      </c>
      <c r="K485">
        <v>12</v>
      </c>
      <c r="L485">
        <v>348</v>
      </c>
      <c r="M485" t="str">
        <f t="shared" si="129"/>
        <v>30 Year Fixed</v>
      </c>
      <c r="N485" s="2">
        <v>560.08000000000004</v>
      </c>
      <c r="O485" t="str">
        <f t="shared" si="126"/>
        <v>Cash Out</v>
      </c>
      <c r="P485" s="3">
        <f t="shared" si="130"/>
        <v>4299.1639408867049</v>
      </c>
      <c r="Q485" s="4">
        <v>84150</v>
      </c>
      <c r="R485" s="4" t="s">
        <v>41</v>
      </c>
      <c r="S485" s="6">
        <v>614</v>
      </c>
      <c r="T485">
        <v>7</v>
      </c>
      <c r="U485" s="7">
        <f t="shared" si="127"/>
        <v>594.9145496932822</v>
      </c>
      <c r="V485" s="2">
        <f t="shared" si="131"/>
        <v>16.875450306717767</v>
      </c>
      <c r="W485" s="9">
        <f t="shared" si="132"/>
        <v>0</v>
      </c>
      <c r="X485" s="3">
        <v>84150</v>
      </c>
      <c r="Y485" s="3">
        <f t="shared" si="133"/>
        <v>4299.1639408867049</v>
      </c>
      <c r="Z485" s="7">
        <f t="shared" si="134"/>
        <v>594.9145496932822</v>
      </c>
      <c r="AA485" s="2">
        <f t="shared" si="128"/>
        <v>16.875450306717767</v>
      </c>
      <c r="AB485" s="8">
        <f t="shared" si="135"/>
        <v>0</v>
      </c>
      <c r="AC485" s="10">
        <v>7</v>
      </c>
      <c r="AD485" s="7">
        <f t="shared" si="136"/>
        <v>594.9145496932822</v>
      </c>
      <c r="AE485" s="2">
        <f t="shared" si="137"/>
        <v>16.875450306717767</v>
      </c>
      <c r="AF485" s="10">
        <v>0</v>
      </c>
      <c r="AG485" s="3">
        <f t="shared" si="138"/>
        <v>0</v>
      </c>
      <c r="AH485" s="7">
        <v>3385.8</v>
      </c>
      <c r="AI485">
        <f t="shared" si="139"/>
        <v>360</v>
      </c>
      <c r="AJ485" t="e">
        <f>VLOOKUP(A485,'Borrower Details'!$A$1:$H$1493,8,FALSE)</f>
        <v>#N/A</v>
      </c>
      <c r="AK485" s="4" t="e">
        <f t="shared" si="140"/>
        <v>#N/A</v>
      </c>
      <c r="AL485" s="10">
        <v>7</v>
      </c>
      <c r="AM485" s="3">
        <f t="shared" si="141"/>
        <v>79786.348599999998</v>
      </c>
      <c r="AN485">
        <v>7</v>
      </c>
      <c r="AO485" s="7">
        <f t="shared" si="142"/>
        <v>564.06487996482747</v>
      </c>
      <c r="AP485" s="2">
        <f t="shared" si="143"/>
        <v>47.725120035172495</v>
      </c>
    </row>
    <row r="486" spans="1:42" x14ac:dyDescent="0.15">
      <c r="A486" s="8">
        <v>1179737</v>
      </c>
      <c r="B486" t="s">
        <v>36</v>
      </c>
      <c r="C486" t="s">
        <v>19</v>
      </c>
      <c r="D486" s="1">
        <v>39182</v>
      </c>
      <c r="E486" s="2">
        <v>245000</v>
      </c>
      <c r="F486" s="2">
        <v>220000</v>
      </c>
      <c r="G486" t="s">
        <v>15</v>
      </c>
      <c r="H486" s="2">
        <v>1447.45</v>
      </c>
      <c r="I486" s="2">
        <v>217654.18</v>
      </c>
      <c r="J486">
        <v>6.8900000000000003E-2</v>
      </c>
      <c r="K486">
        <v>12</v>
      </c>
      <c r="L486">
        <v>348</v>
      </c>
      <c r="M486" t="str">
        <f t="shared" si="129"/>
        <v>30 Year Fixed</v>
      </c>
      <c r="N486" s="2">
        <v>1249.7</v>
      </c>
      <c r="O486" t="str">
        <f t="shared" si="126"/>
        <v>Refi</v>
      </c>
      <c r="P486" s="3">
        <f t="shared" si="130"/>
        <v>0</v>
      </c>
      <c r="Q486" s="4">
        <v>220919</v>
      </c>
      <c r="R486" s="4" t="s">
        <v>41</v>
      </c>
      <c r="S486" s="6">
        <v>662</v>
      </c>
      <c r="T486">
        <v>6.75</v>
      </c>
      <c r="U486" s="7">
        <f t="shared" si="127"/>
        <v>1524.9260122908656</v>
      </c>
      <c r="V486" s="2">
        <f t="shared" si="131"/>
        <v>-77.476012290865583</v>
      </c>
      <c r="W486" s="9">
        <f t="shared" si="132"/>
        <v>0</v>
      </c>
      <c r="X486" s="3">
        <v>220919</v>
      </c>
      <c r="Y486" s="3">
        <f t="shared" si="133"/>
        <v>7.192118267994374E-3</v>
      </c>
      <c r="Z486" s="7">
        <f t="shared" si="134"/>
        <v>1524.9260122908656</v>
      </c>
      <c r="AA486" s="2">
        <f t="shared" si="128"/>
        <v>-77.476012290865583</v>
      </c>
      <c r="AB486" s="8">
        <f t="shared" si="135"/>
        <v>1</v>
      </c>
      <c r="AC486" s="10">
        <v>6.125</v>
      </c>
      <c r="AD486" s="7">
        <f t="shared" si="136"/>
        <v>1434.3767112695971</v>
      </c>
      <c r="AE486" s="2">
        <f t="shared" si="137"/>
        <v>13.073288730402965</v>
      </c>
      <c r="AF486" s="10">
        <v>3</v>
      </c>
      <c r="AG486" s="3">
        <f t="shared" si="138"/>
        <v>6627.57</v>
      </c>
      <c r="AH486" s="7">
        <v>4400</v>
      </c>
      <c r="AI486">
        <f t="shared" si="139"/>
        <v>360</v>
      </c>
      <c r="AJ486" t="e">
        <f>VLOOKUP(A486,'Borrower Details'!$A$1:$H$1493,8,FALSE)</f>
        <v>#N/A</v>
      </c>
      <c r="AK486" s="4" t="e">
        <f t="shared" si="140"/>
        <v>#N/A</v>
      </c>
      <c r="AL486" s="10">
        <v>6.75</v>
      </c>
      <c r="AM486" s="3">
        <f t="shared" si="141"/>
        <v>220918.99269999997</v>
      </c>
      <c r="AN486">
        <v>6.75</v>
      </c>
      <c r="AO486" s="7">
        <f t="shared" si="142"/>
        <v>1524.9259619015377</v>
      </c>
      <c r="AP486" s="2">
        <f t="shared" si="143"/>
        <v>-77.47596190153763</v>
      </c>
    </row>
    <row r="487" spans="1:42" x14ac:dyDescent="0.15">
      <c r="A487" s="8">
        <v>1180655</v>
      </c>
      <c r="B487" t="s">
        <v>36</v>
      </c>
      <c r="C487" t="s">
        <v>19</v>
      </c>
      <c r="D487" s="1">
        <v>39171</v>
      </c>
      <c r="E487" s="2">
        <v>370000</v>
      </c>
      <c r="F487" s="2">
        <v>314500</v>
      </c>
      <c r="G487" t="s">
        <v>15</v>
      </c>
      <c r="H487" s="2">
        <v>2547.65</v>
      </c>
      <c r="I487" s="2">
        <v>313774.53999999998</v>
      </c>
      <c r="J487">
        <v>9.5000000000000001E-2</v>
      </c>
      <c r="K487">
        <v>13</v>
      </c>
      <c r="L487">
        <v>349</v>
      </c>
      <c r="M487" t="str">
        <f t="shared" si="129"/>
        <v>30 Year Fixed</v>
      </c>
      <c r="N487" s="2">
        <v>2484.5500000000002</v>
      </c>
      <c r="O487" t="str">
        <f t="shared" si="126"/>
        <v>Refi</v>
      </c>
      <c r="P487" s="3">
        <f t="shared" si="130"/>
        <v>0</v>
      </c>
      <c r="Q487" s="4">
        <v>318481</v>
      </c>
      <c r="R487" s="4" t="s">
        <v>41</v>
      </c>
      <c r="S487" s="6">
        <v>536</v>
      </c>
      <c r="T487">
        <v>7.625</v>
      </c>
      <c r="U487" s="7">
        <f t="shared" si="127"/>
        <v>2386.889017994376</v>
      </c>
      <c r="V487" s="2">
        <f t="shared" si="131"/>
        <v>160.7609820056241</v>
      </c>
      <c r="W487" s="9">
        <f t="shared" si="132"/>
        <v>0</v>
      </c>
      <c r="X487" s="3">
        <v>318482</v>
      </c>
      <c r="Y487" s="3">
        <f t="shared" si="133"/>
        <v>0.82945812813704833</v>
      </c>
      <c r="Z487" s="7">
        <f t="shared" si="134"/>
        <v>2386.8965125985064</v>
      </c>
      <c r="AA487" s="2">
        <f t="shared" si="128"/>
        <v>160.75348740149366</v>
      </c>
      <c r="AB487" s="8">
        <f t="shared" si="135"/>
        <v>1</v>
      </c>
      <c r="AC487" s="10">
        <v>6.875</v>
      </c>
      <c r="AD487" s="7">
        <f t="shared" si="136"/>
        <v>2224.900857703391</v>
      </c>
      <c r="AE487" s="2">
        <f t="shared" si="137"/>
        <v>322.74914229660908</v>
      </c>
      <c r="AF487" s="10">
        <v>1</v>
      </c>
      <c r="AG487" s="3">
        <f t="shared" si="138"/>
        <v>3184.82</v>
      </c>
      <c r="AH487" s="7">
        <v>6290</v>
      </c>
      <c r="AI487">
        <f t="shared" si="139"/>
        <v>360</v>
      </c>
      <c r="AJ487" t="e">
        <f>VLOOKUP(A487,'Borrower Details'!$A$1:$H$1493,8,FALSE)</f>
        <v>#N/A</v>
      </c>
      <c r="AK487" s="4" t="e">
        <f t="shared" si="140"/>
        <v>#N/A</v>
      </c>
      <c r="AL487" s="10">
        <v>7.625</v>
      </c>
      <c r="AM487" s="3">
        <f t="shared" si="141"/>
        <v>318481.15809999994</v>
      </c>
      <c r="AN487">
        <v>7.625</v>
      </c>
      <c r="AO487" s="7">
        <f t="shared" si="142"/>
        <v>2386.8902028912885</v>
      </c>
      <c r="AP487" s="2">
        <f t="shared" si="143"/>
        <v>160.75979710871161</v>
      </c>
    </row>
    <row r="488" spans="1:42" x14ac:dyDescent="0.15">
      <c r="A488" s="8">
        <v>410665202</v>
      </c>
      <c r="B488" t="s">
        <v>36</v>
      </c>
      <c r="C488" t="s">
        <v>19</v>
      </c>
      <c r="D488" s="1">
        <v>39290</v>
      </c>
      <c r="E488" s="2">
        <v>240000</v>
      </c>
      <c r="F488" s="2">
        <v>216000</v>
      </c>
      <c r="G488" t="s">
        <v>20</v>
      </c>
      <c r="H488" s="2">
        <v>1629.88</v>
      </c>
      <c r="I488" s="2">
        <v>215904.18</v>
      </c>
      <c r="J488">
        <v>8.9499999999999996E-2</v>
      </c>
      <c r="K488">
        <v>9</v>
      </c>
      <c r="L488">
        <v>355</v>
      </c>
      <c r="M488" t="str">
        <f t="shared" si="129"/>
        <v>30 Year Fixed</v>
      </c>
      <c r="N488" s="2">
        <v>1610.29</v>
      </c>
      <c r="O488" t="str">
        <f t="shared" si="126"/>
        <v>Refi</v>
      </c>
      <c r="P488" s="3">
        <f t="shared" si="130"/>
        <v>0</v>
      </c>
      <c r="Q488" s="4">
        <v>219143</v>
      </c>
      <c r="R488" s="4" t="s">
        <v>41</v>
      </c>
      <c r="S488" s="6">
        <v>618</v>
      </c>
      <c r="T488">
        <v>6.875</v>
      </c>
      <c r="U488" s="7">
        <f t="shared" si="127"/>
        <v>1530.9230934862701</v>
      </c>
      <c r="V488" s="2">
        <f t="shared" si="131"/>
        <v>98.956906513730019</v>
      </c>
      <c r="W488" s="9">
        <f t="shared" si="132"/>
        <v>0</v>
      </c>
      <c r="X488" s="3">
        <v>219143</v>
      </c>
      <c r="Y488" s="3">
        <f t="shared" si="133"/>
        <v>0.25349753696355037</v>
      </c>
      <c r="Z488" s="7">
        <f t="shared" si="134"/>
        <v>1530.9230934862701</v>
      </c>
      <c r="AA488" s="2">
        <f t="shared" si="128"/>
        <v>98.956906513730019</v>
      </c>
      <c r="AB488" s="8">
        <f t="shared" si="135"/>
        <v>1</v>
      </c>
      <c r="AC488" s="10">
        <v>6.25</v>
      </c>
      <c r="AD488" s="7">
        <f t="shared" si="136"/>
        <v>1440.6107278637451</v>
      </c>
      <c r="AE488" s="2">
        <f t="shared" si="137"/>
        <v>189.26927213625504</v>
      </c>
      <c r="AF488" s="10">
        <v>2.5</v>
      </c>
      <c r="AG488" s="3">
        <f t="shared" si="138"/>
        <v>5478.5749999999998</v>
      </c>
      <c r="AH488" s="7">
        <v>4320</v>
      </c>
      <c r="AI488">
        <f t="shared" si="139"/>
        <v>360</v>
      </c>
      <c r="AJ488" t="e">
        <f>VLOOKUP(A488,'Borrower Details'!$A$1:$H$1493,8,FALSE)</f>
        <v>#N/A</v>
      </c>
      <c r="AK488" s="4" t="e">
        <f t="shared" si="140"/>
        <v>#N/A</v>
      </c>
      <c r="AL488" s="10">
        <v>6.875</v>
      </c>
      <c r="AM488" s="3">
        <f t="shared" si="141"/>
        <v>219142.74269999997</v>
      </c>
      <c r="AN488">
        <v>6.875</v>
      </c>
      <c r="AO488" s="7">
        <f t="shared" si="142"/>
        <v>1530.9212960000989</v>
      </c>
      <c r="AP488" s="2">
        <f t="shared" si="143"/>
        <v>98.958703999901218</v>
      </c>
    </row>
    <row r="489" spans="1:42" x14ac:dyDescent="0.15">
      <c r="A489" s="8">
        <v>410861140</v>
      </c>
      <c r="B489" t="s">
        <v>38</v>
      </c>
      <c r="C489" t="s">
        <v>16</v>
      </c>
      <c r="D489" s="1">
        <v>39329</v>
      </c>
      <c r="E489" s="2">
        <v>215000</v>
      </c>
      <c r="F489" s="2">
        <v>160000</v>
      </c>
      <c r="G489" t="s">
        <v>17</v>
      </c>
      <c r="H489" s="2">
        <v>1410.03</v>
      </c>
      <c r="I489" s="2">
        <v>159570.92000000001</v>
      </c>
      <c r="J489">
        <v>0.10050000000000001</v>
      </c>
      <c r="K489">
        <v>7</v>
      </c>
      <c r="L489">
        <v>354</v>
      </c>
      <c r="M489" t="str">
        <f t="shared" si="129"/>
        <v>30 Year Fixed</v>
      </c>
      <c r="N489" s="2">
        <v>1336.41</v>
      </c>
      <c r="O489" t="str">
        <f t="shared" si="126"/>
        <v>Cash Out</v>
      </c>
      <c r="P489" s="3">
        <f t="shared" si="130"/>
        <v>20478.341083743842</v>
      </c>
      <c r="Q489" s="4">
        <v>182750</v>
      </c>
      <c r="R489" s="4" t="s">
        <v>41</v>
      </c>
      <c r="S489" s="6">
        <v>513</v>
      </c>
      <c r="T489">
        <v>7.625</v>
      </c>
      <c r="U489" s="7">
        <f t="shared" si="127"/>
        <v>1369.6389047964312</v>
      </c>
      <c r="V489" s="2">
        <f t="shared" si="131"/>
        <v>40.391095203568739</v>
      </c>
      <c r="W489" s="9">
        <f t="shared" si="132"/>
        <v>0</v>
      </c>
      <c r="X489" s="3">
        <v>182750</v>
      </c>
      <c r="Y489" s="3">
        <f t="shared" si="133"/>
        <v>20478.341083743842</v>
      </c>
      <c r="Z489" s="7">
        <f t="shared" si="134"/>
        <v>1369.6389047964312</v>
      </c>
      <c r="AA489" s="2">
        <f t="shared" si="128"/>
        <v>40.391095203568739</v>
      </c>
      <c r="AB489" s="8">
        <f t="shared" si="135"/>
        <v>0</v>
      </c>
      <c r="AC489" s="10">
        <v>7.625</v>
      </c>
      <c r="AD489" s="7">
        <f t="shared" si="136"/>
        <v>1369.6389047964312</v>
      </c>
      <c r="AE489" s="2">
        <f t="shared" si="137"/>
        <v>40.391095203568739</v>
      </c>
      <c r="AF489" s="10">
        <v>0</v>
      </c>
      <c r="AG489" s="3">
        <f t="shared" si="138"/>
        <v>0</v>
      </c>
      <c r="AH489" s="7">
        <v>0</v>
      </c>
      <c r="AI489">
        <f t="shared" si="139"/>
        <v>360</v>
      </c>
      <c r="AJ489" t="e">
        <f>VLOOKUP(A489,'Borrower Details'!$A$1:$H$1493,8,FALSE)</f>
        <v>#N/A</v>
      </c>
      <c r="AK489" s="4" t="e">
        <f t="shared" si="140"/>
        <v>#N/A</v>
      </c>
      <c r="AL489" s="10">
        <v>7.625</v>
      </c>
      <c r="AM489" s="3">
        <f t="shared" si="141"/>
        <v>161964.48379999999</v>
      </c>
      <c r="AN489">
        <v>7.625</v>
      </c>
      <c r="AO489" s="7">
        <f t="shared" si="142"/>
        <v>1213.8596892353014</v>
      </c>
      <c r="AP489" s="2">
        <f t="shared" si="143"/>
        <v>196.17031076469857</v>
      </c>
    </row>
    <row r="490" spans="1:42" x14ac:dyDescent="0.15">
      <c r="A490" s="8">
        <v>1175099</v>
      </c>
      <c r="B490" t="s">
        <v>38</v>
      </c>
      <c r="C490" t="s">
        <v>19</v>
      </c>
      <c r="D490" s="1">
        <v>39178</v>
      </c>
      <c r="E490" s="2">
        <v>216000</v>
      </c>
      <c r="F490" s="2">
        <v>194400</v>
      </c>
      <c r="G490" t="s">
        <v>15</v>
      </c>
      <c r="H490" s="2">
        <v>1440.02</v>
      </c>
      <c r="I490" s="2">
        <v>193082.27</v>
      </c>
      <c r="J490">
        <v>8.1000000000000003E-2</v>
      </c>
      <c r="K490">
        <v>12</v>
      </c>
      <c r="L490">
        <v>350</v>
      </c>
      <c r="M490" t="str">
        <f t="shared" si="129"/>
        <v>30 Year Fixed</v>
      </c>
      <c r="N490" s="2">
        <v>1303.31</v>
      </c>
      <c r="O490" t="str">
        <f t="shared" si="126"/>
        <v>Refi</v>
      </c>
      <c r="P490" s="3">
        <f t="shared" si="130"/>
        <v>0</v>
      </c>
      <c r="Q490" s="4">
        <v>195979</v>
      </c>
      <c r="R490" s="4" t="s">
        <v>41</v>
      </c>
      <c r="S490" s="6">
        <v>631</v>
      </c>
      <c r="T490">
        <v>6.75</v>
      </c>
      <c r="U490" s="7">
        <f t="shared" si="127"/>
        <v>1352.7739803400864</v>
      </c>
      <c r="V490" s="2">
        <f t="shared" si="131"/>
        <v>87.2460196599136</v>
      </c>
      <c r="W490" s="9">
        <f t="shared" si="132"/>
        <v>0</v>
      </c>
      <c r="X490" s="3">
        <v>195979</v>
      </c>
      <c r="Y490" s="3">
        <f t="shared" si="133"/>
        <v>0.48862068969174288</v>
      </c>
      <c r="Z490" s="7">
        <f t="shared" si="134"/>
        <v>1352.7739803400864</v>
      </c>
      <c r="AA490" s="2">
        <f t="shared" si="128"/>
        <v>87.2460196599136</v>
      </c>
      <c r="AB490" s="8">
        <f t="shared" si="135"/>
        <v>1</v>
      </c>
      <c r="AC490" s="10">
        <v>6.125</v>
      </c>
      <c r="AD490" s="7">
        <f t="shared" si="136"/>
        <v>1272.4469760315064</v>
      </c>
      <c r="AE490" s="2">
        <f t="shared" si="137"/>
        <v>167.57302396849354</v>
      </c>
      <c r="AF490" s="10">
        <v>3</v>
      </c>
      <c r="AG490" s="3">
        <f t="shared" si="138"/>
        <v>5879.37</v>
      </c>
      <c r="AH490" s="7">
        <v>1944</v>
      </c>
      <c r="AI490">
        <f t="shared" si="139"/>
        <v>360</v>
      </c>
      <c r="AJ490" t="e">
        <f>VLOOKUP(A490,'Borrower Details'!$A$1:$H$1493,8,FALSE)</f>
        <v>#N/A</v>
      </c>
      <c r="AK490" s="4" t="e">
        <f t="shared" si="140"/>
        <v>#N/A</v>
      </c>
      <c r="AL490" s="10">
        <v>6.75</v>
      </c>
      <c r="AM490" s="3">
        <f t="shared" si="141"/>
        <v>195978.50404999996</v>
      </c>
      <c r="AN490">
        <v>6.75</v>
      </c>
      <c r="AO490" s="7">
        <f t="shared" si="142"/>
        <v>1352.7705569719928</v>
      </c>
      <c r="AP490" s="2">
        <f t="shared" si="143"/>
        <v>87.249443028007136</v>
      </c>
    </row>
    <row r="491" spans="1:42" x14ac:dyDescent="0.15">
      <c r="A491" s="8">
        <v>411292303</v>
      </c>
      <c r="B491" t="s">
        <v>38</v>
      </c>
      <c r="C491" t="s">
        <v>18</v>
      </c>
      <c r="D491" s="1">
        <v>39498</v>
      </c>
      <c r="E491" s="2">
        <v>104000</v>
      </c>
      <c r="F491" s="2">
        <v>97420</v>
      </c>
      <c r="G491" t="s">
        <v>17</v>
      </c>
      <c r="H491" s="2">
        <v>862.14</v>
      </c>
      <c r="I491" s="2">
        <v>97292.37</v>
      </c>
      <c r="J491">
        <v>0.10100000000000001</v>
      </c>
      <c r="K491">
        <v>2</v>
      </c>
      <c r="L491">
        <v>357</v>
      </c>
      <c r="M491" t="str">
        <f t="shared" si="129"/>
        <v>30 Year Fixed</v>
      </c>
      <c r="N491" s="2">
        <v>818.88</v>
      </c>
      <c r="O491" t="str">
        <f t="shared" si="126"/>
        <v>Refi</v>
      </c>
      <c r="P491" s="3">
        <f t="shared" si="130"/>
        <v>0</v>
      </c>
      <c r="Q491" s="4">
        <v>98752</v>
      </c>
      <c r="R491" s="4" t="s">
        <v>41</v>
      </c>
      <c r="S491" s="6">
        <v>702</v>
      </c>
      <c r="T491">
        <v>6.875</v>
      </c>
      <c r="U491" s="7">
        <f t="shared" si="127"/>
        <v>689.87700874751249</v>
      </c>
      <c r="V491" s="2">
        <f t="shared" si="131"/>
        <v>172.2629912524875</v>
      </c>
      <c r="W491" s="9">
        <f t="shared" si="132"/>
        <v>0</v>
      </c>
      <c r="X491" s="3">
        <v>98752</v>
      </c>
      <c r="Y491" s="3">
        <f t="shared" si="133"/>
        <v>0.24083743843948469</v>
      </c>
      <c r="Z491" s="7">
        <f t="shared" si="134"/>
        <v>689.87700874751249</v>
      </c>
      <c r="AA491" s="2">
        <f t="shared" si="128"/>
        <v>172.2629912524875</v>
      </c>
      <c r="AB491" s="8">
        <f t="shared" si="135"/>
        <v>0</v>
      </c>
      <c r="AC491" s="10">
        <v>6.875</v>
      </c>
      <c r="AD491" s="7">
        <f t="shared" si="136"/>
        <v>689.87700874751249</v>
      </c>
      <c r="AE491" s="2">
        <f t="shared" si="137"/>
        <v>172.2629912524875</v>
      </c>
      <c r="AF491" s="10">
        <v>0</v>
      </c>
      <c r="AG491" s="3">
        <f t="shared" si="138"/>
        <v>0</v>
      </c>
      <c r="AH491" s="7">
        <v>0</v>
      </c>
      <c r="AI491">
        <f t="shared" si="139"/>
        <v>360</v>
      </c>
      <c r="AJ491" t="e">
        <f>VLOOKUP(A491,'Borrower Details'!$A$1:$H$1493,8,FALSE)</f>
        <v>#N/A</v>
      </c>
      <c r="AK491" s="4" t="e">
        <f t="shared" si="140"/>
        <v>#N/A</v>
      </c>
      <c r="AL491" s="10">
        <v>6.875</v>
      </c>
      <c r="AM491" s="3">
        <f t="shared" si="141"/>
        <v>98751.755549999987</v>
      </c>
      <c r="AN491">
        <v>6.875</v>
      </c>
      <c r="AO491" s="7">
        <f t="shared" si="142"/>
        <v>689.87530103086067</v>
      </c>
      <c r="AP491" s="2">
        <f t="shared" si="143"/>
        <v>172.26469896913932</v>
      </c>
    </row>
    <row r="492" spans="1:42" x14ac:dyDescent="0.15">
      <c r="A492" s="8">
        <v>411164395</v>
      </c>
      <c r="B492" t="s">
        <v>35</v>
      </c>
      <c r="C492" t="s">
        <v>16</v>
      </c>
      <c r="D492" s="1">
        <v>39454</v>
      </c>
      <c r="E492" s="2">
        <v>122000</v>
      </c>
      <c r="F492" s="2">
        <v>100000</v>
      </c>
      <c r="G492" t="s">
        <v>17</v>
      </c>
      <c r="H492" s="2">
        <v>751.27</v>
      </c>
      <c r="I492" s="2">
        <v>99807.37</v>
      </c>
      <c r="J492">
        <v>8.2500000000000004E-2</v>
      </c>
      <c r="K492">
        <v>3</v>
      </c>
      <c r="L492">
        <v>357</v>
      </c>
      <c r="M492" t="str">
        <f t="shared" si="129"/>
        <v>30 Year Fixed</v>
      </c>
      <c r="N492" s="2">
        <v>686.18</v>
      </c>
      <c r="O492" t="str">
        <f t="shared" si="126"/>
        <v>Cash Out</v>
      </c>
      <c r="P492" s="3">
        <f t="shared" si="130"/>
        <v>2360.1176847290772</v>
      </c>
      <c r="Q492" s="4">
        <v>103700</v>
      </c>
      <c r="R492" s="4" t="s">
        <v>41</v>
      </c>
      <c r="S492" s="6">
        <v>655</v>
      </c>
      <c r="T492">
        <v>6.75</v>
      </c>
      <c r="U492" s="7">
        <f t="shared" si="127"/>
        <v>715.80455947457108</v>
      </c>
      <c r="V492" s="2">
        <f t="shared" si="131"/>
        <v>35.465440525428903</v>
      </c>
      <c r="W492" s="9">
        <f t="shared" si="132"/>
        <v>0</v>
      </c>
      <c r="X492" s="3">
        <v>103700</v>
      </c>
      <c r="Y492" s="3">
        <f t="shared" si="133"/>
        <v>2360.1176847290772</v>
      </c>
      <c r="Z492" s="7">
        <f t="shared" si="134"/>
        <v>715.80455947457108</v>
      </c>
      <c r="AA492" s="2">
        <f t="shared" si="128"/>
        <v>35.465440525428903</v>
      </c>
      <c r="AB492" s="8">
        <f t="shared" si="135"/>
        <v>0</v>
      </c>
      <c r="AC492" s="10">
        <v>6.75</v>
      </c>
      <c r="AD492" s="7">
        <f t="shared" si="136"/>
        <v>715.80455947457108</v>
      </c>
      <c r="AE492" s="2">
        <f t="shared" si="137"/>
        <v>35.465440525428903</v>
      </c>
      <c r="AF492" s="10">
        <v>0</v>
      </c>
      <c r="AG492" s="3">
        <f t="shared" si="138"/>
        <v>0</v>
      </c>
      <c r="AH492" s="7">
        <v>4125</v>
      </c>
      <c r="AI492">
        <f t="shared" si="139"/>
        <v>360</v>
      </c>
      <c r="AJ492" t="e">
        <f>VLOOKUP(A492,'Borrower Details'!$A$1:$H$1493,8,FALSE)</f>
        <v>#N/A</v>
      </c>
      <c r="AK492" s="4" t="e">
        <f t="shared" si="140"/>
        <v>#N/A</v>
      </c>
      <c r="AL492" s="10">
        <v>6.75</v>
      </c>
      <c r="AM492" s="3">
        <f t="shared" si="141"/>
        <v>101304.48054999998</v>
      </c>
      <c r="AN492">
        <v>6.75</v>
      </c>
      <c r="AO492" s="7">
        <f t="shared" si="142"/>
        <v>699.26913281478289</v>
      </c>
      <c r="AP492" s="2">
        <f t="shared" si="143"/>
        <v>52.000867185217089</v>
      </c>
    </row>
    <row r="493" spans="1:42" x14ac:dyDescent="0.15">
      <c r="A493" s="8">
        <v>411249295</v>
      </c>
      <c r="B493" t="s">
        <v>35</v>
      </c>
      <c r="C493" t="s">
        <v>16</v>
      </c>
      <c r="D493" s="1">
        <v>39471</v>
      </c>
      <c r="E493" s="2">
        <v>110000</v>
      </c>
      <c r="F493" s="2">
        <v>90900</v>
      </c>
      <c r="G493" t="s">
        <v>20</v>
      </c>
      <c r="H493" s="2">
        <v>921.04</v>
      </c>
      <c r="I493" s="2">
        <v>90817.62</v>
      </c>
      <c r="J493">
        <v>0.11799999999999999</v>
      </c>
      <c r="K493">
        <v>3</v>
      </c>
      <c r="L493">
        <v>357</v>
      </c>
      <c r="M493" t="str">
        <f t="shared" si="129"/>
        <v>30 Year Fixed</v>
      </c>
      <c r="N493" s="2">
        <v>893.04</v>
      </c>
      <c r="O493" t="str">
        <f t="shared" si="126"/>
        <v>Cash Out</v>
      </c>
      <c r="P493" s="3">
        <f t="shared" si="130"/>
        <v>1300.6066009852366</v>
      </c>
      <c r="Q493" s="4">
        <v>93500</v>
      </c>
      <c r="R493" s="4" t="s">
        <v>41</v>
      </c>
      <c r="S493" s="6">
        <v>607</v>
      </c>
      <c r="T493">
        <v>7</v>
      </c>
      <c r="U493" s="7">
        <f t="shared" si="127"/>
        <v>661.01616632586911</v>
      </c>
      <c r="V493" s="2">
        <f t="shared" si="131"/>
        <v>260.02383367413086</v>
      </c>
      <c r="W493" s="9">
        <f t="shared" si="132"/>
        <v>0</v>
      </c>
      <c r="X493" s="3">
        <v>93500</v>
      </c>
      <c r="Y493" s="3">
        <f t="shared" si="133"/>
        <v>1300.6066009852366</v>
      </c>
      <c r="Z493" s="7">
        <f t="shared" si="134"/>
        <v>661.01616632586911</v>
      </c>
      <c r="AA493" s="2">
        <f t="shared" si="128"/>
        <v>260.02383367413086</v>
      </c>
      <c r="AB493" s="8">
        <f t="shared" si="135"/>
        <v>0</v>
      </c>
      <c r="AC493" s="10">
        <v>7</v>
      </c>
      <c r="AD493" s="7">
        <f t="shared" si="136"/>
        <v>661.01616632586911</v>
      </c>
      <c r="AE493" s="2">
        <f t="shared" si="137"/>
        <v>260.02383367413086</v>
      </c>
      <c r="AF493" s="10">
        <v>0</v>
      </c>
      <c r="AG493" s="3">
        <f t="shared" si="138"/>
        <v>0</v>
      </c>
      <c r="AH493" s="7">
        <v>5363.1</v>
      </c>
      <c r="AI493">
        <f t="shared" si="139"/>
        <v>360</v>
      </c>
      <c r="AJ493" t="e">
        <f>VLOOKUP(A493,'Borrower Details'!$A$1:$H$1493,8,FALSE)</f>
        <v>#N/A</v>
      </c>
      <c r="AK493" s="4" t="e">
        <f t="shared" si="140"/>
        <v>#N/A</v>
      </c>
      <c r="AL493" s="10">
        <v>7</v>
      </c>
      <c r="AM493" s="3">
        <f t="shared" si="141"/>
        <v>92179.884299999991</v>
      </c>
      <c r="AN493">
        <v>7</v>
      </c>
      <c r="AO493" s="7">
        <f t="shared" si="142"/>
        <v>651.68335542618354</v>
      </c>
      <c r="AP493" s="2">
        <f t="shared" si="143"/>
        <v>269.35664457381642</v>
      </c>
    </row>
    <row r="494" spans="1:42" x14ac:dyDescent="0.15">
      <c r="A494" s="8">
        <v>411212863</v>
      </c>
      <c r="B494" t="s">
        <v>38</v>
      </c>
      <c r="C494" t="s">
        <v>16</v>
      </c>
      <c r="D494" s="1">
        <v>39471</v>
      </c>
      <c r="E494" s="2">
        <v>155000</v>
      </c>
      <c r="F494" s="2">
        <v>139500</v>
      </c>
      <c r="G494" t="s">
        <v>17</v>
      </c>
      <c r="H494" s="2">
        <v>1097.58</v>
      </c>
      <c r="I494" s="2">
        <v>139415.10999999999</v>
      </c>
      <c r="J494">
        <v>9.1999999999999998E-2</v>
      </c>
      <c r="K494">
        <v>3</v>
      </c>
      <c r="L494">
        <v>357</v>
      </c>
      <c r="M494" t="str">
        <f t="shared" si="129"/>
        <v>30 Year Fixed</v>
      </c>
      <c r="N494" s="2">
        <v>1068.8499999999999</v>
      </c>
      <c r="O494" t="str">
        <f t="shared" si="126"/>
        <v>Refi</v>
      </c>
      <c r="P494" s="3">
        <f t="shared" si="130"/>
        <v>0</v>
      </c>
      <c r="Q494" s="4">
        <v>141506</v>
      </c>
      <c r="R494" s="4" t="s">
        <v>41</v>
      </c>
      <c r="S494" s="6">
        <v>650</v>
      </c>
      <c r="T494">
        <v>6.75</v>
      </c>
      <c r="U494" s="7">
        <f t="shared" si="127"/>
        <v>976.76605586314997</v>
      </c>
      <c r="V494" s="2">
        <f t="shared" si="131"/>
        <v>120.81394413684995</v>
      </c>
      <c r="W494" s="9">
        <f t="shared" si="132"/>
        <v>0</v>
      </c>
      <c r="X494" s="3">
        <v>141506</v>
      </c>
      <c r="Y494" s="3">
        <f t="shared" si="133"/>
        <v>-0.33167487682658248</v>
      </c>
      <c r="Z494" s="7">
        <f t="shared" si="134"/>
        <v>976.76605586314997</v>
      </c>
      <c r="AA494" s="2">
        <f t="shared" si="128"/>
        <v>120.81394413684995</v>
      </c>
      <c r="AB494" s="8">
        <f t="shared" si="135"/>
        <v>0</v>
      </c>
      <c r="AC494" s="10">
        <v>6.75</v>
      </c>
      <c r="AD494" s="7">
        <f t="shared" si="136"/>
        <v>976.76605586314997</v>
      </c>
      <c r="AE494" s="2">
        <f t="shared" si="137"/>
        <v>120.81394413684995</v>
      </c>
      <c r="AF494" s="10">
        <v>0</v>
      </c>
      <c r="AG494" s="3">
        <f t="shared" si="138"/>
        <v>0</v>
      </c>
      <c r="AH494" s="7">
        <v>0</v>
      </c>
      <c r="AI494">
        <f t="shared" si="139"/>
        <v>360</v>
      </c>
      <c r="AJ494" t="e">
        <f>VLOOKUP(A494,'Borrower Details'!$A$1:$H$1493,8,FALSE)</f>
        <v>#N/A</v>
      </c>
      <c r="AK494" s="4" t="e">
        <f t="shared" si="140"/>
        <v>#N/A</v>
      </c>
      <c r="AL494" s="10">
        <v>6.75</v>
      </c>
      <c r="AM494" s="3">
        <f t="shared" si="141"/>
        <v>141506.33664999998</v>
      </c>
      <c r="AN494">
        <v>6.75</v>
      </c>
      <c r="AO494" s="7">
        <f t="shared" si="142"/>
        <v>976.76837963947526</v>
      </c>
      <c r="AP494" s="2">
        <f t="shared" si="143"/>
        <v>120.81162036052467</v>
      </c>
    </row>
    <row r="495" spans="1:42" x14ac:dyDescent="0.15">
      <c r="A495" s="8">
        <v>411120231</v>
      </c>
      <c r="B495" t="s">
        <v>35</v>
      </c>
      <c r="C495" t="s">
        <v>16</v>
      </c>
      <c r="D495" s="1">
        <v>39419</v>
      </c>
      <c r="E495" s="2">
        <v>170000</v>
      </c>
      <c r="F495" s="2">
        <v>144500</v>
      </c>
      <c r="G495" t="s">
        <v>17</v>
      </c>
      <c r="H495" s="2">
        <v>1403.48</v>
      </c>
      <c r="I495" s="2">
        <v>144251.42000000001</v>
      </c>
      <c r="J495">
        <v>0.1125</v>
      </c>
      <c r="K495">
        <v>5</v>
      </c>
      <c r="L495">
        <v>355</v>
      </c>
      <c r="M495" t="str">
        <f t="shared" si="129"/>
        <v>30 Year Fixed</v>
      </c>
      <c r="N495" s="2">
        <v>1352.36</v>
      </c>
      <c r="O495" t="str">
        <f t="shared" si="126"/>
        <v>Refi</v>
      </c>
      <c r="P495" s="3">
        <f t="shared" si="130"/>
        <v>0</v>
      </c>
      <c r="Q495" s="4">
        <v>146415</v>
      </c>
      <c r="R495" s="4" t="s">
        <v>41</v>
      </c>
      <c r="S495" s="6">
        <v>596</v>
      </c>
      <c r="T495">
        <v>7.375</v>
      </c>
      <c r="U495" s="7">
        <f t="shared" si="127"/>
        <v>1072.2582673546422</v>
      </c>
      <c r="V495" s="2">
        <f t="shared" si="131"/>
        <v>331.22173264535786</v>
      </c>
      <c r="W495" s="9">
        <f t="shared" si="132"/>
        <v>0</v>
      </c>
      <c r="X495" s="3">
        <v>146415</v>
      </c>
      <c r="Y495" s="3">
        <f t="shared" si="133"/>
        <v>-0.18847290638950653</v>
      </c>
      <c r="Z495" s="7">
        <f t="shared" si="134"/>
        <v>1072.2582673546422</v>
      </c>
      <c r="AA495" s="2">
        <f t="shared" si="128"/>
        <v>331.22173264535786</v>
      </c>
      <c r="AB495" s="8">
        <f t="shared" si="135"/>
        <v>0</v>
      </c>
      <c r="AC495" s="10">
        <v>7.375</v>
      </c>
      <c r="AD495" s="7">
        <f t="shared" si="136"/>
        <v>1072.2582673546422</v>
      </c>
      <c r="AE495" s="2">
        <f t="shared" si="137"/>
        <v>331.22173264535786</v>
      </c>
      <c r="AF495" s="10">
        <v>0</v>
      </c>
      <c r="AG495" s="3">
        <f t="shared" si="138"/>
        <v>0</v>
      </c>
      <c r="AH495" s="7">
        <v>8128.1249999999991</v>
      </c>
      <c r="AI495">
        <f t="shared" si="139"/>
        <v>360</v>
      </c>
      <c r="AJ495" t="e">
        <f>VLOOKUP(A495,'Borrower Details'!$A$1:$H$1493,8,FALSE)</f>
        <v>#N/A</v>
      </c>
      <c r="AK495" s="4" t="e">
        <f t="shared" si="140"/>
        <v>#N/A</v>
      </c>
      <c r="AL495" s="10">
        <v>7.375</v>
      </c>
      <c r="AM495" s="3">
        <f t="shared" si="141"/>
        <v>146415.19130000001</v>
      </c>
      <c r="AN495">
        <v>7.375</v>
      </c>
      <c r="AO495" s="7">
        <f t="shared" si="142"/>
        <v>1072.2596683245329</v>
      </c>
      <c r="AP495" s="2">
        <f t="shared" si="143"/>
        <v>331.22033167546715</v>
      </c>
    </row>
    <row r="496" spans="1:42" x14ac:dyDescent="0.15">
      <c r="A496" s="8">
        <v>411247141</v>
      </c>
      <c r="B496" t="s">
        <v>36</v>
      </c>
      <c r="C496" t="s">
        <v>16</v>
      </c>
      <c r="D496" s="1">
        <v>39475</v>
      </c>
      <c r="E496" s="2">
        <v>398000</v>
      </c>
      <c r="F496" s="2">
        <v>315000</v>
      </c>
      <c r="G496" t="s">
        <v>17</v>
      </c>
      <c r="H496" s="2">
        <v>2724.37</v>
      </c>
      <c r="I496" s="2">
        <v>314905.86</v>
      </c>
      <c r="J496">
        <v>0.10199999999999999</v>
      </c>
      <c r="K496">
        <v>3</v>
      </c>
      <c r="L496">
        <v>358</v>
      </c>
      <c r="M496" t="str">
        <f t="shared" si="129"/>
        <v>30 Year Fixed</v>
      </c>
      <c r="N496" s="2">
        <v>2676.7</v>
      </c>
      <c r="O496" t="str">
        <f t="shared" si="126"/>
        <v>Cash Out</v>
      </c>
      <c r="P496" s="3">
        <f t="shared" si="130"/>
        <v>18394.632610837463</v>
      </c>
      <c r="Q496" s="4">
        <v>338300</v>
      </c>
      <c r="R496" s="4" t="s">
        <v>41</v>
      </c>
      <c r="S496" s="6">
        <v>564</v>
      </c>
      <c r="T496">
        <v>7.625</v>
      </c>
      <c r="U496" s="7">
        <f t="shared" si="127"/>
        <v>2535.4245772510685</v>
      </c>
      <c r="V496" s="2">
        <f t="shared" si="131"/>
        <v>188.94542274893138</v>
      </c>
      <c r="W496" s="9">
        <f t="shared" si="132"/>
        <v>0</v>
      </c>
      <c r="X496" s="3">
        <v>338300</v>
      </c>
      <c r="Y496" s="3">
        <f t="shared" si="133"/>
        <v>18394.632610837463</v>
      </c>
      <c r="Z496" s="7">
        <f t="shared" si="134"/>
        <v>2535.4245772510685</v>
      </c>
      <c r="AA496" s="2">
        <f t="shared" si="128"/>
        <v>188.94542274893138</v>
      </c>
      <c r="AB496" s="8">
        <f t="shared" si="135"/>
        <v>0</v>
      </c>
      <c r="AC496" s="10">
        <v>7.625</v>
      </c>
      <c r="AD496" s="7">
        <f t="shared" si="136"/>
        <v>2535.4245772510685</v>
      </c>
      <c r="AE496" s="2">
        <f t="shared" si="137"/>
        <v>188.94542274893138</v>
      </c>
      <c r="AF496" s="10">
        <v>0</v>
      </c>
      <c r="AG496" s="3">
        <f t="shared" si="138"/>
        <v>0</v>
      </c>
      <c r="AH496" s="7">
        <v>6300</v>
      </c>
      <c r="AI496">
        <f t="shared" si="139"/>
        <v>360</v>
      </c>
      <c r="AJ496" t="e">
        <f>VLOOKUP(A496,'Borrower Details'!$A$1:$H$1493,8,FALSE)</f>
        <v>#N/A</v>
      </c>
      <c r="AK496" s="4" t="e">
        <f t="shared" si="140"/>
        <v>#N/A</v>
      </c>
      <c r="AL496" s="10">
        <v>7.625</v>
      </c>
      <c r="AM496" s="3">
        <f t="shared" si="141"/>
        <v>319629.44789999997</v>
      </c>
      <c r="AN496">
        <v>7.625</v>
      </c>
      <c r="AO496" s="7">
        <f t="shared" si="142"/>
        <v>2395.4961803690503</v>
      </c>
      <c r="AP496" s="2">
        <f t="shared" si="143"/>
        <v>328.87381963094958</v>
      </c>
    </row>
    <row r="497" spans="1:42" x14ac:dyDescent="0.15">
      <c r="A497" s="8">
        <v>410901565</v>
      </c>
      <c r="B497" t="s">
        <v>35</v>
      </c>
      <c r="C497" t="s">
        <v>16</v>
      </c>
      <c r="D497" s="1">
        <v>39330</v>
      </c>
      <c r="E497" s="2">
        <v>225000</v>
      </c>
      <c r="F497" s="2">
        <v>180000</v>
      </c>
      <c r="G497" t="s">
        <v>17</v>
      </c>
      <c r="H497" s="2">
        <v>1599.62</v>
      </c>
      <c r="I497" s="2">
        <v>179446.27</v>
      </c>
      <c r="J497">
        <v>0.10150000000000001</v>
      </c>
      <c r="K497">
        <v>7</v>
      </c>
      <c r="L497">
        <v>353</v>
      </c>
      <c r="M497" t="str">
        <f t="shared" si="129"/>
        <v>30 Year Fixed</v>
      </c>
      <c r="N497" s="2">
        <v>1517.82</v>
      </c>
      <c r="O497" t="str">
        <f t="shared" si="126"/>
        <v>Cash Out</v>
      </c>
      <c r="P497" s="3">
        <f t="shared" si="130"/>
        <v>8977.3753201970831</v>
      </c>
      <c r="Q497" s="4">
        <v>191250</v>
      </c>
      <c r="R497" s="4" t="s">
        <v>41</v>
      </c>
      <c r="S497" s="6">
        <v>601</v>
      </c>
      <c r="T497">
        <v>6.875</v>
      </c>
      <c r="U497" s="7">
        <f t="shared" si="127"/>
        <v>1336.0638561544249</v>
      </c>
      <c r="V497" s="2">
        <f t="shared" si="131"/>
        <v>263.55614384557498</v>
      </c>
      <c r="W497" s="9">
        <f t="shared" si="132"/>
        <v>0</v>
      </c>
      <c r="X497" s="3">
        <v>191250</v>
      </c>
      <c r="Y497" s="3">
        <f t="shared" si="133"/>
        <v>8977.3753201970831</v>
      </c>
      <c r="Z497" s="7">
        <f t="shared" si="134"/>
        <v>1336.0638561544249</v>
      </c>
      <c r="AA497" s="2">
        <f t="shared" si="128"/>
        <v>263.55614384557498</v>
      </c>
      <c r="AB497" s="8">
        <f t="shared" si="135"/>
        <v>0</v>
      </c>
      <c r="AC497" s="10">
        <v>6.875</v>
      </c>
      <c r="AD497" s="7">
        <f t="shared" si="136"/>
        <v>1336.0638561544249</v>
      </c>
      <c r="AE497" s="2">
        <f t="shared" si="137"/>
        <v>263.55614384557498</v>
      </c>
      <c r="AF497" s="10">
        <v>0</v>
      </c>
      <c r="AG497" s="3">
        <f t="shared" si="138"/>
        <v>0</v>
      </c>
      <c r="AH497" s="7">
        <v>9135</v>
      </c>
      <c r="AI497">
        <f t="shared" si="139"/>
        <v>360</v>
      </c>
      <c r="AJ497" t="e">
        <f>VLOOKUP(A497,'Borrower Details'!$A$1:$H$1493,8,FALSE)</f>
        <v>#N/A</v>
      </c>
      <c r="AK497" s="4" t="e">
        <f t="shared" si="140"/>
        <v>#N/A</v>
      </c>
      <c r="AL497" s="10">
        <v>6.875</v>
      </c>
      <c r="AM497" s="3">
        <f t="shared" si="141"/>
        <v>182137.96404999998</v>
      </c>
      <c r="AN497">
        <v>6.875</v>
      </c>
      <c r="AO497" s="7">
        <f t="shared" si="142"/>
        <v>1272.4075848405698</v>
      </c>
      <c r="AP497" s="2">
        <f t="shared" si="143"/>
        <v>327.21241515943007</v>
      </c>
    </row>
    <row r="498" spans="1:42" x14ac:dyDescent="0.15">
      <c r="A498" s="8">
        <v>411244767</v>
      </c>
      <c r="B498" t="s">
        <v>37</v>
      </c>
      <c r="C498" t="s">
        <v>18</v>
      </c>
      <c r="D498" s="1">
        <v>39463</v>
      </c>
      <c r="E498" s="2">
        <v>127000</v>
      </c>
      <c r="F498" s="2">
        <v>114300</v>
      </c>
      <c r="G498" t="s">
        <v>17</v>
      </c>
      <c r="H498" s="2">
        <v>998.85</v>
      </c>
      <c r="I498" s="2">
        <v>114088.34</v>
      </c>
      <c r="J498">
        <v>9.9500000000000005E-2</v>
      </c>
      <c r="K498">
        <v>3</v>
      </c>
      <c r="L498">
        <v>356</v>
      </c>
      <c r="M498" t="str">
        <f t="shared" si="129"/>
        <v>30 Year Fixed</v>
      </c>
      <c r="N498" s="2">
        <v>945.98</v>
      </c>
      <c r="O498" t="str">
        <f t="shared" si="126"/>
        <v>Refi</v>
      </c>
      <c r="P498" s="3">
        <f t="shared" si="130"/>
        <v>0</v>
      </c>
      <c r="Q498" s="4">
        <v>115800</v>
      </c>
      <c r="R498" s="4" t="s">
        <v>41</v>
      </c>
      <c r="S498" s="6">
        <v>646</v>
      </c>
      <c r="T498">
        <v>6.75</v>
      </c>
      <c r="U498" s="7">
        <f t="shared" si="127"/>
        <v>799.3265958259916</v>
      </c>
      <c r="V498" s="2">
        <f t="shared" si="131"/>
        <v>199.52340417400842</v>
      </c>
      <c r="W498" s="9">
        <f t="shared" si="132"/>
        <v>0</v>
      </c>
      <c r="X498" s="3">
        <v>115800</v>
      </c>
      <c r="Y498" s="3">
        <f t="shared" si="133"/>
        <v>0.32995073893107474</v>
      </c>
      <c r="Z498" s="7">
        <f t="shared" si="134"/>
        <v>799.3265958259916</v>
      </c>
      <c r="AA498" s="2">
        <f t="shared" si="128"/>
        <v>199.52340417400842</v>
      </c>
      <c r="AB498" s="8">
        <f t="shared" si="135"/>
        <v>0</v>
      </c>
      <c r="AC498" s="10">
        <v>6.75</v>
      </c>
      <c r="AD498" s="7">
        <f t="shared" si="136"/>
        <v>799.3265958259916</v>
      </c>
      <c r="AE498" s="2">
        <f t="shared" si="137"/>
        <v>199.52340417400842</v>
      </c>
      <c r="AF498" s="10">
        <v>0</v>
      </c>
      <c r="AG498" s="3">
        <f t="shared" si="138"/>
        <v>0</v>
      </c>
      <c r="AH498" s="7">
        <v>0</v>
      </c>
      <c r="AI498">
        <f t="shared" si="139"/>
        <v>360</v>
      </c>
      <c r="AJ498" t="e">
        <f>VLOOKUP(A498,'Borrower Details'!$A$1:$H$1493,8,FALSE)</f>
        <v>#N/A</v>
      </c>
      <c r="AK498" s="4" t="e">
        <f t="shared" si="140"/>
        <v>#N/A</v>
      </c>
      <c r="AL498" s="10">
        <v>6.75</v>
      </c>
      <c r="AM498" s="3">
        <f t="shared" si="141"/>
        <v>115799.66509999998</v>
      </c>
      <c r="AN498">
        <v>6.75</v>
      </c>
      <c r="AO498" s="7">
        <f t="shared" si="142"/>
        <v>799.32428412929949</v>
      </c>
      <c r="AP498" s="2">
        <f t="shared" si="143"/>
        <v>199.52571587070054</v>
      </c>
    </row>
    <row r="499" spans="1:42" x14ac:dyDescent="0.15">
      <c r="A499" s="8">
        <v>411250731</v>
      </c>
      <c r="B499" t="s">
        <v>35</v>
      </c>
      <c r="C499" t="s">
        <v>16</v>
      </c>
      <c r="D499" s="1">
        <v>39479</v>
      </c>
      <c r="E499" s="2">
        <v>160000</v>
      </c>
      <c r="F499" s="2">
        <v>136000</v>
      </c>
      <c r="G499" t="s">
        <v>17</v>
      </c>
      <c r="H499" s="2">
        <v>1218.7</v>
      </c>
      <c r="I499" s="2">
        <v>135827.44</v>
      </c>
      <c r="J499">
        <v>0.10249999999999999</v>
      </c>
      <c r="K499">
        <v>3</v>
      </c>
      <c r="L499">
        <v>357</v>
      </c>
      <c r="M499" t="str">
        <f t="shared" si="129"/>
        <v>30 Year Fixed</v>
      </c>
      <c r="N499" s="2">
        <v>1160.19</v>
      </c>
      <c r="O499" t="str">
        <f t="shared" si="126"/>
        <v>Refi</v>
      </c>
      <c r="P499" s="3">
        <f t="shared" si="130"/>
        <v>0</v>
      </c>
      <c r="Q499" s="4">
        <v>137865</v>
      </c>
      <c r="R499" s="4" t="s">
        <v>41</v>
      </c>
      <c r="S499" s="6">
        <v>597</v>
      </c>
      <c r="T499">
        <v>7.375</v>
      </c>
      <c r="U499" s="7">
        <f t="shared" si="127"/>
        <v>1009.6430422350697</v>
      </c>
      <c r="V499" s="2">
        <f t="shared" si="131"/>
        <v>209.0569577649303</v>
      </c>
      <c r="W499" s="9">
        <f t="shared" si="132"/>
        <v>0</v>
      </c>
      <c r="X499" s="3">
        <v>137865</v>
      </c>
      <c r="Y499" s="3">
        <f t="shared" si="133"/>
        <v>0.14620689654839225</v>
      </c>
      <c r="Z499" s="7">
        <f t="shared" si="134"/>
        <v>1009.6430422350697</v>
      </c>
      <c r="AA499" s="2">
        <f t="shared" si="128"/>
        <v>209.0569577649303</v>
      </c>
      <c r="AB499" s="8">
        <f t="shared" si="135"/>
        <v>0</v>
      </c>
      <c r="AC499" s="10">
        <v>7.375</v>
      </c>
      <c r="AD499" s="7">
        <f t="shared" si="136"/>
        <v>1009.6430422350697</v>
      </c>
      <c r="AE499" s="2">
        <f t="shared" si="137"/>
        <v>209.0569577649303</v>
      </c>
      <c r="AF499" s="10">
        <v>0</v>
      </c>
      <c r="AG499" s="3">
        <f t="shared" si="138"/>
        <v>0</v>
      </c>
      <c r="AH499" s="7">
        <v>6970</v>
      </c>
      <c r="AI499">
        <f t="shared" si="139"/>
        <v>360</v>
      </c>
      <c r="AJ499" t="e">
        <f>VLOOKUP(A499,'Borrower Details'!$A$1:$H$1493,8,FALSE)</f>
        <v>#N/A</v>
      </c>
      <c r="AK499" s="4" t="e">
        <f t="shared" si="140"/>
        <v>#N/A</v>
      </c>
      <c r="AL499" s="10">
        <v>7.375</v>
      </c>
      <c r="AM499" s="3">
        <f t="shared" si="141"/>
        <v>137864.85159999999</v>
      </c>
      <c r="AN499">
        <v>7.375</v>
      </c>
      <c r="AO499" s="7">
        <f t="shared" si="142"/>
        <v>1009.6419554398174</v>
      </c>
      <c r="AP499" s="2">
        <f t="shared" si="143"/>
        <v>209.05804456018268</v>
      </c>
    </row>
    <row r="500" spans="1:42" x14ac:dyDescent="0.15">
      <c r="A500" s="8">
        <v>411036197</v>
      </c>
      <c r="B500" t="s">
        <v>38</v>
      </c>
      <c r="C500" t="s">
        <v>16</v>
      </c>
      <c r="D500" s="1">
        <v>39405</v>
      </c>
      <c r="E500" s="2">
        <v>309000</v>
      </c>
      <c r="F500" s="2">
        <v>278100</v>
      </c>
      <c r="G500" t="s">
        <v>20</v>
      </c>
      <c r="H500" s="2">
        <v>2438.48</v>
      </c>
      <c r="I500" s="2">
        <v>277473.17</v>
      </c>
      <c r="J500">
        <v>9.9900000000000003E-2</v>
      </c>
      <c r="K500">
        <v>5</v>
      </c>
      <c r="L500">
        <v>355</v>
      </c>
      <c r="M500" t="str">
        <f t="shared" si="129"/>
        <v>30 Year Fixed</v>
      </c>
      <c r="N500" s="2">
        <v>2309.96</v>
      </c>
      <c r="O500" t="str">
        <f t="shared" si="126"/>
        <v>Refi</v>
      </c>
      <c r="P500" s="3">
        <f t="shared" si="130"/>
        <v>0</v>
      </c>
      <c r="Q500" s="4">
        <v>281635</v>
      </c>
      <c r="R500" s="4" t="s">
        <v>41</v>
      </c>
      <c r="S500" s="6">
        <v>618</v>
      </c>
      <c r="T500">
        <v>6.875</v>
      </c>
      <c r="U500" s="7">
        <f t="shared" si="127"/>
        <v>1967.489381061707</v>
      </c>
      <c r="V500" s="2">
        <f t="shared" si="131"/>
        <v>470.99061893829298</v>
      </c>
      <c r="W500" s="9">
        <f t="shared" si="132"/>
        <v>0</v>
      </c>
      <c r="X500" s="3">
        <v>281635</v>
      </c>
      <c r="Y500" s="3">
        <f t="shared" si="133"/>
        <v>-0.26359605905599892</v>
      </c>
      <c r="Z500" s="7">
        <f t="shared" si="134"/>
        <v>1967.489381061707</v>
      </c>
      <c r="AA500" s="2">
        <f t="shared" si="128"/>
        <v>470.99061893829298</v>
      </c>
      <c r="AB500" s="8">
        <f t="shared" si="135"/>
        <v>0</v>
      </c>
      <c r="AC500" s="10">
        <v>6.875</v>
      </c>
      <c r="AD500" s="7">
        <f t="shared" si="136"/>
        <v>1967.489381061707</v>
      </c>
      <c r="AE500" s="2">
        <f t="shared" si="137"/>
        <v>470.99061893829298</v>
      </c>
      <c r="AF500" s="10">
        <v>0</v>
      </c>
      <c r="AG500" s="3">
        <f t="shared" si="138"/>
        <v>0</v>
      </c>
      <c r="AH500" s="7">
        <v>2781</v>
      </c>
      <c r="AI500">
        <f t="shared" si="139"/>
        <v>360</v>
      </c>
      <c r="AJ500" t="e">
        <f>VLOOKUP(A500,'Borrower Details'!$A$1:$H$1493,8,FALSE)</f>
        <v>#N/A</v>
      </c>
      <c r="AK500" s="4" t="e">
        <f t="shared" si="140"/>
        <v>#N/A</v>
      </c>
      <c r="AL500" s="10">
        <v>6.875</v>
      </c>
      <c r="AM500" s="3">
        <f t="shared" si="141"/>
        <v>281635.26754999993</v>
      </c>
      <c r="AN500">
        <v>6.875</v>
      </c>
      <c r="AO500" s="7">
        <f t="shared" si="142"/>
        <v>1967.4912501539143</v>
      </c>
      <c r="AP500" s="2">
        <f t="shared" si="143"/>
        <v>470.98874984608574</v>
      </c>
    </row>
    <row r="501" spans="1:42" x14ac:dyDescent="0.15">
      <c r="A501" s="8">
        <v>411297765</v>
      </c>
      <c r="B501" t="s">
        <v>38</v>
      </c>
      <c r="C501" t="s">
        <v>16</v>
      </c>
      <c r="D501" s="1">
        <v>39503</v>
      </c>
      <c r="E501" s="2">
        <v>260000</v>
      </c>
      <c r="F501" s="2">
        <v>206250</v>
      </c>
      <c r="G501" t="s">
        <v>20</v>
      </c>
      <c r="H501" s="2">
        <v>1658.95</v>
      </c>
      <c r="I501" s="2">
        <v>206023.63</v>
      </c>
      <c r="J501">
        <v>8.9959999999999998E-2</v>
      </c>
      <c r="K501">
        <v>2</v>
      </c>
      <c r="L501">
        <v>358</v>
      </c>
      <c r="M501" t="str">
        <f t="shared" si="129"/>
        <v>30 Year Fixed</v>
      </c>
      <c r="N501" s="2">
        <v>1544.49</v>
      </c>
      <c r="O501" t="str">
        <f t="shared" si="126"/>
        <v>Cash Out</v>
      </c>
      <c r="P501" s="3">
        <f t="shared" si="130"/>
        <v>11710.360147783271</v>
      </c>
      <c r="Q501" s="4">
        <v>221000</v>
      </c>
      <c r="R501" s="4" t="s">
        <v>41</v>
      </c>
      <c r="S501" s="6">
        <v>619</v>
      </c>
      <c r="T501">
        <v>6.875</v>
      </c>
      <c r="U501" s="7">
        <f t="shared" si="127"/>
        <v>1543.8960115562243</v>
      </c>
      <c r="V501" s="2">
        <f t="shared" si="131"/>
        <v>115.05398844377578</v>
      </c>
      <c r="W501" s="9">
        <f t="shared" si="132"/>
        <v>0</v>
      </c>
      <c r="X501" s="3">
        <v>221000</v>
      </c>
      <c r="Y501" s="3">
        <f t="shared" si="133"/>
        <v>11710.360147783271</v>
      </c>
      <c r="Z501" s="7">
        <f t="shared" si="134"/>
        <v>1543.8960115562243</v>
      </c>
      <c r="AA501" s="2">
        <f t="shared" si="128"/>
        <v>115.05398844377578</v>
      </c>
      <c r="AB501" s="8">
        <f t="shared" si="135"/>
        <v>0</v>
      </c>
      <c r="AC501" s="10">
        <v>6.875</v>
      </c>
      <c r="AD501" s="7">
        <f t="shared" si="136"/>
        <v>1543.8960115562243</v>
      </c>
      <c r="AE501" s="2">
        <f t="shared" si="137"/>
        <v>115.05398844377578</v>
      </c>
      <c r="AF501" s="10">
        <v>0</v>
      </c>
      <c r="AG501" s="3">
        <f t="shared" si="138"/>
        <v>0</v>
      </c>
      <c r="AH501" s="7">
        <v>2062.5</v>
      </c>
      <c r="AI501">
        <f t="shared" si="139"/>
        <v>360</v>
      </c>
      <c r="AJ501" t="e">
        <f>VLOOKUP(A501,'Borrower Details'!$A$1:$H$1493,8,FALSE)</f>
        <v>#N/A</v>
      </c>
      <c r="AK501" s="4" t="e">
        <f t="shared" si="140"/>
        <v>#N/A</v>
      </c>
      <c r="AL501" s="10">
        <v>6.875</v>
      </c>
      <c r="AM501" s="3">
        <f t="shared" si="141"/>
        <v>209113.98444999999</v>
      </c>
      <c r="AN501">
        <v>6.875</v>
      </c>
      <c r="AO501" s="7">
        <f t="shared" si="142"/>
        <v>1460.8608441311551</v>
      </c>
      <c r="AP501" s="2">
        <f t="shared" si="143"/>
        <v>198.08915586884495</v>
      </c>
    </row>
    <row r="502" spans="1:42" x14ac:dyDescent="0.15">
      <c r="A502" s="8">
        <v>410609549</v>
      </c>
      <c r="B502" t="s">
        <v>36</v>
      </c>
      <c r="C502" t="s">
        <v>19</v>
      </c>
      <c r="D502" s="1">
        <v>39294</v>
      </c>
      <c r="E502" s="2">
        <v>362000</v>
      </c>
      <c r="F502" s="2">
        <v>343900</v>
      </c>
      <c r="G502" t="s">
        <v>20</v>
      </c>
      <c r="H502" s="2">
        <v>2691.43</v>
      </c>
      <c r="I502" s="2">
        <v>343656.71</v>
      </c>
      <c r="J502">
        <v>9.2999999999999999E-2</v>
      </c>
      <c r="K502">
        <v>9</v>
      </c>
      <c r="L502">
        <v>351</v>
      </c>
      <c r="M502" t="str">
        <f t="shared" si="129"/>
        <v>30 Year Fixed</v>
      </c>
      <c r="N502" s="2">
        <v>2663.34</v>
      </c>
      <c r="O502" t="str">
        <f t="shared" si="126"/>
        <v>Refi</v>
      </c>
      <c r="P502" s="3">
        <f t="shared" si="130"/>
        <v>0</v>
      </c>
      <c r="Q502" s="4">
        <v>348812</v>
      </c>
      <c r="R502" s="4" t="s">
        <v>41</v>
      </c>
      <c r="S502" s="6">
        <v>630</v>
      </c>
      <c r="T502">
        <v>6.75</v>
      </c>
      <c r="U502" s="7">
        <f t="shared" si="127"/>
        <v>2407.726325934851</v>
      </c>
      <c r="V502" s="2">
        <f t="shared" si="131"/>
        <v>283.70367406514879</v>
      </c>
      <c r="W502" s="9">
        <f t="shared" si="132"/>
        <v>0</v>
      </c>
      <c r="X502" s="3">
        <v>348812</v>
      </c>
      <c r="Y502" s="3">
        <f t="shared" si="133"/>
        <v>0.432857142877765</v>
      </c>
      <c r="Z502" s="7">
        <f t="shared" si="134"/>
        <v>2407.726325934851</v>
      </c>
      <c r="AA502" s="2">
        <f t="shared" si="128"/>
        <v>283.70367406514879</v>
      </c>
      <c r="AB502" s="8">
        <f t="shared" si="135"/>
        <v>0</v>
      </c>
      <c r="AC502" s="10">
        <v>6.75</v>
      </c>
      <c r="AD502" s="7">
        <f t="shared" si="136"/>
        <v>2407.726325934851</v>
      </c>
      <c r="AE502" s="2">
        <f t="shared" si="137"/>
        <v>283.70367406514879</v>
      </c>
      <c r="AF502" s="10">
        <v>0</v>
      </c>
      <c r="AG502" s="3">
        <f t="shared" si="138"/>
        <v>0</v>
      </c>
      <c r="AH502" s="7">
        <v>6878</v>
      </c>
      <c r="AI502">
        <f t="shared" si="139"/>
        <v>360</v>
      </c>
      <c r="AJ502" t="e">
        <f>VLOOKUP(A502,'Borrower Details'!$A$1:$H$1493,8,FALSE)</f>
        <v>#N/A</v>
      </c>
      <c r="AK502" s="4" t="e">
        <f t="shared" si="140"/>
        <v>#N/A</v>
      </c>
      <c r="AL502" s="10">
        <v>6.75</v>
      </c>
      <c r="AM502" s="3">
        <f t="shared" si="141"/>
        <v>348811.56065</v>
      </c>
      <c r="AN502">
        <v>6.75</v>
      </c>
      <c r="AO502" s="7">
        <f t="shared" si="142"/>
        <v>2407.7232932566139</v>
      </c>
      <c r="AP502" s="2">
        <f t="shared" si="143"/>
        <v>283.70670674338589</v>
      </c>
    </row>
    <row r="503" spans="1:42" x14ac:dyDescent="0.15">
      <c r="A503" s="8">
        <v>411166697</v>
      </c>
      <c r="B503" t="s">
        <v>35</v>
      </c>
      <c r="C503" t="s">
        <v>16</v>
      </c>
      <c r="D503" s="1">
        <v>39429</v>
      </c>
      <c r="E503" s="2">
        <v>265000</v>
      </c>
      <c r="F503" s="2">
        <v>212000</v>
      </c>
      <c r="G503" t="s">
        <v>17</v>
      </c>
      <c r="H503" s="2">
        <v>1736.4</v>
      </c>
      <c r="I503" s="2">
        <v>211543.14</v>
      </c>
      <c r="J503">
        <v>9.1999999999999998E-2</v>
      </c>
      <c r="K503">
        <v>4</v>
      </c>
      <c r="L503">
        <v>356</v>
      </c>
      <c r="M503" t="str">
        <f t="shared" si="129"/>
        <v>30 Year Fixed</v>
      </c>
      <c r="N503" s="2">
        <v>1621.83</v>
      </c>
      <c r="O503" t="str">
        <f t="shared" si="126"/>
        <v>Cash Out</v>
      </c>
      <c r="P503" s="3">
        <f t="shared" si="130"/>
        <v>10378.04226600987</v>
      </c>
      <c r="Q503" s="4">
        <v>225250</v>
      </c>
      <c r="R503" s="4" t="s">
        <v>41</v>
      </c>
      <c r="S503" s="6">
        <v>631</v>
      </c>
      <c r="T503">
        <v>6.75</v>
      </c>
      <c r="U503" s="7">
        <f t="shared" si="127"/>
        <v>1554.8213791865683</v>
      </c>
      <c r="V503" s="2">
        <f t="shared" si="131"/>
        <v>181.57862081343183</v>
      </c>
      <c r="W503" s="9">
        <f t="shared" si="132"/>
        <v>0</v>
      </c>
      <c r="X503" s="3">
        <v>225250</v>
      </c>
      <c r="Y503" s="3">
        <f t="shared" si="133"/>
        <v>10378.04226600987</v>
      </c>
      <c r="Z503" s="7">
        <f t="shared" si="134"/>
        <v>1554.8213791865683</v>
      </c>
      <c r="AA503" s="2">
        <f t="shared" si="128"/>
        <v>181.57862081343183</v>
      </c>
      <c r="AB503" s="8">
        <f t="shared" si="135"/>
        <v>0</v>
      </c>
      <c r="AC503" s="10">
        <v>6.75</v>
      </c>
      <c r="AD503" s="7">
        <f t="shared" si="136"/>
        <v>1554.8213791865683</v>
      </c>
      <c r="AE503" s="2">
        <f t="shared" si="137"/>
        <v>181.57862081343183</v>
      </c>
      <c r="AF503" s="10">
        <v>0</v>
      </c>
      <c r="AG503" s="3">
        <f t="shared" si="138"/>
        <v>0</v>
      </c>
      <c r="AH503" s="7">
        <v>9752</v>
      </c>
      <c r="AI503">
        <f t="shared" si="139"/>
        <v>360</v>
      </c>
      <c r="AJ503" t="e">
        <f>VLOOKUP(A503,'Borrower Details'!$A$1:$H$1493,8,FALSE)</f>
        <v>#N/A</v>
      </c>
      <c r="AK503" s="4" t="e">
        <f t="shared" si="140"/>
        <v>#N/A</v>
      </c>
      <c r="AL503" s="10">
        <v>6.75</v>
      </c>
      <c r="AM503" s="3">
        <f t="shared" si="141"/>
        <v>214716.28709999999</v>
      </c>
      <c r="AN503">
        <v>6.75</v>
      </c>
      <c r="AO503" s="7">
        <f t="shared" si="142"/>
        <v>1482.1108707775411</v>
      </c>
      <c r="AP503" s="2">
        <f t="shared" si="143"/>
        <v>254.289129222459</v>
      </c>
    </row>
    <row r="504" spans="1:42" x14ac:dyDescent="0.15">
      <c r="A504" s="8">
        <v>411297815</v>
      </c>
      <c r="B504" t="s">
        <v>37</v>
      </c>
      <c r="C504" t="s">
        <v>16</v>
      </c>
      <c r="D504" s="1">
        <v>39484</v>
      </c>
      <c r="E504" s="2">
        <v>210000</v>
      </c>
      <c r="F504" s="2">
        <v>129600</v>
      </c>
      <c r="G504" t="s">
        <v>17</v>
      </c>
      <c r="H504" s="2">
        <v>1061.5</v>
      </c>
      <c r="I504" s="2">
        <v>129463.67999999999</v>
      </c>
      <c r="J504">
        <v>9.1999999999999998E-2</v>
      </c>
      <c r="K504">
        <v>2</v>
      </c>
      <c r="L504">
        <v>358</v>
      </c>
      <c r="M504" t="str">
        <f t="shared" si="129"/>
        <v>30 Year Fixed</v>
      </c>
      <c r="N504" s="2">
        <v>992.55</v>
      </c>
      <c r="O504" t="str">
        <f t="shared" si="126"/>
        <v>Cash Out</v>
      </c>
      <c r="P504" s="3">
        <f t="shared" si="130"/>
        <v>46398.388965517253</v>
      </c>
      <c r="Q504" s="4">
        <v>178500</v>
      </c>
      <c r="R504" s="4" t="s">
        <v>41</v>
      </c>
      <c r="S504" s="6">
        <v>589</v>
      </c>
      <c r="T504">
        <v>7.375</v>
      </c>
      <c r="U504" s="7">
        <f t="shared" si="127"/>
        <v>1307.2301384612479</v>
      </c>
      <c r="V504" s="2">
        <f t="shared" si="131"/>
        <v>-245.73013846124786</v>
      </c>
      <c r="W504" s="9">
        <f t="shared" si="132"/>
        <v>1</v>
      </c>
      <c r="X504" s="3">
        <v>144870</v>
      </c>
      <c r="Y504" s="3">
        <f t="shared" si="133"/>
        <v>13265.384039408877</v>
      </c>
      <c r="Z504" s="7">
        <f t="shared" si="134"/>
        <v>1060.9435863242634</v>
      </c>
      <c r="AA504" s="2">
        <f t="shared" si="128"/>
        <v>0.55641367573662137</v>
      </c>
      <c r="AB504" s="8">
        <f t="shared" si="135"/>
        <v>0</v>
      </c>
      <c r="AC504" s="10">
        <v>7.375</v>
      </c>
      <c r="AD504" s="7">
        <f t="shared" si="136"/>
        <v>1060.9435863242634</v>
      </c>
      <c r="AE504" s="2">
        <f t="shared" si="137"/>
        <v>0.55641367573662137</v>
      </c>
      <c r="AF504" s="10">
        <v>0</v>
      </c>
      <c r="AG504" s="3">
        <f t="shared" si="138"/>
        <v>0</v>
      </c>
      <c r="AH504" s="7">
        <v>0</v>
      </c>
      <c r="AI504">
        <f t="shared" si="139"/>
        <v>360</v>
      </c>
      <c r="AJ504" t="e">
        <f>VLOOKUP(A504,'Borrower Details'!$A$1:$H$1493,8,FALSE)</f>
        <v>#N/A</v>
      </c>
      <c r="AK504" s="4" t="e">
        <f t="shared" si="140"/>
        <v>#N/A</v>
      </c>
      <c r="AL504" s="10">
        <v>7.375</v>
      </c>
      <c r="AM504" s="3">
        <f t="shared" si="141"/>
        <v>131405.63519999999</v>
      </c>
      <c r="AN504">
        <v>7.375</v>
      </c>
      <c r="AO504" s="7">
        <f t="shared" si="142"/>
        <v>962.3384128688192</v>
      </c>
      <c r="AP504" s="2">
        <f t="shared" si="143"/>
        <v>99.161587131180795</v>
      </c>
    </row>
    <row r="505" spans="1:42" x14ac:dyDescent="0.15">
      <c r="A505" s="8">
        <v>410772305</v>
      </c>
      <c r="B505" t="s">
        <v>37</v>
      </c>
      <c r="C505" t="s">
        <v>16</v>
      </c>
      <c r="D505" s="1">
        <v>39336</v>
      </c>
      <c r="E505" s="2">
        <v>183000</v>
      </c>
      <c r="F505" s="2">
        <v>164700</v>
      </c>
      <c r="G505" t="s">
        <v>20</v>
      </c>
      <c r="H505" s="2">
        <v>1433.21</v>
      </c>
      <c r="I505" s="2">
        <v>164156.13</v>
      </c>
      <c r="J505">
        <v>9.9000000000000005E-2</v>
      </c>
      <c r="K505">
        <v>7</v>
      </c>
      <c r="L505">
        <v>353</v>
      </c>
      <c r="M505" t="str">
        <f t="shared" si="129"/>
        <v>30 Year Fixed</v>
      </c>
      <c r="N505" s="2">
        <v>1354.29</v>
      </c>
      <c r="O505" t="str">
        <f t="shared" si="126"/>
        <v>Refi</v>
      </c>
      <c r="P505" s="3">
        <f t="shared" si="130"/>
        <v>0</v>
      </c>
      <c r="Q505" s="4">
        <v>166618</v>
      </c>
      <c r="R505" s="4" t="s">
        <v>41</v>
      </c>
      <c r="S505" s="6">
        <v>604</v>
      </c>
      <c r="T505">
        <v>6.875</v>
      </c>
      <c r="U505" s="7">
        <f t="shared" si="127"/>
        <v>1163.9858174365384</v>
      </c>
      <c r="V505" s="2">
        <f t="shared" si="131"/>
        <v>269.22418256346168</v>
      </c>
      <c r="W505" s="9">
        <f t="shared" si="132"/>
        <v>0</v>
      </c>
      <c r="X505" s="3">
        <v>166618</v>
      </c>
      <c r="Y505" s="3">
        <f t="shared" si="133"/>
        <v>-0.46497536945389584</v>
      </c>
      <c r="Z505" s="7">
        <f t="shared" si="134"/>
        <v>1163.9858174365384</v>
      </c>
      <c r="AA505" s="2">
        <f t="shared" si="128"/>
        <v>269.22418256346168</v>
      </c>
      <c r="AB505" s="8">
        <f t="shared" si="135"/>
        <v>0</v>
      </c>
      <c r="AC505" s="10">
        <v>6.875</v>
      </c>
      <c r="AD505" s="7">
        <f t="shared" si="136"/>
        <v>1163.9858174365384</v>
      </c>
      <c r="AE505" s="2">
        <f t="shared" si="137"/>
        <v>269.22418256346168</v>
      </c>
      <c r="AF505" s="10">
        <v>0</v>
      </c>
      <c r="AG505" s="3">
        <f t="shared" si="138"/>
        <v>0</v>
      </c>
      <c r="AH505" s="7">
        <v>1647</v>
      </c>
      <c r="AI505">
        <f t="shared" si="139"/>
        <v>360</v>
      </c>
      <c r="AJ505" t="e">
        <f>VLOOKUP(A505,'Borrower Details'!$A$1:$H$1493,8,FALSE)</f>
        <v>#N/A</v>
      </c>
      <c r="AK505" s="4" t="e">
        <f t="shared" si="140"/>
        <v>#N/A</v>
      </c>
      <c r="AL505" s="10">
        <v>6.875</v>
      </c>
      <c r="AM505" s="3">
        <f t="shared" si="141"/>
        <v>166618.47194999998</v>
      </c>
      <c r="AN505">
        <v>6.875</v>
      </c>
      <c r="AO505" s="7">
        <f t="shared" si="142"/>
        <v>1163.9891144579078</v>
      </c>
      <c r="AP505" s="2">
        <f t="shared" si="143"/>
        <v>269.22088554209222</v>
      </c>
    </row>
    <row r="506" spans="1:42" x14ac:dyDescent="0.15">
      <c r="A506" s="8">
        <v>411203771</v>
      </c>
      <c r="B506" t="s">
        <v>38</v>
      </c>
      <c r="C506" t="s">
        <v>16</v>
      </c>
      <c r="D506" s="1">
        <v>39443</v>
      </c>
      <c r="E506" s="2">
        <v>122000</v>
      </c>
      <c r="F506" s="2">
        <v>103700</v>
      </c>
      <c r="G506" t="s">
        <v>20</v>
      </c>
      <c r="H506" s="2">
        <v>1026.94</v>
      </c>
      <c r="I506" s="2">
        <v>103565.48</v>
      </c>
      <c r="J506">
        <v>0.115</v>
      </c>
      <c r="K506">
        <v>4</v>
      </c>
      <c r="L506">
        <v>356</v>
      </c>
      <c r="M506" t="str">
        <f t="shared" si="129"/>
        <v>30 Year Fixed</v>
      </c>
      <c r="N506" s="2">
        <v>992.5</v>
      </c>
      <c r="O506" t="str">
        <f t="shared" si="126"/>
        <v>Refi</v>
      </c>
      <c r="P506" s="3">
        <f t="shared" si="130"/>
        <v>0</v>
      </c>
      <c r="Q506" s="4">
        <v>105119</v>
      </c>
      <c r="R506" s="4" t="s">
        <v>41</v>
      </c>
      <c r="S506" s="6">
        <v>545</v>
      </c>
      <c r="T506">
        <v>7.625</v>
      </c>
      <c r="U506" s="7">
        <f t="shared" si="127"/>
        <v>787.82529156386352</v>
      </c>
      <c r="V506" s="2">
        <f t="shared" si="131"/>
        <v>239.11470843613654</v>
      </c>
      <c r="W506" s="9">
        <f t="shared" si="132"/>
        <v>0</v>
      </c>
      <c r="X506" s="3">
        <v>105119</v>
      </c>
      <c r="Y506" s="3">
        <f t="shared" si="133"/>
        <v>3.7241379322949797E-2</v>
      </c>
      <c r="Z506" s="7">
        <f t="shared" si="134"/>
        <v>787.82529156386352</v>
      </c>
      <c r="AA506" s="2">
        <f t="shared" si="128"/>
        <v>239.11470843613654</v>
      </c>
      <c r="AB506" s="8">
        <f t="shared" si="135"/>
        <v>0</v>
      </c>
      <c r="AC506" s="10">
        <v>7.625</v>
      </c>
      <c r="AD506" s="7">
        <f t="shared" si="136"/>
        <v>787.82529156386352</v>
      </c>
      <c r="AE506" s="2">
        <f t="shared" si="137"/>
        <v>239.11470843613654</v>
      </c>
      <c r="AF506" s="10">
        <v>0</v>
      </c>
      <c r="AG506" s="3">
        <f t="shared" si="138"/>
        <v>0</v>
      </c>
      <c r="AH506" s="7">
        <v>0</v>
      </c>
      <c r="AI506">
        <f t="shared" si="139"/>
        <v>360</v>
      </c>
      <c r="AJ506" t="e">
        <f>VLOOKUP(A506,'Borrower Details'!$A$1:$H$1493,8,FALSE)</f>
        <v>#N/A</v>
      </c>
      <c r="AK506" s="4" t="e">
        <f t="shared" si="140"/>
        <v>#N/A</v>
      </c>
      <c r="AL506" s="10">
        <v>7.625</v>
      </c>
      <c r="AM506" s="3">
        <f t="shared" si="141"/>
        <v>105118.96219999998</v>
      </c>
      <c r="AN506">
        <v>7.625</v>
      </c>
      <c r="AO506" s="7">
        <f t="shared" si="142"/>
        <v>787.82500826782734</v>
      </c>
      <c r="AP506" s="2">
        <f t="shared" si="143"/>
        <v>239.11499173217271</v>
      </c>
    </row>
    <row r="507" spans="1:42" x14ac:dyDescent="0.15">
      <c r="A507" s="8">
        <v>411270671</v>
      </c>
      <c r="B507" t="s">
        <v>36</v>
      </c>
      <c r="C507" t="s">
        <v>18</v>
      </c>
      <c r="D507" s="1">
        <v>39482</v>
      </c>
      <c r="E507" s="2">
        <v>345000</v>
      </c>
      <c r="F507" s="2">
        <v>272000</v>
      </c>
      <c r="G507" t="s">
        <v>20</v>
      </c>
      <c r="H507" s="2">
        <v>2139.83</v>
      </c>
      <c r="I507" s="2">
        <v>271685.86</v>
      </c>
      <c r="J507">
        <v>8.7499999999999994E-2</v>
      </c>
      <c r="K507">
        <v>2</v>
      </c>
      <c r="L507">
        <v>358</v>
      </c>
      <c r="M507" t="str">
        <f t="shared" si="129"/>
        <v>30 Year Fixed</v>
      </c>
      <c r="N507" s="2">
        <v>1981.04</v>
      </c>
      <c r="O507" t="str">
        <f t="shared" si="126"/>
        <v>Cash Out</v>
      </c>
      <c r="P507" s="3">
        <f t="shared" si="130"/>
        <v>17230.396157635492</v>
      </c>
      <c r="Q507" s="4">
        <v>293250</v>
      </c>
      <c r="R507" s="4" t="s">
        <v>41</v>
      </c>
      <c r="S507" s="6">
        <v>665</v>
      </c>
      <c r="T507">
        <v>6.75</v>
      </c>
      <c r="U507" s="7">
        <f t="shared" si="127"/>
        <v>2024.2014181862869</v>
      </c>
      <c r="V507" s="2">
        <f t="shared" si="131"/>
        <v>115.62858181371303</v>
      </c>
      <c r="W507" s="9">
        <f t="shared" si="132"/>
        <v>0</v>
      </c>
      <c r="X507" s="3">
        <v>293250</v>
      </c>
      <c r="Y507" s="3">
        <f t="shared" si="133"/>
        <v>17230.396157635492</v>
      </c>
      <c r="Z507" s="7">
        <f t="shared" si="134"/>
        <v>2024.2014181862869</v>
      </c>
      <c r="AA507" s="2">
        <f t="shared" si="128"/>
        <v>115.62858181371303</v>
      </c>
      <c r="AB507" s="8">
        <f t="shared" si="135"/>
        <v>0</v>
      </c>
      <c r="AC507" s="10">
        <v>6.75</v>
      </c>
      <c r="AD507" s="7">
        <f t="shared" si="136"/>
        <v>2024.2014181862869</v>
      </c>
      <c r="AE507" s="2">
        <f t="shared" si="137"/>
        <v>115.62858181371303</v>
      </c>
      <c r="AF507" s="10">
        <v>0</v>
      </c>
      <c r="AG507" s="3">
        <f t="shared" si="138"/>
        <v>0</v>
      </c>
      <c r="AH507" s="7">
        <v>5440</v>
      </c>
      <c r="AI507">
        <f t="shared" si="139"/>
        <v>360</v>
      </c>
      <c r="AJ507" t="e">
        <f>VLOOKUP(A507,'Borrower Details'!$A$1:$H$1493,8,FALSE)</f>
        <v>#N/A</v>
      </c>
      <c r="AK507" s="4" t="e">
        <f t="shared" si="140"/>
        <v>#N/A</v>
      </c>
      <c r="AL507" s="10">
        <v>6.75</v>
      </c>
      <c r="AM507" s="3">
        <f t="shared" si="141"/>
        <v>275761.14789999998</v>
      </c>
      <c r="AN507">
        <v>6.75</v>
      </c>
      <c r="AO507" s="7">
        <f t="shared" si="142"/>
        <v>1903.4820346457234</v>
      </c>
      <c r="AP507" s="2">
        <f t="shared" si="143"/>
        <v>236.34796535427654</v>
      </c>
    </row>
    <row r="508" spans="1:42" x14ac:dyDescent="0.15">
      <c r="A508" s="8">
        <v>411223761</v>
      </c>
      <c r="B508" t="s">
        <v>37</v>
      </c>
      <c r="C508" t="s">
        <v>16</v>
      </c>
      <c r="D508" s="1">
        <v>39471</v>
      </c>
      <c r="E508" s="2">
        <v>63000</v>
      </c>
      <c r="F508" s="2">
        <v>53550</v>
      </c>
      <c r="G508" t="s">
        <v>17</v>
      </c>
      <c r="H508" s="2">
        <v>544.65</v>
      </c>
      <c r="I508" s="2">
        <v>53500.94</v>
      </c>
      <c r="J508">
        <v>0.11849999999999999</v>
      </c>
      <c r="K508">
        <v>3</v>
      </c>
      <c r="L508">
        <v>357</v>
      </c>
      <c r="M508" t="str">
        <f t="shared" si="129"/>
        <v>30 Year Fixed</v>
      </c>
      <c r="N508" s="2">
        <v>528.32000000000005</v>
      </c>
      <c r="O508" t="str">
        <f t="shared" si="126"/>
        <v>Refi</v>
      </c>
      <c r="P508" s="3">
        <f t="shared" si="130"/>
        <v>0</v>
      </c>
      <c r="Q508" s="4">
        <v>54303</v>
      </c>
      <c r="R508" s="4" t="s">
        <v>41</v>
      </c>
      <c r="S508" s="6">
        <v>546</v>
      </c>
      <c r="T508">
        <v>7.625</v>
      </c>
      <c r="U508" s="7">
        <f t="shared" si="127"/>
        <v>406.97948808295814</v>
      </c>
      <c r="V508" s="2">
        <f t="shared" si="131"/>
        <v>137.67051191704184</v>
      </c>
      <c r="W508" s="9">
        <f t="shared" si="132"/>
        <v>0</v>
      </c>
      <c r="X508" s="3">
        <v>54304</v>
      </c>
      <c r="Y508" s="3">
        <f t="shared" si="133"/>
        <v>0.53783251231652685</v>
      </c>
      <c r="Z508" s="7">
        <f t="shared" si="134"/>
        <v>406.98698268708841</v>
      </c>
      <c r="AA508" s="2">
        <f t="shared" si="128"/>
        <v>137.66301731291156</v>
      </c>
      <c r="AB508" s="8">
        <f t="shared" si="135"/>
        <v>0</v>
      </c>
      <c r="AC508" s="10">
        <v>7.625</v>
      </c>
      <c r="AD508" s="7">
        <f t="shared" si="136"/>
        <v>406.98698268708841</v>
      </c>
      <c r="AE508" s="2">
        <f t="shared" si="137"/>
        <v>137.66301731291156</v>
      </c>
      <c r="AF508" s="10">
        <v>0</v>
      </c>
      <c r="AG508" s="3">
        <f t="shared" si="138"/>
        <v>0</v>
      </c>
      <c r="AH508" s="7">
        <v>0</v>
      </c>
      <c r="AI508">
        <f t="shared" si="139"/>
        <v>360</v>
      </c>
      <c r="AJ508" t="e">
        <f>VLOOKUP(A508,'Borrower Details'!$A$1:$H$1493,8,FALSE)</f>
        <v>#N/A</v>
      </c>
      <c r="AK508" s="4" t="e">
        <f t="shared" si="140"/>
        <v>#N/A</v>
      </c>
      <c r="AL508" s="10">
        <v>7.625</v>
      </c>
      <c r="AM508" s="3">
        <f t="shared" si="141"/>
        <v>54303.454099999995</v>
      </c>
      <c r="AN508">
        <v>7.625</v>
      </c>
      <c r="AO508" s="7">
        <f t="shared" si="142"/>
        <v>406.98289138269371</v>
      </c>
      <c r="AP508" s="2">
        <f t="shared" si="143"/>
        <v>137.66710861730627</v>
      </c>
    </row>
    <row r="509" spans="1:42" x14ac:dyDescent="0.15">
      <c r="A509" s="8">
        <v>410931315</v>
      </c>
      <c r="B509" t="s">
        <v>36</v>
      </c>
      <c r="C509" t="s">
        <v>16</v>
      </c>
      <c r="D509" s="1">
        <v>39342</v>
      </c>
      <c r="E509" s="2">
        <v>208500</v>
      </c>
      <c r="F509" s="2">
        <v>166800</v>
      </c>
      <c r="G509" t="s">
        <v>20</v>
      </c>
      <c r="H509" s="2">
        <v>1216.47</v>
      </c>
      <c r="I509" s="2">
        <v>166500.29</v>
      </c>
      <c r="J509">
        <v>8.4500000000000006E-2</v>
      </c>
      <c r="K509">
        <v>7</v>
      </c>
      <c r="L509">
        <v>353</v>
      </c>
      <c r="M509" t="str">
        <f t="shared" si="129"/>
        <v>30 Year Fixed</v>
      </c>
      <c r="N509" s="2">
        <v>1172.44</v>
      </c>
      <c r="O509" t="str">
        <f t="shared" si="126"/>
        <v>Cash Out</v>
      </c>
      <c r="P509" s="3">
        <f t="shared" si="130"/>
        <v>8105.6213300492673</v>
      </c>
      <c r="Q509" s="4">
        <v>177225</v>
      </c>
      <c r="R509" s="4" t="s">
        <v>41</v>
      </c>
      <c r="S509" s="6">
        <v>622</v>
      </c>
      <c r="T509">
        <v>6.75</v>
      </c>
      <c r="U509" s="7">
        <f t="shared" si="127"/>
        <v>1223.321726643017</v>
      </c>
      <c r="V509" s="2">
        <f t="shared" si="131"/>
        <v>-6.8517266430169457</v>
      </c>
      <c r="W509" s="9">
        <f t="shared" si="132"/>
        <v>1</v>
      </c>
      <c r="X509" s="3">
        <v>176155</v>
      </c>
      <c r="Y509" s="3">
        <f t="shared" si="133"/>
        <v>7051.4341379310354</v>
      </c>
      <c r="Z509" s="7">
        <f t="shared" si="134"/>
        <v>1215.9358936764036</v>
      </c>
      <c r="AA509" s="2">
        <f t="shared" si="128"/>
        <v>0.53410632359646115</v>
      </c>
      <c r="AB509" s="8">
        <f t="shared" si="135"/>
        <v>1</v>
      </c>
      <c r="AC509" s="10">
        <v>6.125</v>
      </c>
      <c r="AD509" s="7">
        <f t="shared" si="136"/>
        <v>1143.7342626650304</v>
      </c>
      <c r="AE509" s="2">
        <f t="shared" si="137"/>
        <v>72.735737334969599</v>
      </c>
      <c r="AF509" s="10">
        <v>3</v>
      </c>
      <c r="AG509" s="3">
        <f t="shared" si="138"/>
        <v>5284.65</v>
      </c>
      <c r="AH509" s="7">
        <v>3336</v>
      </c>
      <c r="AI509">
        <f t="shared" si="139"/>
        <v>360</v>
      </c>
      <c r="AJ509" t="e">
        <f>VLOOKUP(A509,'Borrower Details'!$A$1:$H$1493,8,FALSE)</f>
        <v>#N/A</v>
      </c>
      <c r="AK509" s="4" t="e">
        <f t="shared" si="140"/>
        <v>#N/A</v>
      </c>
      <c r="AL509" s="10">
        <v>6.75</v>
      </c>
      <c r="AM509" s="3">
        <f t="shared" si="141"/>
        <v>168997.79434999998</v>
      </c>
      <c r="AN509">
        <v>6.75</v>
      </c>
      <c r="AO509" s="7">
        <f t="shared" si="142"/>
        <v>1166.5322250421975</v>
      </c>
      <c r="AP509" s="2">
        <f t="shared" si="143"/>
        <v>49.937774957802503</v>
      </c>
    </row>
    <row r="510" spans="1:42" x14ac:dyDescent="0.15">
      <c r="A510" s="8">
        <v>411228851</v>
      </c>
      <c r="B510" t="s">
        <v>35</v>
      </c>
      <c r="C510" t="s">
        <v>16</v>
      </c>
      <c r="D510" s="1">
        <v>39463</v>
      </c>
      <c r="E510" s="2">
        <v>125000</v>
      </c>
      <c r="F510" s="2">
        <v>90500</v>
      </c>
      <c r="G510" t="s">
        <v>17</v>
      </c>
      <c r="H510" s="2">
        <v>800.57</v>
      </c>
      <c r="I510" s="2">
        <v>90341.05</v>
      </c>
      <c r="J510">
        <v>0.10095</v>
      </c>
      <c r="K510">
        <v>3</v>
      </c>
      <c r="L510">
        <v>356</v>
      </c>
      <c r="M510" t="str">
        <f t="shared" si="129"/>
        <v>30 Year Fixed</v>
      </c>
      <c r="N510" s="2">
        <v>759.99</v>
      </c>
      <c r="O510" t="str">
        <f t="shared" si="126"/>
        <v>Cash Out</v>
      </c>
      <c r="P510" s="3">
        <f t="shared" si="130"/>
        <v>14338.752955665026</v>
      </c>
      <c r="Q510" s="4">
        <v>106250</v>
      </c>
      <c r="R510" s="4" t="s">
        <v>41</v>
      </c>
      <c r="S510" s="6">
        <v>588</v>
      </c>
      <c r="T510">
        <v>7.375</v>
      </c>
      <c r="U510" s="7">
        <f t="shared" si="127"/>
        <v>778.11317765550473</v>
      </c>
      <c r="V510" s="2">
        <f t="shared" si="131"/>
        <v>22.456822344495322</v>
      </c>
      <c r="W510" s="9">
        <f t="shared" si="132"/>
        <v>0</v>
      </c>
      <c r="X510" s="3">
        <v>106250</v>
      </c>
      <c r="Y510" s="3">
        <f t="shared" si="133"/>
        <v>14338.752955665026</v>
      </c>
      <c r="Z510" s="7">
        <f t="shared" si="134"/>
        <v>778.11317765550473</v>
      </c>
      <c r="AA510" s="2">
        <f t="shared" si="128"/>
        <v>22.456822344495322</v>
      </c>
      <c r="AB510" s="8">
        <f t="shared" si="135"/>
        <v>0</v>
      </c>
      <c r="AC510" s="10">
        <v>7.625</v>
      </c>
      <c r="AD510" s="7">
        <f t="shared" si="136"/>
        <v>796.30168883513454</v>
      </c>
      <c r="AE510" s="2">
        <f t="shared" si="137"/>
        <v>4.2683111648655085</v>
      </c>
      <c r="AF510" s="10">
        <v>0</v>
      </c>
      <c r="AG510" s="3">
        <f t="shared" si="138"/>
        <v>0</v>
      </c>
      <c r="AH510" s="7">
        <v>4567.9875000000002</v>
      </c>
      <c r="AI510">
        <f t="shared" si="139"/>
        <v>360</v>
      </c>
      <c r="AJ510" t="e">
        <f>VLOOKUP(A510,'Borrower Details'!$A$1:$H$1493,8,FALSE)</f>
        <v>#N/A</v>
      </c>
      <c r="AK510" s="4" t="e">
        <f t="shared" si="140"/>
        <v>#N/A</v>
      </c>
      <c r="AL510" s="10">
        <v>7.375</v>
      </c>
      <c r="AM510" s="3">
        <f t="shared" si="141"/>
        <v>91696.16575</v>
      </c>
      <c r="AN510">
        <v>7.625</v>
      </c>
      <c r="AO510" s="7">
        <f t="shared" si="142"/>
        <v>687.22646255464861</v>
      </c>
      <c r="AP510" s="2">
        <f t="shared" si="143"/>
        <v>113.34353744535144</v>
      </c>
    </row>
    <row r="511" spans="1:42" x14ac:dyDescent="0.15">
      <c r="A511" s="8">
        <v>411169931</v>
      </c>
      <c r="B511" t="s">
        <v>36</v>
      </c>
      <c r="C511" t="s">
        <v>16</v>
      </c>
      <c r="D511" s="1">
        <v>39443</v>
      </c>
      <c r="E511" s="2">
        <v>165000</v>
      </c>
      <c r="F511" s="2">
        <v>102000</v>
      </c>
      <c r="G511" t="s">
        <v>17</v>
      </c>
      <c r="H511" s="2">
        <v>675.19</v>
      </c>
      <c r="I511" s="2">
        <v>101572.88</v>
      </c>
      <c r="J511">
        <v>6.9500000000000006E-2</v>
      </c>
      <c r="K511">
        <v>4</v>
      </c>
      <c r="L511">
        <v>355</v>
      </c>
      <c r="M511" t="str">
        <f t="shared" si="129"/>
        <v>30 Year Fixed</v>
      </c>
      <c r="N511" s="2">
        <v>588.28</v>
      </c>
      <c r="O511" t="str">
        <f t="shared" si="126"/>
        <v>Cash Out</v>
      </c>
      <c r="P511" s="3">
        <f t="shared" si="130"/>
        <v>36604.459901477851</v>
      </c>
      <c r="Q511" s="4">
        <v>140250</v>
      </c>
      <c r="R511" s="4" t="s">
        <v>41</v>
      </c>
      <c r="S511" s="6">
        <v>644</v>
      </c>
      <c r="T511">
        <v>6.75</v>
      </c>
      <c r="U511" s="7">
        <f t="shared" si="127"/>
        <v>968.09633043691986</v>
      </c>
      <c r="V511" s="2">
        <f t="shared" si="131"/>
        <v>-292.9063304369198</v>
      </c>
      <c r="W511" s="9">
        <f t="shared" si="132"/>
        <v>1</v>
      </c>
      <c r="X511" s="3">
        <v>103097</v>
      </c>
      <c r="Y511" s="3">
        <f t="shared" si="133"/>
        <v>0.51901477832871024</v>
      </c>
      <c r="Z511" s="7">
        <f t="shared" si="134"/>
        <v>711.64226295226479</v>
      </c>
      <c r="AA511" s="2">
        <f t="shared" si="128"/>
        <v>-36.452262952264732</v>
      </c>
      <c r="AB511" s="8">
        <f t="shared" si="135"/>
        <v>1</v>
      </c>
      <c r="AC511" s="10">
        <v>6.125</v>
      </c>
      <c r="AD511" s="7">
        <f t="shared" si="136"/>
        <v>669.38532132483692</v>
      </c>
      <c r="AE511" s="2">
        <f t="shared" si="137"/>
        <v>5.8046786751631316</v>
      </c>
      <c r="AF511" s="10">
        <v>3</v>
      </c>
      <c r="AG511" s="3">
        <f t="shared" si="138"/>
        <v>3092.91</v>
      </c>
      <c r="AH511" s="7">
        <v>2040</v>
      </c>
      <c r="AI511">
        <f t="shared" si="139"/>
        <v>360</v>
      </c>
      <c r="AJ511" t="e">
        <f>VLOOKUP(A511,'Borrower Details'!$A$1:$H$1493,8,FALSE)</f>
        <v>#N/A</v>
      </c>
      <c r="AK511" s="4" t="e">
        <f t="shared" si="140"/>
        <v>#N/A</v>
      </c>
      <c r="AL511" s="10">
        <v>6.75</v>
      </c>
      <c r="AM511" s="3">
        <f t="shared" si="141"/>
        <v>103096.47319999999</v>
      </c>
      <c r="AN511">
        <v>6.75</v>
      </c>
      <c r="AO511" s="7">
        <f t="shared" si="142"/>
        <v>711.63862663749205</v>
      </c>
      <c r="AP511" s="2">
        <f t="shared" si="143"/>
        <v>-36.448626637491998</v>
      </c>
    </row>
    <row r="512" spans="1:42" x14ac:dyDescent="0.15">
      <c r="A512" s="8">
        <v>411127707</v>
      </c>
      <c r="B512" t="s">
        <v>36</v>
      </c>
      <c r="C512" t="s">
        <v>16</v>
      </c>
      <c r="D512" s="1">
        <v>39412</v>
      </c>
      <c r="E512" s="2">
        <v>159000</v>
      </c>
      <c r="F512" s="2">
        <v>119250</v>
      </c>
      <c r="G512" t="s">
        <v>17</v>
      </c>
      <c r="H512" s="2">
        <v>1003.26</v>
      </c>
      <c r="I512" s="2">
        <v>119111.13</v>
      </c>
      <c r="J512">
        <v>9.9000000000000005E-2</v>
      </c>
      <c r="K512">
        <v>5</v>
      </c>
      <c r="L512">
        <v>355</v>
      </c>
      <c r="M512" t="str">
        <f t="shared" si="129"/>
        <v>30 Year Fixed</v>
      </c>
      <c r="N512" s="2">
        <v>982.67</v>
      </c>
      <c r="O512" t="str">
        <f t="shared" si="126"/>
        <v>Cash Out</v>
      </c>
      <c r="P512" s="3">
        <f t="shared" si="130"/>
        <v>14041.579359605908</v>
      </c>
      <c r="Q512" s="4">
        <v>135150</v>
      </c>
      <c r="R512" s="4" t="s">
        <v>41</v>
      </c>
      <c r="S512" s="6">
        <v>538</v>
      </c>
      <c r="T512">
        <v>7.625</v>
      </c>
      <c r="U512" s="7">
        <f t="shared" si="127"/>
        <v>1012.8957481982911</v>
      </c>
      <c r="V512" s="2">
        <f t="shared" si="131"/>
        <v>-9.6357481982911395</v>
      </c>
      <c r="W512" s="9">
        <f t="shared" si="132"/>
        <v>1</v>
      </c>
      <c r="X512" s="3">
        <v>133790</v>
      </c>
      <c r="Y512" s="3">
        <f t="shared" si="133"/>
        <v>12701.677881773416</v>
      </c>
      <c r="Z512" s="7">
        <f t="shared" si="134"/>
        <v>1002.7030865812014</v>
      </c>
      <c r="AA512" s="2">
        <f t="shared" si="128"/>
        <v>0.55691341879855827</v>
      </c>
      <c r="AB512" s="8">
        <f t="shared" si="135"/>
        <v>0</v>
      </c>
      <c r="AC512" s="10">
        <v>7.625</v>
      </c>
      <c r="AD512" s="7">
        <f t="shared" si="136"/>
        <v>1002.7030865812014</v>
      </c>
      <c r="AE512" s="2">
        <f t="shared" si="137"/>
        <v>0.55691341879855827</v>
      </c>
      <c r="AF512" s="10">
        <v>0</v>
      </c>
      <c r="AG512" s="3">
        <f t="shared" si="138"/>
        <v>0</v>
      </c>
      <c r="AH512" s="7">
        <v>2385</v>
      </c>
      <c r="AI512">
        <f t="shared" si="139"/>
        <v>360</v>
      </c>
      <c r="AJ512" t="e">
        <f>VLOOKUP(A512,'Borrower Details'!$A$1:$H$1493,8,FALSE)</f>
        <v>#N/A</v>
      </c>
      <c r="AK512" s="4" t="e">
        <f t="shared" si="140"/>
        <v>#N/A</v>
      </c>
      <c r="AL512" s="10">
        <v>7.625</v>
      </c>
      <c r="AM512" s="3">
        <f t="shared" si="141"/>
        <v>120897.79694999999</v>
      </c>
      <c r="AN512">
        <v>7.625</v>
      </c>
      <c r="AO512" s="7">
        <f t="shared" si="142"/>
        <v>906.08112835512622</v>
      </c>
      <c r="AP512" s="2">
        <f t="shared" si="143"/>
        <v>97.178871644873766</v>
      </c>
    </row>
    <row r="513" spans="1:42" x14ac:dyDescent="0.15">
      <c r="A513" s="8">
        <v>411210719</v>
      </c>
      <c r="B513" t="s">
        <v>37</v>
      </c>
      <c r="C513" t="s">
        <v>16</v>
      </c>
      <c r="D513" s="1">
        <v>39461</v>
      </c>
      <c r="E513" s="2">
        <v>122500</v>
      </c>
      <c r="F513" s="2">
        <v>104125</v>
      </c>
      <c r="G513" t="s">
        <v>17</v>
      </c>
      <c r="H513" s="2">
        <v>936.94</v>
      </c>
      <c r="I513" s="2">
        <v>103989.82</v>
      </c>
      <c r="J513">
        <v>0.10299999999999999</v>
      </c>
      <c r="K513">
        <v>3</v>
      </c>
      <c r="L513">
        <v>357</v>
      </c>
      <c r="M513" t="str">
        <f t="shared" si="129"/>
        <v>30 Year Fixed</v>
      </c>
      <c r="N513" s="2">
        <v>892.58</v>
      </c>
      <c r="O513" t="str">
        <f t="shared" si="126"/>
        <v>Refi</v>
      </c>
      <c r="P513" s="3">
        <f t="shared" si="130"/>
        <v>0</v>
      </c>
      <c r="Q513" s="4">
        <v>105550</v>
      </c>
      <c r="R513" s="4" t="s">
        <v>41</v>
      </c>
      <c r="S513" s="6">
        <v>606</v>
      </c>
      <c r="T513">
        <v>6.875</v>
      </c>
      <c r="U513" s="7">
        <f t="shared" si="127"/>
        <v>737.36752950117409</v>
      </c>
      <c r="V513" s="2">
        <f t="shared" si="131"/>
        <v>199.57247049882596</v>
      </c>
      <c r="W513" s="9">
        <f t="shared" si="132"/>
        <v>0</v>
      </c>
      <c r="X513" s="3">
        <v>105550</v>
      </c>
      <c r="Y513" s="3">
        <f t="shared" si="133"/>
        <v>0.32778325123945251</v>
      </c>
      <c r="Z513" s="7">
        <f t="shared" si="134"/>
        <v>737.36752950117409</v>
      </c>
      <c r="AA513" s="2">
        <f t="shared" si="128"/>
        <v>199.57247049882596</v>
      </c>
      <c r="AB513" s="8">
        <f t="shared" si="135"/>
        <v>0</v>
      </c>
      <c r="AC513" s="10">
        <v>6.875</v>
      </c>
      <c r="AD513" s="7">
        <f t="shared" si="136"/>
        <v>737.36752950117409</v>
      </c>
      <c r="AE513" s="2">
        <f t="shared" si="137"/>
        <v>199.57247049882596</v>
      </c>
      <c r="AF513" s="10">
        <v>0</v>
      </c>
      <c r="AG513" s="3">
        <f t="shared" si="138"/>
        <v>0</v>
      </c>
      <c r="AH513" s="7">
        <v>0</v>
      </c>
      <c r="AI513">
        <f t="shared" si="139"/>
        <v>360</v>
      </c>
      <c r="AJ513" t="e">
        <f>VLOOKUP(A513,'Borrower Details'!$A$1:$H$1493,8,FALSE)</f>
        <v>#N/A</v>
      </c>
      <c r="AK513" s="4" t="e">
        <f t="shared" si="140"/>
        <v>#N/A</v>
      </c>
      <c r="AL513" s="10">
        <v>6.875</v>
      </c>
      <c r="AM513" s="3">
        <f t="shared" si="141"/>
        <v>105549.6673</v>
      </c>
      <c r="AN513">
        <v>6.875</v>
      </c>
      <c r="AO513" s="7">
        <f t="shared" si="142"/>
        <v>737.36520527401103</v>
      </c>
      <c r="AP513" s="2">
        <f t="shared" si="143"/>
        <v>199.57479472598902</v>
      </c>
    </row>
    <row r="514" spans="1:42" x14ac:dyDescent="0.15">
      <c r="A514" s="8">
        <v>411125867</v>
      </c>
      <c r="B514" t="s">
        <v>36</v>
      </c>
      <c r="C514" t="s">
        <v>16</v>
      </c>
      <c r="D514" s="1">
        <v>39443</v>
      </c>
      <c r="E514" s="2">
        <v>240000</v>
      </c>
      <c r="F514" s="2">
        <v>165000</v>
      </c>
      <c r="G514" t="s">
        <v>17</v>
      </c>
      <c r="H514" s="2">
        <v>1375.39</v>
      </c>
      <c r="I514" s="2">
        <v>164578.04</v>
      </c>
      <c r="J514">
        <v>9.4E-2</v>
      </c>
      <c r="K514">
        <v>4</v>
      </c>
      <c r="L514">
        <v>355</v>
      </c>
      <c r="M514" t="str">
        <f t="shared" si="129"/>
        <v>30 Year Fixed</v>
      </c>
      <c r="N514" s="2">
        <v>1289.19</v>
      </c>
      <c r="O514" t="str">
        <f t="shared" ref="O514:O577" si="144">IF((0.85*E514)&gt;(I514*1.015),"Cash Out","Refi")</f>
        <v>Cash Out</v>
      </c>
      <c r="P514" s="3">
        <f t="shared" si="130"/>
        <v>36407.181674876862</v>
      </c>
      <c r="Q514" s="4">
        <v>204000</v>
      </c>
      <c r="R514" s="4" t="s">
        <v>41</v>
      </c>
      <c r="S514" s="6">
        <v>557</v>
      </c>
      <c r="T514">
        <v>7.625</v>
      </c>
      <c r="U514" s="7">
        <f t="shared" ref="U514:U577" si="145">(Q514*((T514/1200)/(1-(1+(T514/1200))^-AI514)))+((Q514*0.005)/12)</f>
        <v>1528.8992425634583</v>
      </c>
      <c r="V514" s="2">
        <f t="shared" si="131"/>
        <v>-153.5092425634582</v>
      </c>
      <c r="W514" s="9">
        <f t="shared" si="132"/>
        <v>1</v>
      </c>
      <c r="X514" s="3">
        <v>183450</v>
      </c>
      <c r="Y514" s="3">
        <f t="shared" si="133"/>
        <v>16160.876256157644</v>
      </c>
      <c r="Z514" s="7">
        <f t="shared" si="134"/>
        <v>1374.8851276875805</v>
      </c>
      <c r="AA514" s="2">
        <f t="shared" ref="AA514:AA577" si="146">H514-Z514</f>
        <v>0.50487231241959307</v>
      </c>
      <c r="AB514" s="8">
        <f t="shared" si="135"/>
        <v>0</v>
      </c>
      <c r="AC514" s="10">
        <v>7.625</v>
      </c>
      <c r="AD514" s="7">
        <f t="shared" si="136"/>
        <v>1374.8851276875805</v>
      </c>
      <c r="AE514" s="2">
        <f t="shared" si="137"/>
        <v>0.50487231241959307</v>
      </c>
      <c r="AF514" s="10">
        <v>0</v>
      </c>
      <c r="AG514" s="3">
        <f t="shared" si="138"/>
        <v>0</v>
      </c>
      <c r="AH514" s="7">
        <v>3300</v>
      </c>
      <c r="AI514">
        <f t="shared" si="139"/>
        <v>360</v>
      </c>
      <c r="AJ514" t="e">
        <f>VLOOKUP(A514,'Borrower Details'!$A$1:$H$1493,8,FALSE)</f>
        <v>#N/A</v>
      </c>
      <c r="AK514" s="4" t="e">
        <f t="shared" si="140"/>
        <v>#N/A</v>
      </c>
      <c r="AL514" s="10">
        <v>7.625</v>
      </c>
      <c r="AM514" s="3">
        <f t="shared" si="141"/>
        <v>167046.71059999999</v>
      </c>
      <c r="AN514">
        <v>7.625</v>
      </c>
      <c r="AO514" s="7">
        <f t="shared" si="142"/>
        <v>1251.9489672012608</v>
      </c>
      <c r="AP514" s="2">
        <f t="shared" si="143"/>
        <v>123.44103279873934</v>
      </c>
    </row>
    <row r="515" spans="1:42" x14ac:dyDescent="0.15">
      <c r="A515" s="8">
        <v>411298961</v>
      </c>
      <c r="B515" t="s">
        <v>35</v>
      </c>
      <c r="C515" t="s">
        <v>16</v>
      </c>
      <c r="D515" s="1">
        <v>39489</v>
      </c>
      <c r="E515" s="2">
        <v>160000</v>
      </c>
      <c r="F515" s="2">
        <v>143910</v>
      </c>
      <c r="G515" t="s">
        <v>20</v>
      </c>
      <c r="H515" s="2">
        <v>1343.38</v>
      </c>
      <c r="I515" s="2">
        <v>143745.98000000001</v>
      </c>
      <c r="J515">
        <v>0.1075</v>
      </c>
      <c r="K515">
        <v>2</v>
      </c>
      <c r="L515">
        <v>357</v>
      </c>
      <c r="M515" t="str">
        <f t="shared" ref="M515:M578" si="147">(IF((L515+K515)&lt;180,"15 Year Fixed","30 Year Fixed"))</f>
        <v>30 Year Fixed</v>
      </c>
      <c r="N515" s="2">
        <v>1287.72</v>
      </c>
      <c r="O515" t="str">
        <f t="shared" si="144"/>
        <v>Refi</v>
      </c>
      <c r="P515" s="3">
        <f t="shared" ref="P515:P578" si="148">IF((0.85*E515)&gt;(I515*1.015),((0.85*E515)/1.015)-(I515),0)</f>
        <v>0</v>
      </c>
      <c r="Q515" s="4">
        <v>145902</v>
      </c>
      <c r="R515" s="4" t="s">
        <v>41</v>
      </c>
      <c r="S515" s="6">
        <v>601</v>
      </c>
      <c r="T515">
        <v>6.875</v>
      </c>
      <c r="U515" s="7">
        <f t="shared" si="145"/>
        <v>1019.2647777288519</v>
      </c>
      <c r="V515" s="2">
        <f t="shared" ref="V515:V578" si="149">H515-U515</f>
        <v>324.11522227114824</v>
      </c>
      <c r="W515" s="9">
        <f t="shared" ref="W515:W578" si="150">IF(AND(O515="Cash Out",V515&lt;0),1,0)</f>
        <v>0</v>
      </c>
      <c r="X515" s="3">
        <v>145902</v>
      </c>
      <c r="Y515" s="3">
        <f t="shared" ref="Y515:Y578" si="151">(X515/1.015)-(I515)</f>
        <v>-0.16719211821327917</v>
      </c>
      <c r="Z515" s="7">
        <f t="shared" ref="Z515:Z578" si="152">(X515*((AL515/1200)/(1-(1+(AL515/1200))^-AI515)))+((X515*0.005)/12)</f>
        <v>1019.2647777288519</v>
      </c>
      <c r="AA515" s="2">
        <f t="shared" si="146"/>
        <v>324.11522227114824</v>
      </c>
      <c r="AB515" s="8">
        <f t="shared" ref="AB515:AB578" si="153">IF(I515=0,0,IF(AND(AH515&gt;0,(AP515/AO515)&lt;0.07),1,IF(AND(AH515=0,(AP515/AO515)&lt;0.1),1,0)))</f>
        <v>0</v>
      </c>
      <c r="AC515" s="10">
        <v>6.875</v>
      </c>
      <c r="AD515" s="7">
        <f t="shared" ref="AD515:AD578" si="154">(X515*((AC515/1200)/(1-(1+(AC515/1200))^-AI515)))+((X515*0.005)/12)</f>
        <v>1019.2647777288519</v>
      </c>
      <c r="AE515" s="2">
        <f t="shared" ref="AE515:AE578" si="155">H515-AD515</f>
        <v>324.11522227114824</v>
      </c>
      <c r="AF515" s="10">
        <v>0</v>
      </c>
      <c r="AG515" s="3">
        <f t="shared" ref="AG515:AG578" si="156">AF515*X515/100</f>
        <v>0</v>
      </c>
      <c r="AH515" s="7">
        <v>0</v>
      </c>
      <c r="AI515">
        <f t="shared" ref="AI515:AI578" si="157">IF(M515="30 Year Fixed",360,180)</f>
        <v>360</v>
      </c>
      <c r="AJ515" t="e">
        <f>VLOOKUP(A515,'Borrower Details'!$A$1:$H$1493,8,FALSE)</f>
        <v>#N/A</v>
      </c>
      <c r="AK515" s="4" t="e">
        <f t="shared" ref="AK515:AK578" si="158">IF(AJ515&gt;360,PV((J515/12),AJ515-AI515,-H515),"NA")</f>
        <v>#N/A</v>
      </c>
      <c r="AL515" s="10">
        <v>6.875</v>
      </c>
      <c r="AM515" s="3">
        <f t="shared" ref="AM515:AM578" si="159">I515*1.015</f>
        <v>145902.1697</v>
      </c>
      <c r="AN515">
        <v>6.875</v>
      </c>
      <c r="AO515" s="7">
        <f t="shared" ref="AO515:AO578" si="160">(AM515*((AN515/1200)/(1-(1+(AN515/1200))^-AI515)))+((AM515*0.005)/12)</f>
        <v>1019.265963245382</v>
      </c>
      <c r="AP515" s="2">
        <f t="shared" ref="AP515:AP578" si="161">H515-AO515</f>
        <v>324.11403675461816</v>
      </c>
    </row>
    <row r="516" spans="1:42" x14ac:dyDescent="0.15">
      <c r="A516" s="8">
        <v>411189939</v>
      </c>
      <c r="B516" t="s">
        <v>36</v>
      </c>
      <c r="C516" t="s">
        <v>18</v>
      </c>
      <c r="D516" s="1">
        <v>39435</v>
      </c>
      <c r="E516" s="2">
        <v>166000</v>
      </c>
      <c r="F516" s="2">
        <v>146000</v>
      </c>
      <c r="G516" t="s">
        <v>17</v>
      </c>
      <c r="H516" s="2">
        <v>1254.3699999999999</v>
      </c>
      <c r="I516" s="2">
        <v>145109.85</v>
      </c>
      <c r="J516">
        <v>9.7500000000000003E-2</v>
      </c>
      <c r="K516">
        <v>4</v>
      </c>
      <c r="L516">
        <v>356</v>
      </c>
      <c r="M516" t="str">
        <f t="shared" si="147"/>
        <v>30 Year Fixed</v>
      </c>
      <c r="N516" s="2">
        <v>1179.02</v>
      </c>
      <c r="O516" t="str">
        <f t="shared" si="144"/>
        <v>Refi</v>
      </c>
      <c r="P516" s="3">
        <f t="shared" si="148"/>
        <v>0</v>
      </c>
      <c r="Q516" s="4">
        <v>147286</v>
      </c>
      <c r="R516" s="4" t="s">
        <v>41</v>
      </c>
      <c r="S516" s="6">
        <v>621</v>
      </c>
      <c r="T516">
        <v>6.75</v>
      </c>
      <c r="U516" s="7">
        <f t="shared" si="145"/>
        <v>1016.663359178126</v>
      </c>
      <c r="V516" s="2">
        <f t="shared" si="149"/>
        <v>237.70664082187386</v>
      </c>
      <c r="W516" s="9">
        <f t="shared" si="150"/>
        <v>0</v>
      </c>
      <c r="X516" s="3">
        <v>147287</v>
      </c>
      <c r="Y516" s="3">
        <f t="shared" si="151"/>
        <v>0.49482758622616529</v>
      </c>
      <c r="Z516" s="7">
        <f t="shared" si="152"/>
        <v>1016.6702618257584</v>
      </c>
      <c r="AA516" s="2">
        <f t="shared" si="146"/>
        <v>237.69973817424147</v>
      </c>
      <c r="AB516" s="8">
        <f t="shared" si="153"/>
        <v>0</v>
      </c>
      <c r="AC516" s="10">
        <v>6.75</v>
      </c>
      <c r="AD516" s="7">
        <f t="shared" si="154"/>
        <v>1016.6702618257584</v>
      </c>
      <c r="AE516" s="2">
        <f t="shared" si="155"/>
        <v>237.69973817424147</v>
      </c>
      <c r="AF516" s="10">
        <v>0</v>
      </c>
      <c r="AG516" s="3">
        <f t="shared" si="156"/>
        <v>0</v>
      </c>
      <c r="AH516" s="7">
        <v>2920</v>
      </c>
      <c r="AI516">
        <f t="shared" si="157"/>
        <v>360</v>
      </c>
      <c r="AJ516" t="e">
        <f>VLOOKUP(A516,'Borrower Details'!$A$1:$H$1493,8,FALSE)</f>
        <v>#N/A</v>
      </c>
      <c r="AK516" s="4" t="e">
        <f t="shared" si="158"/>
        <v>#N/A</v>
      </c>
      <c r="AL516" s="10">
        <v>6.75</v>
      </c>
      <c r="AM516" s="3">
        <f t="shared" si="159"/>
        <v>147286.49774999998</v>
      </c>
      <c r="AN516">
        <v>6.75</v>
      </c>
      <c r="AO516" s="7">
        <f t="shared" si="160"/>
        <v>1016.6667949709849</v>
      </c>
      <c r="AP516" s="2">
        <f t="shared" si="161"/>
        <v>237.70320502901495</v>
      </c>
    </row>
    <row r="517" spans="1:42" x14ac:dyDescent="0.15">
      <c r="A517" s="8">
        <v>411170129</v>
      </c>
      <c r="B517" t="s">
        <v>37</v>
      </c>
      <c r="C517" t="s">
        <v>18</v>
      </c>
      <c r="D517" s="1">
        <v>39444</v>
      </c>
      <c r="E517" s="2">
        <v>142000</v>
      </c>
      <c r="F517" s="2">
        <v>118150</v>
      </c>
      <c r="G517" t="s">
        <v>17</v>
      </c>
      <c r="H517" s="2">
        <v>1147.55</v>
      </c>
      <c r="I517" s="2">
        <v>117946.75</v>
      </c>
      <c r="J517">
        <v>0.1125</v>
      </c>
      <c r="K517">
        <v>4</v>
      </c>
      <c r="L517">
        <v>355</v>
      </c>
      <c r="M517" t="str">
        <f t="shared" si="147"/>
        <v>30 Year Fixed</v>
      </c>
      <c r="N517" s="2">
        <v>1105.75</v>
      </c>
      <c r="O517" t="str">
        <f t="shared" si="144"/>
        <v>Cash Out</v>
      </c>
      <c r="P517" s="3">
        <f t="shared" si="148"/>
        <v>969.5061576354783</v>
      </c>
      <c r="Q517" s="4">
        <v>120700</v>
      </c>
      <c r="R517" s="4" t="s">
        <v>41</v>
      </c>
      <c r="S517" s="6">
        <v>561</v>
      </c>
      <c r="T517">
        <v>7.625</v>
      </c>
      <c r="U517" s="7">
        <f t="shared" si="145"/>
        <v>904.59871851671278</v>
      </c>
      <c r="V517" s="2">
        <f t="shared" si="149"/>
        <v>242.95128148328718</v>
      </c>
      <c r="W517" s="9">
        <f t="shared" si="150"/>
        <v>0</v>
      </c>
      <c r="X517" s="3">
        <v>120700</v>
      </c>
      <c r="Y517" s="3">
        <f t="shared" si="151"/>
        <v>969.5061576354783</v>
      </c>
      <c r="Z517" s="7">
        <f t="shared" si="152"/>
        <v>904.59871851671278</v>
      </c>
      <c r="AA517" s="2">
        <f t="shared" si="146"/>
        <v>242.95128148328718</v>
      </c>
      <c r="AB517" s="8">
        <f t="shared" si="153"/>
        <v>0</v>
      </c>
      <c r="AC517" s="10">
        <v>7.625</v>
      </c>
      <c r="AD517" s="7">
        <f t="shared" si="154"/>
        <v>904.59871851671278</v>
      </c>
      <c r="AE517" s="2">
        <f t="shared" si="155"/>
        <v>242.95128148328718</v>
      </c>
      <c r="AF517" s="10">
        <v>0</v>
      </c>
      <c r="AG517" s="3">
        <f t="shared" si="156"/>
        <v>0</v>
      </c>
      <c r="AH517" s="7">
        <v>0</v>
      </c>
      <c r="AI517">
        <f t="shared" si="157"/>
        <v>360</v>
      </c>
      <c r="AJ517" t="e">
        <f>VLOOKUP(A517,'Borrower Details'!$A$1:$H$1493,8,FALSE)</f>
        <v>#N/A</v>
      </c>
      <c r="AK517" s="4" t="e">
        <f t="shared" si="158"/>
        <v>#N/A</v>
      </c>
      <c r="AL517" s="10">
        <v>7.625</v>
      </c>
      <c r="AM517" s="3">
        <f t="shared" si="159"/>
        <v>119715.95124999998</v>
      </c>
      <c r="AN517">
        <v>7.625</v>
      </c>
      <c r="AO517" s="7">
        <f t="shared" si="160"/>
        <v>897.22366269063173</v>
      </c>
      <c r="AP517" s="2">
        <f t="shared" si="161"/>
        <v>250.32633730936823</v>
      </c>
    </row>
    <row r="518" spans="1:42" x14ac:dyDescent="0.15">
      <c r="A518" s="8">
        <v>411107717</v>
      </c>
      <c r="B518" t="s">
        <v>36</v>
      </c>
      <c r="C518" t="s">
        <v>16</v>
      </c>
      <c r="D518" s="1">
        <v>39405</v>
      </c>
      <c r="E518" s="2">
        <v>127000</v>
      </c>
      <c r="F518" s="2">
        <v>88900</v>
      </c>
      <c r="G518" t="s">
        <v>17</v>
      </c>
      <c r="H518" s="2">
        <v>731.58</v>
      </c>
      <c r="I518" s="2">
        <v>88871.73</v>
      </c>
      <c r="J518">
        <v>9.8000000000000004E-2</v>
      </c>
      <c r="K518">
        <v>5</v>
      </c>
      <c r="L518">
        <v>355</v>
      </c>
      <c r="M518" t="str">
        <f t="shared" si="147"/>
        <v>30 Year Fixed</v>
      </c>
      <c r="N518" s="2">
        <v>725.79</v>
      </c>
      <c r="O518" t="str">
        <f t="shared" si="144"/>
        <v>Cash Out</v>
      </c>
      <c r="P518" s="3">
        <f t="shared" si="148"/>
        <v>17482.949802955685</v>
      </c>
      <c r="Q518" s="4">
        <v>107950</v>
      </c>
      <c r="R518" s="4" t="s">
        <v>41</v>
      </c>
      <c r="S518" s="6">
        <v>525</v>
      </c>
      <c r="T518">
        <v>7.625</v>
      </c>
      <c r="U518" s="7">
        <f t="shared" si="145"/>
        <v>809.04251585649661</v>
      </c>
      <c r="V518" s="2">
        <f t="shared" si="149"/>
        <v>-77.462515856496566</v>
      </c>
      <c r="W518" s="9">
        <f t="shared" si="150"/>
        <v>1</v>
      </c>
      <c r="X518" s="3">
        <v>97540</v>
      </c>
      <c r="Y518" s="3">
        <f t="shared" si="151"/>
        <v>7226.7921674876998</v>
      </c>
      <c r="Z518" s="7">
        <f t="shared" si="152"/>
        <v>731.02368686097896</v>
      </c>
      <c r="AA518" s="2">
        <f t="shared" si="146"/>
        <v>0.55631313902108559</v>
      </c>
      <c r="AB518" s="8">
        <f t="shared" si="153"/>
        <v>0</v>
      </c>
      <c r="AC518" s="10">
        <v>7.625</v>
      </c>
      <c r="AD518" s="7">
        <f t="shared" si="154"/>
        <v>731.02368686097896</v>
      </c>
      <c r="AE518" s="2">
        <f t="shared" si="155"/>
        <v>0.55631313902108559</v>
      </c>
      <c r="AF518" s="10">
        <v>0</v>
      </c>
      <c r="AG518" s="3">
        <f t="shared" si="156"/>
        <v>0</v>
      </c>
      <c r="AH518" s="7">
        <v>1778</v>
      </c>
      <c r="AI518">
        <f t="shared" si="157"/>
        <v>360</v>
      </c>
      <c r="AJ518" t="e">
        <f>VLOOKUP(A518,'Borrower Details'!$A$1:$H$1493,8,FALSE)</f>
        <v>#N/A</v>
      </c>
      <c r="AK518" s="4" t="e">
        <f t="shared" si="158"/>
        <v>#N/A</v>
      </c>
      <c r="AL518" s="10">
        <v>7.625</v>
      </c>
      <c r="AM518" s="3">
        <f t="shared" si="159"/>
        <v>90204.80594999998</v>
      </c>
      <c r="AN518">
        <v>7.625</v>
      </c>
      <c r="AO518" s="7">
        <f t="shared" si="160"/>
        <v>676.04931123793483</v>
      </c>
      <c r="AP518" s="2">
        <f t="shared" si="161"/>
        <v>55.530688762065211</v>
      </c>
    </row>
    <row r="519" spans="1:42" x14ac:dyDescent="0.15">
      <c r="A519" s="8">
        <v>411184765</v>
      </c>
      <c r="B519" t="s">
        <v>35</v>
      </c>
      <c r="C519" t="s">
        <v>16</v>
      </c>
      <c r="D519" s="1">
        <v>39444</v>
      </c>
      <c r="E519" s="2">
        <v>84000</v>
      </c>
      <c r="F519" s="2">
        <v>75600</v>
      </c>
      <c r="G519" t="s">
        <v>17</v>
      </c>
      <c r="H519" s="2">
        <v>757.33</v>
      </c>
      <c r="I519" s="2">
        <v>75505.100000000006</v>
      </c>
      <c r="J519">
        <v>0.11650000000000001</v>
      </c>
      <c r="K519">
        <v>4</v>
      </c>
      <c r="L519">
        <v>356</v>
      </c>
      <c r="M519" t="str">
        <f t="shared" si="147"/>
        <v>30 Year Fixed</v>
      </c>
      <c r="N519" s="2">
        <v>733.03</v>
      </c>
      <c r="O519" t="str">
        <f t="shared" si="144"/>
        <v>Refi</v>
      </c>
      <c r="P519" s="3">
        <f t="shared" si="148"/>
        <v>0</v>
      </c>
      <c r="Q519" s="4">
        <v>76638</v>
      </c>
      <c r="R519" s="4" t="s">
        <v>41</v>
      </c>
      <c r="S519" s="6">
        <v>627</v>
      </c>
      <c r="T519">
        <v>6.875</v>
      </c>
      <c r="U519" s="7">
        <f t="shared" si="145"/>
        <v>535.3896042246422</v>
      </c>
      <c r="V519" s="2">
        <f t="shared" si="149"/>
        <v>221.94039577535784</v>
      </c>
      <c r="W519" s="9">
        <f t="shared" si="150"/>
        <v>0</v>
      </c>
      <c r="X519" s="3">
        <v>76638</v>
      </c>
      <c r="Y519" s="3">
        <f t="shared" si="151"/>
        <v>0.31871921182028018</v>
      </c>
      <c r="Z519" s="7">
        <f t="shared" si="152"/>
        <v>535.3896042246422</v>
      </c>
      <c r="AA519" s="2">
        <f t="shared" si="146"/>
        <v>221.94039577535784</v>
      </c>
      <c r="AB519" s="8">
        <f t="shared" si="153"/>
        <v>0</v>
      </c>
      <c r="AC519" s="10">
        <v>6.875</v>
      </c>
      <c r="AD519" s="7">
        <f t="shared" si="154"/>
        <v>535.3896042246422</v>
      </c>
      <c r="AE519" s="2">
        <f t="shared" si="155"/>
        <v>221.94039577535784</v>
      </c>
      <c r="AF519" s="10">
        <v>0</v>
      </c>
      <c r="AG519" s="3">
        <f t="shared" si="156"/>
        <v>0</v>
      </c>
      <c r="AH519" s="7">
        <v>4403.7</v>
      </c>
      <c r="AI519">
        <f t="shared" si="157"/>
        <v>360</v>
      </c>
      <c r="AJ519" t="e">
        <f>VLOOKUP(A519,'Borrower Details'!$A$1:$H$1493,8,FALSE)</f>
        <v>#N/A</v>
      </c>
      <c r="AK519" s="4" t="e">
        <f t="shared" si="158"/>
        <v>#N/A</v>
      </c>
      <c r="AL519" s="10">
        <v>6.875</v>
      </c>
      <c r="AM519" s="3">
        <f t="shared" si="159"/>
        <v>76637.676500000001</v>
      </c>
      <c r="AN519">
        <v>6.875</v>
      </c>
      <c r="AO519" s="7">
        <f t="shared" si="160"/>
        <v>535.38734426826329</v>
      </c>
      <c r="AP519" s="2">
        <f t="shared" si="161"/>
        <v>221.94265573173675</v>
      </c>
    </row>
    <row r="520" spans="1:42" x14ac:dyDescent="0.15">
      <c r="A520" s="8">
        <v>411159775</v>
      </c>
      <c r="B520" t="s">
        <v>38</v>
      </c>
      <c r="C520" t="s">
        <v>16</v>
      </c>
      <c r="D520" s="1">
        <v>39436</v>
      </c>
      <c r="E520" s="2">
        <v>138500</v>
      </c>
      <c r="F520" s="2">
        <v>102750</v>
      </c>
      <c r="G520" t="s">
        <v>17</v>
      </c>
      <c r="H520" s="2">
        <v>963.02</v>
      </c>
      <c r="I520" s="2">
        <v>102594.85</v>
      </c>
      <c r="J520">
        <v>0.108</v>
      </c>
      <c r="K520">
        <v>4</v>
      </c>
      <c r="L520">
        <v>356</v>
      </c>
      <c r="M520" t="str">
        <f t="shared" si="147"/>
        <v>30 Year Fixed</v>
      </c>
      <c r="N520" s="2">
        <v>923.35</v>
      </c>
      <c r="O520" t="str">
        <f t="shared" si="144"/>
        <v>Cash Out</v>
      </c>
      <c r="P520" s="3">
        <f t="shared" si="148"/>
        <v>13390.371674876849</v>
      </c>
      <c r="Q520" s="4">
        <v>117725</v>
      </c>
      <c r="R520" s="4" t="s">
        <v>41</v>
      </c>
      <c r="S520" s="6">
        <v>552</v>
      </c>
      <c r="T520">
        <v>7.625</v>
      </c>
      <c r="U520" s="7">
        <f t="shared" si="145"/>
        <v>882.30227122932911</v>
      </c>
      <c r="V520" s="2">
        <f t="shared" si="149"/>
        <v>80.717728770670874</v>
      </c>
      <c r="W520" s="9">
        <f t="shared" si="150"/>
        <v>0</v>
      </c>
      <c r="X520" s="3">
        <v>117725</v>
      </c>
      <c r="Y520" s="3">
        <f t="shared" si="151"/>
        <v>13390.371674876849</v>
      </c>
      <c r="Z520" s="7">
        <f t="shared" si="152"/>
        <v>882.30227122932911</v>
      </c>
      <c r="AA520" s="2">
        <f t="shared" si="146"/>
        <v>80.717728770670874</v>
      </c>
      <c r="AB520" s="8">
        <f t="shared" si="153"/>
        <v>0</v>
      </c>
      <c r="AC520" s="10">
        <v>7.625</v>
      </c>
      <c r="AD520" s="7">
        <f t="shared" si="154"/>
        <v>882.30227122932911</v>
      </c>
      <c r="AE520" s="2">
        <f t="shared" si="155"/>
        <v>80.717728770670874</v>
      </c>
      <c r="AF520" s="10">
        <v>0</v>
      </c>
      <c r="AG520" s="3">
        <f t="shared" si="156"/>
        <v>0</v>
      </c>
      <c r="AH520" s="7">
        <v>0</v>
      </c>
      <c r="AI520">
        <f t="shared" si="157"/>
        <v>360</v>
      </c>
      <c r="AJ520" t="e">
        <f>VLOOKUP(A520,'Borrower Details'!$A$1:$H$1493,8,FALSE)</f>
        <v>#N/A</v>
      </c>
      <c r="AK520" s="4" t="e">
        <f t="shared" si="158"/>
        <v>#N/A</v>
      </c>
      <c r="AL520" s="10">
        <v>7.625</v>
      </c>
      <c r="AM520" s="3">
        <f t="shared" si="159"/>
        <v>104133.77274999999</v>
      </c>
      <c r="AN520">
        <v>7.625</v>
      </c>
      <c r="AO520" s="7">
        <f t="shared" si="160"/>
        <v>780.44140334681515</v>
      </c>
      <c r="AP520" s="2">
        <f t="shared" si="161"/>
        <v>182.57859665318483</v>
      </c>
    </row>
    <row r="521" spans="1:42" x14ac:dyDescent="0.15">
      <c r="A521" s="8">
        <v>411014137</v>
      </c>
      <c r="B521" t="s">
        <v>35</v>
      </c>
      <c r="C521" t="s">
        <v>16</v>
      </c>
      <c r="D521" s="1">
        <v>39370</v>
      </c>
      <c r="E521" s="2">
        <v>130000</v>
      </c>
      <c r="F521" s="2">
        <v>104000</v>
      </c>
      <c r="G521" t="s">
        <v>17</v>
      </c>
      <c r="H521" s="2">
        <v>911.91</v>
      </c>
      <c r="I521" s="2">
        <v>103717.53</v>
      </c>
      <c r="J521">
        <v>9.9900000000000003E-2</v>
      </c>
      <c r="K521">
        <v>6</v>
      </c>
      <c r="L521">
        <v>354</v>
      </c>
      <c r="M521" t="str">
        <f t="shared" si="147"/>
        <v>30 Year Fixed</v>
      </c>
      <c r="N521" s="2">
        <v>863.45</v>
      </c>
      <c r="O521" t="str">
        <f t="shared" si="144"/>
        <v>Cash Out</v>
      </c>
      <c r="P521" s="3">
        <f t="shared" si="148"/>
        <v>5149.4650738916389</v>
      </c>
      <c r="Q521" s="4">
        <v>110500</v>
      </c>
      <c r="R521" s="4" t="s">
        <v>41</v>
      </c>
      <c r="S521" s="6">
        <v>560</v>
      </c>
      <c r="T521">
        <v>7.625</v>
      </c>
      <c r="U521" s="7">
        <f t="shared" si="145"/>
        <v>828.15375638853982</v>
      </c>
      <c r="V521" s="2">
        <f t="shared" si="149"/>
        <v>83.75624361146015</v>
      </c>
      <c r="W521" s="9">
        <f t="shared" si="150"/>
        <v>0</v>
      </c>
      <c r="X521" s="3">
        <v>110500</v>
      </c>
      <c r="Y521" s="3">
        <f t="shared" si="151"/>
        <v>5149.4650738916389</v>
      </c>
      <c r="Z521" s="7">
        <f t="shared" si="152"/>
        <v>828.15375638853982</v>
      </c>
      <c r="AA521" s="2">
        <f t="shared" si="146"/>
        <v>83.75624361146015</v>
      </c>
      <c r="AB521" s="8">
        <f t="shared" si="153"/>
        <v>0</v>
      </c>
      <c r="AC521" s="10">
        <v>7.625</v>
      </c>
      <c r="AD521" s="7">
        <f t="shared" si="154"/>
        <v>828.15375638853982</v>
      </c>
      <c r="AE521" s="2">
        <f t="shared" si="155"/>
        <v>83.75624361146015</v>
      </c>
      <c r="AF521" s="10">
        <v>0</v>
      </c>
      <c r="AG521" s="3">
        <f t="shared" si="156"/>
        <v>0</v>
      </c>
      <c r="AH521" s="7">
        <v>5194.8</v>
      </c>
      <c r="AI521">
        <f t="shared" si="157"/>
        <v>360</v>
      </c>
      <c r="AJ521" t="e">
        <f>VLOOKUP(A521,'Borrower Details'!$A$1:$H$1493,8,FALSE)</f>
        <v>#N/A</v>
      </c>
      <c r="AK521" s="4" t="e">
        <f t="shared" si="158"/>
        <v>#N/A</v>
      </c>
      <c r="AL521" s="10">
        <v>7.625</v>
      </c>
      <c r="AM521" s="3">
        <f t="shared" si="159"/>
        <v>105273.29294999999</v>
      </c>
      <c r="AN521">
        <v>7.625</v>
      </c>
      <c r="AO521" s="7">
        <f t="shared" si="160"/>
        <v>788.98165614419622</v>
      </c>
      <c r="AP521" s="2">
        <f t="shared" si="161"/>
        <v>122.92834385580375</v>
      </c>
    </row>
    <row r="522" spans="1:42" x14ac:dyDescent="0.15">
      <c r="A522" s="8">
        <v>410998777</v>
      </c>
      <c r="B522" t="s">
        <v>35</v>
      </c>
      <c r="C522" t="s">
        <v>16</v>
      </c>
      <c r="D522" s="1">
        <v>39394</v>
      </c>
      <c r="E522" s="2">
        <v>147000</v>
      </c>
      <c r="F522" s="2">
        <v>120560</v>
      </c>
      <c r="G522" t="s">
        <v>20</v>
      </c>
      <c r="H522" s="2">
        <v>1198.5</v>
      </c>
      <c r="I522" s="2">
        <v>120405.34</v>
      </c>
      <c r="J522">
        <v>0.11550000000000001</v>
      </c>
      <c r="K522">
        <v>5</v>
      </c>
      <c r="L522">
        <v>356</v>
      </c>
      <c r="M522" t="str">
        <f t="shared" si="147"/>
        <v>30 Year Fixed</v>
      </c>
      <c r="N522" s="2">
        <v>1158.9000000000001</v>
      </c>
      <c r="O522" t="str">
        <f t="shared" si="144"/>
        <v>Cash Out</v>
      </c>
      <c r="P522" s="3">
        <f t="shared" si="148"/>
        <v>2698.1082758620905</v>
      </c>
      <c r="Q522" s="4">
        <v>124950</v>
      </c>
      <c r="R522" s="4" t="s">
        <v>41</v>
      </c>
      <c r="S522" s="6">
        <v>554</v>
      </c>
      <c r="T522">
        <v>7.625</v>
      </c>
      <c r="U522" s="7">
        <f t="shared" si="145"/>
        <v>936.45078607011817</v>
      </c>
      <c r="V522" s="2">
        <f t="shared" si="149"/>
        <v>262.04921392988183</v>
      </c>
      <c r="W522" s="9">
        <f t="shared" si="150"/>
        <v>0</v>
      </c>
      <c r="X522" s="3">
        <v>124950</v>
      </c>
      <c r="Y522" s="3">
        <f t="shared" si="151"/>
        <v>2698.1082758620905</v>
      </c>
      <c r="Z522" s="7">
        <f t="shared" si="152"/>
        <v>936.45078607011817</v>
      </c>
      <c r="AA522" s="2">
        <f t="shared" si="146"/>
        <v>262.04921392988183</v>
      </c>
      <c r="AB522" s="8">
        <f t="shared" si="153"/>
        <v>0</v>
      </c>
      <c r="AC522" s="10">
        <v>7.625</v>
      </c>
      <c r="AD522" s="7">
        <f t="shared" si="154"/>
        <v>936.45078607011817</v>
      </c>
      <c r="AE522" s="2">
        <f t="shared" si="155"/>
        <v>262.04921392988183</v>
      </c>
      <c r="AF522" s="10">
        <v>0</v>
      </c>
      <c r="AG522" s="3">
        <f t="shared" si="156"/>
        <v>0</v>
      </c>
      <c r="AH522" s="7">
        <v>6962.34</v>
      </c>
      <c r="AI522">
        <f t="shared" si="157"/>
        <v>360</v>
      </c>
      <c r="AJ522" t="e">
        <f>VLOOKUP(A522,'Borrower Details'!$A$1:$H$1493,8,FALSE)</f>
        <v>#N/A</v>
      </c>
      <c r="AK522" s="4" t="e">
        <f t="shared" si="158"/>
        <v>#N/A</v>
      </c>
      <c r="AL522" s="10">
        <v>7.625</v>
      </c>
      <c r="AM522" s="3">
        <f t="shared" si="159"/>
        <v>122211.42009999999</v>
      </c>
      <c r="AN522">
        <v>7.625</v>
      </c>
      <c r="AO522" s="7">
        <f t="shared" si="160"/>
        <v>915.92621384065967</v>
      </c>
      <c r="AP522" s="2">
        <f t="shared" si="161"/>
        <v>282.57378615934033</v>
      </c>
    </row>
    <row r="523" spans="1:42" x14ac:dyDescent="0.15">
      <c r="A523" s="8">
        <v>410614333</v>
      </c>
      <c r="B523" t="s">
        <v>38</v>
      </c>
      <c r="C523" t="s">
        <v>19</v>
      </c>
      <c r="D523" s="1">
        <v>39293</v>
      </c>
      <c r="E523" s="2">
        <v>88000</v>
      </c>
      <c r="F523" s="2">
        <v>79200</v>
      </c>
      <c r="G523" t="s">
        <v>17</v>
      </c>
      <c r="H523" s="2">
        <v>693.87</v>
      </c>
      <c r="I523" s="2">
        <v>78872.539999999994</v>
      </c>
      <c r="J523">
        <v>9.98E-2</v>
      </c>
      <c r="K523">
        <v>9</v>
      </c>
      <c r="L523">
        <v>351</v>
      </c>
      <c r="M523" t="str">
        <f t="shared" si="147"/>
        <v>30 Year Fixed</v>
      </c>
      <c r="N523" s="2">
        <v>655.96</v>
      </c>
      <c r="O523" t="str">
        <f t="shared" si="144"/>
        <v>Refi</v>
      </c>
      <c r="P523" s="3">
        <f t="shared" si="148"/>
        <v>0</v>
      </c>
      <c r="Q523" s="4">
        <v>80056</v>
      </c>
      <c r="R523" s="4" t="s">
        <v>41</v>
      </c>
      <c r="S523" s="6">
        <v>583</v>
      </c>
      <c r="T523">
        <v>7.625</v>
      </c>
      <c r="U523" s="7">
        <f t="shared" si="145"/>
        <v>599.98802824833444</v>
      </c>
      <c r="V523" s="2">
        <f t="shared" si="149"/>
        <v>93.88197175166556</v>
      </c>
      <c r="W523" s="9">
        <f t="shared" si="150"/>
        <v>0</v>
      </c>
      <c r="X523" s="3">
        <v>80056</v>
      </c>
      <c r="Y523" s="3">
        <f t="shared" si="151"/>
        <v>0.36640394090500195</v>
      </c>
      <c r="Z523" s="7">
        <f t="shared" si="152"/>
        <v>599.98802824833444</v>
      </c>
      <c r="AA523" s="2">
        <f t="shared" si="146"/>
        <v>93.88197175166556</v>
      </c>
      <c r="AB523" s="8">
        <f t="shared" si="153"/>
        <v>0</v>
      </c>
      <c r="AC523" s="10">
        <v>7.625</v>
      </c>
      <c r="AD523" s="7">
        <f t="shared" si="154"/>
        <v>599.98802824833444</v>
      </c>
      <c r="AE523" s="2">
        <f t="shared" si="155"/>
        <v>93.88197175166556</v>
      </c>
      <c r="AF523" s="10">
        <v>0</v>
      </c>
      <c r="AG523" s="3">
        <f t="shared" si="156"/>
        <v>0</v>
      </c>
      <c r="AH523" s="7">
        <v>0</v>
      </c>
      <c r="AI523">
        <f t="shared" si="157"/>
        <v>360</v>
      </c>
      <c r="AJ523" t="e">
        <f>VLOOKUP(A523,'Borrower Details'!$A$1:$H$1493,8,FALSE)</f>
        <v>#N/A</v>
      </c>
      <c r="AK523" s="4" t="e">
        <f t="shared" si="158"/>
        <v>#N/A</v>
      </c>
      <c r="AL523" s="10">
        <v>7.625</v>
      </c>
      <c r="AM523" s="3">
        <f t="shared" si="159"/>
        <v>80055.628099999987</v>
      </c>
      <c r="AN523">
        <v>7.625</v>
      </c>
      <c r="AO523" s="7">
        <f t="shared" si="160"/>
        <v>599.98524100505824</v>
      </c>
      <c r="AP523" s="2">
        <f t="shared" si="161"/>
        <v>93.884758994941762</v>
      </c>
    </row>
    <row r="524" spans="1:42" x14ac:dyDescent="0.15">
      <c r="A524" s="8">
        <v>410709265</v>
      </c>
      <c r="B524" t="s">
        <v>37</v>
      </c>
      <c r="C524" t="s">
        <v>18</v>
      </c>
      <c r="D524" s="1">
        <v>39309</v>
      </c>
      <c r="E524" s="2">
        <v>125000</v>
      </c>
      <c r="F524" s="2">
        <v>100000</v>
      </c>
      <c r="G524" t="s">
        <v>17</v>
      </c>
      <c r="H524" s="2">
        <v>880.53</v>
      </c>
      <c r="I524" s="2">
        <v>98723.72</v>
      </c>
      <c r="J524">
        <v>8.6999999999999994E-2</v>
      </c>
      <c r="K524">
        <v>8</v>
      </c>
      <c r="L524">
        <v>232</v>
      </c>
      <c r="M524" t="str">
        <f t="shared" si="147"/>
        <v>30 Year Fixed</v>
      </c>
      <c r="N524" s="2">
        <v>715.75</v>
      </c>
      <c r="O524" t="str">
        <f t="shared" si="144"/>
        <v>Cash Out</v>
      </c>
      <c r="P524" s="3">
        <f t="shared" si="148"/>
        <v>5956.0829556650278</v>
      </c>
      <c r="Q524" s="4">
        <v>106250</v>
      </c>
      <c r="R524" s="4" t="s">
        <v>41</v>
      </c>
      <c r="S524" s="6">
        <v>603</v>
      </c>
      <c r="T524">
        <v>6.875</v>
      </c>
      <c r="U524" s="7">
        <f t="shared" si="145"/>
        <v>742.25769786356943</v>
      </c>
      <c r="V524" s="2">
        <f t="shared" si="149"/>
        <v>138.27230213643054</v>
      </c>
      <c r="W524" s="9">
        <f t="shared" si="150"/>
        <v>0</v>
      </c>
      <c r="X524" s="3">
        <v>106250</v>
      </c>
      <c r="Y524" s="3">
        <f t="shared" si="151"/>
        <v>5956.0829556650278</v>
      </c>
      <c r="Z524" s="7">
        <f t="shared" si="152"/>
        <v>742.25769786356943</v>
      </c>
      <c r="AA524" s="2">
        <f t="shared" si="146"/>
        <v>138.27230213643054</v>
      </c>
      <c r="AB524" s="8">
        <f t="shared" si="153"/>
        <v>0</v>
      </c>
      <c r="AC524" s="10">
        <v>6.875</v>
      </c>
      <c r="AD524" s="7">
        <f t="shared" si="154"/>
        <v>742.25769786356943</v>
      </c>
      <c r="AE524" s="2">
        <f t="shared" si="155"/>
        <v>138.27230213643054</v>
      </c>
      <c r="AF524" s="10">
        <v>0</v>
      </c>
      <c r="AG524" s="3">
        <f t="shared" si="156"/>
        <v>0</v>
      </c>
      <c r="AH524" s="7">
        <v>0</v>
      </c>
      <c r="AI524">
        <f t="shared" si="157"/>
        <v>360</v>
      </c>
      <c r="AJ524" t="e">
        <f>VLOOKUP(A524,'Borrower Details'!$A$1:$H$1493,8,FALSE)</f>
        <v>#N/A</v>
      </c>
      <c r="AK524" s="4" t="e">
        <f t="shared" si="158"/>
        <v>#N/A</v>
      </c>
      <c r="AL524" s="10">
        <v>6.875</v>
      </c>
      <c r="AM524" s="3">
        <f t="shared" si="159"/>
        <v>100204.57579999999</v>
      </c>
      <c r="AN524">
        <v>6.875</v>
      </c>
      <c r="AO524" s="7">
        <f t="shared" si="160"/>
        <v>700.02463763485684</v>
      </c>
      <c r="AP524" s="2">
        <f t="shared" si="161"/>
        <v>180.50536236514313</v>
      </c>
    </row>
    <row r="525" spans="1:42" x14ac:dyDescent="0.15">
      <c r="A525" s="8">
        <v>411171051</v>
      </c>
      <c r="B525" t="s">
        <v>36</v>
      </c>
      <c r="C525" t="s">
        <v>16</v>
      </c>
      <c r="D525" s="1">
        <v>39434</v>
      </c>
      <c r="E525" s="2">
        <v>250000</v>
      </c>
      <c r="F525" s="2">
        <v>204000</v>
      </c>
      <c r="G525" t="s">
        <v>17</v>
      </c>
      <c r="H525" s="2">
        <v>1479.29</v>
      </c>
      <c r="I525" s="2">
        <v>203432.97</v>
      </c>
      <c r="J525">
        <v>7.8759999999999997E-2</v>
      </c>
      <c r="K525">
        <v>4</v>
      </c>
      <c r="L525">
        <v>356</v>
      </c>
      <c r="M525" t="str">
        <f t="shared" si="147"/>
        <v>30 Year Fixed</v>
      </c>
      <c r="N525" s="2">
        <v>1335.2</v>
      </c>
      <c r="O525" t="str">
        <f t="shared" si="144"/>
        <v>Cash Out</v>
      </c>
      <c r="P525" s="3">
        <f t="shared" si="148"/>
        <v>5926.6359113300568</v>
      </c>
      <c r="Q525" s="4">
        <v>212500</v>
      </c>
      <c r="R525" s="4" t="s">
        <v>41</v>
      </c>
      <c r="S525" s="6">
        <v>673</v>
      </c>
      <c r="T525">
        <v>6.75</v>
      </c>
      <c r="U525" s="7">
        <f t="shared" si="145"/>
        <v>1466.8126218741211</v>
      </c>
      <c r="V525" s="2">
        <f t="shared" si="149"/>
        <v>12.477378125878886</v>
      </c>
      <c r="W525" s="9">
        <f t="shared" si="150"/>
        <v>0</v>
      </c>
      <c r="X525" s="3">
        <v>212500</v>
      </c>
      <c r="Y525" s="3">
        <f t="shared" si="151"/>
        <v>5926.6359113300568</v>
      </c>
      <c r="Z525" s="7">
        <f t="shared" si="152"/>
        <v>1466.8126218741211</v>
      </c>
      <c r="AA525" s="2">
        <f t="shared" si="146"/>
        <v>12.477378125878886</v>
      </c>
      <c r="AB525" s="8">
        <f t="shared" si="153"/>
        <v>1</v>
      </c>
      <c r="AC525" s="10">
        <v>6.125</v>
      </c>
      <c r="AD525" s="7">
        <f t="shared" si="154"/>
        <v>1379.714063275632</v>
      </c>
      <c r="AE525" s="2">
        <f t="shared" si="155"/>
        <v>99.575936724367921</v>
      </c>
      <c r="AF525" s="10">
        <v>3</v>
      </c>
      <c r="AG525" s="3">
        <f t="shared" si="156"/>
        <v>6375</v>
      </c>
      <c r="AH525" s="7">
        <v>4080</v>
      </c>
      <c r="AI525">
        <f t="shared" si="157"/>
        <v>360</v>
      </c>
      <c r="AJ525" t="e">
        <f>VLOOKUP(A525,'Borrower Details'!$A$1:$H$1493,8,FALSE)</f>
        <v>#N/A</v>
      </c>
      <c r="AK525" s="4" t="e">
        <f t="shared" si="158"/>
        <v>#N/A</v>
      </c>
      <c r="AL525" s="10">
        <v>6.75</v>
      </c>
      <c r="AM525" s="3">
        <f t="shared" si="159"/>
        <v>206484.46454999998</v>
      </c>
      <c r="AN525">
        <v>6.75</v>
      </c>
      <c r="AO525" s="7">
        <f t="shared" si="160"/>
        <v>1425.289500342868</v>
      </c>
      <c r="AP525" s="2">
        <f t="shared" si="161"/>
        <v>54.000499657131968</v>
      </c>
    </row>
    <row r="526" spans="1:42" x14ac:dyDescent="0.15">
      <c r="A526" s="8">
        <v>410471569</v>
      </c>
      <c r="B526" t="s">
        <v>36</v>
      </c>
      <c r="C526" t="s">
        <v>19</v>
      </c>
      <c r="D526" s="1">
        <v>39266</v>
      </c>
      <c r="E526" s="2">
        <v>282000</v>
      </c>
      <c r="F526" s="2">
        <v>248000</v>
      </c>
      <c r="G526" t="s">
        <v>17</v>
      </c>
      <c r="H526" s="2">
        <v>1759.6</v>
      </c>
      <c r="I526" s="2">
        <v>246351</v>
      </c>
      <c r="J526">
        <v>7.6499999999999999E-2</v>
      </c>
      <c r="K526">
        <v>9</v>
      </c>
      <c r="L526">
        <v>351</v>
      </c>
      <c r="M526" t="str">
        <f t="shared" si="147"/>
        <v>30 Year Fixed</v>
      </c>
      <c r="N526" s="2">
        <v>1570.49</v>
      </c>
      <c r="O526" t="str">
        <f t="shared" si="144"/>
        <v>Refi</v>
      </c>
      <c r="P526" s="3">
        <f t="shared" si="148"/>
        <v>0</v>
      </c>
      <c r="Q526" s="4">
        <v>250046</v>
      </c>
      <c r="R526" s="4" t="s">
        <v>41</v>
      </c>
      <c r="S526" s="6">
        <v>662</v>
      </c>
      <c r="T526">
        <v>6.75</v>
      </c>
      <c r="U526" s="7">
        <f t="shared" si="145"/>
        <v>1725.9794298782895</v>
      </c>
      <c r="V526" s="2">
        <f t="shared" si="149"/>
        <v>33.620570121710443</v>
      </c>
      <c r="W526" s="9">
        <f t="shared" si="150"/>
        <v>0</v>
      </c>
      <c r="X526" s="3">
        <v>250046</v>
      </c>
      <c r="Y526" s="3">
        <f t="shared" si="151"/>
        <v>-0.26108374382602051</v>
      </c>
      <c r="Z526" s="7">
        <f t="shared" si="152"/>
        <v>1725.9794298782895</v>
      </c>
      <c r="AA526" s="2">
        <f t="shared" si="146"/>
        <v>33.620570121710443</v>
      </c>
      <c r="AB526" s="8">
        <f t="shared" si="153"/>
        <v>1</v>
      </c>
      <c r="AC526" s="10">
        <v>6.125</v>
      </c>
      <c r="AD526" s="7">
        <f t="shared" si="154"/>
        <v>1623.4916831332644</v>
      </c>
      <c r="AE526" s="2">
        <f t="shared" si="155"/>
        <v>136.10831686673555</v>
      </c>
      <c r="AF526" s="10">
        <v>3</v>
      </c>
      <c r="AG526" s="3">
        <f t="shared" si="156"/>
        <v>7501.38</v>
      </c>
      <c r="AH526" s="7">
        <v>4960</v>
      </c>
      <c r="AI526">
        <f t="shared" si="157"/>
        <v>360</v>
      </c>
      <c r="AJ526" t="e">
        <f>VLOOKUP(A526,'Borrower Details'!$A$1:$H$1493,8,FALSE)</f>
        <v>#N/A</v>
      </c>
      <c r="AK526" s="4" t="e">
        <f t="shared" si="158"/>
        <v>#N/A</v>
      </c>
      <c r="AL526" s="10">
        <v>6.75</v>
      </c>
      <c r="AM526" s="3">
        <f t="shared" si="159"/>
        <v>250046.26499999998</v>
      </c>
      <c r="AN526">
        <v>6.75</v>
      </c>
      <c r="AO526" s="7">
        <f t="shared" si="160"/>
        <v>1725.9812590799118</v>
      </c>
      <c r="AP526" s="2">
        <f t="shared" si="161"/>
        <v>33.618740920088158</v>
      </c>
    </row>
    <row r="527" spans="1:42" x14ac:dyDescent="0.15">
      <c r="A527" s="8">
        <v>410555593</v>
      </c>
      <c r="B527" t="s">
        <v>36</v>
      </c>
      <c r="C527" t="s">
        <v>18</v>
      </c>
      <c r="D527" s="1">
        <v>39279</v>
      </c>
      <c r="E527" s="2">
        <v>145000</v>
      </c>
      <c r="F527" s="2">
        <v>108750</v>
      </c>
      <c r="G527" t="s">
        <v>15</v>
      </c>
      <c r="H527" s="2">
        <v>735.83</v>
      </c>
      <c r="I527" s="2">
        <v>108440.71</v>
      </c>
      <c r="J527">
        <v>7.7499999999999999E-2</v>
      </c>
      <c r="K527">
        <v>9</v>
      </c>
      <c r="L527">
        <v>351</v>
      </c>
      <c r="M527" t="str">
        <f t="shared" si="147"/>
        <v>30 Year Fixed</v>
      </c>
      <c r="N527" s="2">
        <v>700.35</v>
      </c>
      <c r="O527" t="str">
        <f t="shared" si="144"/>
        <v>Cash Out</v>
      </c>
      <c r="P527" s="3">
        <f t="shared" si="148"/>
        <v>12987.861428571428</v>
      </c>
      <c r="Q527" s="4">
        <v>123250</v>
      </c>
      <c r="R527" s="4" t="s">
        <v>41</v>
      </c>
      <c r="S527" s="6">
        <v>595</v>
      </c>
      <c r="T527">
        <v>7.375</v>
      </c>
      <c r="U527" s="7">
        <f t="shared" si="145"/>
        <v>902.61128608038541</v>
      </c>
      <c r="V527" s="2">
        <f t="shared" si="149"/>
        <v>-166.78128608038537</v>
      </c>
      <c r="W527" s="9">
        <f t="shared" si="150"/>
        <v>1</v>
      </c>
      <c r="X527" s="3">
        <v>110068</v>
      </c>
      <c r="Y527" s="3">
        <f t="shared" si="151"/>
        <v>0.66931034483422991</v>
      </c>
      <c r="Z527" s="7">
        <f t="shared" si="152"/>
        <v>806.0739881241044</v>
      </c>
      <c r="AA527" s="2">
        <f t="shared" si="146"/>
        <v>-70.243988124104362</v>
      </c>
      <c r="AB527" s="8">
        <f t="shared" si="153"/>
        <v>1</v>
      </c>
      <c r="AC527" s="10">
        <v>6.625</v>
      </c>
      <c r="AD527" s="7">
        <f t="shared" si="154"/>
        <v>750.63913530282719</v>
      </c>
      <c r="AE527" s="2">
        <f t="shared" si="155"/>
        <v>-14.809135302827144</v>
      </c>
      <c r="AF527" s="10">
        <v>1.875</v>
      </c>
      <c r="AG527" s="3">
        <f t="shared" si="156"/>
        <v>2063.7750000000001</v>
      </c>
      <c r="AH527" s="7">
        <v>2175</v>
      </c>
      <c r="AI527">
        <f t="shared" si="157"/>
        <v>360</v>
      </c>
      <c r="AJ527" t="e">
        <f>VLOOKUP(A527,'Borrower Details'!$A$1:$H$1493,8,FALSE)</f>
        <v>#N/A</v>
      </c>
      <c r="AK527" s="4" t="e">
        <f t="shared" si="158"/>
        <v>#N/A</v>
      </c>
      <c r="AL527" s="10">
        <v>7.375</v>
      </c>
      <c r="AM527" s="3">
        <f t="shared" si="159"/>
        <v>110067.32064999999</v>
      </c>
      <c r="AN527">
        <v>7.375</v>
      </c>
      <c r="AO527" s="7">
        <f t="shared" si="160"/>
        <v>806.06901295998921</v>
      </c>
      <c r="AP527" s="2">
        <f t="shared" si="161"/>
        <v>-70.239012959989168</v>
      </c>
    </row>
    <row r="528" spans="1:42" x14ac:dyDescent="0.15">
      <c r="A528" s="8">
        <v>411205073</v>
      </c>
      <c r="B528" t="s">
        <v>37</v>
      </c>
      <c r="C528" t="s">
        <v>16</v>
      </c>
      <c r="D528" s="1">
        <v>39451</v>
      </c>
      <c r="E528" s="2">
        <v>302000</v>
      </c>
      <c r="F528" s="2">
        <v>114500</v>
      </c>
      <c r="G528" t="s">
        <v>17</v>
      </c>
      <c r="H528" s="2">
        <v>950.28</v>
      </c>
      <c r="I528" s="2">
        <v>114264.74</v>
      </c>
      <c r="J528">
        <v>9.35E-2</v>
      </c>
      <c r="K528">
        <v>3</v>
      </c>
      <c r="L528">
        <v>356</v>
      </c>
      <c r="M528" t="str">
        <f t="shared" si="147"/>
        <v>30 Year Fixed</v>
      </c>
      <c r="N528" s="2">
        <v>890.78</v>
      </c>
      <c r="O528" t="str">
        <f t="shared" si="144"/>
        <v>Cash Out</v>
      </c>
      <c r="P528" s="3">
        <f t="shared" si="148"/>
        <v>138641.66394088673</v>
      </c>
      <c r="Q528" s="4">
        <v>195100</v>
      </c>
      <c r="R528" s="4" t="s">
        <v>41</v>
      </c>
      <c r="S528" s="6">
        <v>591</v>
      </c>
      <c r="T528">
        <v>7.375</v>
      </c>
      <c r="U528" s="7">
        <f t="shared" si="145"/>
        <v>1428.7988796290729</v>
      </c>
      <c r="V528" s="2">
        <f t="shared" si="149"/>
        <v>-478.5188796290729</v>
      </c>
      <c r="W528" s="9">
        <f t="shared" si="150"/>
        <v>1</v>
      </c>
      <c r="X528" s="3">
        <v>129690</v>
      </c>
      <c r="Y528" s="3">
        <f t="shared" si="151"/>
        <v>13508.659014778328</v>
      </c>
      <c r="Z528" s="7">
        <f t="shared" si="152"/>
        <v>949.77409891898742</v>
      </c>
      <c r="AA528" s="2">
        <f t="shared" si="146"/>
        <v>0.50590108101255282</v>
      </c>
      <c r="AB528" s="8">
        <f t="shared" si="153"/>
        <v>0</v>
      </c>
      <c r="AC528" s="10">
        <v>7.375</v>
      </c>
      <c r="AD528" s="7">
        <f t="shared" si="154"/>
        <v>949.77409891898742</v>
      </c>
      <c r="AE528" s="2">
        <f t="shared" si="155"/>
        <v>0.50590108101255282</v>
      </c>
      <c r="AF528" s="10">
        <v>0</v>
      </c>
      <c r="AG528" s="3">
        <f t="shared" si="156"/>
        <v>0</v>
      </c>
      <c r="AH528" s="7">
        <v>0</v>
      </c>
      <c r="AI528">
        <f t="shared" si="157"/>
        <v>360</v>
      </c>
      <c r="AJ528" t="e">
        <f>VLOOKUP(A528,'Borrower Details'!$A$1:$H$1493,8,FALSE)</f>
        <v>#N/A</v>
      </c>
      <c r="AK528" s="4" t="e">
        <f t="shared" si="158"/>
        <v>#N/A</v>
      </c>
      <c r="AL528" s="10">
        <v>7.375</v>
      </c>
      <c r="AM528" s="3">
        <f t="shared" si="159"/>
        <v>115978.7111</v>
      </c>
      <c r="AN528">
        <v>7.375</v>
      </c>
      <c r="AO528" s="7">
        <f t="shared" si="160"/>
        <v>849.36059702974831</v>
      </c>
      <c r="AP528" s="2">
        <f t="shared" si="161"/>
        <v>100.91940297025167</v>
      </c>
    </row>
    <row r="529" spans="1:42" x14ac:dyDescent="0.15">
      <c r="A529" s="8">
        <v>411243025</v>
      </c>
      <c r="B529" t="s">
        <v>38</v>
      </c>
      <c r="C529" t="s">
        <v>18</v>
      </c>
      <c r="D529" s="1">
        <v>39476</v>
      </c>
      <c r="E529" s="2">
        <v>289000</v>
      </c>
      <c r="F529" s="2">
        <v>260000</v>
      </c>
      <c r="G529" t="s">
        <v>17</v>
      </c>
      <c r="H529" s="2">
        <v>2545.0500000000002</v>
      </c>
      <c r="I529" s="2">
        <v>259739.9</v>
      </c>
      <c r="J529">
        <v>0.1135</v>
      </c>
      <c r="K529">
        <v>3</v>
      </c>
      <c r="L529">
        <v>357</v>
      </c>
      <c r="M529" t="str">
        <f t="shared" si="147"/>
        <v>30 Year Fixed</v>
      </c>
      <c r="N529" s="2">
        <v>2456.71</v>
      </c>
      <c r="O529" t="str">
        <f t="shared" si="144"/>
        <v>Refi</v>
      </c>
      <c r="P529" s="3">
        <f t="shared" si="148"/>
        <v>0</v>
      </c>
      <c r="Q529" s="4">
        <v>263636</v>
      </c>
      <c r="R529" s="4" t="s">
        <v>41</v>
      </c>
      <c r="S529" s="6">
        <v>601</v>
      </c>
      <c r="T529">
        <v>6.875</v>
      </c>
      <c r="U529" s="7">
        <f t="shared" si="145"/>
        <v>1841.7491805549175</v>
      </c>
      <c r="V529" s="2">
        <f t="shared" si="149"/>
        <v>703.30081944508265</v>
      </c>
      <c r="W529" s="9">
        <f t="shared" si="150"/>
        <v>0</v>
      </c>
      <c r="X529" s="3">
        <v>263636</v>
      </c>
      <c r="Y529" s="3">
        <f t="shared" si="151"/>
        <v>1.4778325567021966E-3</v>
      </c>
      <c r="Z529" s="7">
        <f t="shared" si="152"/>
        <v>1841.7491805549175</v>
      </c>
      <c r="AA529" s="2">
        <f t="shared" si="146"/>
        <v>703.30081944508265</v>
      </c>
      <c r="AB529" s="8">
        <f t="shared" si="153"/>
        <v>0</v>
      </c>
      <c r="AC529" s="10">
        <v>6.875</v>
      </c>
      <c r="AD529" s="7">
        <f t="shared" si="154"/>
        <v>1841.7491805549175</v>
      </c>
      <c r="AE529" s="2">
        <f t="shared" si="155"/>
        <v>703.30081944508265</v>
      </c>
      <c r="AF529" s="10">
        <v>0</v>
      </c>
      <c r="AG529" s="3">
        <f t="shared" si="156"/>
        <v>0</v>
      </c>
      <c r="AH529" s="7">
        <v>2600</v>
      </c>
      <c r="AI529">
        <f t="shared" si="157"/>
        <v>360</v>
      </c>
      <c r="AJ529" t="e">
        <f>VLOOKUP(A529,'Borrower Details'!$A$1:$H$1493,8,FALSE)</f>
        <v>#N/A</v>
      </c>
      <c r="AK529" s="4" t="e">
        <f t="shared" si="158"/>
        <v>#N/A</v>
      </c>
      <c r="AL529" s="10">
        <v>6.875</v>
      </c>
      <c r="AM529" s="3">
        <f t="shared" si="159"/>
        <v>263635.99849999999</v>
      </c>
      <c r="AN529">
        <v>6.875</v>
      </c>
      <c r="AO529" s="7">
        <f t="shared" si="160"/>
        <v>1841.7491700759854</v>
      </c>
      <c r="AP529" s="2">
        <f t="shared" si="161"/>
        <v>703.30082992401481</v>
      </c>
    </row>
    <row r="530" spans="1:42" x14ac:dyDescent="0.15">
      <c r="A530" s="8">
        <v>410545271</v>
      </c>
      <c r="B530" t="s">
        <v>36</v>
      </c>
      <c r="C530" t="s">
        <v>18</v>
      </c>
      <c r="D530" s="1">
        <v>39276</v>
      </c>
      <c r="E530" s="2">
        <v>233000</v>
      </c>
      <c r="F530" s="2">
        <v>135000</v>
      </c>
      <c r="G530" t="s">
        <v>17</v>
      </c>
      <c r="H530" s="2">
        <v>1052.42</v>
      </c>
      <c r="I530" s="2">
        <v>134180.82999999999</v>
      </c>
      <c r="J530">
        <v>8.6499999999999994E-2</v>
      </c>
      <c r="K530">
        <v>9</v>
      </c>
      <c r="L530">
        <v>350</v>
      </c>
      <c r="M530" t="str">
        <f t="shared" si="147"/>
        <v>30 Year Fixed</v>
      </c>
      <c r="N530" s="2">
        <v>967.83</v>
      </c>
      <c r="O530" t="str">
        <f t="shared" si="144"/>
        <v>Cash Out</v>
      </c>
      <c r="P530" s="3">
        <f t="shared" si="148"/>
        <v>60942.322709359636</v>
      </c>
      <c r="Q530" s="4">
        <v>198050</v>
      </c>
      <c r="R530" s="4" t="s">
        <v>41</v>
      </c>
      <c r="S530" s="6">
        <v>535</v>
      </c>
      <c r="T530">
        <v>7.625</v>
      </c>
      <c r="U530" s="7">
        <f t="shared" si="145"/>
        <v>1484.3063479886907</v>
      </c>
      <c r="V530" s="2">
        <f t="shared" si="149"/>
        <v>-431.88634798869066</v>
      </c>
      <c r="W530" s="9">
        <f t="shared" si="150"/>
        <v>1</v>
      </c>
      <c r="X530" s="3">
        <v>140350</v>
      </c>
      <c r="Y530" s="3">
        <f t="shared" si="151"/>
        <v>4095.0320689655491</v>
      </c>
      <c r="Z530" s="7">
        <f t="shared" si="152"/>
        <v>1051.8676896753989</v>
      </c>
      <c r="AA530" s="2">
        <f t="shared" si="146"/>
        <v>0.55231032460119422</v>
      </c>
      <c r="AB530" s="8">
        <f t="shared" si="153"/>
        <v>1</v>
      </c>
      <c r="AC530" s="10">
        <v>6.875</v>
      </c>
      <c r="AD530" s="7">
        <f t="shared" si="154"/>
        <v>980.47875666025379</v>
      </c>
      <c r="AE530" s="2">
        <f t="shared" si="155"/>
        <v>71.941243339746279</v>
      </c>
      <c r="AF530" s="10">
        <v>1</v>
      </c>
      <c r="AG530" s="3">
        <f t="shared" si="156"/>
        <v>1403.5</v>
      </c>
      <c r="AH530" s="7">
        <v>2700</v>
      </c>
      <c r="AI530">
        <f t="shared" si="157"/>
        <v>360</v>
      </c>
      <c r="AJ530" t="e">
        <f>VLOOKUP(A530,'Borrower Details'!$A$1:$H$1493,8,FALSE)</f>
        <v>#N/A</v>
      </c>
      <c r="AK530" s="4" t="e">
        <f t="shared" si="158"/>
        <v>#N/A</v>
      </c>
      <c r="AL530" s="10">
        <v>7.625</v>
      </c>
      <c r="AM530" s="3">
        <f t="shared" si="159"/>
        <v>136193.54244999998</v>
      </c>
      <c r="AN530">
        <v>7.625</v>
      </c>
      <c r="AO530" s="7">
        <f t="shared" si="160"/>
        <v>1020.7166857541135</v>
      </c>
      <c r="AP530" s="2">
        <f t="shared" si="161"/>
        <v>31.703314245886531</v>
      </c>
    </row>
    <row r="531" spans="1:42" x14ac:dyDescent="0.15">
      <c r="A531" s="8">
        <v>410626279</v>
      </c>
      <c r="B531" t="s">
        <v>35</v>
      </c>
      <c r="C531" t="s">
        <v>16</v>
      </c>
      <c r="D531" s="1">
        <v>39283</v>
      </c>
      <c r="E531" s="2">
        <v>122000</v>
      </c>
      <c r="F531" s="2">
        <v>101260</v>
      </c>
      <c r="G531" t="s">
        <v>17</v>
      </c>
      <c r="H531" s="2">
        <v>694.21</v>
      </c>
      <c r="I531" s="2">
        <v>100536.14</v>
      </c>
      <c r="J531">
        <v>7.2999999999999995E-2</v>
      </c>
      <c r="K531">
        <v>9</v>
      </c>
      <c r="L531">
        <v>351</v>
      </c>
      <c r="M531" t="str">
        <f t="shared" si="147"/>
        <v>30 Year Fixed</v>
      </c>
      <c r="N531" s="2">
        <v>611.59</v>
      </c>
      <c r="O531" t="str">
        <f t="shared" si="144"/>
        <v>Cash Out</v>
      </c>
      <c r="P531" s="3">
        <f t="shared" si="148"/>
        <v>1631.3476847290731</v>
      </c>
      <c r="Q531" s="4">
        <v>103700</v>
      </c>
      <c r="R531" s="4" t="s">
        <v>41</v>
      </c>
      <c r="S531" s="6">
        <v>646</v>
      </c>
      <c r="T531">
        <v>6.75</v>
      </c>
      <c r="U531" s="7">
        <f t="shared" si="145"/>
        <v>715.80455947457108</v>
      </c>
      <c r="V531" s="2">
        <f t="shared" si="149"/>
        <v>-21.594559474571042</v>
      </c>
      <c r="W531" s="9">
        <f t="shared" si="150"/>
        <v>1</v>
      </c>
      <c r="X531" s="3">
        <v>102044</v>
      </c>
      <c r="Y531" s="3">
        <f t="shared" si="151"/>
        <v>-0.17940886698488612</v>
      </c>
      <c r="Z531" s="7">
        <f t="shared" si="152"/>
        <v>704.37377499540139</v>
      </c>
      <c r="AA531" s="2">
        <f t="shared" si="146"/>
        <v>-10.163774995401354</v>
      </c>
      <c r="AB531" s="8">
        <f t="shared" si="153"/>
        <v>1</v>
      </c>
      <c r="AC531" s="10">
        <v>6.125</v>
      </c>
      <c r="AD531" s="7">
        <f t="shared" si="154"/>
        <v>662.54843234305224</v>
      </c>
      <c r="AE531" s="2">
        <f t="shared" si="155"/>
        <v>31.661567656947796</v>
      </c>
      <c r="AF531" s="10">
        <v>3</v>
      </c>
      <c r="AG531" s="3">
        <f t="shared" si="156"/>
        <v>3061.32</v>
      </c>
      <c r="AH531" s="7">
        <v>3695.99</v>
      </c>
      <c r="AI531">
        <f t="shared" si="157"/>
        <v>360</v>
      </c>
      <c r="AJ531" t="e">
        <f>VLOOKUP(A531,'Borrower Details'!$A$1:$H$1493,8,FALSE)</f>
        <v>#N/A</v>
      </c>
      <c r="AK531" s="4" t="e">
        <f t="shared" si="158"/>
        <v>#N/A</v>
      </c>
      <c r="AL531" s="10">
        <v>6.75</v>
      </c>
      <c r="AM531" s="3">
        <f t="shared" si="159"/>
        <v>102044.18209999999</v>
      </c>
      <c r="AN531">
        <v>6.75</v>
      </c>
      <c r="AO531" s="7">
        <f t="shared" si="160"/>
        <v>704.37503196753516</v>
      </c>
      <c r="AP531" s="2">
        <f t="shared" si="161"/>
        <v>-10.165031967535128</v>
      </c>
    </row>
    <row r="532" spans="1:42" x14ac:dyDescent="0.15">
      <c r="A532" s="8">
        <v>410757595</v>
      </c>
      <c r="B532" t="s">
        <v>35</v>
      </c>
      <c r="C532" t="s">
        <v>16</v>
      </c>
      <c r="D532" s="1">
        <v>39302</v>
      </c>
      <c r="E532" s="2">
        <v>225000</v>
      </c>
      <c r="F532" s="2">
        <v>191250</v>
      </c>
      <c r="G532" t="s">
        <v>20</v>
      </c>
      <c r="H532" s="2">
        <v>1654.08</v>
      </c>
      <c r="I532" s="2">
        <v>191015.47</v>
      </c>
      <c r="J532">
        <v>0.10199999999999999</v>
      </c>
      <c r="K532">
        <v>8</v>
      </c>
      <c r="L532">
        <v>352</v>
      </c>
      <c r="M532" t="str">
        <f t="shared" si="147"/>
        <v>30 Year Fixed</v>
      </c>
      <c r="N532" s="2">
        <v>1623.63</v>
      </c>
      <c r="O532" t="str">
        <f t="shared" si="144"/>
        <v>Refi</v>
      </c>
      <c r="P532" s="3">
        <f t="shared" si="148"/>
        <v>0</v>
      </c>
      <c r="Q532" s="4">
        <v>193881</v>
      </c>
      <c r="R532" s="4" t="s">
        <v>41</v>
      </c>
      <c r="S532" s="6">
        <v>567</v>
      </c>
      <c r="T532">
        <v>7.625</v>
      </c>
      <c r="U532" s="7">
        <f t="shared" si="145"/>
        <v>1453.0613433698327</v>
      </c>
      <c r="V532" s="2">
        <f t="shared" si="149"/>
        <v>201.01865663016724</v>
      </c>
      <c r="W532" s="9">
        <f t="shared" si="150"/>
        <v>0</v>
      </c>
      <c r="X532" s="3">
        <v>193881</v>
      </c>
      <c r="Y532" s="3">
        <f t="shared" si="151"/>
        <v>0.29354679805692285</v>
      </c>
      <c r="Z532" s="7">
        <f t="shared" si="152"/>
        <v>1453.0613433698327</v>
      </c>
      <c r="AA532" s="2">
        <f t="shared" si="146"/>
        <v>201.01865663016724</v>
      </c>
      <c r="AB532" s="8">
        <f t="shared" si="153"/>
        <v>0</v>
      </c>
      <c r="AC532" s="10">
        <v>7.625</v>
      </c>
      <c r="AD532" s="7">
        <f t="shared" si="154"/>
        <v>1453.0613433698327</v>
      </c>
      <c r="AE532" s="2">
        <f t="shared" si="155"/>
        <v>201.01865663016724</v>
      </c>
      <c r="AF532" s="10">
        <v>0</v>
      </c>
      <c r="AG532" s="3">
        <f t="shared" si="156"/>
        <v>0</v>
      </c>
      <c r="AH532" s="7">
        <v>9753.75</v>
      </c>
      <c r="AI532">
        <f t="shared" si="157"/>
        <v>360</v>
      </c>
      <c r="AJ532" t="e">
        <f>VLOOKUP(A532,'Borrower Details'!$A$1:$H$1493,8,FALSE)</f>
        <v>#N/A</v>
      </c>
      <c r="AK532" s="4" t="e">
        <f t="shared" si="158"/>
        <v>#N/A</v>
      </c>
      <c r="AL532" s="10">
        <v>7.625</v>
      </c>
      <c r="AM532" s="3">
        <f t="shared" si="159"/>
        <v>193880.70204999999</v>
      </c>
      <c r="AN532">
        <v>7.625</v>
      </c>
      <c r="AO532" s="7">
        <f t="shared" si="160"/>
        <v>1453.0591103525321</v>
      </c>
      <c r="AP532" s="2">
        <f t="shared" si="161"/>
        <v>201.02088964746781</v>
      </c>
    </row>
    <row r="533" spans="1:42" x14ac:dyDescent="0.15">
      <c r="A533" s="8">
        <v>411253065</v>
      </c>
      <c r="B533" t="s">
        <v>37</v>
      </c>
      <c r="C533" t="s">
        <v>18</v>
      </c>
      <c r="D533" s="1">
        <v>39475</v>
      </c>
      <c r="E533" s="2">
        <v>169000</v>
      </c>
      <c r="F533" s="2">
        <v>131820</v>
      </c>
      <c r="G533" t="s">
        <v>17</v>
      </c>
      <c r="H533" s="2">
        <v>1197.94</v>
      </c>
      <c r="I533" s="2">
        <v>131766.70000000001</v>
      </c>
      <c r="J533">
        <v>0.1042</v>
      </c>
      <c r="K533">
        <v>3</v>
      </c>
      <c r="L533">
        <v>359</v>
      </c>
      <c r="M533" t="str">
        <f t="shared" si="147"/>
        <v>30 Year Fixed</v>
      </c>
      <c r="N533" s="2">
        <v>1144.17</v>
      </c>
      <c r="O533" t="str">
        <f t="shared" si="144"/>
        <v>Cash Out</v>
      </c>
      <c r="P533" s="3">
        <f t="shared" si="148"/>
        <v>9760.3935960591189</v>
      </c>
      <c r="Q533" s="4">
        <v>143650</v>
      </c>
      <c r="R533" s="4" t="s">
        <v>41</v>
      </c>
      <c r="S533" s="6">
        <v>574</v>
      </c>
      <c r="T533">
        <v>7.625</v>
      </c>
      <c r="U533" s="7">
        <f t="shared" si="145"/>
        <v>1076.5998833051019</v>
      </c>
      <c r="V533" s="2">
        <f t="shared" si="149"/>
        <v>121.34011669489814</v>
      </c>
      <c r="W533" s="9">
        <f t="shared" si="150"/>
        <v>0</v>
      </c>
      <c r="X533" s="3">
        <v>143650</v>
      </c>
      <c r="Y533" s="3">
        <f t="shared" si="151"/>
        <v>9760.3935960591189</v>
      </c>
      <c r="Z533" s="7">
        <f t="shared" si="152"/>
        <v>1076.5998833051019</v>
      </c>
      <c r="AA533" s="2">
        <f t="shared" si="146"/>
        <v>121.34011669489814</v>
      </c>
      <c r="AB533" s="8">
        <f t="shared" si="153"/>
        <v>0</v>
      </c>
      <c r="AC533" s="10">
        <v>7.625</v>
      </c>
      <c r="AD533" s="7">
        <f t="shared" si="154"/>
        <v>1076.5998833051019</v>
      </c>
      <c r="AE533" s="2">
        <f t="shared" si="155"/>
        <v>121.34011669489814</v>
      </c>
      <c r="AF533" s="10">
        <v>0</v>
      </c>
      <c r="AG533" s="3">
        <f t="shared" si="156"/>
        <v>0</v>
      </c>
      <c r="AH533" s="7">
        <v>0</v>
      </c>
      <c r="AI533">
        <f t="shared" si="157"/>
        <v>360</v>
      </c>
      <c r="AJ533" t="e">
        <f>VLOOKUP(A533,'Borrower Details'!$A$1:$H$1493,8,FALSE)</f>
        <v>#N/A</v>
      </c>
      <c r="AK533" s="4" t="e">
        <f t="shared" si="158"/>
        <v>#N/A</v>
      </c>
      <c r="AL533" s="10">
        <v>7.625</v>
      </c>
      <c r="AM533" s="3">
        <f t="shared" si="159"/>
        <v>133743.20050000001</v>
      </c>
      <c r="AN533">
        <v>7.625</v>
      </c>
      <c r="AO533" s="7">
        <f t="shared" si="160"/>
        <v>1002.3523428552095</v>
      </c>
      <c r="AP533" s="2">
        <f t="shared" si="161"/>
        <v>195.58765714479057</v>
      </c>
    </row>
    <row r="534" spans="1:42" x14ac:dyDescent="0.15">
      <c r="A534" s="8">
        <v>410678387</v>
      </c>
      <c r="B534" t="s">
        <v>36</v>
      </c>
      <c r="C534" t="s">
        <v>19</v>
      </c>
      <c r="D534" s="1">
        <v>39287</v>
      </c>
      <c r="E534" s="2">
        <v>301000</v>
      </c>
      <c r="F534" s="2">
        <v>250000</v>
      </c>
      <c r="G534" t="s">
        <v>17</v>
      </c>
      <c r="H534" s="2">
        <v>1748.04</v>
      </c>
      <c r="I534" s="2">
        <v>248287.78</v>
      </c>
      <c r="J534">
        <v>7.4999999999999997E-2</v>
      </c>
      <c r="K534">
        <v>9</v>
      </c>
      <c r="L534">
        <v>351</v>
      </c>
      <c r="M534" t="str">
        <f t="shared" si="147"/>
        <v>30 Year Fixed</v>
      </c>
      <c r="N534" s="2">
        <v>1551.8</v>
      </c>
      <c r="O534" t="str">
        <f t="shared" si="144"/>
        <v>Cash Out</v>
      </c>
      <c r="P534" s="3">
        <f t="shared" si="148"/>
        <v>3781.1855172413925</v>
      </c>
      <c r="Q534" s="4">
        <v>255850</v>
      </c>
      <c r="R534" s="4" t="s">
        <v>41</v>
      </c>
      <c r="S534" s="6">
        <v>669</v>
      </c>
      <c r="T534">
        <v>6.75</v>
      </c>
      <c r="U534" s="7">
        <f t="shared" si="145"/>
        <v>1766.0423967364418</v>
      </c>
      <c r="V534" s="2">
        <f t="shared" si="149"/>
        <v>-18.002396736441824</v>
      </c>
      <c r="W534" s="9">
        <f t="shared" si="150"/>
        <v>1</v>
      </c>
      <c r="X534" s="3">
        <v>253160</v>
      </c>
      <c r="Y534" s="3">
        <f t="shared" si="151"/>
        <v>1130.939211822697</v>
      </c>
      <c r="Z534" s="7">
        <f t="shared" si="152"/>
        <v>1747.4742746054235</v>
      </c>
      <c r="AA534" s="2">
        <f t="shared" si="146"/>
        <v>0.56572539457647508</v>
      </c>
      <c r="AB534" s="8">
        <f t="shared" si="153"/>
        <v>1</v>
      </c>
      <c r="AC534" s="10">
        <v>6.125</v>
      </c>
      <c r="AD534" s="7">
        <f t="shared" si="154"/>
        <v>1643.7101753358072</v>
      </c>
      <c r="AE534" s="2">
        <f t="shared" si="155"/>
        <v>104.32982466419276</v>
      </c>
      <c r="AF534" s="10">
        <v>3</v>
      </c>
      <c r="AG534" s="3">
        <f t="shared" si="156"/>
        <v>7594.8</v>
      </c>
      <c r="AH534" s="7">
        <v>5000</v>
      </c>
      <c r="AI534">
        <f t="shared" si="157"/>
        <v>360</v>
      </c>
      <c r="AJ534" t="e">
        <f>VLOOKUP(A534,'Borrower Details'!$A$1:$H$1493,8,FALSE)</f>
        <v>#N/A</v>
      </c>
      <c r="AK534" s="4" t="e">
        <f t="shared" si="158"/>
        <v>#N/A</v>
      </c>
      <c r="AL534" s="10">
        <v>6.75</v>
      </c>
      <c r="AM534" s="3">
        <f t="shared" si="159"/>
        <v>252012.09669999997</v>
      </c>
      <c r="AN534">
        <v>6.75</v>
      </c>
      <c r="AO534" s="7">
        <f t="shared" si="160"/>
        <v>1739.5507026095129</v>
      </c>
      <c r="AP534" s="2">
        <f t="shared" si="161"/>
        <v>8.4892973904870814</v>
      </c>
    </row>
    <row r="535" spans="1:42" x14ac:dyDescent="0.15">
      <c r="A535" s="8">
        <v>410572549</v>
      </c>
      <c r="B535" t="s">
        <v>36</v>
      </c>
      <c r="C535" t="s">
        <v>19</v>
      </c>
      <c r="D535" s="1">
        <v>39281</v>
      </c>
      <c r="E535" s="2">
        <v>190000</v>
      </c>
      <c r="F535" s="2">
        <v>112000</v>
      </c>
      <c r="G535" t="s">
        <v>17</v>
      </c>
      <c r="H535" s="2">
        <v>857.22</v>
      </c>
      <c r="I535" s="2">
        <v>0</v>
      </c>
      <c r="J535">
        <v>8.4500000000000006E-2</v>
      </c>
      <c r="K535">
        <v>9</v>
      </c>
      <c r="L535">
        <v>351</v>
      </c>
      <c r="M535" t="str">
        <f t="shared" si="147"/>
        <v>30 Year Fixed</v>
      </c>
      <c r="N535" s="2">
        <v>0</v>
      </c>
      <c r="O535" t="str">
        <f t="shared" si="144"/>
        <v>Cash Out</v>
      </c>
      <c r="P535" s="3">
        <f t="shared" si="148"/>
        <v>159113.30049261084</v>
      </c>
      <c r="Q535" s="4">
        <v>161500</v>
      </c>
      <c r="R535" s="4" t="s">
        <v>41</v>
      </c>
      <c r="S535" s="6">
        <v>568</v>
      </c>
      <c r="T535">
        <v>7.625</v>
      </c>
      <c r="U535" s="7">
        <f t="shared" si="145"/>
        <v>1210.3785670294046</v>
      </c>
      <c r="V535" s="2">
        <f t="shared" si="149"/>
        <v>-353.15856702940459</v>
      </c>
      <c r="W535" s="9">
        <f t="shared" si="150"/>
        <v>1</v>
      </c>
      <c r="X535" s="3">
        <v>114310</v>
      </c>
      <c r="Y535" s="3">
        <f t="shared" si="151"/>
        <v>112620.68965517242</v>
      </c>
      <c r="Z535" s="7">
        <f t="shared" si="152"/>
        <v>856.70819812465163</v>
      </c>
      <c r="AA535" s="2">
        <f t="shared" si="146"/>
        <v>0.51180187534839661</v>
      </c>
      <c r="AB535" s="8">
        <f t="shared" si="153"/>
        <v>0</v>
      </c>
      <c r="AC535" s="10">
        <v>7.625</v>
      </c>
      <c r="AD535" s="7">
        <f t="shared" si="154"/>
        <v>856.70819812465163</v>
      </c>
      <c r="AE535" s="2">
        <f t="shared" si="155"/>
        <v>0.51180187534839661</v>
      </c>
      <c r="AF535" s="10">
        <v>0</v>
      </c>
      <c r="AG535" s="3">
        <f t="shared" si="156"/>
        <v>0</v>
      </c>
      <c r="AH535" s="7">
        <v>0</v>
      </c>
      <c r="AI535">
        <f t="shared" si="157"/>
        <v>360</v>
      </c>
      <c r="AJ535" t="e">
        <f>VLOOKUP(A535,'Borrower Details'!$A$1:$H$1493,8,FALSE)</f>
        <v>#N/A</v>
      </c>
      <c r="AK535" s="4" t="e">
        <f t="shared" si="158"/>
        <v>#N/A</v>
      </c>
      <c r="AL535" s="10">
        <v>7.625</v>
      </c>
      <c r="AM535" s="3">
        <f t="shared" si="159"/>
        <v>0</v>
      </c>
      <c r="AN535">
        <v>7.625</v>
      </c>
      <c r="AO535" s="7">
        <f t="shared" si="160"/>
        <v>0</v>
      </c>
      <c r="AP535" s="2">
        <f t="shared" si="161"/>
        <v>857.22</v>
      </c>
    </row>
    <row r="536" spans="1:42" x14ac:dyDescent="0.15">
      <c r="A536" s="8">
        <v>410859151</v>
      </c>
      <c r="B536" t="s">
        <v>36</v>
      </c>
      <c r="C536" t="s">
        <v>16</v>
      </c>
      <c r="D536" s="1">
        <v>39318</v>
      </c>
      <c r="E536" s="2">
        <v>225000</v>
      </c>
      <c r="F536" s="2">
        <v>130000</v>
      </c>
      <c r="G536" t="s">
        <v>20</v>
      </c>
      <c r="H536" s="2">
        <v>902.93</v>
      </c>
      <c r="I536" s="2">
        <v>129694.16</v>
      </c>
      <c r="J536">
        <v>7.9899999999999999E-2</v>
      </c>
      <c r="K536">
        <v>8</v>
      </c>
      <c r="L536">
        <v>352</v>
      </c>
      <c r="M536" t="str">
        <f t="shared" si="147"/>
        <v>30 Year Fixed</v>
      </c>
      <c r="N536" s="2">
        <v>863.55</v>
      </c>
      <c r="O536" t="str">
        <f t="shared" si="144"/>
        <v>Cash Out</v>
      </c>
      <c r="P536" s="3">
        <f t="shared" si="148"/>
        <v>58729.485320197069</v>
      </c>
      <c r="Q536" s="4">
        <v>191250</v>
      </c>
      <c r="R536" s="4" t="s">
        <v>41</v>
      </c>
      <c r="S536" s="6">
        <v>618</v>
      </c>
      <c r="T536">
        <v>6.875</v>
      </c>
      <c r="U536" s="7">
        <f t="shared" si="145"/>
        <v>1336.0638561544249</v>
      </c>
      <c r="V536" s="2">
        <f t="shared" si="149"/>
        <v>-433.13385615442496</v>
      </c>
      <c r="W536" s="9">
        <f t="shared" si="150"/>
        <v>1</v>
      </c>
      <c r="X536" s="3">
        <v>131639</v>
      </c>
      <c r="Y536" s="3">
        <f t="shared" si="151"/>
        <v>-0.56394088668457698</v>
      </c>
      <c r="Z536" s="7">
        <f t="shared" si="152"/>
        <v>919.62410436764628</v>
      </c>
      <c r="AA536" s="2">
        <f t="shared" si="146"/>
        <v>-16.694104367646332</v>
      </c>
      <c r="AB536" s="8">
        <f t="shared" si="153"/>
        <v>1</v>
      </c>
      <c r="AC536" s="10">
        <v>6.25</v>
      </c>
      <c r="AD536" s="7">
        <f t="shared" si="154"/>
        <v>865.37354880263354</v>
      </c>
      <c r="AE536" s="2">
        <f t="shared" si="155"/>
        <v>37.556451197366414</v>
      </c>
      <c r="AF536" s="10">
        <v>2.5</v>
      </c>
      <c r="AG536" s="3">
        <f t="shared" si="156"/>
        <v>3290.9749999999999</v>
      </c>
      <c r="AH536" s="7">
        <v>2600</v>
      </c>
      <c r="AI536">
        <f t="shared" si="157"/>
        <v>360</v>
      </c>
      <c r="AJ536" t="e">
        <f>VLOOKUP(A536,'Borrower Details'!$A$1:$H$1493,8,FALSE)</f>
        <v>#N/A</v>
      </c>
      <c r="AK536" s="4" t="e">
        <f t="shared" si="158"/>
        <v>#N/A</v>
      </c>
      <c r="AL536" s="10">
        <v>6.875</v>
      </c>
      <c r="AM536" s="3">
        <f t="shared" si="159"/>
        <v>131639.5724</v>
      </c>
      <c r="AN536">
        <v>6.875</v>
      </c>
      <c r="AO536" s="7">
        <f t="shared" si="160"/>
        <v>919.62810312817567</v>
      </c>
      <c r="AP536" s="2">
        <f t="shared" si="161"/>
        <v>-16.698103128175717</v>
      </c>
    </row>
    <row r="537" spans="1:42" x14ac:dyDescent="0.15">
      <c r="A537" s="8">
        <v>411086119</v>
      </c>
      <c r="B537" t="s">
        <v>37</v>
      </c>
      <c r="C537" t="s">
        <v>16</v>
      </c>
      <c r="D537" s="1">
        <v>39421</v>
      </c>
      <c r="E537" s="2">
        <v>152000</v>
      </c>
      <c r="F537" s="2">
        <v>116000</v>
      </c>
      <c r="G537" t="s">
        <v>17</v>
      </c>
      <c r="H537" s="2">
        <v>904.31</v>
      </c>
      <c r="I537" s="2">
        <v>115558.65</v>
      </c>
      <c r="J537">
        <v>8.6499999999999994E-2</v>
      </c>
      <c r="K537">
        <v>5</v>
      </c>
      <c r="L537">
        <v>355</v>
      </c>
      <c r="M537" t="str">
        <f t="shared" si="147"/>
        <v>30 Year Fixed</v>
      </c>
      <c r="N537" s="2">
        <v>832.99</v>
      </c>
      <c r="O537" t="str">
        <f t="shared" si="144"/>
        <v>Cash Out</v>
      </c>
      <c r="P537" s="3">
        <f t="shared" si="148"/>
        <v>11731.990394088687</v>
      </c>
      <c r="Q537" s="4">
        <v>129200</v>
      </c>
      <c r="R537" s="4" t="s">
        <v>41</v>
      </c>
      <c r="S537" s="6">
        <v>646</v>
      </c>
      <c r="T537">
        <v>6.75</v>
      </c>
      <c r="U537" s="7">
        <f t="shared" si="145"/>
        <v>891.82207409946557</v>
      </c>
      <c r="V537" s="2">
        <f t="shared" si="149"/>
        <v>12.487925900534378</v>
      </c>
      <c r="W537" s="9">
        <f t="shared" si="150"/>
        <v>0</v>
      </c>
      <c r="X537" s="3">
        <v>129200</v>
      </c>
      <c r="Y537" s="3">
        <f t="shared" si="151"/>
        <v>11731.990394088687</v>
      </c>
      <c r="Z537" s="7">
        <f t="shared" si="152"/>
        <v>891.82207409946557</v>
      </c>
      <c r="AA537" s="2">
        <f t="shared" si="146"/>
        <v>12.487925900534378</v>
      </c>
      <c r="AB537" s="8">
        <f t="shared" si="153"/>
        <v>0</v>
      </c>
      <c r="AC537" s="10">
        <v>6.75</v>
      </c>
      <c r="AD537" s="7">
        <f t="shared" si="154"/>
        <v>891.82207409946557</v>
      </c>
      <c r="AE537" s="2">
        <f t="shared" si="155"/>
        <v>12.487925900534378</v>
      </c>
      <c r="AF537" s="10">
        <v>0</v>
      </c>
      <c r="AG537" s="3">
        <f t="shared" si="156"/>
        <v>0</v>
      </c>
      <c r="AH537" s="7">
        <v>0</v>
      </c>
      <c r="AI537">
        <f t="shared" si="157"/>
        <v>360</v>
      </c>
      <c r="AJ537" t="e">
        <f>VLOOKUP(A537,'Borrower Details'!$A$1:$H$1493,8,FALSE)</f>
        <v>#N/A</v>
      </c>
      <c r="AK537" s="4" t="e">
        <f t="shared" si="158"/>
        <v>#N/A</v>
      </c>
      <c r="AL537" s="10">
        <v>6.75</v>
      </c>
      <c r="AM537" s="3">
        <f t="shared" si="159"/>
        <v>117292.02974999999</v>
      </c>
      <c r="AN537">
        <v>6.75</v>
      </c>
      <c r="AO537" s="7">
        <f t="shared" si="160"/>
        <v>809.62555144722296</v>
      </c>
      <c r="AP537" s="2">
        <f t="shared" si="161"/>
        <v>94.684448552776985</v>
      </c>
    </row>
    <row r="538" spans="1:42" x14ac:dyDescent="0.15">
      <c r="A538" s="8">
        <v>411228109</v>
      </c>
      <c r="B538" t="s">
        <v>36</v>
      </c>
      <c r="C538" t="s">
        <v>18</v>
      </c>
      <c r="D538" s="1">
        <v>39462</v>
      </c>
      <c r="E538" s="2">
        <v>243000</v>
      </c>
      <c r="F538" s="2">
        <v>206550</v>
      </c>
      <c r="G538" t="s">
        <v>17</v>
      </c>
      <c r="H538" s="2">
        <v>1759.44</v>
      </c>
      <c r="I538" s="2">
        <v>206150.24</v>
      </c>
      <c r="J538">
        <v>9.6500000000000002E-2</v>
      </c>
      <c r="K538">
        <v>3</v>
      </c>
      <c r="L538">
        <v>356</v>
      </c>
      <c r="M538" t="str">
        <f t="shared" si="147"/>
        <v>30 Year Fixed</v>
      </c>
      <c r="N538" s="2">
        <v>1657.79</v>
      </c>
      <c r="O538" t="str">
        <f t="shared" si="144"/>
        <v>Refi</v>
      </c>
      <c r="P538" s="3">
        <f t="shared" si="148"/>
        <v>0</v>
      </c>
      <c r="Q538" s="4">
        <v>209242</v>
      </c>
      <c r="R538" s="4" t="s">
        <v>41</v>
      </c>
      <c r="S538" s="6">
        <v>633</v>
      </c>
      <c r="T538">
        <v>6.75</v>
      </c>
      <c r="U538" s="7">
        <f t="shared" si="145"/>
        <v>1444.3237958879286</v>
      </c>
      <c r="V538" s="2">
        <f t="shared" si="149"/>
        <v>315.1162041120715</v>
      </c>
      <c r="W538" s="9">
        <f t="shared" si="150"/>
        <v>0</v>
      </c>
      <c r="X538" s="3">
        <v>209242</v>
      </c>
      <c r="Y538" s="3">
        <f t="shared" si="151"/>
        <v>-0.48630541868624277</v>
      </c>
      <c r="Z538" s="7">
        <f t="shared" si="152"/>
        <v>1444.3237958879286</v>
      </c>
      <c r="AA538" s="2">
        <f t="shared" si="146"/>
        <v>315.1162041120715</v>
      </c>
      <c r="AB538" s="8">
        <f t="shared" si="153"/>
        <v>0</v>
      </c>
      <c r="AC538" s="10">
        <v>6.75</v>
      </c>
      <c r="AD538" s="7">
        <f t="shared" si="154"/>
        <v>1444.3237958879286</v>
      </c>
      <c r="AE538" s="2">
        <f t="shared" si="155"/>
        <v>315.1162041120715</v>
      </c>
      <c r="AF538" s="10">
        <v>0</v>
      </c>
      <c r="AG538" s="3">
        <f t="shared" si="156"/>
        <v>0</v>
      </c>
      <c r="AH538" s="7">
        <v>4131</v>
      </c>
      <c r="AI538">
        <f t="shared" si="157"/>
        <v>360</v>
      </c>
      <c r="AJ538" t="e">
        <f>VLOOKUP(A538,'Borrower Details'!$A$1:$H$1493,8,FALSE)</f>
        <v>#N/A</v>
      </c>
      <c r="AK538" s="4" t="e">
        <f t="shared" si="158"/>
        <v>#N/A</v>
      </c>
      <c r="AL538" s="10">
        <v>6.75</v>
      </c>
      <c r="AM538" s="3">
        <f t="shared" si="159"/>
        <v>209242.49359999996</v>
      </c>
      <c r="AN538">
        <v>6.75</v>
      </c>
      <c r="AO538" s="7">
        <f t="shared" si="160"/>
        <v>1444.3272030347998</v>
      </c>
      <c r="AP538" s="2">
        <f t="shared" si="161"/>
        <v>315.11279696520023</v>
      </c>
    </row>
    <row r="539" spans="1:42" x14ac:dyDescent="0.15">
      <c r="A539" s="8">
        <v>410339261</v>
      </c>
      <c r="B539" t="s">
        <v>35</v>
      </c>
      <c r="C539" t="s">
        <v>16</v>
      </c>
      <c r="D539" s="1">
        <v>39259</v>
      </c>
      <c r="E539" s="2">
        <v>120500</v>
      </c>
      <c r="F539" s="2">
        <v>107550</v>
      </c>
      <c r="G539" t="s">
        <v>17</v>
      </c>
      <c r="H539" s="2">
        <v>823.16</v>
      </c>
      <c r="I539" s="2">
        <v>106697.72</v>
      </c>
      <c r="J539">
        <v>8.4500000000000006E-2</v>
      </c>
      <c r="K539">
        <v>10</v>
      </c>
      <c r="L539">
        <v>349</v>
      </c>
      <c r="M539" t="str">
        <f t="shared" si="147"/>
        <v>30 Year Fixed</v>
      </c>
      <c r="N539" s="2">
        <v>751.83</v>
      </c>
      <c r="O539" t="str">
        <f t="shared" si="144"/>
        <v>Refi</v>
      </c>
      <c r="P539" s="3">
        <f t="shared" si="148"/>
        <v>0</v>
      </c>
      <c r="Q539" s="4">
        <v>108298</v>
      </c>
      <c r="R539" s="4" t="s">
        <v>41</v>
      </c>
      <c r="S539" s="6">
        <v>602</v>
      </c>
      <c r="T539">
        <v>6.875</v>
      </c>
      <c r="U539" s="7">
        <f t="shared" si="145"/>
        <v>756.56493330097737</v>
      </c>
      <c r="V539" s="2">
        <f t="shared" si="149"/>
        <v>66.595066699022595</v>
      </c>
      <c r="W539" s="9">
        <f t="shared" si="150"/>
        <v>0</v>
      </c>
      <c r="X539" s="3">
        <v>108298</v>
      </c>
      <c r="Y539" s="3">
        <f t="shared" si="151"/>
        <v>-0.1830541871895548</v>
      </c>
      <c r="Z539" s="7">
        <f t="shared" si="152"/>
        <v>756.56493330097737</v>
      </c>
      <c r="AA539" s="2">
        <f t="shared" si="146"/>
        <v>66.595066699022595</v>
      </c>
      <c r="AB539" s="8">
        <f t="shared" si="153"/>
        <v>0</v>
      </c>
      <c r="AC539" s="10">
        <v>6.875</v>
      </c>
      <c r="AD539" s="7">
        <f t="shared" si="154"/>
        <v>756.56493330097737</v>
      </c>
      <c r="AE539" s="2">
        <f t="shared" si="155"/>
        <v>66.595066699022595</v>
      </c>
      <c r="AF539" s="10">
        <v>0</v>
      </c>
      <c r="AG539" s="3">
        <f t="shared" si="156"/>
        <v>0</v>
      </c>
      <c r="AH539" s="7">
        <v>4543.9875000000002</v>
      </c>
      <c r="AI539">
        <f t="shared" si="157"/>
        <v>360</v>
      </c>
      <c r="AJ539" t="e">
        <f>VLOOKUP(A539,'Borrower Details'!$A$1:$H$1493,8,FALSE)</f>
        <v>#N/A</v>
      </c>
      <c r="AK539" s="4" t="e">
        <f t="shared" si="158"/>
        <v>#N/A</v>
      </c>
      <c r="AL539" s="10">
        <v>6.875</v>
      </c>
      <c r="AM539" s="3">
        <f t="shared" si="159"/>
        <v>108298.18579999999</v>
      </c>
      <c r="AN539">
        <v>6.875</v>
      </c>
      <c r="AO539" s="7">
        <f t="shared" si="160"/>
        <v>756.56623129137972</v>
      </c>
      <c r="AP539" s="2">
        <f t="shared" si="161"/>
        <v>66.593768708620246</v>
      </c>
    </row>
    <row r="540" spans="1:42" x14ac:dyDescent="0.15">
      <c r="A540" s="8">
        <v>410531271</v>
      </c>
      <c r="B540" t="s">
        <v>37</v>
      </c>
      <c r="C540" t="s">
        <v>19</v>
      </c>
      <c r="D540" s="1">
        <v>39269</v>
      </c>
      <c r="E540" s="2">
        <v>123000</v>
      </c>
      <c r="F540" s="2">
        <v>116850</v>
      </c>
      <c r="G540" t="s">
        <v>17</v>
      </c>
      <c r="H540" s="2">
        <v>965.54</v>
      </c>
      <c r="I540" s="2">
        <v>116229.13</v>
      </c>
      <c r="J540">
        <v>9.2999999999999999E-2</v>
      </c>
      <c r="K540">
        <v>10</v>
      </c>
      <c r="L540">
        <v>350</v>
      </c>
      <c r="M540" t="str">
        <f t="shared" si="147"/>
        <v>30 Year Fixed</v>
      </c>
      <c r="N540" s="2">
        <v>900.78</v>
      </c>
      <c r="O540" t="str">
        <f t="shared" si="144"/>
        <v>Refi</v>
      </c>
      <c r="P540" s="3">
        <f t="shared" si="148"/>
        <v>0</v>
      </c>
      <c r="Q540" s="4">
        <v>117973</v>
      </c>
      <c r="R540" s="4" t="s">
        <v>41</v>
      </c>
      <c r="S540" s="6">
        <v>627</v>
      </c>
      <c r="T540">
        <v>6.75</v>
      </c>
      <c r="U540" s="7">
        <f t="shared" si="145"/>
        <v>814.32604913108548</v>
      </c>
      <c r="V540" s="2">
        <f t="shared" si="149"/>
        <v>151.21395086891448</v>
      </c>
      <c r="W540" s="9">
        <f t="shared" si="150"/>
        <v>0</v>
      </c>
      <c r="X540" s="3">
        <v>117973</v>
      </c>
      <c r="Y540" s="3">
        <f t="shared" si="151"/>
        <v>0.42665024631423876</v>
      </c>
      <c r="Z540" s="7">
        <f t="shared" si="152"/>
        <v>814.32604913108548</v>
      </c>
      <c r="AA540" s="2">
        <f t="shared" si="146"/>
        <v>151.21395086891448</v>
      </c>
      <c r="AB540" s="8">
        <f t="shared" si="153"/>
        <v>0</v>
      </c>
      <c r="AC540" s="10">
        <v>6.75</v>
      </c>
      <c r="AD540" s="7">
        <f t="shared" si="154"/>
        <v>814.32604913108548</v>
      </c>
      <c r="AE540" s="2">
        <f t="shared" si="155"/>
        <v>151.21395086891448</v>
      </c>
      <c r="AF540" s="10">
        <v>0</v>
      </c>
      <c r="AG540" s="3">
        <f t="shared" si="156"/>
        <v>0</v>
      </c>
      <c r="AH540" s="7">
        <v>0</v>
      </c>
      <c r="AI540">
        <f t="shared" si="157"/>
        <v>360</v>
      </c>
      <c r="AJ540" t="e">
        <f>VLOOKUP(A540,'Borrower Details'!$A$1:$H$1493,8,FALSE)</f>
        <v>#N/A</v>
      </c>
      <c r="AK540" s="4" t="e">
        <f t="shared" si="158"/>
        <v>#N/A</v>
      </c>
      <c r="AL540" s="10">
        <v>6.75</v>
      </c>
      <c r="AM540" s="3">
        <f t="shared" si="159"/>
        <v>117972.56694999999</v>
      </c>
      <c r="AN540">
        <v>6.75</v>
      </c>
      <c r="AO540" s="7">
        <f t="shared" si="160"/>
        <v>814.32305993952832</v>
      </c>
      <c r="AP540" s="2">
        <f t="shared" si="161"/>
        <v>151.21694006047164</v>
      </c>
    </row>
    <row r="541" spans="1:42" x14ac:dyDescent="0.15">
      <c r="A541" s="8">
        <v>410915771</v>
      </c>
      <c r="B541" t="s">
        <v>35</v>
      </c>
      <c r="C541" t="s">
        <v>16</v>
      </c>
      <c r="D541" s="1">
        <v>39365</v>
      </c>
      <c r="E541" s="2">
        <v>150000</v>
      </c>
      <c r="F541" s="2">
        <v>112500</v>
      </c>
      <c r="G541" t="s">
        <v>17</v>
      </c>
      <c r="H541" s="2">
        <v>1003.94</v>
      </c>
      <c r="I541" s="2">
        <v>112207.71</v>
      </c>
      <c r="J541">
        <v>0.10199999999999999</v>
      </c>
      <c r="K541">
        <v>6</v>
      </c>
      <c r="L541">
        <v>354</v>
      </c>
      <c r="M541" t="str">
        <f t="shared" si="147"/>
        <v>30 Year Fixed</v>
      </c>
      <c r="N541" s="2">
        <v>953.77</v>
      </c>
      <c r="O541" t="str">
        <f t="shared" si="144"/>
        <v>Cash Out</v>
      </c>
      <c r="P541" s="3">
        <f t="shared" si="148"/>
        <v>13408.053546798037</v>
      </c>
      <c r="Q541" s="4">
        <v>127500</v>
      </c>
      <c r="R541" s="4" t="s">
        <v>41</v>
      </c>
      <c r="S541" s="6">
        <v>520</v>
      </c>
      <c r="T541">
        <v>7.625</v>
      </c>
      <c r="U541" s="7">
        <f t="shared" si="145"/>
        <v>955.56202660216138</v>
      </c>
      <c r="V541" s="2">
        <f t="shared" si="149"/>
        <v>48.377973397838673</v>
      </c>
      <c r="W541" s="9">
        <f t="shared" si="150"/>
        <v>0</v>
      </c>
      <c r="X541" s="3">
        <v>127500</v>
      </c>
      <c r="Y541" s="3">
        <f t="shared" si="151"/>
        <v>13408.053546798037</v>
      </c>
      <c r="Z541" s="7">
        <f t="shared" si="152"/>
        <v>955.56202660216138</v>
      </c>
      <c r="AA541" s="2">
        <f t="shared" si="146"/>
        <v>48.377973397838673</v>
      </c>
      <c r="AB541" s="8">
        <f t="shared" si="153"/>
        <v>0</v>
      </c>
      <c r="AC541" s="10">
        <v>7.625</v>
      </c>
      <c r="AD541" s="7">
        <f t="shared" si="154"/>
        <v>955.56202660216138</v>
      </c>
      <c r="AE541" s="2">
        <f t="shared" si="155"/>
        <v>48.377973397838673</v>
      </c>
      <c r="AF541" s="10">
        <v>0</v>
      </c>
      <c r="AG541" s="3">
        <f t="shared" si="156"/>
        <v>0</v>
      </c>
      <c r="AH541" s="7">
        <v>5737.5</v>
      </c>
      <c r="AI541">
        <f t="shared" si="157"/>
        <v>360</v>
      </c>
      <c r="AJ541" t="e">
        <f>VLOOKUP(A541,'Borrower Details'!$A$1:$H$1493,8,FALSE)</f>
        <v>#N/A</v>
      </c>
      <c r="AK541" s="4" t="e">
        <f t="shared" si="158"/>
        <v>#N/A</v>
      </c>
      <c r="AL541" s="10">
        <v>7.625</v>
      </c>
      <c r="AM541" s="3">
        <f t="shared" si="159"/>
        <v>113890.82565</v>
      </c>
      <c r="AN541">
        <v>7.625</v>
      </c>
      <c r="AO541" s="7">
        <f t="shared" si="160"/>
        <v>853.56665230986221</v>
      </c>
      <c r="AP541" s="2">
        <f t="shared" si="161"/>
        <v>150.37334769013785</v>
      </c>
    </row>
    <row r="542" spans="1:42" x14ac:dyDescent="0.15">
      <c r="A542" s="8">
        <v>410433585</v>
      </c>
      <c r="B542" t="s">
        <v>35</v>
      </c>
      <c r="C542" t="s">
        <v>16</v>
      </c>
      <c r="D542" s="1">
        <v>39255</v>
      </c>
      <c r="E542" s="2">
        <v>120000</v>
      </c>
      <c r="F542" s="2">
        <v>96000</v>
      </c>
      <c r="G542" t="s">
        <v>17</v>
      </c>
      <c r="H542" s="2">
        <v>755.24</v>
      </c>
      <c r="I542" s="2">
        <v>95427.34</v>
      </c>
      <c r="J542">
        <v>8.7499999999999994E-2</v>
      </c>
      <c r="K542">
        <v>10</v>
      </c>
      <c r="L542">
        <v>350</v>
      </c>
      <c r="M542" t="str">
        <f t="shared" si="147"/>
        <v>30 Year Fixed</v>
      </c>
      <c r="N542" s="2">
        <v>695.82</v>
      </c>
      <c r="O542" t="str">
        <f t="shared" si="144"/>
        <v>Cash Out</v>
      </c>
      <c r="P542" s="3">
        <f t="shared" si="148"/>
        <v>5065.2708374384383</v>
      </c>
      <c r="Q542" s="4">
        <v>102000</v>
      </c>
      <c r="R542" s="4" t="s">
        <v>41</v>
      </c>
      <c r="S542" s="6">
        <v>528</v>
      </c>
      <c r="T542">
        <v>7.625</v>
      </c>
      <c r="U542" s="7">
        <f t="shared" si="145"/>
        <v>764.44962128172915</v>
      </c>
      <c r="V542" s="2">
        <f t="shared" si="149"/>
        <v>-9.2096212817291416</v>
      </c>
      <c r="W542" s="9">
        <f t="shared" si="150"/>
        <v>1</v>
      </c>
      <c r="X542" s="3">
        <v>100700</v>
      </c>
      <c r="Y542" s="3">
        <f t="shared" si="151"/>
        <v>3784.4826600985398</v>
      </c>
      <c r="Z542" s="7">
        <f t="shared" si="152"/>
        <v>754.70663591245227</v>
      </c>
      <c r="AA542" s="2">
        <f t="shared" si="146"/>
        <v>0.53336408754773856</v>
      </c>
      <c r="AB542" s="8">
        <f t="shared" si="153"/>
        <v>1</v>
      </c>
      <c r="AC542" s="10">
        <v>6.875</v>
      </c>
      <c r="AD542" s="7">
        <f t="shared" si="154"/>
        <v>703.48564870457835</v>
      </c>
      <c r="AE542" s="2">
        <f t="shared" si="155"/>
        <v>51.754351295421657</v>
      </c>
      <c r="AF542" s="10">
        <v>2</v>
      </c>
      <c r="AG542" s="3">
        <f t="shared" si="156"/>
        <v>2014</v>
      </c>
      <c r="AH542" s="7">
        <v>4200</v>
      </c>
      <c r="AI542">
        <f t="shared" si="157"/>
        <v>360</v>
      </c>
      <c r="AJ542" t="e">
        <f>VLOOKUP(A542,'Borrower Details'!$A$1:$H$1493,8,FALSE)</f>
        <v>#N/A</v>
      </c>
      <c r="AK542" s="4" t="e">
        <f t="shared" si="158"/>
        <v>#N/A</v>
      </c>
      <c r="AL542" s="10">
        <v>7.625</v>
      </c>
      <c r="AM542" s="3">
        <f t="shared" si="159"/>
        <v>96858.75009999999</v>
      </c>
      <c r="AN542">
        <v>7.625</v>
      </c>
      <c r="AO542" s="7">
        <f t="shared" si="160"/>
        <v>725.91798854673175</v>
      </c>
      <c r="AP542" s="2">
        <f t="shared" si="161"/>
        <v>29.32201145326826</v>
      </c>
    </row>
    <row r="543" spans="1:42" x14ac:dyDescent="0.15">
      <c r="A543" s="8">
        <v>410769871</v>
      </c>
      <c r="B543" t="s">
        <v>37</v>
      </c>
      <c r="C543" t="s">
        <v>18</v>
      </c>
      <c r="D543" s="1">
        <v>39316</v>
      </c>
      <c r="E543" s="2">
        <v>126000</v>
      </c>
      <c r="F543" s="2">
        <v>119700</v>
      </c>
      <c r="G543" t="s">
        <v>17</v>
      </c>
      <c r="H543" s="2">
        <v>1135.42</v>
      </c>
      <c r="I543" s="2">
        <v>119343.52</v>
      </c>
      <c r="J543">
        <v>0.1095</v>
      </c>
      <c r="K543">
        <v>8</v>
      </c>
      <c r="L543">
        <v>352</v>
      </c>
      <c r="M543" t="str">
        <f t="shared" si="147"/>
        <v>30 Year Fixed</v>
      </c>
      <c r="N543" s="2">
        <v>1089.01</v>
      </c>
      <c r="O543" t="str">
        <f t="shared" si="144"/>
        <v>Refi</v>
      </c>
      <c r="P543" s="3">
        <f t="shared" si="148"/>
        <v>0</v>
      </c>
      <c r="Q543" s="4">
        <v>121134</v>
      </c>
      <c r="R543" s="4" t="s">
        <v>41</v>
      </c>
      <c r="S543" s="6">
        <v>612</v>
      </c>
      <c r="T543">
        <v>6.875</v>
      </c>
      <c r="U543" s="7">
        <f t="shared" si="145"/>
        <v>846.23664915769984</v>
      </c>
      <c r="V543" s="2">
        <f t="shared" si="149"/>
        <v>289.18335084230023</v>
      </c>
      <c r="W543" s="9">
        <f t="shared" si="150"/>
        <v>0</v>
      </c>
      <c r="X543" s="3">
        <v>121134</v>
      </c>
      <c r="Y543" s="3">
        <f t="shared" si="151"/>
        <v>0.32236453202494886</v>
      </c>
      <c r="Z543" s="7">
        <f t="shared" si="152"/>
        <v>846.23664915769984</v>
      </c>
      <c r="AA543" s="2">
        <f t="shared" si="146"/>
        <v>289.18335084230023</v>
      </c>
      <c r="AB543" s="8">
        <f t="shared" si="153"/>
        <v>0</v>
      </c>
      <c r="AC543" s="10">
        <v>6.875</v>
      </c>
      <c r="AD543" s="7">
        <f t="shared" si="154"/>
        <v>846.23664915769984</v>
      </c>
      <c r="AE543" s="2">
        <f t="shared" si="155"/>
        <v>289.18335084230023</v>
      </c>
      <c r="AF543" s="10">
        <v>0</v>
      </c>
      <c r="AG543" s="3">
        <f t="shared" si="156"/>
        <v>0</v>
      </c>
      <c r="AH543" s="7">
        <v>0</v>
      </c>
      <c r="AI543">
        <f t="shared" si="157"/>
        <v>360</v>
      </c>
      <c r="AJ543" t="e">
        <f>VLOOKUP(A543,'Borrower Details'!$A$1:$H$1493,8,FALSE)</f>
        <v>#N/A</v>
      </c>
      <c r="AK543" s="4" t="e">
        <f t="shared" si="158"/>
        <v>#N/A</v>
      </c>
      <c r="AL543" s="10">
        <v>6.875</v>
      </c>
      <c r="AM543" s="3">
        <f t="shared" si="159"/>
        <v>121133.67279999999</v>
      </c>
      <c r="AN543">
        <v>6.875</v>
      </c>
      <c r="AO543" s="7">
        <f t="shared" si="160"/>
        <v>846.23436335328813</v>
      </c>
      <c r="AP543" s="2">
        <f t="shared" si="161"/>
        <v>289.18563664671194</v>
      </c>
    </row>
    <row r="544" spans="1:42" x14ac:dyDescent="0.15">
      <c r="A544" s="8">
        <v>410764831</v>
      </c>
      <c r="B544" t="s">
        <v>35</v>
      </c>
      <c r="C544" t="s">
        <v>16</v>
      </c>
      <c r="D544" s="1">
        <v>39321</v>
      </c>
      <c r="E544" s="2">
        <v>150000</v>
      </c>
      <c r="F544" s="2">
        <v>142500</v>
      </c>
      <c r="G544" t="s">
        <v>17</v>
      </c>
      <c r="H544" s="2">
        <v>1281.57</v>
      </c>
      <c r="I544" s="2">
        <v>142346.95000000001</v>
      </c>
      <c r="J544">
        <v>0.10636</v>
      </c>
      <c r="K544">
        <v>8</v>
      </c>
      <c r="L544">
        <v>352</v>
      </c>
      <c r="M544" t="str">
        <f t="shared" si="147"/>
        <v>30 Year Fixed</v>
      </c>
      <c r="N544" s="2">
        <v>1261.67</v>
      </c>
      <c r="O544" t="str">
        <f t="shared" si="144"/>
        <v>Refi</v>
      </c>
      <c r="P544" s="3">
        <f t="shared" si="148"/>
        <v>0</v>
      </c>
      <c r="Q544" s="4">
        <v>144482</v>
      </c>
      <c r="R544" s="4" t="s">
        <v>41</v>
      </c>
      <c r="S544" s="6">
        <v>622</v>
      </c>
      <c r="T544">
        <v>6.75</v>
      </c>
      <c r="U544" s="7">
        <f t="shared" si="145"/>
        <v>997.30833521702004</v>
      </c>
      <c r="V544" s="2">
        <f t="shared" si="149"/>
        <v>284.26166478297989</v>
      </c>
      <c r="W544" s="9">
        <f t="shared" si="150"/>
        <v>0</v>
      </c>
      <c r="X544" s="3">
        <v>144482</v>
      </c>
      <c r="Y544" s="3">
        <f t="shared" si="151"/>
        <v>-0.15197044334490784</v>
      </c>
      <c r="Z544" s="7">
        <f t="shared" si="152"/>
        <v>997.30833521702004</v>
      </c>
      <c r="AA544" s="2">
        <f t="shared" si="146"/>
        <v>284.26166478297989</v>
      </c>
      <c r="AB544" s="8">
        <f t="shared" si="153"/>
        <v>0</v>
      </c>
      <c r="AC544" s="10">
        <v>6.75</v>
      </c>
      <c r="AD544" s="7">
        <f t="shared" si="154"/>
        <v>997.30833521702004</v>
      </c>
      <c r="AE544" s="2">
        <f t="shared" si="155"/>
        <v>284.26166478297989</v>
      </c>
      <c r="AF544" s="10">
        <v>0</v>
      </c>
      <c r="AG544" s="3">
        <f t="shared" si="156"/>
        <v>0</v>
      </c>
      <c r="AH544" s="7">
        <v>7578.15</v>
      </c>
      <c r="AI544">
        <f t="shared" si="157"/>
        <v>360</v>
      </c>
      <c r="AJ544" t="e">
        <f>VLOOKUP(A544,'Borrower Details'!$A$1:$H$1493,8,FALSE)</f>
        <v>#N/A</v>
      </c>
      <c r="AK544" s="4" t="e">
        <f t="shared" si="158"/>
        <v>#N/A</v>
      </c>
      <c r="AL544" s="10">
        <v>6.75</v>
      </c>
      <c r="AM544" s="3">
        <f t="shared" si="159"/>
        <v>144482.15424999999</v>
      </c>
      <c r="AN544">
        <v>6.75</v>
      </c>
      <c r="AO544" s="7">
        <f t="shared" si="160"/>
        <v>997.30939995041729</v>
      </c>
      <c r="AP544" s="2">
        <f t="shared" si="161"/>
        <v>284.26060004958265</v>
      </c>
    </row>
    <row r="545" spans="1:42" x14ac:dyDescent="0.15">
      <c r="A545" s="8">
        <v>410546345</v>
      </c>
      <c r="B545" t="s">
        <v>35</v>
      </c>
      <c r="C545" t="s">
        <v>16</v>
      </c>
      <c r="D545" s="1">
        <v>39262</v>
      </c>
      <c r="E545" s="2">
        <v>110000</v>
      </c>
      <c r="F545" s="2">
        <v>104500</v>
      </c>
      <c r="G545" t="s">
        <v>15</v>
      </c>
      <c r="H545" s="2">
        <v>991.24</v>
      </c>
      <c r="I545" s="2">
        <v>104188.77</v>
      </c>
      <c r="J545">
        <v>0.1095</v>
      </c>
      <c r="K545">
        <v>10</v>
      </c>
      <c r="L545">
        <v>352</v>
      </c>
      <c r="M545" t="str">
        <f t="shared" si="147"/>
        <v>30 Year Fixed</v>
      </c>
      <c r="N545" s="2">
        <v>950.72</v>
      </c>
      <c r="O545" t="str">
        <f t="shared" si="144"/>
        <v>Refi</v>
      </c>
      <c r="P545" s="3">
        <f t="shared" si="148"/>
        <v>0</v>
      </c>
      <c r="Q545" s="4">
        <v>105752</v>
      </c>
      <c r="R545" s="4" t="s">
        <v>41</v>
      </c>
      <c r="S545" s="6">
        <v>592</v>
      </c>
      <c r="T545">
        <v>7.375</v>
      </c>
      <c r="U545" s="7">
        <f t="shared" si="145"/>
        <v>774.46611542047003</v>
      </c>
      <c r="V545" s="2">
        <f t="shared" si="149"/>
        <v>216.77388457952998</v>
      </c>
      <c r="W545" s="9">
        <f t="shared" si="150"/>
        <v>0</v>
      </c>
      <c r="X545" s="3">
        <v>105752</v>
      </c>
      <c r="Y545" s="3">
        <f t="shared" si="151"/>
        <v>0.39256157635827549</v>
      </c>
      <c r="Z545" s="7">
        <f t="shared" si="152"/>
        <v>774.46611542047003</v>
      </c>
      <c r="AA545" s="2">
        <f t="shared" si="146"/>
        <v>216.77388457952998</v>
      </c>
      <c r="AB545" s="8">
        <f t="shared" si="153"/>
        <v>0</v>
      </c>
      <c r="AC545" s="10">
        <v>7.375</v>
      </c>
      <c r="AD545" s="7">
        <f t="shared" si="154"/>
        <v>774.46611542047003</v>
      </c>
      <c r="AE545" s="2">
        <f t="shared" si="155"/>
        <v>216.77388457952998</v>
      </c>
      <c r="AF545" s="10">
        <v>0</v>
      </c>
      <c r="AG545" s="3">
        <f t="shared" si="156"/>
        <v>0</v>
      </c>
      <c r="AH545" s="7">
        <v>5721.3749999999991</v>
      </c>
      <c r="AI545">
        <f t="shared" si="157"/>
        <v>360</v>
      </c>
      <c r="AJ545" t="e">
        <f>VLOOKUP(A545,'Borrower Details'!$A$1:$H$1493,8,FALSE)</f>
        <v>#N/A</v>
      </c>
      <c r="AK545" s="4" t="e">
        <f t="shared" si="158"/>
        <v>#N/A</v>
      </c>
      <c r="AL545" s="10">
        <v>7.375</v>
      </c>
      <c r="AM545" s="3">
        <f t="shared" si="159"/>
        <v>105751.60154999999</v>
      </c>
      <c r="AN545">
        <v>7.375</v>
      </c>
      <c r="AO545" s="7">
        <f t="shared" si="160"/>
        <v>774.46319740451099</v>
      </c>
      <c r="AP545" s="2">
        <f t="shared" si="161"/>
        <v>216.77680259548902</v>
      </c>
    </row>
    <row r="546" spans="1:42" x14ac:dyDescent="0.15">
      <c r="A546" s="8">
        <v>410432561</v>
      </c>
      <c r="B546" t="s">
        <v>35</v>
      </c>
      <c r="C546" t="s">
        <v>16</v>
      </c>
      <c r="D546" s="1">
        <v>39248</v>
      </c>
      <c r="E546" s="2">
        <v>175000</v>
      </c>
      <c r="F546" s="2">
        <v>131250</v>
      </c>
      <c r="G546" t="s">
        <v>17</v>
      </c>
      <c r="H546" s="2">
        <v>895.36</v>
      </c>
      <c r="I546" s="2">
        <v>130089.04</v>
      </c>
      <c r="J546">
        <v>7.2499999999999995E-2</v>
      </c>
      <c r="K546">
        <v>10</v>
      </c>
      <c r="L546">
        <v>349</v>
      </c>
      <c r="M546" t="str">
        <f t="shared" si="147"/>
        <v>30 Year Fixed</v>
      </c>
      <c r="N546" s="2">
        <v>785.95</v>
      </c>
      <c r="O546" t="str">
        <f t="shared" si="144"/>
        <v>Cash Out</v>
      </c>
      <c r="P546" s="3">
        <f t="shared" si="148"/>
        <v>16462.68413793105</v>
      </c>
      <c r="Q546" s="4">
        <v>148750</v>
      </c>
      <c r="R546" s="4" t="s">
        <v>41</v>
      </c>
      <c r="S546" s="6">
        <v>695</v>
      </c>
      <c r="T546">
        <v>6.75</v>
      </c>
      <c r="U546" s="7">
        <f t="shared" si="145"/>
        <v>1026.7688353118847</v>
      </c>
      <c r="V546" s="2">
        <f t="shared" si="149"/>
        <v>-131.40883531188467</v>
      </c>
      <c r="W546" s="9">
        <f t="shared" si="150"/>
        <v>1</v>
      </c>
      <c r="X546" s="3">
        <v>132040</v>
      </c>
      <c r="Y546" s="3">
        <f t="shared" si="151"/>
        <v>-0.37004926106601488</v>
      </c>
      <c r="Z546" s="7">
        <f t="shared" si="152"/>
        <v>911.42559337533612</v>
      </c>
      <c r="AA546" s="2">
        <f t="shared" si="146"/>
        <v>-16.065593375336107</v>
      </c>
      <c r="AB546" s="8">
        <f t="shared" si="153"/>
        <v>1</v>
      </c>
      <c r="AC546" s="10">
        <v>6.125</v>
      </c>
      <c r="AD546" s="7">
        <f t="shared" si="154"/>
        <v>857.30562312900918</v>
      </c>
      <c r="AE546" s="2">
        <f t="shared" si="155"/>
        <v>38.054376870990836</v>
      </c>
      <c r="AF546" s="10">
        <v>3</v>
      </c>
      <c r="AG546" s="3">
        <f t="shared" si="156"/>
        <v>3961.2</v>
      </c>
      <c r="AH546" s="7">
        <v>4757.8125</v>
      </c>
      <c r="AI546">
        <f t="shared" si="157"/>
        <v>360</v>
      </c>
      <c r="AJ546" t="e">
        <f>VLOOKUP(A546,'Borrower Details'!$A$1:$H$1493,8,FALSE)</f>
        <v>#N/A</v>
      </c>
      <c r="AK546" s="4" t="e">
        <f t="shared" si="158"/>
        <v>#N/A</v>
      </c>
      <c r="AL546" s="10">
        <v>6.75</v>
      </c>
      <c r="AM546" s="3">
        <f t="shared" si="159"/>
        <v>132040.37559999997</v>
      </c>
      <c r="AN546">
        <v>6.75</v>
      </c>
      <c r="AO546" s="7">
        <f t="shared" si="160"/>
        <v>911.42818600978671</v>
      </c>
      <c r="AP546" s="2">
        <f t="shared" si="161"/>
        <v>-16.0681860097867</v>
      </c>
    </row>
    <row r="547" spans="1:42" x14ac:dyDescent="0.15">
      <c r="A547" s="8">
        <v>410890669</v>
      </c>
      <c r="B547" t="s">
        <v>37</v>
      </c>
      <c r="C547" t="s">
        <v>18</v>
      </c>
      <c r="D547" s="1">
        <v>39325</v>
      </c>
      <c r="E547" s="2">
        <v>428000</v>
      </c>
      <c r="F547" s="2">
        <v>240000</v>
      </c>
      <c r="G547" t="s">
        <v>17</v>
      </c>
      <c r="H547" s="2">
        <v>1677.5</v>
      </c>
      <c r="I547" s="2">
        <v>239774.64</v>
      </c>
      <c r="J547">
        <v>8.2500000000000004E-2</v>
      </c>
      <c r="K547">
        <v>8</v>
      </c>
      <c r="L547">
        <v>352</v>
      </c>
      <c r="M547" t="str">
        <f t="shared" si="147"/>
        <v>30 Year Fixed</v>
      </c>
      <c r="N547" s="2">
        <v>1648.45</v>
      </c>
      <c r="O547" t="str">
        <f t="shared" si="144"/>
        <v>Cash Out</v>
      </c>
      <c r="P547" s="3">
        <f t="shared" si="148"/>
        <v>118649.00532019709</v>
      </c>
      <c r="Q547" s="4">
        <v>363800</v>
      </c>
      <c r="R547" s="4" t="s">
        <v>41</v>
      </c>
      <c r="S547" s="6">
        <v>642</v>
      </c>
      <c r="T547">
        <v>7.375</v>
      </c>
      <c r="U547" s="7">
        <f t="shared" si="145"/>
        <v>2664.2595202924485</v>
      </c>
      <c r="V547" s="2">
        <f t="shared" si="149"/>
        <v>-986.75952029244854</v>
      </c>
      <c r="W547" s="9">
        <f t="shared" si="150"/>
        <v>1</v>
      </c>
      <c r="X547" s="3">
        <v>243372</v>
      </c>
      <c r="Y547" s="3">
        <f t="shared" si="151"/>
        <v>0.72945812810212374</v>
      </c>
      <c r="Z547" s="7">
        <f t="shared" si="152"/>
        <v>1679.9111595799932</v>
      </c>
      <c r="AA547" s="2">
        <f t="shared" si="146"/>
        <v>-2.411159579993182</v>
      </c>
      <c r="AB547" s="8">
        <f t="shared" si="153"/>
        <v>1</v>
      </c>
      <c r="AC547" s="10">
        <v>6.125</v>
      </c>
      <c r="AD547" s="7">
        <f t="shared" si="154"/>
        <v>1580.1589223883159</v>
      </c>
      <c r="AE547" s="2">
        <f t="shared" si="155"/>
        <v>97.341077611684113</v>
      </c>
      <c r="AF547" s="10">
        <v>3</v>
      </c>
      <c r="AG547" s="3">
        <f t="shared" si="156"/>
        <v>7301.16</v>
      </c>
      <c r="AH547" s="7">
        <v>2400</v>
      </c>
      <c r="AI547">
        <f t="shared" si="157"/>
        <v>360</v>
      </c>
      <c r="AJ547" t="e">
        <f>VLOOKUP(A547,'Borrower Details'!$A$1:$H$1493,8,FALSE)</f>
        <v>#N/A</v>
      </c>
      <c r="AK547" s="4" t="e">
        <f t="shared" si="158"/>
        <v>#N/A</v>
      </c>
      <c r="AL547" s="10">
        <v>6.75</v>
      </c>
      <c r="AM547" s="3">
        <f t="shared" si="159"/>
        <v>243371.25959999999</v>
      </c>
      <c r="AN547">
        <v>6.75</v>
      </c>
      <c r="AO547" s="7">
        <f t="shared" si="160"/>
        <v>1679.9060488596861</v>
      </c>
      <c r="AP547" s="2">
        <f t="shared" si="161"/>
        <v>-2.4060488596860523</v>
      </c>
    </row>
    <row r="548" spans="1:42" x14ac:dyDescent="0.15">
      <c r="A548" s="8">
        <v>410867659</v>
      </c>
      <c r="B548" t="s">
        <v>36</v>
      </c>
      <c r="C548" t="s">
        <v>16</v>
      </c>
      <c r="D548" s="1">
        <v>39323</v>
      </c>
      <c r="E548" s="2">
        <v>260000</v>
      </c>
      <c r="F548" s="2">
        <v>221000</v>
      </c>
      <c r="G548" t="s">
        <v>20</v>
      </c>
      <c r="H548" s="2">
        <v>1996.84</v>
      </c>
      <c r="I548" s="2">
        <v>220338.51</v>
      </c>
      <c r="J548">
        <v>0.10349999999999999</v>
      </c>
      <c r="K548">
        <v>8</v>
      </c>
      <c r="L548">
        <v>353</v>
      </c>
      <c r="M548" t="str">
        <f t="shared" si="147"/>
        <v>30 Year Fixed</v>
      </c>
      <c r="N548" s="2">
        <v>1900.42</v>
      </c>
      <c r="O548" t="str">
        <f t="shared" si="144"/>
        <v>Refi</v>
      </c>
      <c r="P548" s="3">
        <f t="shared" si="148"/>
        <v>0</v>
      </c>
      <c r="Q548" s="4">
        <v>223644</v>
      </c>
      <c r="R548" s="4" t="s">
        <v>41</v>
      </c>
      <c r="S548" s="6">
        <v>560</v>
      </c>
      <c r="T548">
        <v>7.625</v>
      </c>
      <c r="U548" s="7">
        <f t="shared" si="145"/>
        <v>1676.1232460973629</v>
      </c>
      <c r="V548" s="2">
        <f t="shared" si="149"/>
        <v>320.71675390263704</v>
      </c>
      <c r="W548" s="9">
        <f t="shared" si="150"/>
        <v>0</v>
      </c>
      <c r="X548" s="3">
        <v>223644</v>
      </c>
      <c r="Y548" s="3">
        <f t="shared" si="151"/>
        <v>0.40625615764292888</v>
      </c>
      <c r="Z548" s="7">
        <f t="shared" si="152"/>
        <v>1676.1232460973629</v>
      </c>
      <c r="AA548" s="2">
        <f t="shared" si="146"/>
        <v>320.71675390263704</v>
      </c>
      <c r="AB548" s="8">
        <f t="shared" si="153"/>
        <v>0</v>
      </c>
      <c r="AC548" s="10">
        <v>7.625</v>
      </c>
      <c r="AD548" s="7">
        <f t="shared" si="154"/>
        <v>1676.1232460973629</v>
      </c>
      <c r="AE548" s="2">
        <f t="shared" si="155"/>
        <v>320.71675390263704</v>
      </c>
      <c r="AF548" s="10">
        <v>0</v>
      </c>
      <c r="AG548" s="3">
        <f t="shared" si="156"/>
        <v>0</v>
      </c>
      <c r="AH548" s="7">
        <v>4420</v>
      </c>
      <c r="AI548">
        <f t="shared" si="157"/>
        <v>360</v>
      </c>
      <c r="AJ548" t="e">
        <f>VLOOKUP(A548,'Borrower Details'!$A$1:$H$1493,8,FALSE)</f>
        <v>#N/A</v>
      </c>
      <c r="AK548" s="4" t="e">
        <f t="shared" si="158"/>
        <v>#N/A</v>
      </c>
      <c r="AL548" s="10">
        <v>7.625</v>
      </c>
      <c r="AM548" s="3">
        <f t="shared" si="159"/>
        <v>223643.58765</v>
      </c>
      <c r="AN548">
        <v>7.625</v>
      </c>
      <c r="AO548" s="7">
        <f t="shared" si="160"/>
        <v>1676.1201556973499</v>
      </c>
      <c r="AP548" s="2">
        <f t="shared" si="161"/>
        <v>320.71984430265002</v>
      </c>
    </row>
    <row r="549" spans="1:42" x14ac:dyDescent="0.15">
      <c r="A549" s="8">
        <v>410496327</v>
      </c>
      <c r="B549" t="s">
        <v>36</v>
      </c>
      <c r="C549" t="s">
        <v>19</v>
      </c>
      <c r="D549" s="1">
        <v>39268</v>
      </c>
      <c r="E549" s="2">
        <v>203000</v>
      </c>
      <c r="F549" s="2">
        <v>172550</v>
      </c>
      <c r="G549" t="s">
        <v>17</v>
      </c>
      <c r="H549" s="2">
        <v>1194.71</v>
      </c>
      <c r="I549" s="2">
        <v>171344.71</v>
      </c>
      <c r="J549">
        <v>7.3999999999999996E-2</v>
      </c>
      <c r="K549">
        <v>9</v>
      </c>
      <c r="L549">
        <v>351</v>
      </c>
      <c r="M549" t="str">
        <f t="shared" si="147"/>
        <v>30 Year Fixed</v>
      </c>
      <c r="N549" s="2">
        <v>1056.6300000000001</v>
      </c>
      <c r="O549" t="str">
        <f t="shared" si="144"/>
        <v>Refi</v>
      </c>
      <c r="P549" s="3">
        <f t="shared" si="148"/>
        <v>0</v>
      </c>
      <c r="Q549" s="4">
        <v>173915</v>
      </c>
      <c r="R549" s="4" t="s">
        <v>41</v>
      </c>
      <c r="S549" s="6">
        <v>653</v>
      </c>
      <c r="T549">
        <v>6.75</v>
      </c>
      <c r="U549" s="7">
        <f t="shared" si="145"/>
        <v>1200.4739629799424</v>
      </c>
      <c r="V549" s="2">
        <f t="shared" si="149"/>
        <v>-5.7639629799423346</v>
      </c>
      <c r="W549" s="9">
        <f t="shared" si="150"/>
        <v>0</v>
      </c>
      <c r="X549" s="3">
        <v>173915</v>
      </c>
      <c r="Y549" s="3">
        <f t="shared" si="151"/>
        <v>0.11758620690670796</v>
      </c>
      <c r="Z549" s="7">
        <f t="shared" si="152"/>
        <v>1200.4739629799424</v>
      </c>
      <c r="AA549" s="2">
        <f t="shared" si="146"/>
        <v>-5.7639629799423346</v>
      </c>
      <c r="AB549" s="8">
        <f t="shared" si="153"/>
        <v>1</v>
      </c>
      <c r="AC549" s="10">
        <v>6.125</v>
      </c>
      <c r="AD549" s="7">
        <f t="shared" si="154"/>
        <v>1129.1904532450897</v>
      </c>
      <c r="AE549" s="2">
        <f t="shared" si="155"/>
        <v>65.51954675491038</v>
      </c>
      <c r="AF549" s="10">
        <v>3</v>
      </c>
      <c r="AG549" s="3">
        <f t="shared" si="156"/>
        <v>5217.45</v>
      </c>
      <c r="AH549" s="7">
        <v>3451</v>
      </c>
      <c r="AI549">
        <f t="shared" si="157"/>
        <v>360</v>
      </c>
      <c r="AJ549" t="e">
        <f>VLOOKUP(A549,'Borrower Details'!$A$1:$H$1493,8,FALSE)</f>
        <v>#N/A</v>
      </c>
      <c r="AK549" s="4" t="e">
        <f t="shared" si="158"/>
        <v>#N/A</v>
      </c>
      <c r="AL549" s="10">
        <v>6.75</v>
      </c>
      <c r="AM549" s="3">
        <f t="shared" si="159"/>
        <v>173914.88064999998</v>
      </c>
      <c r="AN549">
        <v>6.75</v>
      </c>
      <c r="AO549" s="7">
        <f t="shared" si="160"/>
        <v>1200.4731391489474</v>
      </c>
      <c r="AP549" s="2">
        <f t="shared" si="161"/>
        <v>-5.7631391489474026</v>
      </c>
    </row>
    <row r="550" spans="1:42" x14ac:dyDescent="0.15">
      <c r="A550" s="8">
        <v>410352447</v>
      </c>
      <c r="B550" t="s">
        <v>35</v>
      </c>
      <c r="C550" t="s">
        <v>16</v>
      </c>
      <c r="D550" s="1">
        <v>39244</v>
      </c>
      <c r="E550" s="2">
        <v>475000</v>
      </c>
      <c r="F550" s="2">
        <v>427500</v>
      </c>
      <c r="G550" t="s">
        <v>15</v>
      </c>
      <c r="H550" s="2">
        <v>3416.72</v>
      </c>
      <c r="I550" s="2">
        <v>423176.4</v>
      </c>
      <c r="J550">
        <v>8.9249999999999996E-2</v>
      </c>
      <c r="K550">
        <v>10</v>
      </c>
      <c r="L550">
        <v>350</v>
      </c>
      <c r="M550" t="str">
        <f t="shared" si="147"/>
        <v>30 Year Fixed</v>
      </c>
      <c r="N550" s="2">
        <v>3147.37</v>
      </c>
      <c r="O550" t="str">
        <f t="shared" si="144"/>
        <v>Refi</v>
      </c>
      <c r="P550" s="3">
        <f t="shared" si="148"/>
        <v>0</v>
      </c>
      <c r="Q550" s="4">
        <v>429524</v>
      </c>
      <c r="R550" s="4" t="s">
        <v>41</v>
      </c>
      <c r="S550" s="6">
        <v>605</v>
      </c>
      <c r="T550">
        <v>7.625</v>
      </c>
      <c r="U550" s="7">
        <f t="shared" si="145"/>
        <v>3219.1123444256218</v>
      </c>
      <c r="V550" s="2">
        <f t="shared" si="149"/>
        <v>197.60765557437799</v>
      </c>
      <c r="W550" s="9">
        <f t="shared" si="150"/>
        <v>0</v>
      </c>
      <c r="X550" s="3">
        <v>429524</v>
      </c>
      <c r="Y550" s="3">
        <f t="shared" si="151"/>
        <v>-4.5320197008550167E-2</v>
      </c>
      <c r="Z550" s="7">
        <f t="shared" si="152"/>
        <v>3219.1123444256218</v>
      </c>
      <c r="AA550" s="2">
        <f t="shared" si="146"/>
        <v>197.60765557437799</v>
      </c>
      <c r="AB550" s="8">
        <f t="shared" si="153"/>
        <v>1</v>
      </c>
      <c r="AC550" s="10">
        <v>6.875</v>
      </c>
      <c r="AD550" s="7">
        <f t="shared" si="154"/>
        <v>3000.635250984958</v>
      </c>
      <c r="AE550" s="2">
        <f t="shared" si="155"/>
        <v>416.08474901504178</v>
      </c>
      <c r="AF550" s="10">
        <v>1</v>
      </c>
      <c r="AG550" s="3">
        <f t="shared" si="156"/>
        <v>4295.24</v>
      </c>
      <c r="AH550" s="7">
        <v>19077.1875</v>
      </c>
      <c r="AI550">
        <f t="shared" si="157"/>
        <v>360</v>
      </c>
      <c r="AJ550" t="e">
        <f>VLOOKUP(A550,'Borrower Details'!$A$1:$H$1493,8,FALSE)</f>
        <v>#N/A</v>
      </c>
      <c r="AK550" s="4" t="e">
        <f t="shared" si="158"/>
        <v>#N/A</v>
      </c>
      <c r="AL550" s="10">
        <v>7.625</v>
      </c>
      <c r="AM550" s="3">
        <f t="shared" si="159"/>
        <v>429524.04599999997</v>
      </c>
      <c r="AN550">
        <v>7.625</v>
      </c>
      <c r="AO550" s="7">
        <f t="shared" si="160"/>
        <v>3219.1126891774115</v>
      </c>
      <c r="AP550" s="2">
        <f t="shared" si="161"/>
        <v>197.60731082258826</v>
      </c>
    </row>
    <row r="551" spans="1:42" x14ac:dyDescent="0.15">
      <c r="A551" s="8">
        <v>410726715</v>
      </c>
      <c r="B551" t="s">
        <v>35</v>
      </c>
      <c r="C551" t="s">
        <v>16</v>
      </c>
      <c r="D551" s="1">
        <v>39294</v>
      </c>
      <c r="E551" s="2">
        <v>60000</v>
      </c>
      <c r="F551" s="2">
        <v>51000</v>
      </c>
      <c r="G551" t="s">
        <v>20</v>
      </c>
      <c r="H551" s="2">
        <v>426.98</v>
      </c>
      <c r="I551" s="2">
        <v>50764.480000000003</v>
      </c>
      <c r="J551">
        <v>9.4500000000000001E-2</v>
      </c>
      <c r="K551">
        <v>9</v>
      </c>
      <c r="L551">
        <v>351</v>
      </c>
      <c r="M551" t="str">
        <f t="shared" si="147"/>
        <v>30 Year Fixed</v>
      </c>
      <c r="N551" s="2">
        <v>399.77</v>
      </c>
      <c r="O551" t="str">
        <f t="shared" si="144"/>
        <v>Refi</v>
      </c>
      <c r="P551" s="3">
        <f t="shared" si="148"/>
        <v>0</v>
      </c>
      <c r="Q551" s="4">
        <v>51526</v>
      </c>
      <c r="R551" s="4" t="s">
        <v>41</v>
      </c>
      <c r="S551" s="6">
        <v>620</v>
      </c>
      <c r="T551">
        <v>6.875</v>
      </c>
      <c r="U551" s="7">
        <f t="shared" si="145"/>
        <v>359.95830720111326</v>
      </c>
      <c r="V551" s="2">
        <f t="shared" si="149"/>
        <v>67.021692798886761</v>
      </c>
      <c r="W551" s="9">
        <f t="shared" si="150"/>
        <v>0</v>
      </c>
      <c r="X551" s="3">
        <v>51526</v>
      </c>
      <c r="Y551" s="3">
        <f t="shared" si="151"/>
        <v>5.2019704431586433E-2</v>
      </c>
      <c r="Z551" s="7">
        <f t="shared" si="152"/>
        <v>359.95830720111326</v>
      </c>
      <c r="AA551" s="2">
        <f t="shared" si="146"/>
        <v>67.021692798886761</v>
      </c>
      <c r="AB551" s="8">
        <f t="shared" si="153"/>
        <v>0</v>
      </c>
      <c r="AC551" s="10">
        <v>6.875</v>
      </c>
      <c r="AD551" s="7">
        <f t="shared" si="154"/>
        <v>359.95830720111326</v>
      </c>
      <c r="AE551" s="2">
        <f t="shared" si="155"/>
        <v>67.021692798886761</v>
      </c>
      <c r="AF551" s="10">
        <v>0</v>
      </c>
      <c r="AG551" s="3">
        <f t="shared" si="156"/>
        <v>0</v>
      </c>
      <c r="AH551" s="7">
        <v>0</v>
      </c>
      <c r="AI551">
        <f t="shared" si="157"/>
        <v>360</v>
      </c>
      <c r="AJ551" t="e">
        <f>VLOOKUP(A551,'Borrower Details'!$A$1:$H$1493,8,FALSE)</f>
        <v>#N/A</v>
      </c>
      <c r="AK551" s="4" t="e">
        <f t="shared" si="158"/>
        <v>#N/A</v>
      </c>
      <c r="AL551" s="10">
        <v>6.875</v>
      </c>
      <c r="AM551" s="3">
        <f t="shared" si="159"/>
        <v>51525.947199999995</v>
      </c>
      <c r="AN551">
        <v>6.875</v>
      </c>
      <c r="AO551" s="7">
        <f t="shared" si="160"/>
        <v>359.95793834269955</v>
      </c>
      <c r="AP551" s="2">
        <f t="shared" si="161"/>
        <v>67.022061657300469</v>
      </c>
    </row>
    <row r="552" spans="1:42" x14ac:dyDescent="0.15">
      <c r="A552" s="8">
        <v>410816789</v>
      </c>
      <c r="B552" t="s">
        <v>38</v>
      </c>
      <c r="C552" t="s">
        <v>16</v>
      </c>
      <c r="D552" s="1">
        <v>39315</v>
      </c>
      <c r="E552" s="2">
        <v>155000</v>
      </c>
      <c r="F552" s="2">
        <v>139500</v>
      </c>
      <c r="G552" t="s">
        <v>17</v>
      </c>
      <c r="H552" s="2">
        <v>1291.74</v>
      </c>
      <c r="I552" s="2">
        <v>139057.01</v>
      </c>
      <c r="J552">
        <v>0.1065</v>
      </c>
      <c r="K552">
        <v>8</v>
      </c>
      <c r="L552">
        <v>352</v>
      </c>
      <c r="M552" t="str">
        <f t="shared" si="147"/>
        <v>30 Year Fixed</v>
      </c>
      <c r="N552" s="2">
        <v>1234.1300000000001</v>
      </c>
      <c r="O552" t="str">
        <f t="shared" si="144"/>
        <v>Refi</v>
      </c>
      <c r="P552" s="3">
        <f t="shared" si="148"/>
        <v>0</v>
      </c>
      <c r="Q552" s="4">
        <v>141143</v>
      </c>
      <c r="R552" s="4" t="s">
        <v>41</v>
      </c>
      <c r="S552" s="6">
        <v>594</v>
      </c>
      <c r="T552">
        <v>7.375</v>
      </c>
      <c r="U552" s="7">
        <f t="shared" si="145"/>
        <v>1033.6492069066439</v>
      </c>
      <c r="V552" s="2">
        <f t="shared" si="149"/>
        <v>258.09079309335607</v>
      </c>
      <c r="W552" s="9">
        <f t="shared" si="150"/>
        <v>0</v>
      </c>
      <c r="X552" s="3">
        <v>141143</v>
      </c>
      <c r="Y552" s="3">
        <f t="shared" si="151"/>
        <v>0.1328571428603027</v>
      </c>
      <c r="Z552" s="7">
        <f t="shared" si="152"/>
        <v>1033.6492069066439</v>
      </c>
      <c r="AA552" s="2">
        <f t="shared" si="146"/>
        <v>258.09079309335607</v>
      </c>
      <c r="AB552" s="8">
        <f t="shared" si="153"/>
        <v>0</v>
      </c>
      <c r="AC552" s="10">
        <v>7.375</v>
      </c>
      <c r="AD552" s="7">
        <f t="shared" si="154"/>
        <v>1033.6492069066439</v>
      </c>
      <c r="AE552" s="2">
        <f t="shared" si="155"/>
        <v>258.09079309335607</v>
      </c>
      <c r="AF552" s="10">
        <v>0</v>
      </c>
      <c r="AG552" s="3">
        <f t="shared" si="156"/>
        <v>0</v>
      </c>
      <c r="AH552" s="7">
        <v>0</v>
      </c>
      <c r="AI552">
        <f t="shared" si="157"/>
        <v>360</v>
      </c>
      <c r="AJ552" t="e">
        <f>VLOOKUP(A552,'Borrower Details'!$A$1:$H$1493,8,FALSE)</f>
        <v>#N/A</v>
      </c>
      <c r="AK552" s="4" t="e">
        <f t="shared" si="158"/>
        <v>#N/A</v>
      </c>
      <c r="AL552" s="10">
        <v>7.375</v>
      </c>
      <c r="AM552" s="3">
        <f t="shared" si="159"/>
        <v>141142.86515</v>
      </c>
      <c r="AN552">
        <v>7.375</v>
      </c>
      <c r="AO552" s="7">
        <f t="shared" si="160"/>
        <v>1033.6482193437073</v>
      </c>
      <c r="AP552" s="2">
        <f t="shared" si="161"/>
        <v>258.09178065629271</v>
      </c>
    </row>
    <row r="553" spans="1:42" x14ac:dyDescent="0.15">
      <c r="A553" s="8">
        <v>410859979</v>
      </c>
      <c r="B553" t="s">
        <v>36</v>
      </c>
      <c r="C553" t="s">
        <v>16</v>
      </c>
      <c r="D553" s="1">
        <v>39325</v>
      </c>
      <c r="E553" s="2">
        <v>265000</v>
      </c>
      <c r="F553" s="2">
        <v>198750</v>
      </c>
      <c r="G553" t="s">
        <v>20</v>
      </c>
      <c r="H553" s="2">
        <v>1470.85</v>
      </c>
      <c r="I553" s="2">
        <v>197677.39</v>
      </c>
      <c r="J553">
        <v>8.09E-2</v>
      </c>
      <c r="K553">
        <v>8</v>
      </c>
      <c r="L553">
        <v>352</v>
      </c>
      <c r="M553" t="str">
        <f t="shared" si="147"/>
        <v>30 Year Fixed</v>
      </c>
      <c r="N553" s="2">
        <v>1332.68</v>
      </c>
      <c r="O553" t="str">
        <f t="shared" si="144"/>
        <v>Cash Out</v>
      </c>
      <c r="P553" s="3">
        <f t="shared" si="148"/>
        <v>24243.79226600987</v>
      </c>
      <c r="Q553" s="4">
        <v>225250</v>
      </c>
      <c r="R553" s="4" t="s">
        <v>41</v>
      </c>
      <c r="S553" s="6">
        <v>571</v>
      </c>
      <c r="T553">
        <v>7.625</v>
      </c>
      <c r="U553" s="7">
        <f t="shared" si="145"/>
        <v>1688.1595803304851</v>
      </c>
      <c r="V553" s="2">
        <f t="shared" si="149"/>
        <v>-217.30958033048523</v>
      </c>
      <c r="W553" s="9">
        <f t="shared" si="150"/>
        <v>1</v>
      </c>
      <c r="X553" s="3">
        <v>200642</v>
      </c>
      <c r="Y553" s="3">
        <f t="shared" si="151"/>
        <v>-0.54270935960812494</v>
      </c>
      <c r="Z553" s="7">
        <f t="shared" si="152"/>
        <v>1503.732361894203</v>
      </c>
      <c r="AA553" s="2">
        <f t="shared" si="146"/>
        <v>-32.882361894203086</v>
      </c>
      <c r="AB553" s="8">
        <f t="shared" si="153"/>
        <v>1</v>
      </c>
      <c r="AC553" s="10">
        <v>6.875</v>
      </c>
      <c r="AD553" s="7">
        <f t="shared" si="154"/>
        <v>1401.6759436681627</v>
      </c>
      <c r="AE553" s="2">
        <f t="shared" si="155"/>
        <v>69.174056331837164</v>
      </c>
      <c r="AF553" s="10">
        <v>1</v>
      </c>
      <c r="AG553" s="3">
        <f t="shared" si="156"/>
        <v>2006.42</v>
      </c>
      <c r="AH553" s="7">
        <v>3975</v>
      </c>
      <c r="AI553">
        <f t="shared" si="157"/>
        <v>360</v>
      </c>
      <c r="AJ553" t="e">
        <f>VLOOKUP(A553,'Borrower Details'!$A$1:$H$1493,8,FALSE)</f>
        <v>#N/A</v>
      </c>
      <c r="AK553" s="4" t="e">
        <f t="shared" si="158"/>
        <v>#N/A</v>
      </c>
      <c r="AL553" s="10">
        <v>7.625</v>
      </c>
      <c r="AM553" s="3">
        <f t="shared" si="159"/>
        <v>200642.55085</v>
      </c>
      <c r="AN553">
        <v>7.625</v>
      </c>
      <c r="AO553" s="7">
        <f t="shared" si="160"/>
        <v>1503.736490296888</v>
      </c>
      <c r="AP553" s="2">
        <f t="shared" si="161"/>
        <v>-32.886490296888041</v>
      </c>
    </row>
    <row r="554" spans="1:42" x14ac:dyDescent="0.15">
      <c r="A554" s="8">
        <v>410703417</v>
      </c>
      <c r="B554" t="s">
        <v>35</v>
      </c>
      <c r="C554" t="s">
        <v>16</v>
      </c>
      <c r="D554" s="1">
        <v>39293</v>
      </c>
      <c r="E554" s="2">
        <v>147000</v>
      </c>
      <c r="F554" s="2">
        <v>131000</v>
      </c>
      <c r="G554" t="s">
        <v>17</v>
      </c>
      <c r="H554" s="2">
        <v>998.01</v>
      </c>
      <c r="I554" s="2">
        <v>130250.16</v>
      </c>
      <c r="J554">
        <v>8.4000000000000005E-2</v>
      </c>
      <c r="K554">
        <v>9</v>
      </c>
      <c r="L554">
        <v>351</v>
      </c>
      <c r="M554" t="str">
        <f t="shared" si="147"/>
        <v>30 Year Fixed</v>
      </c>
      <c r="N554" s="2">
        <v>911.75</v>
      </c>
      <c r="O554" t="str">
        <f t="shared" si="144"/>
        <v>Refi</v>
      </c>
      <c r="P554" s="3">
        <f t="shared" si="148"/>
        <v>0</v>
      </c>
      <c r="Q554" s="4">
        <v>132204</v>
      </c>
      <c r="R554" s="4" t="s">
        <v>41</v>
      </c>
      <c r="S554" s="6">
        <v>605</v>
      </c>
      <c r="T554">
        <v>6.875</v>
      </c>
      <c r="U554" s="7">
        <f t="shared" si="145"/>
        <v>923.5711688315796</v>
      </c>
      <c r="V554" s="2">
        <f t="shared" si="149"/>
        <v>74.438831168420393</v>
      </c>
      <c r="W554" s="9">
        <f t="shared" si="150"/>
        <v>0</v>
      </c>
      <c r="X554" s="3">
        <v>132204</v>
      </c>
      <c r="Y554" s="3">
        <f t="shared" si="151"/>
        <v>8.6305418721167371E-2</v>
      </c>
      <c r="Z554" s="7">
        <f t="shared" si="152"/>
        <v>923.5711688315796</v>
      </c>
      <c r="AA554" s="2">
        <f t="shared" si="146"/>
        <v>74.438831168420393</v>
      </c>
      <c r="AB554" s="8">
        <f t="shared" si="153"/>
        <v>0</v>
      </c>
      <c r="AC554" s="10">
        <v>6.875</v>
      </c>
      <c r="AD554" s="7">
        <f t="shared" si="154"/>
        <v>923.5711688315796</v>
      </c>
      <c r="AE554" s="2">
        <f t="shared" si="155"/>
        <v>74.438831168420393</v>
      </c>
      <c r="AF554" s="10">
        <v>0</v>
      </c>
      <c r="AG554" s="3">
        <f t="shared" si="156"/>
        <v>0</v>
      </c>
      <c r="AH554" s="7">
        <v>5502</v>
      </c>
      <c r="AI554">
        <f t="shared" si="157"/>
        <v>360</v>
      </c>
      <c r="AJ554" t="e">
        <f>VLOOKUP(A554,'Borrower Details'!$A$1:$H$1493,8,FALSE)</f>
        <v>#N/A</v>
      </c>
      <c r="AK554" s="4" t="e">
        <f t="shared" si="158"/>
        <v>#N/A</v>
      </c>
      <c r="AL554" s="10">
        <v>6.875</v>
      </c>
      <c r="AM554" s="3">
        <f t="shared" si="159"/>
        <v>132203.9124</v>
      </c>
      <c r="AN554">
        <v>6.875</v>
      </c>
      <c r="AO554" s="7">
        <f t="shared" si="160"/>
        <v>923.57055686193883</v>
      </c>
      <c r="AP554" s="2">
        <f t="shared" si="161"/>
        <v>74.439443138061165</v>
      </c>
    </row>
    <row r="555" spans="1:42" x14ac:dyDescent="0.15">
      <c r="A555" s="8">
        <v>410959977</v>
      </c>
      <c r="B555" t="s">
        <v>35</v>
      </c>
      <c r="C555" t="s">
        <v>16</v>
      </c>
      <c r="D555" s="1">
        <v>39350</v>
      </c>
      <c r="E555" s="2">
        <v>73000</v>
      </c>
      <c r="F555" s="2">
        <v>58400</v>
      </c>
      <c r="G555" t="s">
        <v>17</v>
      </c>
      <c r="H555" s="2">
        <v>593.98</v>
      </c>
      <c r="I555" s="2">
        <v>58270.92</v>
      </c>
      <c r="J555">
        <v>0.11849999999999999</v>
      </c>
      <c r="K555">
        <v>7</v>
      </c>
      <c r="L555">
        <v>353</v>
      </c>
      <c r="M555" t="str">
        <f t="shared" si="147"/>
        <v>30 Year Fixed</v>
      </c>
      <c r="N555" s="2">
        <v>575.42999999999995</v>
      </c>
      <c r="O555" t="str">
        <f t="shared" si="144"/>
        <v>Cash Out</v>
      </c>
      <c r="P555" s="3">
        <f t="shared" si="148"/>
        <v>2862.0849261083786</v>
      </c>
      <c r="Q555" s="4">
        <v>62050</v>
      </c>
      <c r="R555" s="4" t="s">
        <v>41</v>
      </c>
      <c r="S555" s="6">
        <v>526</v>
      </c>
      <c r="T555">
        <v>7.625</v>
      </c>
      <c r="U555" s="7">
        <f t="shared" si="145"/>
        <v>465.04018627971857</v>
      </c>
      <c r="V555" s="2">
        <f t="shared" si="149"/>
        <v>128.93981372028145</v>
      </c>
      <c r="W555" s="9">
        <f t="shared" si="150"/>
        <v>0</v>
      </c>
      <c r="X555" s="3">
        <v>62050</v>
      </c>
      <c r="Y555" s="3">
        <f t="shared" si="151"/>
        <v>2862.0849261083786</v>
      </c>
      <c r="Z555" s="7">
        <f t="shared" si="152"/>
        <v>465.04018627971857</v>
      </c>
      <c r="AA555" s="2">
        <f t="shared" si="146"/>
        <v>128.93981372028145</v>
      </c>
      <c r="AB555" s="8">
        <f t="shared" si="153"/>
        <v>0</v>
      </c>
      <c r="AC555" s="10">
        <v>7.625</v>
      </c>
      <c r="AD555" s="7">
        <f t="shared" si="154"/>
        <v>465.04018627971857</v>
      </c>
      <c r="AE555" s="2">
        <f t="shared" si="155"/>
        <v>128.93981372028145</v>
      </c>
      <c r="AF555" s="10">
        <v>0</v>
      </c>
      <c r="AG555" s="3">
        <f t="shared" si="156"/>
        <v>0</v>
      </c>
      <c r="AH555" s="7">
        <v>3460.2</v>
      </c>
      <c r="AI555">
        <f t="shared" si="157"/>
        <v>360</v>
      </c>
      <c r="AJ555" t="e">
        <f>VLOOKUP(A555,'Borrower Details'!$A$1:$H$1493,8,FALSE)</f>
        <v>#N/A</v>
      </c>
      <c r="AK555" s="4" t="e">
        <f t="shared" si="158"/>
        <v>#N/A</v>
      </c>
      <c r="AL555" s="10">
        <v>7.625</v>
      </c>
      <c r="AM555" s="3">
        <f t="shared" si="159"/>
        <v>59144.983799999995</v>
      </c>
      <c r="AN555">
        <v>7.625</v>
      </c>
      <c r="AO555" s="7">
        <f t="shared" si="160"/>
        <v>443.26823986886274</v>
      </c>
      <c r="AP555" s="2">
        <f t="shared" si="161"/>
        <v>150.71176013113728</v>
      </c>
    </row>
    <row r="556" spans="1:42" x14ac:dyDescent="0.15">
      <c r="A556" s="8">
        <v>410311401</v>
      </c>
      <c r="B556" t="s">
        <v>37</v>
      </c>
      <c r="C556" t="s">
        <v>19</v>
      </c>
      <c r="D556" s="1">
        <v>39233</v>
      </c>
      <c r="E556" s="2">
        <v>114500</v>
      </c>
      <c r="F556" s="2">
        <v>103050</v>
      </c>
      <c r="G556" t="s">
        <v>15</v>
      </c>
      <c r="H556" s="2">
        <v>777.81</v>
      </c>
      <c r="I556" s="2">
        <v>102378.89</v>
      </c>
      <c r="J556">
        <v>8.3000000000000004E-2</v>
      </c>
      <c r="K556">
        <v>11</v>
      </c>
      <c r="L556">
        <v>350</v>
      </c>
      <c r="M556" t="str">
        <f t="shared" si="147"/>
        <v>30 Year Fixed</v>
      </c>
      <c r="N556" s="2">
        <v>708.12</v>
      </c>
      <c r="O556" t="str">
        <f t="shared" si="144"/>
        <v>Refi</v>
      </c>
      <c r="P556" s="3">
        <f t="shared" si="148"/>
        <v>0</v>
      </c>
      <c r="Q556" s="4">
        <v>103915</v>
      </c>
      <c r="R556" s="4" t="s">
        <v>41</v>
      </c>
      <c r="S556" s="6">
        <v>618</v>
      </c>
      <c r="T556">
        <v>6.875</v>
      </c>
      <c r="U556" s="7">
        <f t="shared" si="145"/>
        <v>725.94549339757941</v>
      </c>
      <c r="V556" s="2">
        <f t="shared" si="149"/>
        <v>51.864506602420533</v>
      </c>
      <c r="W556" s="9">
        <f t="shared" si="150"/>
        <v>0</v>
      </c>
      <c r="X556" s="3">
        <v>103915</v>
      </c>
      <c r="Y556" s="3">
        <f t="shared" si="151"/>
        <v>0.42034482759481762</v>
      </c>
      <c r="Z556" s="7">
        <f t="shared" si="152"/>
        <v>725.94549339757941</v>
      </c>
      <c r="AA556" s="2">
        <f t="shared" si="146"/>
        <v>51.864506602420533</v>
      </c>
      <c r="AB556" s="8">
        <f t="shared" si="153"/>
        <v>1</v>
      </c>
      <c r="AC556" s="10">
        <v>6.25</v>
      </c>
      <c r="AD556" s="7">
        <f t="shared" si="154"/>
        <v>683.12044548975348</v>
      </c>
      <c r="AE556" s="2">
        <f t="shared" si="155"/>
        <v>94.689554510246467</v>
      </c>
      <c r="AF556" s="10">
        <v>2.5</v>
      </c>
      <c r="AG556" s="3">
        <f t="shared" si="156"/>
        <v>2597.875</v>
      </c>
      <c r="AH556" s="7">
        <v>0</v>
      </c>
      <c r="AI556">
        <f t="shared" si="157"/>
        <v>360</v>
      </c>
      <c r="AJ556" t="e">
        <f>VLOOKUP(A556,'Borrower Details'!$A$1:$H$1493,8,FALSE)</f>
        <v>#N/A</v>
      </c>
      <c r="AK556" s="4" t="e">
        <f t="shared" si="158"/>
        <v>#N/A</v>
      </c>
      <c r="AL556" s="10">
        <v>6.875</v>
      </c>
      <c r="AM556" s="3">
        <f t="shared" si="159"/>
        <v>103914.57334999999</v>
      </c>
      <c r="AN556">
        <v>6.875</v>
      </c>
      <c r="AO556" s="7">
        <f t="shared" si="160"/>
        <v>725.94251283996255</v>
      </c>
      <c r="AP556" s="2">
        <f t="shared" si="161"/>
        <v>51.867487160037399</v>
      </c>
    </row>
    <row r="557" spans="1:42" x14ac:dyDescent="0.15">
      <c r="A557" s="8">
        <v>410441497</v>
      </c>
      <c r="B557" t="s">
        <v>36</v>
      </c>
      <c r="C557" t="s">
        <v>18</v>
      </c>
      <c r="D557" s="1">
        <v>39259</v>
      </c>
      <c r="E557" s="2">
        <v>338000</v>
      </c>
      <c r="F557" s="2">
        <v>286000</v>
      </c>
      <c r="G557" t="s">
        <v>17</v>
      </c>
      <c r="H557" s="2">
        <v>1986.45</v>
      </c>
      <c r="I557" s="2">
        <v>283515.5</v>
      </c>
      <c r="J557">
        <v>7.9899999999999999E-2</v>
      </c>
      <c r="K557">
        <v>10</v>
      </c>
      <c r="L557">
        <v>350</v>
      </c>
      <c r="M557" t="str">
        <f t="shared" si="147"/>
        <v>30 Year Fixed</v>
      </c>
      <c r="N557" s="2">
        <v>1887.74</v>
      </c>
      <c r="O557" t="str">
        <f t="shared" si="144"/>
        <v>Refi</v>
      </c>
      <c r="P557" s="3">
        <f t="shared" si="148"/>
        <v>0</v>
      </c>
      <c r="Q557" s="4">
        <v>287768</v>
      </c>
      <c r="R557" s="4" t="s">
        <v>41</v>
      </c>
      <c r="S557" s="6">
        <v>640</v>
      </c>
      <c r="T557">
        <v>6.75</v>
      </c>
      <c r="U557" s="7">
        <f t="shared" si="145"/>
        <v>1986.3611038657509</v>
      </c>
      <c r="V557" s="2">
        <f t="shared" si="149"/>
        <v>8.889613424912568E-2</v>
      </c>
      <c r="W557" s="9">
        <f t="shared" si="150"/>
        <v>0</v>
      </c>
      <c r="X557" s="3">
        <v>287769</v>
      </c>
      <c r="Y557" s="3">
        <f t="shared" si="151"/>
        <v>0.75615763547830284</v>
      </c>
      <c r="Z557" s="7">
        <f t="shared" si="152"/>
        <v>1986.3680065133831</v>
      </c>
      <c r="AA557" s="2">
        <f t="shared" si="146"/>
        <v>8.1993486616966038E-2</v>
      </c>
      <c r="AB557" s="8">
        <f t="shared" si="153"/>
        <v>1</v>
      </c>
      <c r="AC557" s="10">
        <v>6.125</v>
      </c>
      <c r="AD557" s="7">
        <f t="shared" si="154"/>
        <v>1868.4185236459546</v>
      </c>
      <c r="AE557" s="2">
        <f t="shared" si="155"/>
        <v>118.03147635404548</v>
      </c>
      <c r="AF557" s="10">
        <v>3</v>
      </c>
      <c r="AG557" s="3">
        <f t="shared" si="156"/>
        <v>8633.07</v>
      </c>
      <c r="AH557" s="7">
        <v>5720</v>
      </c>
      <c r="AI557">
        <f t="shared" si="157"/>
        <v>360</v>
      </c>
      <c r="AJ557" t="e">
        <f>VLOOKUP(A557,'Borrower Details'!$A$1:$H$1493,8,FALSE)</f>
        <v>#N/A</v>
      </c>
      <c r="AK557" s="4" t="e">
        <f t="shared" si="158"/>
        <v>#N/A</v>
      </c>
      <c r="AL557" s="10">
        <v>6.75</v>
      </c>
      <c r="AM557" s="3">
        <f t="shared" si="159"/>
        <v>287768.23249999998</v>
      </c>
      <c r="AN557">
        <v>6.75</v>
      </c>
      <c r="AO557" s="7">
        <f t="shared" si="160"/>
        <v>1986.3627087313253</v>
      </c>
      <c r="AP557" s="2">
        <f t="shared" si="161"/>
        <v>8.7291268674789535E-2</v>
      </c>
    </row>
    <row r="558" spans="1:42" x14ac:dyDescent="0.15">
      <c r="A558" s="8">
        <v>410703227</v>
      </c>
      <c r="B558" t="s">
        <v>35</v>
      </c>
      <c r="C558" t="s">
        <v>16</v>
      </c>
      <c r="D558" s="1">
        <v>39293</v>
      </c>
      <c r="E558" s="2">
        <v>235000</v>
      </c>
      <c r="F558" s="2">
        <v>211500</v>
      </c>
      <c r="G558" t="s">
        <v>20</v>
      </c>
      <c r="H558" s="2">
        <v>1457.18</v>
      </c>
      <c r="I558" s="2">
        <v>209933.49</v>
      </c>
      <c r="J558">
        <v>7.3499999999999996E-2</v>
      </c>
      <c r="K558">
        <v>9</v>
      </c>
      <c r="L558">
        <v>351</v>
      </c>
      <c r="M558" t="str">
        <f t="shared" si="147"/>
        <v>30 Year Fixed</v>
      </c>
      <c r="N558" s="2">
        <v>1285.8399999999999</v>
      </c>
      <c r="O558" t="str">
        <f t="shared" si="144"/>
        <v>Refi</v>
      </c>
      <c r="P558" s="3">
        <f t="shared" si="148"/>
        <v>0</v>
      </c>
      <c r="Q558" s="4">
        <v>213082</v>
      </c>
      <c r="R558" s="4" t="s">
        <v>41</v>
      </c>
      <c r="S558" s="6">
        <v>621</v>
      </c>
      <c r="T558">
        <v>6.75</v>
      </c>
      <c r="U558" s="7">
        <f t="shared" si="145"/>
        <v>1470.829962796148</v>
      </c>
      <c r="V558" s="2">
        <f t="shared" si="149"/>
        <v>-13.649962796147975</v>
      </c>
      <c r="W558" s="9">
        <f t="shared" si="150"/>
        <v>0</v>
      </c>
      <c r="X558" s="3">
        <v>213082</v>
      </c>
      <c r="Y558" s="3">
        <f t="shared" si="151"/>
        <v>-0.48507389158476144</v>
      </c>
      <c r="Z558" s="7">
        <f t="shared" si="152"/>
        <v>1470.829962796148</v>
      </c>
      <c r="AA558" s="2">
        <f t="shared" si="146"/>
        <v>-13.649962796147975</v>
      </c>
      <c r="AB558" s="8">
        <f t="shared" si="153"/>
        <v>1</v>
      </c>
      <c r="AC558" s="10">
        <v>6.125</v>
      </c>
      <c r="AD558" s="7">
        <f t="shared" si="154"/>
        <v>1383.4928566159915</v>
      </c>
      <c r="AE558" s="2">
        <f t="shared" si="155"/>
        <v>73.68714338400855</v>
      </c>
      <c r="AF558" s="10">
        <v>3</v>
      </c>
      <c r="AG558" s="3">
        <f t="shared" si="156"/>
        <v>6392.46</v>
      </c>
      <c r="AH558" s="7">
        <v>7772.625</v>
      </c>
      <c r="AI558">
        <f t="shared" si="157"/>
        <v>360</v>
      </c>
      <c r="AJ558" t="e">
        <f>VLOOKUP(A558,'Borrower Details'!$A$1:$H$1493,8,FALSE)</f>
        <v>#N/A</v>
      </c>
      <c r="AK558" s="4" t="e">
        <f t="shared" si="158"/>
        <v>#N/A</v>
      </c>
      <c r="AL558" s="10">
        <v>6.75</v>
      </c>
      <c r="AM558" s="3">
        <f t="shared" si="159"/>
        <v>213082.49234999996</v>
      </c>
      <c r="AN558">
        <v>6.75</v>
      </c>
      <c r="AO558" s="7">
        <f t="shared" si="160"/>
        <v>1470.8333613147095</v>
      </c>
      <c r="AP558" s="2">
        <f t="shared" si="161"/>
        <v>-13.6533613147094</v>
      </c>
    </row>
    <row r="559" spans="1:42" x14ac:dyDescent="0.15">
      <c r="A559" s="8">
        <v>410212583</v>
      </c>
      <c r="B559" t="s">
        <v>36</v>
      </c>
      <c r="C559" t="s">
        <v>19</v>
      </c>
      <c r="D559" s="1">
        <v>39233</v>
      </c>
      <c r="E559" s="2">
        <v>165000</v>
      </c>
      <c r="F559" s="2">
        <v>132000</v>
      </c>
      <c r="G559" t="s">
        <v>15</v>
      </c>
      <c r="H559" s="2">
        <v>956.66</v>
      </c>
      <c r="I559" s="2">
        <v>131615.38</v>
      </c>
      <c r="J559">
        <v>8.3900000000000002E-2</v>
      </c>
      <c r="K559">
        <v>11</v>
      </c>
      <c r="L559">
        <v>349</v>
      </c>
      <c r="M559" t="str">
        <f t="shared" si="147"/>
        <v>30 Year Fixed</v>
      </c>
      <c r="N559" s="2">
        <v>920.21</v>
      </c>
      <c r="O559" t="str">
        <f t="shared" si="144"/>
        <v>Cash Out</v>
      </c>
      <c r="P559" s="3">
        <f t="shared" si="148"/>
        <v>6561.9599014778505</v>
      </c>
      <c r="Q559" s="4">
        <v>140250</v>
      </c>
      <c r="R559" s="4" t="s">
        <v>41</v>
      </c>
      <c r="S559" s="6">
        <v>525</v>
      </c>
      <c r="T559">
        <v>7.625</v>
      </c>
      <c r="U559" s="7">
        <f t="shared" si="145"/>
        <v>1051.1182292623776</v>
      </c>
      <c r="V559" s="2">
        <f t="shared" si="149"/>
        <v>-94.458229262377586</v>
      </c>
      <c r="W559" s="9">
        <f t="shared" si="150"/>
        <v>1</v>
      </c>
      <c r="X559" s="3">
        <v>133589</v>
      </c>
      <c r="Y559" s="3">
        <f t="shared" si="151"/>
        <v>-0.60167487684520893</v>
      </c>
      <c r="Z559" s="7">
        <f t="shared" si="152"/>
        <v>1001.1966711510286</v>
      </c>
      <c r="AA559" s="2">
        <f t="shared" si="146"/>
        <v>-44.5366711510286</v>
      </c>
      <c r="AB559" s="8">
        <f t="shared" si="153"/>
        <v>1</v>
      </c>
      <c r="AC559" s="10">
        <v>6.875</v>
      </c>
      <c r="AD559" s="7">
        <f t="shared" si="154"/>
        <v>933.24671623431891</v>
      </c>
      <c r="AE559" s="2">
        <f t="shared" si="155"/>
        <v>23.413283765681058</v>
      </c>
      <c r="AF559" s="10">
        <v>1.75</v>
      </c>
      <c r="AG559" s="3">
        <f t="shared" si="156"/>
        <v>2337.8074999999999</v>
      </c>
      <c r="AH559" s="7">
        <v>2640</v>
      </c>
      <c r="AI559">
        <f t="shared" si="157"/>
        <v>360</v>
      </c>
      <c r="AJ559" t="e">
        <f>VLOOKUP(A559,'Borrower Details'!$A$1:$H$1493,8,FALSE)</f>
        <v>#N/A</v>
      </c>
      <c r="AK559" s="4" t="e">
        <f t="shared" si="158"/>
        <v>#N/A</v>
      </c>
      <c r="AL559" s="10">
        <v>7.625</v>
      </c>
      <c r="AM559" s="3">
        <f t="shared" si="159"/>
        <v>133589.61069999999</v>
      </c>
      <c r="AN559">
        <v>7.625</v>
      </c>
      <c r="AO559" s="7">
        <f t="shared" si="160"/>
        <v>1001.2012481057708</v>
      </c>
      <c r="AP559" s="2">
        <f t="shared" si="161"/>
        <v>-44.541248105770819</v>
      </c>
    </row>
    <row r="560" spans="1:42" x14ac:dyDescent="0.15">
      <c r="A560" s="8">
        <v>410832091</v>
      </c>
      <c r="B560" t="s">
        <v>36</v>
      </c>
      <c r="C560" t="s">
        <v>16</v>
      </c>
      <c r="D560" s="1">
        <v>39331</v>
      </c>
      <c r="E560" s="2">
        <v>453000</v>
      </c>
      <c r="F560" s="2">
        <v>392000</v>
      </c>
      <c r="G560" t="s">
        <v>20</v>
      </c>
      <c r="H560" s="2">
        <v>2960.52</v>
      </c>
      <c r="I560" s="2">
        <v>391362.29</v>
      </c>
      <c r="J560">
        <v>8.7900000000000006E-2</v>
      </c>
      <c r="K560">
        <v>7</v>
      </c>
      <c r="L560">
        <v>353</v>
      </c>
      <c r="M560" t="str">
        <f t="shared" si="147"/>
        <v>30 Year Fixed</v>
      </c>
      <c r="N560" s="2">
        <v>2866.73</v>
      </c>
      <c r="O560" t="str">
        <f t="shared" si="144"/>
        <v>Refi</v>
      </c>
      <c r="P560" s="3">
        <f t="shared" si="148"/>
        <v>0</v>
      </c>
      <c r="Q560" s="4">
        <v>397233</v>
      </c>
      <c r="R560" s="4" t="s">
        <v>41</v>
      </c>
      <c r="S560" s="6">
        <v>641</v>
      </c>
      <c r="T560">
        <v>7.375</v>
      </c>
      <c r="U560" s="7">
        <f t="shared" si="145"/>
        <v>2909.1033590553329</v>
      </c>
      <c r="V560" s="2">
        <f t="shared" si="149"/>
        <v>51.416640944667051</v>
      </c>
      <c r="W560" s="9">
        <f t="shared" si="150"/>
        <v>0</v>
      </c>
      <c r="X560" s="3">
        <v>397233</v>
      </c>
      <c r="Y560" s="3">
        <f t="shared" si="151"/>
        <v>0.27157635474577546</v>
      </c>
      <c r="Z560" s="7">
        <f t="shared" si="152"/>
        <v>2909.1033590553329</v>
      </c>
      <c r="AA560" s="2">
        <f t="shared" si="146"/>
        <v>51.416640944667051</v>
      </c>
      <c r="AB560" s="8">
        <f t="shared" si="153"/>
        <v>1</v>
      </c>
      <c r="AC560" s="10">
        <v>6.625</v>
      </c>
      <c r="AD560" s="7">
        <f t="shared" si="154"/>
        <v>2709.0401900075221</v>
      </c>
      <c r="AE560" s="2">
        <f t="shared" si="155"/>
        <v>251.47980999247784</v>
      </c>
      <c r="AF560" s="10">
        <v>1.875</v>
      </c>
      <c r="AG560" s="3">
        <f t="shared" si="156"/>
        <v>7448.1187499999996</v>
      </c>
      <c r="AH560" s="7">
        <v>7840</v>
      </c>
      <c r="AI560">
        <f t="shared" si="157"/>
        <v>360</v>
      </c>
      <c r="AJ560" t="e">
        <f>VLOOKUP(A560,'Borrower Details'!$A$1:$H$1493,8,FALSE)</f>
        <v>#N/A</v>
      </c>
      <c r="AK560" s="4" t="e">
        <f t="shared" si="158"/>
        <v>#N/A</v>
      </c>
      <c r="AL560" s="10">
        <v>7.375</v>
      </c>
      <c r="AM560" s="3">
        <f t="shared" si="159"/>
        <v>397232.72434999992</v>
      </c>
      <c r="AN560">
        <v>7.375</v>
      </c>
      <c r="AO560" s="7">
        <f t="shared" si="160"/>
        <v>2909.101340355121</v>
      </c>
      <c r="AP560" s="2">
        <f t="shared" si="161"/>
        <v>51.418659644878971</v>
      </c>
    </row>
    <row r="561" spans="1:42" x14ac:dyDescent="0.15">
      <c r="A561" s="8">
        <v>410993109</v>
      </c>
      <c r="B561" t="s">
        <v>37</v>
      </c>
      <c r="C561" t="s">
        <v>16</v>
      </c>
      <c r="D561" s="1">
        <v>39356</v>
      </c>
      <c r="E561" s="2">
        <v>170000</v>
      </c>
      <c r="F561" s="2">
        <v>136000</v>
      </c>
      <c r="G561" t="s">
        <v>20</v>
      </c>
      <c r="H561" s="2">
        <v>1084.52</v>
      </c>
      <c r="I561" s="2">
        <v>135370.81</v>
      </c>
      <c r="J561">
        <v>8.8999999999999996E-2</v>
      </c>
      <c r="K561">
        <v>7</v>
      </c>
      <c r="L561">
        <v>352</v>
      </c>
      <c r="M561" t="str">
        <f t="shared" si="147"/>
        <v>30 Year Fixed</v>
      </c>
      <c r="N561" s="2">
        <v>1004</v>
      </c>
      <c r="O561" t="str">
        <f t="shared" si="144"/>
        <v>Cash Out</v>
      </c>
      <c r="P561" s="3">
        <f t="shared" si="148"/>
        <v>6993.7220197044371</v>
      </c>
      <c r="Q561" s="4">
        <v>144500</v>
      </c>
      <c r="R561" s="4" t="s">
        <v>41</v>
      </c>
      <c r="S561" s="6">
        <v>629</v>
      </c>
      <c r="T561">
        <v>6.75</v>
      </c>
      <c r="U561" s="7">
        <f t="shared" si="145"/>
        <v>997.43258287440233</v>
      </c>
      <c r="V561" s="2">
        <f t="shared" si="149"/>
        <v>87.087417125597653</v>
      </c>
      <c r="W561" s="9">
        <f t="shared" si="150"/>
        <v>0</v>
      </c>
      <c r="X561" s="3">
        <v>144500</v>
      </c>
      <c r="Y561" s="3">
        <f t="shared" si="151"/>
        <v>6993.7220197044371</v>
      </c>
      <c r="Z561" s="7">
        <f t="shared" si="152"/>
        <v>997.43258287440233</v>
      </c>
      <c r="AA561" s="2">
        <f t="shared" si="146"/>
        <v>87.087417125597653</v>
      </c>
      <c r="AB561" s="8">
        <f t="shared" si="153"/>
        <v>0</v>
      </c>
      <c r="AC561" s="10">
        <v>6.75</v>
      </c>
      <c r="AD561" s="7">
        <f t="shared" si="154"/>
        <v>997.43258287440233</v>
      </c>
      <c r="AE561" s="2">
        <f t="shared" si="155"/>
        <v>87.087417125597653</v>
      </c>
      <c r="AF561" s="10">
        <v>0</v>
      </c>
      <c r="AG561" s="3">
        <f t="shared" si="156"/>
        <v>0</v>
      </c>
      <c r="AH561" s="7">
        <v>0</v>
      </c>
      <c r="AI561">
        <f t="shared" si="157"/>
        <v>360</v>
      </c>
      <c r="AJ561" t="e">
        <f>VLOOKUP(A561,'Borrower Details'!$A$1:$H$1493,8,FALSE)</f>
        <v>#N/A</v>
      </c>
      <c r="AK561" s="4" t="e">
        <f t="shared" si="158"/>
        <v>#N/A</v>
      </c>
      <c r="AL561" s="10">
        <v>6.75</v>
      </c>
      <c r="AM561" s="3">
        <f t="shared" si="159"/>
        <v>137401.37214999998</v>
      </c>
      <c r="AN561">
        <v>6.75</v>
      </c>
      <c r="AO561" s="7">
        <f t="shared" si="160"/>
        <v>948.43325615267429</v>
      </c>
      <c r="AP561" s="2">
        <f t="shared" si="161"/>
        <v>136.08674384732569</v>
      </c>
    </row>
    <row r="562" spans="1:42" x14ac:dyDescent="0.15">
      <c r="A562" s="8">
        <v>410868061</v>
      </c>
      <c r="B562" t="s">
        <v>36</v>
      </c>
      <c r="C562" t="s">
        <v>16</v>
      </c>
      <c r="D562" s="1">
        <v>39325</v>
      </c>
      <c r="E562" s="2">
        <v>141500</v>
      </c>
      <c r="F562" s="2">
        <v>120000</v>
      </c>
      <c r="G562" t="s">
        <v>20</v>
      </c>
      <c r="H562" s="2">
        <v>1130.1199999999999</v>
      </c>
      <c r="I562" s="2">
        <v>119635.66</v>
      </c>
      <c r="J562">
        <v>0.1086</v>
      </c>
      <c r="K562">
        <v>8</v>
      </c>
      <c r="L562">
        <v>352</v>
      </c>
      <c r="M562" t="str">
        <f t="shared" si="147"/>
        <v>30 Year Fixed</v>
      </c>
      <c r="N562" s="2">
        <v>1082.7</v>
      </c>
      <c r="O562" t="str">
        <f t="shared" si="144"/>
        <v>Refi</v>
      </c>
      <c r="P562" s="3">
        <f t="shared" si="148"/>
        <v>0</v>
      </c>
      <c r="Q562" s="4">
        <v>121430</v>
      </c>
      <c r="R562" s="4" t="s">
        <v>41</v>
      </c>
      <c r="S562" s="6">
        <v>586</v>
      </c>
      <c r="T562">
        <v>7.375</v>
      </c>
      <c r="U562" s="7">
        <f t="shared" si="145"/>
        <v>889.28266506078057</v>
      </c>
      <c r="V562" s="2">
        <f t="shared" si="149"/>
        <v>240.83733493921932</v>
      </c>
      <c r="W562" s="9">
        <f t="shared" si="150"/>
        <v>0</v>
      </c>
      <c r="X562" s="3">
        <v>121431</v>
      </c>
      <c r="Y562" s="3">
        <f t="shared" si="151"/>
        <v>0.79320197044580709</v>
      </c>
      <c r="Z562" s="7">
        <f t="shared" si="152"/>
        <v>889.28998847892331</v>
      </c>
      <c r="AA562" s="2">
        <f t="shared" si="146"/>
        <v>240.83001152107659</v>
      </c>
      <c r="AB562" s="8">
        <f t="shared" si="153"/>
        <v>0</v>
      </c>
      <c r="AC562" s="10">
        <v>7.375</v>
      </c>
      <c r="AD562" s="7">
        <f t="shared" si="154"/>
        <v>889.28998847892331</v>
      </c>
      <c r="AE562" s="2">
        <f t="shared" si="155"/>
        <v>240.83001152107659</v>
      </c>
      <c r="AF562" s="10">
        <v>0</v>
      </c>
      <c r="AG562" s="3">
        <f t="shared" si="156"/>
        <v>0</v>
      </c>
      <c r="AH562" s="7">
        <v>2400</v>
      </c>
      <c r="AI562">
        <f t="shared" si="157"/>
        <v>360</v>
      </c>
      <c r="AJ562" t="e">
        <f>VLOOKUP(A562,'Borrower Details'!$A$1:$H$1493,8,FALSE)</f>
        <v>#N/A</v>
      </c>
      <c r="AK562" s="4" t="e">
        <f t="shared" si="158"/>
        <v>#N/A</v>
      </c>
      <c r="AL562" s="10">
        <v>7.375</v>
      </c>
      <c r="AM562" s="3">
        <f t="shared" si="159"/>
        <v>121430.19489999999</v>
      </c>
      <c r="AN562">
        <v>7.375</v>
      </c>
      <c r="AO562" s="7">
        <f t="shared" si="160"/>
        <v>889.28409239497648</v>
      </c>
      <c r="AP562" s="2">
        <f t="shared" si="161"/>
        <v>240.83590760502341</v>
      </c>
    </row>
    <row r="563" spans="1:42" x14ac:dyDescent="0.15">
      <c r="A563" s="8">
        <v>410875033</v>
      </c>
      <c r="B563" t="s">
        <v>37</v>
      </c>
      <c r="C563" t="s">
        <v>16</v>
      </c>
      <c r="D563" s="1">
        <v>39330</v>
      </c>
      <c r="E563" s="2">
        <v>113900</v>
      </c>
      <c r="F563" s="2">
        <v>102500</v>
      </c>
      <c r="G563" t="s">
        <v>17</v>
      </c>
      <c r="H563" s="2">
        <v>1078.06</v>
      </c>
      <c r="I563" s="2">
        <v>102272.47</v>
      </c>
      <c r="J563">
        <v>0.123</v>
      </c>
      <c r="K563">
        <v>8</v>
      </c>
      <c r="L563">
        <v>352</v>
      </c>
      <c r="M563" t="str">
        <f t="shared" si="147"/>
        <v>30 Year Fixed</v>
      </c>
      <c r="N563" s="2">
        <v>1048.29</v>
      </c>
      <c r="O563" t="str">
        <f t="shared" si="144"/>
        <v>Refi</v>
      </c>
      <c r="P563" s="3">
        <f t="shared" si="148"/>
        <v>0</v>
      </c>
      <c r="Q563" s="4">
        <v>103807</v>
      </c>
      <c r="R563" s="4" t="s">
        <v>41</v>
      </c>
      <c r="S563" s="6">
        <v>586</v>
      </c>
      <c r="T563">
        <v>7.375</v>
      </c>
      <c r="U563" s="7">
        <f t="shared" si="145"/>
        <v>760.22206713303513</v>
      </c>
      <c r="V563" s="2">
        <f t="shared" si="149"/>
        <v>317.83793286696482</v>
      </c>
      <c r="W563" s="9">
        <f t="shared" si="150"/>
        <v>0</v>
      </c>
      <c r="X563" s="3">
        <v>103807</v>
      </c>
      <c r="Y563" s="3">
        <f t="shared" si="151"/>
        <v>0.43640394089743495</v>
      </c>
      <c r="Z563" s="7">
        <f t="shared" si="152"/>
        <v>760.22206713303513</v>
      </c>
      <c r="AA563" s="2">
        <f t="shared" si="146"/>
        <v>317.83793286696482</v>
      </c>
      <c r="AB563" s="8">
        <f t="shared" si="153"/>
        <v>0</v>
      </c>
      <c r="AC563" s="10">
        <v>7.375</v>
      </c>
      <c r="AD563" s="7">
        <f t="shared" si="154"/>
        <v>760.22206713303513</v>
      </c>
      <c r="AE563" s="2">
        <f t="shared" si="155"/>
        <v>317.83793286696482</v>
      </c>
      <c r="AF563" s="10">
        <v>0</v>
      </c>
      <c r="AG563" s="3">
        <f t="shared" si="156"/>
        <v>0</v>
      </c>
      <c r="AH563" s="7">
        <v>0</v>
      </c>
      <c r="AI563">
        <f t="shared" si="157"/>
        <v>360</v>
      </c>
      <c r="AJ563" t="e">
        <f>VLOOKUP(A563,'Borrower Details'!$A$1:$H$1493,8,FALSE)</f>
        <v>#N/A</v>
      </c>
      <c r="AK563" s="4" t="e">
        <f t="shared" si="158"/>
        <v>#N/A</v>
      </c>
      <c r="AL563" s="10">
        <v>7.375</v>
      </c>
      <c r="AM563" s="3">
        <f t="shared" si="159"/>
        <v>103806.55704999999</v>
      </c>
      <c r="AN563">
        <v>7.375</v>
      </c>
      <c r="AO563" s="7">
        <f t="shared" si="160"/>
        <v>760.21882322496867</v>
      </c>
      <c r="AP563" s="2">
        <f t="shared" si="161"/>
        <v>317.84117677503127</v>
      </c>
    </row>
    <row r="564" spans="1:42" x14ac:dyDescent="0.15">
      <c r="A564" s="8">
        <v>410284319</v>
      </c>
      <c r="B564" t="s">
        <v>37</v>
      </c>
      <c r="C564" t="s">
        <v>19</v>
      </c>
      <c r="D564" s="1">
        <v>39246</v>
      </c>
      <c r="E564" s="2">
        <v>217000</v>
      </c>
      <c r="F564" s="2">
        <v>162750</v>
      </c>
      <c r="G564" t="s">
        <v>17</v>
      </c>
      <c r="H564" s="2">
        <v>1228.42</v>
      </c>
      <c r="I564" s="2">
        <v>161580.04999999999</v>
      </c>
      <c r="J564">
        <v>8.3000000000000004E-2</v>
      </c>
      <c r="K564">
        <v>10</v>
      </c>
      <c r="L564">
        <v>349</v>
      </c>
      <c r="M564" t="str">
        <f t="shared" si="147"/>
        <v>30 Year Fixed</v>
      </c>
      <c r="N564" s="2">
        <v>1118.3599999999999</v>
      </c>
      <c r="O564" t="str">
        <f t="shared" si="144"/>
        <v>Cash Out</v>
      </c>
      <c r="P564" s="3">
        <f t="shared" si="148"/>
        <v>20144.087931034504</v>
      </c>
      <c r="Q564" s="4">
        <v>184450</v>
      </c>
      <c r="R564" s="4" t="s">
        <v>41</v>
      </c>
      <c r="S564" s="6">
        <v>597</v>
      </c>
      <c r="T564">
        <v>7.375</v>
      </c>
      <c r="U564" s="7">
        <f t="shared" si="145"/>
        <v>1350.8044764099564</v>
      </c>
      <c r="V564" s="2">
        <f t="shared" si="149"/>
        <v>-122.38447640995628</v>
      </c>
      <c r="W564" s="9">
        <f t="shared" si="150"/>
        <v>1</v>
      </c>
      <c r="X564" s="3">
        <v>167670</v>
      </c>
      <c r="Y564" s="3">
        <f t="shared" si="151"/>
        <v>3612.0682266010263</v>
      </c>
      <c r="Z564" s="7">
        <f t="shared" si="152"/>
        <v>1227.9175199764563</v>
      </c>
      <c r="AA564" s="2">
        <f t="shared" si="146"/>
        <v>0.50248002354373966</v>
      </c>
      <c r="AB564" s="8">
        <f t="shared" si="153"/>
        <v>1</v>
      </c>
      <c r="AC564" s="10">
        <v>6.625</v>
      </c>
      <c r="AD564" s="7">
        <f t="shared" si="154"/>
        <v>1143.4718884346498</v>
      </c>
      <c r="AE564" s="2">
        <f t="shared" si="155"/>
        <v>84.948111565350246</v>
      </c>
      <c r="AF564" s="10">
        <v>1.875</v>
      </c>
      <c r="AG564" s="3">
        <f t="shared" si="156"/>
        <v>3143.8125</v>
      </c>
      <c r="AH564" s="7">
        <v>1627.5</v>
      </c>
      <c r="AI564">
        <f t="shared" si="157"/>
        <v>360</v>
      </c>
      <c r="AJ564" t="e">
        <f>VLOOKUP(A564,'Borrower Details'!$A$1:$H$1493,8,FALSE)</f>
        <v>#N/A</v>
      </c>
      <c r="AK564" s="4" t="e">
        <f t="shared" si="158"/>
        <v>#N/A</v>
      </c>
      <c r="AL564" s="10">
        <v>7.375</v>
      </c>
      <c r="AM564" s="3">
        <f t="shared" si="159"/>
        <v>164003.75074999998</v>
      </c>
      <c r="AN564">
        <v>7.375</v>
      </c>
      <c r="AO564" s="7">
        <f t="shared" si="160"/>
        <v>1201.0680437035655</v>
      </c>
      <c r="AP564" s="2">
        <f t="shared" si="161"/>
        <v>27.351956296434537</v>
      </c>
    </row>
    <row r="565" spans="1:42" x14ac:dyDescent="0.15">
      <c r="A565" s="8">
        <v>410476139</v>
      </c>
      <c r="B565" t="s">
        <v>36</v>
      </c>
      <c r="C565" t="s">
        <v>19</v>
      </c>
      <c r="D565" s="1">
        <v>39262</v>
      </c>
      <c r="E565" s="2">
        <v>360000</v>
      </c>
      <c r="F565" s="2">
        <v>267000</v>
      </c>
      <c r="G565" t="s">
        <v>15</v>
      </c>
      <c r="H565" s="2">
        <v>1639.87</v>
      </c>
      <c r="I565" s="2">
        <v>265787.76</v>
      </c>
      <c r="J565">
        <v>6.9000000000000006E-2</v>
      </c>
      <c r="K565">
        <v>10</v>
      </c>
      <c r="L565">
        <v>350</v>
      </c>
      <c r="M565" t="str">
        <f t="shared" si="147"/>
        <v>30 Year Fixed</v>
      </c>
      <c r="N565" s="2">
        <v>1528.28</v>
      </c>
      <c r="O565" t="str">
        <f t="shared" si="144"/>
        <v>Cash Out</v>
      </c>
      <c r="P565" s="3">
        <f t="shared" si="148"/>
        <v>35690.072512315295</v>
      </c>
      <c r="Q565" s="4">
        <v>306000</v>
      </c>
      <c r="R565" s="4" t="s">
        <v>41</v>
      </c>
      <c r="S565" s="6">
        <v>625</v>
      </c>
      <c r="T565">
        <v>6.75</v>
      </c>
      <c r="U565" s="7">
        <f t="shared" si="145"/>
        <v>2112.2101754987343</v>
      </c>
      <c r="V565" s="2">
        <f t="shared" si="149"/>
        <v>-472.34017549873442</v>
      </c>
      <c r="W565" s="9">
        <f t="shared" si="150"/>
        <v>1</v>
      </c>
      <c r="X565" s="3">
        <v>269775</v>
      </c>
      <c r="Y565" s="3">
        <f t="shared" si="151"/>
        <v>0.41733990149805322</v>
      </c>
      <c r="Z565" s="7">
        <f t="shared" si="152"/>
        <v>1862.1617650168987</v>
      </c>
      <c r="AA565" s="2">
        <f t="shared" si="146"/>
        <v>-222.29176501689881</v>
      </c>
      <c r="AB565" s="8">
        <f t="shared" si="153"/>
        <v>1</v>
      </c>
      <c r="AC565" s="10">
        <v>6.125</v>
      </c>
      <c r="AD565" s="7">
        <f t="shared" si="154"/>
        <v>1751.5875831538053</v>
      </c>
      <c r="AE565" s="2">
        <f t="shared" si="155"/>
        <v>-111.71758315380544</v>
      </c>
      <c r="AF565" s="10">
        <v>3</v>
      </c>
      <c r="AG565" s="3">
        <f t="shared" si="156"/>
        <v>8093.25</v>
      </c>
      <c r="AH565" s="7">
        <v>5340</v>
      </c>
      <c r="AI565">
        <f t="shared" si="157"/>
        <v>360</v>
      </c>
      <c r="AJ565" t="e">
        <f>VLOOKUP(A565,'Borrower Details'!$A$1:$H$1493,8,FALSE)</f>
        <v>#N/A</v>
      </c>
      <c r="AK565" s="4" t="e">
        <f t="shared" si="158"/>
        <v>#N/A</v>
      </c>
      <c r="AL565" s="10">
        <v>6.75</v>
      </c>
      <c r="AM565" s="3">
        <f t="shared" si="159"/>
        <v>269774.57639999996</v>
      </c>
      <c r="AN565">
        <v>6.75</v>
      </c>
      <c r="AO565" s="7">
        <f t="shared" si="160"/>
        <v>1862.1588410553616</v>
      </c>
      <c r="AP565" s="2">
        <f t="shared" si="161"/>
        <v>-222.28884105536167</v>
      </c>
    </row>
    <row r="566" spans="1:42" x14ac:dyDescent="0.15">
      <c r="A566" s="8">
        <v>410608673</v>
      </c>
      <c r="B566" t="s">
        <v>36</v>
      </c>
      <c r="C566" t="s">
        <v>18</v>
      </c>
      <c r="D566" s="1">
        <v>39280</v>
      </c>
      <c r="E566" s="2">
        <v>212500</v>
      </c>
      <c r="F566" s="2">
        <v>115000</v>
      </c>
      <c r="G566" t="s">
        <v>20</v>
      </c>
      <c r="H566" s="2">
        <v>835.83</v>
      </c>
      <c r="I566" s="2">
        <v>114272.32000000001</v>
      </c>
      <c r="J566">
        <v>7.9000000000000001E-2</v>
      </c>
      <c r="K566">
        <v>9</v>
      </c>
      <c r="L566">
        <v>351</v>
      </c>
      <c r="M566" t="str">
        <f t="shared" si="147"/>
        <v>30 Year Fixed</v>
      </c>
      <c r="N566" s="2">
        <v>752.29</v>
      </c>
      <c r="O566" t="str">
        <f t="shared" si="144"/>
        <v>Cash Out</v>
      </c>
      <c r="P566" s="3">
        <f t="shared" si="148"/>
        <v>63683.345024630544</v>
      </c>
      <c r="Q566" s="4">
        <v>180625</v>
      </c>
      <c r="R566" s="4" t="s">
        <v>41</v>
      </c>
      <c r="S566" s="6">
        <v>539</v>
      </c>
      <c r="T566">
        <v>7.625</v>
      </c>
      <c r="U566" s="7">
        <f t="shared" si="145"/>
        <v>1353.7128710197287</v>
      </c>
      <c r="V566" s="2">
        <f t="shared" si="149"/>
        <v>-517.88287101972867</v>
      </c>
      <c r="W566" s="9">
        <f t="shared" si="150"/>
        <v>1</v>
      </c>
      <c r="X566" s="3">
        <v>115986</v>
      </c>
      <c r="Y566" s="3">
        <f t="shared" si="151"/>
        <v>-0.39881773399247322</v>
      </c>
      <c r="Z566" s="7">
        <f t="shared" si="152"/>
        <v>869.26915464688852</v>
      </c>
      <c r="AA566" s="2">
        <f t="shared" si="146"/>
        <v>-33.439154646888483</v>
      </c>
      <c r="AB566" s="8">
        <f t="shared" si="153"/>
        <v>1</v>
      </c>
      <c r="AC566" s="10">
        <v>6.875</v>
      </c>
      <c r="AD566" s="7">
        <f t="shared" si="154"/>
        <v>810.2729538296843</v>
      </c>
      <c r="AE566" s="2">
        <f t="shared" si="155"/>
        <v>25.557046170315743</v>
      </c>
      <c r="AF566" s="10">
        <v>1</v>
      </c>
      <c r="AG566" s="3">
        <f t="shared" si="156"/>
        <v>1159.8599999999999</v>
      </c>
      <c r="AH566" s="7">
        <v>2300</v>
      </c>
      <c r="AI566">
        <f t="shared" si="157"/>
        <v>360</v>
      </c>
      <c r="AJ566" t="e">
        <f>VLOOKUP(A566,'Borrower Details'!$A$1:$H$1493,8,FALSE)</f>
        <v>#N/A</v>
      </c>
      <c r="AK566" s="4" t="e">
        <f t="shared" si="158"/>
        <v>#N/A</v>
      </c>
      <c r="AL566" s="10">
        <v>7.625</v>
      </c>
      <c r="AM566" s="3">
        <f t="shared" si="159"/>
        <v>115986.40479999999</v>
      </c>
      <c r="AN566">
        <v>7.625</v>
      </c>
      <c r="AO566" s="7">
        <f t="shared" si="160"/>
        <v>869.27218846264043</v>
      </c>
      <c r="AP566" s="2">
        <f t="shared" si="161"/>
        <v>-33.442188462640388</v>
      </c>
    </row>
    <row r="567" spans="1:42" x14ac:dyDescent="0.15">
      <c r="A567" s="8">
        <v>410524805</v>
      </c>
      <c r="B567" t="s">
        <v>36</v>
      </c>
      <c r="C567" t="s">
        <v>19</v>
      </c>
      <c r="D567" s="1">
        <v>39287</v>
      </c>
      <c r="E567" s="2">
        <v>192000</v>
      </c>
      <c r="F567" s="2">
        <v>172800</v>
      </c>
      <c r="G567" t="s">
        <v>21</v>
      </c>
      <c r="H567" s="2">
        <v>1262.57</v>
      </c>
      <c r="I567" s="2">
        <v>172696.33</v>
      </c>
      <c r="J567">
        <v>8.6499999999999994E-2</v>
      </c>
      <c r="K567">
        <v>9</v>
      </c>
      <c r="L567">
        <v>354</v>
      </c>
      <c r="M567" t="str">
        <f t="shared" si="147"/>
        <v>30 Year Fixed</v>
      </c>
      <c r="N567" s="2">
        <v>1244.8499999999999</v>
      </c>
      <c r="O567" t="str">
        <f t="shared" si="144"/>
        <v>Refi</v>
      </c>
      <c r="P567" s="3">
        <f t="shared" si="148"/>
        <v>0</v>
      </c>
      <c r="Q567" s="4">
        <v>175287</v>
      </c>
      <c r="R567" s="4" t="s">
        <v>41</v>
      </c>
      <c r="S567" s="6">
        <v>654</v>
      </c>
      <c r="T567">
        <v>6.75</v>
      </c>
      <c r="U567" s="7">
        <f t="shared" si="145"/>
        <v>1209.9443955315251</v>
      </c>
      <c r="V567" s="2">
        <f t="shared" si="149"/>
        <v>52.625604468474876</v>
      </c>
      <c r="W567" s="9">
        <f t="shared" si="150"/>
        <v>0</v>
      </c>
      <c r="X567" s="3">
        <v>175287</v>
      </c>
      <c r="Y567" s="3">
        <f t="shared" si="151"/>
        <v>0.22172413795487955</v>
      </c>
      <c r="Z567" s="7">
        <f t="shared" si="152"/>
        <v>1209.9443955315251</v>
      </c>
      <c r="AA567" s="2">
        <f t="shared" si="146"/>
        <v>52.625604468474876</v>
      </c>
      <c r="AB567" s="8">
        <f t="shared" si="153"/>
        <v>1</v>
      </c>
      <c r="AC567" s="10">
        <v>6.125</v>
      </c>
      <c r="AD567" s="7">
        <f t="shared" si="154"/>
        <v>1138.0985365148035</v>
      </c>
      <c r="AE567" s="2">
        <f t="shared" si="155"/>
        <v>124.47146348519641</v>
      </c>
      <c r="AF567" s="10">
        <v>3</v>
      </c>
      <c r="AG567" s="3">
        <f t="shared" si="156"/>
        <v>5258.61</v>
      </c>
      <c r="AH567" s="7">
        <v>3456</v>
      </c>
      <c r="AI567">
        <f t="shared" si="157"/>
        <v>360</v>
      </c>
      <c r="AJ567" t="e">
        <f>VLOOKUP(A567,'Borrower Details'!$A$1:$H$1493,8,FALSE)</f>
        <v>#N/A</v>
      </c>
      <c r="AK567" s="4" t="e">
        <f t="shared" si="158"/>
        <v>#N/A</v>
      </c>
      <c r="AL567" s="10">
        <v>6.75</v>
      </c>
      <c r="AM567" s="3">
        <f t="shared" si="159"/>
        <v>175286.77494999996</v>
      </c>
      <c r="AN567">
        <v>6.75</v>
      </c>
      <c r="AO567" s="7">
        <f t="shared" si="160"/>
        <v>1209.942842090675</v>
      </c>
      <c r="AP567" s="2">
        <f t="shared" si="161"/>
        <v>52.627157909324978</v>
      </c>
    </row>
    <row r="568" spans="1:42" x14ac:dyDescent="0.15">
      <c r="A568" s="8">
        <v>410367411</v>
      </c>
      <c r="B568" t="s">
        <v>36</v>
      </c>
      <c r="C568" t="s">
        <v>19</v>
      </c>
      <c r="D568" s="1">
        <v>39245</v>
      </c>
      <c r="E568" s="2">
        <v>385000</v>
      </c>
      <c r="F568" s="2">
        <v>327250</v>
      </c>
      <c r="G568" t="s">
        <v>15</v>
      </c>
      <c r="H568" s="2">
        <v>2453.66</v>
      </c>
      <c r="I568" s="2">
        <v>326947.21999999997</v>
      </c>
      <c r="J568">
        <v>8.8900000000000007E-2</v>
      </c>
      <c r="K568">
        <v>10</v>
      </c>
      <c r="L568">
        <v>350</v>
      </c>
      <c r="M568" t="str">
        <f t="shared" si="147"/>
        <v>30 Year Fixed</v>
      </c>
      <c r="N568" s="2">
        <v>2422.13</v>
      </c>
      <c r="O568" t="str">
        <f t="shared" si="144"/>
        <v>Refi</v>
      </c>
      <c r="P568" s="3">
        <f t="shared" si="148"/>
        <v>0</v>
      </c>
      <c r="Q568" s="4">
        <v>331851</v>
      </c>
      <c r="R568" s="4" t="s">
        <v>41</v>
      </c>
      <c r="S568" s="6">
        <v>578</v>
      </c>
      <c r="T568">
        <v>7.625</v>
      </c>
      <c r="U568" s="7">
        <f t="shared" si="145"/>
        <v>2487.0918752153248</v>
      </c>
      <c r="V568" s="2">
        <f t="shared" si="149"/>
        <v>-33.431875215324908</v>
      </c>
      <c r="W568" s="9">
        <f t="shared" si="150"/>
        <v>0</v>
      </c>
      <c r="X568" s="3">
        <v>331851</v>
      </c>
      <c r="Y568" s="3">
        <f t="shared" si="151"/>
        <v>-0.4219704432762228</v>
      </c>
      <c r="Z568" s="7">
        <f t="shared" si="152"/>
        <v>2487.0918752153248</v>
      </c>
      <c r="AA568" s="2">
        <f t="shared" si="146"/>
        <v>-33.431875215324908</v>
      </c>
      <c r="AB568" s="8">
        <f t="shared" si="153"/>
        <v>1</v>
      </c>
      <c r="AC568" s="10">
        <v>6.875</v>
      </c>
      <c r="AD568" s="7">
        <f t="shared" si="154"/>
        <v>2318.2960874703376</v>
      </c>
      <c r="AE568" s="2">
        <f t="shared" si="155"/>
        <v>135.36391252966223</v>
      </c>
      <c r="AF568" s="10">
        <v>1</v>
      </c>
      <c r="AG568" s="3">
        <f t="shared" si="156"/>
        <v>3318.51</v>
      </c>
      <c r="AH568" s="7">
        <v>6545</v>
      </c>
      <c r="AI568">
        <f t="shared" si="157"/>
        <v>360</v>
      </c>
      <c r="AJ568" t="e">
        <f>VLOOKUP(A568,'Borrower Details'!$A$1:$H$1493,8,FALSE)</f>
        <v>#N/A</v>
      </c>
      <c r="AK568" s="4" t="e">
        <f t="shared" si="158"/>
        <v>#N/A</v>
      </c>
      <c r="AL568" s="10">
        <v>7.625</v>
      </c>
      <c r="AM568" s="3">
        <f t="shared" si="159"/>
        <v>331851.42829999991</v>
      </c>
      <c r="AN568">
        <v>7.625</v>
      </c>
      <c r="AO568" s="7">
        <f t="shared" si="160"/>
        <v>2487.095085154273</v>
      </c>
      <c r="AP568" s="2">
        <f t="shared" si="161"/>
        <v>-33.435085154273111</v>
      </c>
    </row>
    <row r="569" spans="1:42" x14ac:dyDescent="0.15">
      <c r="A569" s="8">
        <v>410395495</v>
      </c>
      <c r="B569" t="s">
        <v>37</v>
      </c>
      <c r="C569" t="s">
        <v>19</v>
      </c>
      <c r="D569" s="1">
        <v>39262</v>
      </c>
      <c r="E569" s="2">
        <v>147000</v>
      </c>
      <c r="F569" s="2">
        <v>132300</v>
      </c>
      <c r="G569" t="s">
        <v>17</v>
      </c>
      <c r="H569" s="2">
        <v>1045.54</v>
      </c>
      <c r="I569" s="2">
        <v>131521.25</v>
      </c>
      <c r="J569">
        <v>8.7999999999999995E-2</v>
      </c>
      <c r="K569">
        <v>10</v>
      </c>
      <c r="L569">
        <v>350</v>
      </c>
      <c r="M569" t="str">
        <f t="shared" si="147"/>
        <v>30 Year Fixed</v>
      </c>
      <c r="N569" s="2">
        <v>964.49</v>
      </c>
      <c r="O569" t="str">
        <f t="shared" si="144"/>
        <v>Refi</v>
      </c>
      <c r="P569" s="3">
        <f t="shared" si="148"/>
        <v>0</v>
      </c>
      <c r="Q569" s="4">
        <v>133494</v>
      </c>
      <c r="R569" s="4" t="s">
        <v>41</v>
      </c>
      <c r="S569" s="6">
        <v>617</v>
      </c>
      <c r="T569">
        <v>6.875</v>
      </c>
      <c r="U569" s="7">
        <f t="shared" si="145"/>
        <v>932.58305052799369</v>
      </c>
      <c r="V569" s="2">
        <f t="shared" si="149"/>
        <v>112.95694947200627</v>
      </c>
      <c r="W569" s="9">
        <f t="shared" si="150"/>
        <v>0</v>
      </c>
      <c r="X569" s="3">
        <v>133494</v>
      </c>
      <c r="Y569" s="3">
        <f t="shared" si="151"/>
        <v>-6.7733990144915879E-2</v>
      </c>
      <c r="Z569" s="7">
        <f t="shared" si="152"/>
        <v>932.58305052799369</v>
      </c>
      <c r="AA569" s="2">
        <f t="shared" si="146"/>
        <v>112.95694947200627</v>
      </c>
      <c r="AB569" s="8">
        <f t="shared" si="153"/>
        <v>0</v>
      </c>
      <c r="AC569" s="10">
        <v>6.875</v>
      </c>
      <c r="AD569" s="7">
        <f t="shared" si="154"/>
        <v>932.58305052799369</v>
      </c>
      <c r="AE569" s="2">
        <f t="shared" si="155"/>
        <v>112.95694947200627</v>
      </c>
      <c r="AF569" s="10">
        <v>0</v>
      </c>
      <c r="AG569" s="3">
        <f t="shared" si="156"/>
        <v>0</v>
      </c>
      <c r="AH569" s="7">
        <v>0</v>
      </c>
      <c r="AI569">
        <f t="shared" si="157"/>
        <v>360</v>
      </c>
      <c r="AJ569" t="e">
        <f>VLOOKUP(A569,'Borrower Details'!$A$1:$H$1493,8,FALSE)</f>
        <v>#N/A</v>
      </c>
      <c r="AK569" s="4" t="e">
        <f t="shared" si="158"/>
        <v>#N/A</v>
      </c>
      <c r="AL569" s="10">
        <v>6.875</v>
      </c>
      <c r="AM569" s="3">
        <f t="shared" si="159"/>
        <v>133494.06874999998</v>
      </c>
      <c r="AN569">
        <v>6.875</v>
      </c>
      <c r="AO569" s="7">
        <f t="shared" si="160"/>
        <v>932.58353081238636</v>
      </c>
      <c r="AP569" s="2">
        <f t="shared" si="161"/>
        <v>112.95646918761361</v>
      </c>
    </row>
    <row r="570" spans="1:42" x14ac:dyDescent="0.15">
      <c r="A570" s="8">
        <v>410804959</v>
      </c>
      <c r="B570" t="s">
        <v>36</v>
      </c>
      <c r="C570" t="s">
        <v>18</v>
      </c>
      <c r="D570" s="1">
        <v>39311</v>
      </c>
      <c r="E570" s="2">
        <v>216000</v>
      </c>
      <c r="F570" s="2">
        <v>194400</v>
      </c>
      <c r="G570" t="s">
        <v>20</v>
      </c>
      <c r="H570" s="2">
        <v>1567.21</v>
      </c>
      <c r="I570" s="2">
        <v>194101.39</v>
      </c>
      <c r="J570">
        <v>9.4500000000000001E-2</v>
      </c>
      <c r="K570">
        <v>8</v>
      </c>
      <c r="L570">
        <v>352</v>
      </c>
      <c r="M570" t="str">
        <f t="shared" si="147"/>
        <v>30 Year Fixed</v>
      </c>
      <c r="N570" s="2">
        <v>1528.55</v>
      </c>
      <c r="O570" t="str">
        <f t="shared" si="144"/>
        <v>Refi</v>
      </c>
      <c r="P570" s="3">
        <f t="shared" si="148"/>
        <v>0</v>
      </c>
      <c r="Q570" s="4">
        <v>197013</v>
      </c>
      <c r="R570" s="4" t="s">
        <v>41</v>
      </c>
      <c r="S570" s="6">
        <v>612</v>
      </c>
      <c r="T570">
        <v>6.875</v>
      </c>
      <c r="U570" s="7">
        <f t="shared" si="145"/>
        <v>1376.323913686545</v>
      </c>
      <c r="V570" s="2">
        <f t="shared" si="149"/>
        <v>190.88608631345505</v>
      </c>
      <c r="W570" s="9">
        <f t="shared" si="150"/>
        <v>0</v>
      </c>
      <c r="X570" s="3">
        <v>197013</v>
      </c>
      <c r="Y570" s="3">
        <f t="shared" si="151"/>
        <v>8.7832512333989143E-2</v>
      </c>
      <c r="Z570" s="7">
        <f t="shared" si="152"/>
        <v>1376.323913686545</v>
      </c>
      <c r="AA570" s="2">
        <f t="shared" si="146"/>
        <v>190.88608631345505</v>
      </c>
      <c r="AB570" s="8">
        <f t="shared" si="153"/>
        <v>0</v>
      </c>
      <c r="AC570" s="10">
        <v>6.875</v>
      </c>
      <c r="AD570" s="7">
        <f t="shared" si="154"/>
        <v>1376.323913686545</v>
      </c>
      <c r="AE570" s="2">
        <f t="shared" si="155"/>
        <v>190.88608631345505</v>
      </c>
      <c r="AF570" s="10">
        <v>0</v>
      </c>
      <c r="AG570" s="3">
        <f t="shared" si="156"/>
        <v>0</v>
      </c>
      <c r="AH570" s="7">
        <v>3888</v>
      </c>
      <c r="AI570">
        <f t="shared" si="157"/>
        <v>360</v>
      </c>
      <c r="AJ570" t="e">
        <f>VLOOKUP(A570,'Borrower Details'!$A$1:$H$1493,8,FALSE)</f>
        <v>#N/A</v>
      </c>
      <c r="AK570" s="4" t="e">
        <f t="shared" si="158"/>
        <v>#N/A</v>
      </c>
      <c r="AL570" s="10">
        <v>6.875</v>
      </c>
      <c r="AM570" s="3">
        <f t="shared" si="159"/>
        <v>197012.91084999999</v>
      </c>
      <c r="AN570">
        <v>6.875</v>
      </c>
      <c r="AO570" s="7">
        <f t="shared" si="160"/>
        <v>1376.3232908886741</v>
      </c>
      <c r="AP570" s="2">
        <f t="shared" si="161"/>
        <v>190.8867091113259</v>
      </c>
    </row>
    <row r="571" spans="1:42" x14ac:dyDescent="0.15">
      <c r="A571" s="8">
        <v>1181318</v>
      </c>
      <c r="B571" t="s">
        <v>35</v>
      </c>
      <c r="C571" t="s">
        <v>16</v>
      </c>
      <c r="D571" s="1">
        <v>39174</v>
      </c>
      <c r="E571" s="2">
        <v>71000</v>
      </c>
      <c r="F571" s="2">
        <v>60350</v>
      </c>
      <c r="G571" t="s">
        <v>17</v>
      </c>
      <c r="H571" s="2">
        <v>618.45000000000005</v>
      </c>
      <c r="I571" s="2">
        <v>60148.05</v>
      </c>
      <c r="J571">
        <v>0.1195</v>
      </c>
      <c r="K571">
        <v>12</v>
      </c>
      <c r="L571">
        <v>349</v>
      </c>
      <c r="M571" t="str">
        <f t="shared" si="147"/>
        <v>30 Year Fixed</v>
      </c>
      <c r="N571" s="2">
        <v>598.97</v>
      </c>
      <c r="O571" t="str">
        <f t="shared" si="144"/>
        <v>Refi</v>
      </c>
      <c r="P571" s="3">
        <f t="shared" si="148"/>
        <v>0</v>
      </c>
      <c r="Q571" s="4">
        <v>61050</v>
      </c>
      <c r="R571" s="4" t="s">
        <v>41</v>
      </c>
      <c r="S571" s="6">
        <v>520</v>
      </c>
      <c r="T571">
        <v>7.625</v>
      </c>
      <c r="U571" s="7">
        <f t="shared" si="145"/>
        <v>457.54558214950549</v>
      </c>
      <c r="V571" s="2">
        <f t="shared" si="149"/>
        <v>160.90441785049455</v>
      </c>
      <c r="W571" s="9">
        <f t="shared" si="150"/>
        <v>0</v>
      </c>
      <c r="X571" s="3">
        <v>61050</v>
      </c>
      <c r="Y571" s="3">
        <f t="shared" si="151"/>
        <v>-0.2667487684666412</v>
      </c>
      <c r="Z571" s="7">
        <f t="shared" si="152"/>
        <v>457.54558214950549</v>
      </c>
      <c r="AA571" s="2">
        <f t="shared" si="146"/>
        <v>160.90441785049455</v>
      </c>
      <c r="AB571" s="8">
        <f t="shared" si="153"/>
        <v>0</v>
      </c>
      <c r="AC571" s="10">
        <v>7.625</v>
      </c>
      <c r="AD571" s="7">
        <f t="shared" si="154"/>
        <v>457.54558214950549</v>
      </c>
      <c r="AE571" s="2">
        <f t="shared" si="155"/>
        <v>160.90441785049455</v>
      </c>
      <c r="AF571" s="10">
        <v>0</v>
      </c>
      <c r="AG571" s="3">
        <f t="shared" si="156"/>
        <v>0</v>
      </c>
      <c r="AH571" s="7">
        <v>3605.9124999999999</v>
      </c>
      <c r="AI571">
        <f t="shared" si="157"/>
        <v>360</v>
      </c>
      <c r="AJ571" t="e">
        <f>VLOOKUP(A571,'Borrower Details'!$A$1:$H$1493,8,FALSE)</f>
        <v>#N/A</v>
      </c>
      <c r="AK571" s="4" t="e">
        <f t="shared" si="158"/>
        <v>#N/A</v>
      </c>
      <c r="AL571" s="10">
        <v>7.625</v>
      </c>
      <c r="AM571" s="3">
        <f t="shared" si="159"/>
        <v>61050.270749999996</v>
      </c>
      <c r="AN571">
        <v>7.625</v>
      </c>
      <c r="AO571" s="7">
        <f t="shared" si="160"/>
        <v>457.54761131357373</v>
      </c>
      <c r="AP571" s="2">
        <f t="shared" si="161"/>
        <v>160.90238868642632</v>
      </c>
    </row>
    <row r="572" spans="1:42" x14ac:dyDescent="0.15">
      <c r="A572" s="8">
        <v>1175228</v>
      </c>
      <c r="B572" t="s">
        <v>37</v>
      </c>
      <c r="C572" t="s">
        <v>18</v>
      </c>
      <c r="D572" s="1">
        <v>39176</v>
      </c>
      <c r="E572" s="2">
        <v>233000</v>
      </c>
      <c r="F572" s="2">
        <v>209700</v>
      </c>
      <c r="G572" t="s">
        <v>15</v>
      </c>
      <c r="H572" s="2">
        <v>1418.88</v>
      </c>
      <c r="I572" s="2">
        <v>208808.32000000001</v>
      </c>
      <c r="J572">
        <v>7.7499999999999999E-2</v>
      </c>
      <c r="K572">
        <v>13</v>
      </c>
      <c r="L572">
        <v>347</v>
      </c>
      <c r="M572" t="str">
        <f t="shared" si="147"/>
        <v>30 Year Fixed</v>
      </c>
      <c r="N572" s="2">
        <v>1348.55</v>
      </c>
      <c r="O572" t="str">
        <f t="shared" si="144"/>
        <v>Refi</v>
      </c>
      <c r="P572" s="3">
        <f t="shared" si="148"/>
        <v>0</v>
      </c>
      <c r="Q572" s="4">
        <v>211940</v>
      </c>
      <c r="R572" s="4" t="s">
        <v>41</v>
      </c>
      <c r="S572" s="6">
        <v>604</v>
      </c>
      <c r="T572">
        <v>6.875</v>
      </c>
      <c r="U572" s="7">
        <f t="shared" si="145"/>
        <v>1480.6032610372226</v>
      </c>
      <c r="V572" s="2">
        <f t="shared" si="149"/>
        <v>-61.723261037222528</v>
      </c>
      <c r="W572" s="9">
        <f t="shared" si="150"/>
        <v>0</v>
      </c>
      <c r="X572" s="3">
        <v>211940</v>
      </c>
      <c r="Y572" s="3">
        <f t="shared" si="151"/>
        <v>-0.4382266009633895</v>
      </c>
      <c r="Z572" s="7">
        <f t="shared" si="152"/>
        <v>1480.6032610372226</v>
      </c>
      <c r="AA572" s="2">
        <f t="shared" si="146"/>
        <v>-61.723261037222528</v>
      </c>
      <c r="AB572" s="8">
        <f t="shared" si="153"/>
        <v>1</v>
      </c>
      <c r="AC572" s="10">
        <v>6.25</v>
      </c>
      <c r="AD572" s="7">
        <f t="shared" si="154"/>
        <v>1393.2593679170318</v>
      </c>
      <c r="AE572" s="2">
        <f t="shared" si="155"/>
        <v>25.620632082968314</v>
      </c>
      <c r="AF572" s="10">
        <v>2.5</v>
      </c>
      <c r="AG572" s="3">
        <f t="shared" si="156"/>
        <v>5298.5</v>
      </c>
      <c r="AH572" s="7">
        <v>2097</v>
      </c>
      <c r="AI572">
        <f t="shared" si="157"/>
        <v>360</v>
      </c>
      <c r="AJ572" t="e">
        <f>VLOOKUP(A572,'Borrower Details'!$A$1:$H$1493,8,FALSE)</f>
        <v>#N/A</v>
      </c>
      <c r="AK572" s="4" t="e">
        <f t="shared" si="158"/>
        <v>#N/A</v>
      </c>
      <c r="AL572" s="10">
        <v>6.875</v>
      </c>
      <c r="AM572" s="3">
        <f t="shared" si="159"/>
        <v>211940.4448</v>
      </c>
      <c r="AN572">
        <v>6.875</v>
      </c>
      <c r="AO572" s="7">
        <f t="shared" si="160"/>
        <v>1480.6063683899192</v>
      </c>
      <c r="AP572" s="2">
        <f t="shared" si="161"/>
        <v>-61.726368389919116</v>
      </c>
    </row>
    <row r="573" spans="1:42" x14ac:dyDescent="0.15">
      <c r="A573" s="8">
        <v>410537195</v>
      </c>
      <c r="B573" t="s">
        <v>38</v>
      </c>
      <c r="C573" t="s">
        <v>19</v>
      </c>
      <c r="D573" s="1">
        <v>39279</v>
      </c>
      <c r="E573" s="2">
        <v>175000</v>
      </c>
      <c r="F573" s="2">
        <v>166250</v>
      </c>
      <c r="G573" t="s">
        <v>20</v>
      </c>
      <c r="H573" s="2">
        <v>1385.65</v>
      </c>
      <c r="I573" s="2">
        <v>166019.97</v>
      </c>
      <c r="J573">
        <v>9.8000000000000004E-2</v>
      </c>
      <c r="K573">
        <v>9</v>
      </c>
      <c r="L573">
        <v>352</v>
      </c>
      <c r="M573" t="str">
        <f t="shared" si="147"/>
        <v>30 Year Fixed</v>
      </c>
      <c r="N573" s="2">
        <v>1355.83</v>
      </c>
      <c r="O573" t="str">
        <f t="shared" si="144"/>
        <v>Refi</v>
      </c>
      <c r="P573" s="3">
        <f t="shared" si="148"/>
        <v>0</v>
      </c>
      <c r="Q573" s="4">
        <v>168510</v>
      </c>
      <c r="R573" s="4" t="s">
        <v>41</v>
      </c>
      <c r="S573" s="6">
        <v>617</v>
      </c>
      <c r="T573">
        <v>6.875</v>
      </c>
      <c r="U573" s="7">
        <f t="shared" si="145"/>
        <v>1177.2032439246127</v>
      </c>
      <c r="V573" s="2">
        <f t="shared" si="149"/>
        <v>208.44675607538738</v>
      </c>
      <c r="W573" s="9">
        <f t="shared" si="150"/>
        <v>0</v>
      </c>
      <c r="X573" s="3">
        <v>168510</v>
      </c>
      <c r="Y573" s="3">
        <f t="shared" si="151"/>
        <v>-0.26556650243583135</v>
      </c>
      <c r="Z573" s="7">
        <f t="shared" si="152"/>
        <v>1177.2032439246127</v>
      </c>
      <c r="AA573" s="2">
        <f t="shared" si="146"/>
        <v>208.44675607538738</v>
      </c>
      <c r="AB573" s="8">
        <f t="shared" si="153"/>
        <v>0</v>
      </c>
      <c r="AC573" s="10">
        <v>6.875</v>
      </c>
      <c r="AD573" s="7">
        <f t="shared" si="154"/>
        <v>1177.2032439246127</v>
      </c>
      <c r="AE573" s="2">
        <f t="shared" si="155"/>
        <v>208.44675607538738</v>
      </c>
      <c r="AF573" s="10">
        <v>0</v>
      </c>
      <c r="AG573" s="3">
        <f t="shared" si="156"/>
        <v>0</v>
      </c>
      <c r="AH573" s="7">
        <v>0</v>
      </c>
      <c r="AI573">
        <f t="shared" si="157"/>
        <v>360</v>
      </c>
      <c r="AJ573" t="e">
        <f>VLOOKUP(A573,'Borrower Details'!$A$1:$H$1493,8,FALSE)</f>
        <v>#N/A</v>
      </c>
      <c r="AK573" s="4" t="e">
        <f t="shared" si="158"/>
        <v>#N/A</v>
      </c>
      <c r="AL573" s="10">
        <v>6.875</v>
      </c>
      <c r="AM573" s="3">
        <f t="shared" si="159"/>
        <v>168510.26955</v>
      </c>
      <c r="AN573">
        <v>6.875</v>
      </c>
      <c r="AO573" s="7">
        <f t="shared" si="160"/>
        <v>1177.2051269887297</v>
      </c>
      <c r="AP573" s="2">
        <f t="shared" si="161"/>
        <v>208.44487301127037</v>
      </c>
    </row>
    <row r="574" spans="1:42" x14ac:dyDescent="0.15">
      <c r="A574" s="8">
        <v>410027601</v>
      </c>
      <c r="B574" t="s">
        <v>37</v>
      </c>
      <c r="C574" t="s">
        <v>19</v>
      </c>
      <c r="D574" s="1">
        <v>39209</v>
      </c>
      <c r="E574" s="2">
        <v>131500</v>
      </c>
      <c r="F574" s="2">
        <v>107000</v>
      </c>
      <c r="G574" t="s">
        <v>17</v>
      </c>
      <c r="H574" s="2">
        <v>860.18</v>
      </c>
      <c r="I574" s="2">
        <v>106331.03</v>
      </c>
      <c r="J574">
        <v>8.9899999999999994E-2</v>
      </c>
      <c r="K574">
        <v>11</v>
      </c>
      <c r="L574">
        <v>349</v>
      </c>
      <c r="M574" t="str">
        <f t="shared" si="147"/>
        <v>30 Year Fixed</v>
      </c>
      <c r="N574" s="2">
        <v>796.6</v>
      </c>
      <c r="O574" t="str">
        <f t="shared" si="144"/>
        <v>Cash Out</v>
      </c>
      <c r="P574" s="3">
        <f t="shared" si="148"/>
        <v>3792.1227093596244</v>
      </c>
      <c r="Q574" s="4">
        <v>111775</v>
      </c>
      <c r="R574" s="4" t="s">
        <v>41</v>
      </c>
      <c r="S574" s="6">
        <v>565</v>
      </c>
      <c r="T574">
        <v>7.625</v>
      </c>
      <c r="U574" s="7">
        <f t="shared" si="145"/>
        <v>837.70937665456142</v>
      </c>
      <c r="V574" s="2">
        <f t="shared" si="149"/>
        <v>22.470623345438526</v>
      </c>
      <c r="W574" s="9">
        <f t="shared" si="150"/>
        <v>0</v>
      </c>
      <c r="X574" s="3">
        <v>111775</v>
      </c>
      <c r="Y574" s="3">
        <f t="shared" si="151"/>
        <v>3792.1227093596244</v>
      </c>
      <c r="Z574" s="7">
        <f t="shared" si="152"/>
        <v>837.70937665456142</v>
      </c>
      <c r="AA574" s="2">
        <f t="shared" si="146"/>
        <v>22.470623345438526</v>
      </c>
      <c r="AB574" s="8">
        <f t="shared" si="153"/>
        <v>1</v>
      </c>
      <c r="AC574" s="10">
        <v>6.5</v>
      </c>
      <c r="AD574" s="7">
        <f t="shared" si="154"/>
        <v>753.06694992592941</v>
      </c>
      <c r="AE574" s="2">
        <f t="shared" si="155"/>
        <v>107.11305007407054</v>
      </c>
      <c r="AF574" s="10">
        <v>2.375</v>
      </c>
      <c r="AG574" s="3">
        <f t="shared" si="156"/>
        <v>2654.65625</v>
      </c>
      <c r="AH574" s="7">
        <v>0</v>
      </c>
      <c r="AI574">
        <f t="shared" si="157"/>
        <v>360</v>
      </c>
      <c r="AJ574" t="e">
        <f>VLOOKUP(A574,'Borrower Details'!$A$1:$H$1493,8,FALSE)</f>
        <v>#N/A</v>
      </c>
      <c r="AK574" s="4" t="e">
        <f t="shared" si="158"/>
        <v>#N/A</v>
      </c>
      <c r="AL574" s="10">
        <v>7.625</v>
      </c>
      <c r="AM574" s="3">
        <f t="shared" si="159"/>
        <v>107925.99544999999</v>
      </c>
      <c r="AN574">
        <v>7.625</v>
      </c>
      <c r="AO574" s="7">
        <f t="shared" si="160"/>
        <v>808.86261125692272</v>
      </c>
      <c r="AP574" s="2">
        <f t="shared" si="161"/>
        <v>51.317388743077231</v>
      </c>
    </row>
    <row r="575" spans="1:42" x14ac:dyDescent="0.15">
      <c r="A575" s="8">
        <v>410412639</v>
      </c>
      <c r="B575" t="s">
        <v>36</v>
      </c>
      <c r="C575" t="s">
        <v>19</v>
      </c>
      <c r="D575" s="1">
        <v>39251</v>
      </c>
      <c r="E575" s="2">
        <v>232500</v>
      </c>
      <c r="F575" s="2">
        <v>145000</v>
      </c>
      <c r="G575" t="s">
        <v>15</v>
      </c>
      <c r="H575" s="2">
        <v>943.51</v>
      </c>
      <c r="I575" s="2">
        <v>144319.51999999999</v>
      </c>
      <c r="J575">
        <v>7.3999999999999996E-2</v>
      </c>
      <c r="K575">
        <v>10</v>
      </c>
      <c r="L575">
        <v>349</v>
      </c>
      <c r="M575" t="str">
        <f t="shared" si="147"/>
        <v>30 Year Fixed</v>
      </c>
      <c r="N575" s="2">
        <v>890.38</v>
      </c>
      <c r="O575" t="str">
        <f t="shared" si="144"/>
        <v>Cash Out</v>
      </c>
      <c r="P575" s="3">
        <f t="shared" si="148"/>
        <v>50384.913497536967</v>
      </c>
      <c r="Q575" s="4">
        <v>197625</v>
      </c>
      <c r="R575" s="4" t="s">
        <v>41</v>
      </c>
      <c r="S575" s="6">
        <v>593</v>
      </c>
      <c r="T575">
        <v>7.375</v>
      </c>
      <c r="U575" s="7">
        <f t="shared" si="145"/>
        <v>1447.2905104392389</v>
      </c>
      <c r="V575" s="2">
        <f t="shared" si="149"/>
        <v>-503.78051043923892</v>
      </c>
      <c r="W575" s="9">
        <f t="shared" si="150"/>
        <v>1</v>
      </c>
      <c r="X575" s="3">
        <v>146485</v>
      </c>
      <c r="Y575" s="3">
        <f t="shared" si="151"/>
        <v>0.67704433499602601</v>
      </c>
      <c r="Z575" s="7">
        <f t="shared" si="152"/>
        <v>1072.7709066246268</v>
      </c>
      <c r="AA575" s="2">
        <f t="shared" si="146"/>
        <v>-129.26090662462684</v>
      </c>
      <c r="AB575" s="8">
        <f t="shared" si="153"/>
        <v>1</v>
      </c>
      <c r="AC575" s="10">
        <v>6.625</v>
      </c>
      <c r="AD575" s="7">
        <f t="shared" si="154"/>
        <v>998.99492799755285</v>
      </c>
      <c r="AE575" s="2">
        <f t="shared" si="155"/>
        <v>-55.484927997552859</v>
      </c>
      <c r="AF575" s="10">
        <v>1.875</v>
      </c>
      <c r="AG575" s="3">
        <f t="shared" si="156"/>
        <v>2746.59375</v>
      </c>
      <c r="AH575" s="7">
        <v>2900</v>
      </c>
      <c r="AI575">
        <f t="shared" si="157"/>
        <v>360</v>
      </c>
      <c r="AJ575" t="e">
        <f>VLOOKUP(A575,'Borrower Details'!$A$1:$H$1493,8,FALSE)</f>
        <v>#N/A</v>
      </c>
      <c r="AK575" s="4" t="e">
        <f t="shared" si="158"/>
        <v>#N/A</v>
      </c>
      <c r="AL575" s="10">
        <v>7.375</v>
      </c>
      <c r="AM575" s="3">
        <f t="shared" si="159"/>
        <v>146484.31279999999</v>
      </c>
      <c r="AN575">
        <v>7.375</v>
      </c>
      <c r="AO575" s="7">
        <f t="shared" si="160"/>
        <v>1072.7658739716792</v>
      </c>
      <c r="AP575" s="2">
        <f t="shared" si="161"/>
        <v>-129.25587397167919</v>
      </c>
    </row>
    <row r="576" spans="1:42" x14ac:dyDescent="0.15">
      <c r="A576" s="8">
        <v>410266613</v>
      </c>
      <c r="B576" t="s">
        <v>36</v>
      </c>
      <c r="C576" t="s">
        <v>18</v>
      </c>
      <c r="D576" s="1">
        <v>39224</v>
      </c>
      <c r="E576" s="2">
        <v>270000</v>
      </c>
      <c r="F576" s="2">
        <v>229500</v>
      </c>
      <c r="G576" t="s">
        <v>15</v>
      </c>
      <c r="H576" s="2">
        <v>1649.51</v>
      </c>
      <c r="I576" s="2">
        <v>228682.83</v>
      </c>
      <c r="J576">
        <v>8.5000000000000006E-2</v>
      </c>
      <c r="K576">
        <v>11</v>
      </c>
      <c r="L576">
        <v>349</v>
      </c>
      <c r="M576" t="str">
        <f t="shared" si="147"/>
        <v>30 Year Fixed</v>
      </c>
      <c r="N576" s="2">
        <v>1619.84</v>
      </c>
      <c r="O576" t="str">
        <f t="shared" si="144"/>
        <v>Refi</v>
      </c>
      <c r="P576" s="3">
        <f t="shared" si="148"/>
        <v>0</v>
      </c>
      <c r="Q576" s="4">
        <v>232113</v>
      </c>
      <c r="R576" s="4" t="s">
        <v>41</v>
      </c>
      <c r="S576" s="6">
        <v>588</v>
      </c>
      <c r="T576">
        <v>7.375</v>
      </c>
      <c r="U576" s="7">
        <f t="shared" si="145"/>
        <v>1699.8605553426087</v>
      </c>
      <c r="V576" s="2">
        <f t="shared" si="149"/>
        <v>-50.350555342608686</v>
      </c>
      <c r="W576" s="9">
        <f t="shared" si="150"/>
        <v>0</v>
      </c>
      <c r="X576" s="3">
        <v>232113</v>
      </c>
      <c r="Y576" s="3">
        <f t="shared" si="151"/>
        <v>-7.1379310305928811E-2</v>
      </c>
      <c r="Z576" s="7">
        <f t="shared" si="152"/>
        <v>1699.8605553426087</v>
      </c>
      <c r="AA576" s="2">
        <f t="shared" si="146"/>
        <v>-50.350555342608686</v>
      </c>
      <c r="AB576" s="8">
        <f t="shared" si="153"/>
        <v>1</v>
      </c>
      <c r="AC576" s="10">
        <v>6.625</v>
      </c>
      <c r="AD576" s="7">
        <f t="shared" si="154"/>
        <v>1582.9587310802881</v>
      </c>
      <c r="AE576" s="2">
        <f t="shared" si="155"/>
        <v>66.551268919711902</v>
      </c>
      <c r="AF576" s="10">
        <v>1.875</v>
      </c>
      <c r="AG576" s="3">
        <f t="shared" si="156"/>
        <v>4352.1187499999996</v>
      </c>
      <c r="AH576" s="7">
        <v>4590</v>
      </c>
      <c r="AI576">
        <f t="shared" si="157"/>
        <v>360</v>
      </c>
      <c r="AJ576" t="e">
        <f>VLOOKUP(A576,'Borrower Details'!$A$1:$H$1493,8,FALSE)</f>
        <v>#N/A</v>
      </c>
      <c r="AK576" s="4" t="e">
        <f t="shared" si="158"/>
        <v>#N/A</v>
      </c>
      <c r="AL576" s="10">
        <v>7.375</v>
      </c>
      <c r="AM576" s="3">
        <f t="shared" si="159"/>
        <v>232113.07244999998</v>
      </c>
      <c r="AN576">
        <v>7.375</v>
      </c>
      <c r="AO576" s="7">
        <f t="shared" si="160"/>
        <v>1699.8610859242531</v>
      </c>
      <c r="AP576" s="2">
        <f t="shared" si="161"/>
        <v>-50.351085924253084</v>
      </c>
    </row>
    <row r="577" spans="1:42" x14ac:dyDescent="0.15">
      <c r="A577" s="8">
        <v>410342349</v>
      </c>
      <c r="B577" t="s">
        <v>36</v>
      </c>
      <c r="C577" t="s">
        <v>18</v>
      </c>
      <c r="D577" s="1">
        <v>39241</v>
      </c>
      <c r="E577" s="2">
        <v>150000</v>
      </c>
      <c r="F577" s="2">
        <v>135000</v>
      </c>
      <c r="G577" t="s">
        <v>17</v>
      </c>
      <c r="H577" s="2">
        <v>989.65</v>
      </c>
      <c r="I577" s="2">
        <v>134064.56</v>
      </c>
      <c r="J577">
        <v>7.9899999999999999E-2</v>
      </c>
      <c r="K577">
        <v>10</v>
      </c>
      <c r="L577">
        <v>350</v>
      </c>
      <c r="M577" t="str">
        <f t="shared" si="147"/>
        <v>30 Year Fixed</v>
      </c>
      <c r="N577" s="2">
        <v>892.65</v>
      </c>
      <c r="O577" t="str">
        <f t="shared" si="144"/>
        <v>Refi</v>
      </c>
      <c r="P577" s="3">
        <f t="shared" si="148"/>
        <v>0</v>
      </c>
      <c r="Q577" s="4">
        <v>136076</v>
      </c>
      <c r="R577" s="4" t="s">
        <v>41</v>
      </c>
      <c r="S577" s="6">
        <v>624</v>
      </c>
      <c r="T577">
        <v>6.75</v>
      </c>
      <c r="U577" s="7">
        <f t="shared" si="145"/>
        <v>939.28467921949596</v>
      </c>
      <c r="V577" s="2">
        <f t="shared" si="149"/>
        <v>50.365320780504021</v>
      </c>
      <c r="W577" s="9">
        <f t="shared" si="150"/>
        <v>0</v>
      </c>
      <c r="X577" s="3">
        <v>136076</v>
      </c>
      <c r="Y577" s="3">
        <f t="shared" si="151"/>
        <v>0.46463054188643582</v>
      </c>
      <c r="Z577" s="7">
        <f t="shared" si="152"/>
        <v>939.28467921949596</v>
      </c>
      <c r="AA577" s="2">
        <f t="shared" si="146"/>
        <v>50.365320780504021</v>
      </c>
      <c r="AB577" s="8">
        <f t="shared" si="153"/>
        <v>1</v>
      </c>
      <c r="AC577" s="10">
        <v>6.125</v>
      </c>
      <c r="AD577" s="7">
        <f t="shared" si="154"/>
        <v>883.51045117315255</v>
      </c>
      <c r="AE577" s="2">
        <f t="shared" si="155"/>
        <v>106.13954882684743</v>
      </c>
      <c r="AF577" s="10">
        <v>3</v>
      </c>
      <c r="AG577" s="3">
        <f t="shared" si="156"/>
        <v>4082.28</v>
      </c>
      <c r="AH577" s="7">
        <v>2700</v>
      </c>
      <c r="AI577">
        <f t="shared" si="157"/>
        <v>360</v>
      </c>
      <c r="AJ577" t="e">
        <f>VLOOKUP(A577,'Borrower Details'!$A$1:$H$1493,8,FALSE)</f>
        <v>#N/A</v>
      </c>
      <c r="AK577" s="4" t="e">
        <f t="shared" si="158"/>
        <v>#N/A</v>
      </c>
      <c r="AL577" s="10">
        <v>6.75</v>
      </c>
      <c r="AM577" s="3">
        <f t="shared" si="159"/>
        <v>136075.52839999998</v>
      </c>
      <c r="AN577">
        <v>6.75</v>
      </c>
      <c r="AO577" s="7">
        <f t="shared" si="160"/>
        <v>939.28142393087251</v>
      </c>
      <c r="AP577" s="2">
        <f t="shared" si="161"/>
        <v>50.368576069127471</v>
      </c>
    </row>
    <row r="578" spans="1:42" x14ac:dyDescent="0.15">
      <c r="A578" s="8">
        <v>410480917</v>
      </c>
      <c r="B578" t="s">
        <v>37</v>
      </c>
      <c r="C578" t="s">
        <v>19</v>
      </c>
      <c r="D578" s="1">
        <v>39273</v>
      </c>
      <c r="E578" s="2">
        <v>172000</v>
      </c>
      <c r="F578" s="2">
        <v>154350</v>
      </c>
      <c r="G578" t="s">
        <v>17</v>
      </c>
      <c r="H578" s="2">
        <v>1394.62</v>
      </c>
      <c r="I578" s="2">
        <v>153691.32</v>
      </c>
      <c r="J578">
        <v>0.10349999999999999</v>
      </c>
      <c r="K578">
        <v>9</v>
      </c>
      <c r="L578">
        <v>350</v>
      </c>
      <c r="M578" t="str">
        <f t="shared" si="147"/>
        <v>30 Year Fixed</v>
      </c>
      <c r="N578" s="2">
        <v>1326.18</v>
      </c>
      <c r="O578" t="str">
        <f t="shared" ref="O578:O641" si="162">IF((0.85*E578)&gt;(I578*1.015),"Cash Out","Refi")</f>
        <v>Refi</v>
      </c>
      <c r="P578" s="3">
        <f t="shared" si="148"/>
        <v>0</v>
      </c>
      <c r="Q578" s="4">
        <v>155997</v>
      </c>
      <c r="R578" s="4" t="s">
        <v>41</v>
      </c>
      <c r="S578" s="6">
        <v>593</v>
      </c>
      <c r="T578">
        <v>7.375</v>
      </c>
      <c r="U578" s="7">
        <f t="shared" ref="U578:U641" si="163">(Q578*((T578/1200)/(1-(1+(T578/1200))^-AI578)))+((Q578*0.005)/12)</f>
        <v>1142.4312599974189</v>
      </c>
      <c r="V578" s="2">
        <f t="shared" si="149"/>
        <v>252.18874000258097</v>
      </c>
      <c r="W578" s="9">
        <f t="shared" si="150"/>
        <v>0</v>
      </c>
      <c r="X578" s="3">
        <v>155997</v>
      </c>
      <c r="Y578" s="3">
        <f t="shared" si="151"/>
        <v>0.30561576355830766</v>
      </c>
      <c r="Z578" s="7">
        <f t="shared" si="152"/>
        <v>1142.4312599974189</v>
      </c>
      <c r="AA578" s="2">
        <f t="shared" ref="AA578:AA641" si="164">H578-Z578</f>
        <v>252.18874000258097</v>
      </c>
      <c r="AB578" s="8">
        <f t="shared" si="153"/>
        <v>0</v>
      </c>
      <c r="AC578" s="10">
        <v>7.375</v>
      </c>
      <c r="AD578" s="7">
        <f t="shared" si="154"/>
        <v>1142.4312599974189</v>
      </c>
      <c r="AE578" s="2">
        <f t="shared" si="155"/>
        <v>252.18874000258097</v>
      </c>
      <c r="AF578" s="10">
        <v>0</v>
      </c>
      <c r="AG578" s="3">
        <f t="shared" si="156"/>
        <v>0</v>
      </c>
      <c r="AH578" s="7">
        <v>1543.5</v>
      </c>
      <c r="AI578">
        <f t="shared" si="157"/>
        <v>360</v>
      </c>
      <c r="AJ578" t="e">
        <f>VLOOKUP(A578,'Borrower Details'!$A$1:$H$1493,8,FALSE)</f>
        <v>#N/A</v>
      </c>
      <c r="AK578" s="4" t="e">
        <f t="shared" si="158"/>
        <v>#N/A</v>
      </c>
      <c r="AL578" s="10">
        <v>7.375</v>
      </c>
      <c r="AM578" s="3">
        <f t="shared" si="159"/>
        <v>155996.68979999999</v>
      </c>
      <c r="AN578">
        <v>7.375</v>
      </c>
      <c r="AO578" s="7">
        <f t="shared" si="160"/>
        <v>1142.4289882731111</v>
      </c>
      <c r="AP578" s="2">
        <f t="shared" si="161"/>
        <v>252.19101172688875</v>
      </c>
    </row>
    <row r="579" spans="1:42" x14ac:dyDescent="0.15">
      <c r="A579" s="8">
        <v>410494835</v>
      </c>
      <c r="B579" t="s">
        <v>35</v>
      </c>
      <c r="C579" t="s">
        <v>16</v>
      </c>
      <c r="D579" s="1">
        <v>39272</v>
      </c>
      <c r="E579" s="2">
        <v>157000</v>
      </c>
      <c r="F579" s="2">
        <v>145000</v>
      </c>
      <c r="G579" t="s">
        <v>17</v>
      </c>
      <c r="H579" s="2">
        <v>1251.1099999999999</v>
      </c>
      <c r="I579" s="2">
        <v>144305.42000000001</v>
      </c>
      <c r="J579">
        <v>9.8000000000000004E-2</v>
      </c>
      <c r="K579">
        <v>9</v>
      </c>
      <c r="L579">
        <v>350</v>
      </c>
      <c r="M579" t="str">
        <f t="shared" ref="M579:M642" si="165">(IF((L579+K579)&lt;180,"15 Year Fixed","30 Year Fixed"))</f>
        <v>30 Year Fixed</v>
      </c>
      <c r="N579" s="2">
        <v>1179.08</v>
      </c>
      <c r="O579" t="str">
        <f t="shared" si="162"/>
        <v>Refi</v>
      </c>
      <c r="P579" s="3">
        <f t="shared" ref="P579:P642" si="166">IF((0.85*E579)&gt;(I579*1.015),((0.85*E579)/1.015)-(I579),0)</f>
        <v>0</v>
      </c>
      <c r="Q579" s="4">
        <v>146470</v>
      </c>
      <c r="R579" s="4" t="s">
        <v>41</v>
      </c>
      <c r="S579" s="6">
        <v>605</v>
      </c>
      <c r="T579">
        <v>6.875</v>
      </c>
      <c r="U579" s="7">
        <f t="shared" si="163"/>
        <v>1023.2328000571954</v>
      </c>
      <c r="V579" s="2">
        <f t="shared" ref="V579:V642" si="167">H579-U579</f>
        <v>227.87719994280451</v>
      </c>
      <c r="W579" s="9">
        <f t="shared" ref="W579:W642" si="168">IF(AND(O579="Cash Out",V579&lt;0),1,0)</f>
        <v>0</v>
      </c>
      <c r="X579" s="3">
        <v>146470</v>
      </c>
      <c r="Y579" s="3">
        <f t="shared" ref="Y579:Y642" si="169">(X579/1.015)-(I579)</f>
        <v>-1.2807881867047399E-3</v>
      </c>
      <c r="Z579" s="7">
        <f t="shared" ref="Z579:Z642" si="170">(X579*((AL579/1200)/(1-(1+(AL579/1200))^-AI579)))+((X579*0.005)/12)</f>
        <v>1023.2328000571954</v>
      </c>
      <c r="AA579" s="2">
        <f t="shared" si="164"/>
        <v>227.87719994280451</v>
      </c>
      <c r="AB579" s="8">
        <f t="shared" ref="AB579:AB642" si="171">IF(I579=0,0,IF(AND(AH579&gt;0,(AP579/AO579)&lt;0.07),1,IF(AND(AH579=0,(AP579/AO579)&lt;0.1),1,0)))</f>
        <v>0</v>
      </c>
      <c r="AC579" s="10">
        <v>6.875</v>
      </c>
      <c r="AD579" s="7">
        <f t="shared" ref="AD579:AD642" si="172">(X579*((AC579/1200)/(1-(1+(AC579/1200))^-AI579)))+((X579*0.005)/12)</f>
        <v>1023.2328000571954</v>
      </c>
      <c r="AE579" s="2">
        <f t="shared" ref="AE579:AE642" si="173">H579-AD579</f>
        <v>227.87719994280451</v>
      </c>
      <c r="AF579" s="10">
        <v>0</v>
      </c>
      <c r="AG579" s="3">
        <f t="shared" ref="AG579:AG642" si="174">AF579*X579/100</f>
        <v>0</v>
      </c>
      <c r="AH579" s="7">
        <v>7105</v>
      </c>
      <c r="AI579">
        <f t="shared" ref="AI579:AI642" si="175">IF(M579="30 Year Fixed",360,180)</f>
        <v>360</v>
      </c>
      <c r="AJ579" t="e">
        <f>VLOOKUP(A579,'Borrower Details'!$A$1:$H$1493,8,FALSE)</f>
        <v>#N/A</v>
      </c>
      <c r="AK579" s="4" t="e">
        <f t="shared" ref="AK579:AK642" si="176">IF(AJ579&gt;360,PV((J579/12),AJ579-AI579,-H579),"NA")</f>
        <v>#N/A</v>
      </c>
      <c r="AL579" s="10">
        <v>6.875</v>
      </c>
      <c r="AM579" s="3">
        <f t="shared" ref="AM579:AM642" si="177">I579*1.015</f>
        <v>146470.0013</v>
      </c>
      <c r="AN579">
        <v>6.875</v>
      </c>
      <c r="AO579" s="7">
        <f t="shared" ref="AO579:AO642" si="178">(AM579*((AN579/1200)/(1-(1+(AN579/1200))^-AI579)))+((AM579*0.005)/12)</f>
        <v>1023.2328091389367</v>
      </c>
      <c r="AP579" s="2">
        <f t="shared" ref="AP579:AP642" si="179">H579-AO579</f>
        <v>227.87719086106324</v>
      </c>
    </row>
    <row r="580" spans="1:42" x14ac:dyDescent="0.15">
      <c r="A580" s="8">
        <v>1175264</v>
      </c>
      <c r="B580" t="s">
        <v>36</v>
      </c>
      <c r="C580" t="s">
        <v>19</v>
      </c>
      <c r="D580" s="1">
        <v>39175</v>
      </c>
      <c r="E580" s="2">
        <v>130000</v>
      </c>
      <c r="F580" s="2">
        <v>100000</v>
      </c>
      <c r="G580" t="s">
        <v>17</v>
      </c>
      <c r="H580" s="2">
        <v>761.84</v>
      </c>
      <c r="I580" s="2">
        <v>0</v>
      </c>
      <c r="J580">
        <v>8.4000000000000005E-2</v>
      </c>
      <c r="K580">
        <v>12</v>
      </c>
      <c r="L580">
        <v>348</v>
      </c>
      <c r="M580" t="str">
        <f t="shared" si="165"/>
        <v>30 Year Fixed</v>
      </c>
      <c r="N580" s="2">
        <v>0</v>
      </c>
      <c r="O580" t="str">
        <f t="shared" si="162"/>
        <v>Cash Out</v>
      </c>
      <c r="P580" s="3">
        <f t="shared" si="166"/>
        <v>108866.99507389164</v>
      </c>
      <c r="Q580" s="4">
        <v>110500</v>
      </c>
      <c r="R580" s="4" t="s">
        <v>41</v>
      </c>
      <c r="S580" s="6">
        <v>574</v>
      </c>
      <c r="T580">
        <v>7.625</v>
      </c>
      <c r="U580" s="7">
        <f t="shared" si="163"/>
        <v>828.15375638853982</v>
      </c>
      <c r="V580" s="2">
        <f t="shared" si="167"/>
        <v>-66.313756388539787</v>
      </c>
      <c r="W580" s="9">
        <f t="shared" si="168"/>
        <v>1</v>
      </c>
      <c r="X580" s="3">
        <v>101580</v>
      </c>
      <c r="Y580" s="3">
        <f t="shared" si="169"/>
        <v>100078.81773399016</v>
      </c>
      <c r="Z580" s="7">
        <f t="shared" si="170"/>
        <v>761.30188754703966</v>
      </c>
      <c r="AA580" s="2">
        <f t="shared" si="164"/>
        <v>0.53811245296037669</v>
      </c>
      <c r="AB580" s="8">
        <f t="shared" si="171"/>
        <v>0</v>
      </c>
      <c r="AC580" s="10">
        <v>7.625</v>
      </c>
      <c r="AD580" s="7">
        <f t="shared" si="172"/>
        <v>761.30188754703966</v>
      </c>
      <c r="AE580" s="2">
        <f t="shared" si="173"/>
        <v>0.53811245296037669</v>
      </c>
      <c r="AF580" s="10">
        <v>0</v>
      </c>
      <c r="AG580" s="3">
        <f t="shared" si="174"/>
        <v>0</v>
      </c>
      <c r="AH580" s="7">
        <v>2000</v>
      </c>
      <c r="AI580">
        <f t="shared" si="175"/>
        <v>360</v>
      </c>
      <c r="AJ580" t="e">
        <f>VLOOKUP(A580,'Borrower Details'!$A$1:$H$1493,8,FALSE)</f>
        <v>#N/A</v>
      </c>
      <c r="AK580" s="4" t="e">
        <f t="shared" si="176"/>
        <v>#N/A</v>
      </c>
      <c r="AL580" s="10">
        <v>7.625</v>
      </c>
      <c r="AM580" s="3">
        <f t="shared" si="177"/>
        <v>0</v>
      </c>
      <c r="AN580">
        <v>7.625</v>
      </c>
      <c r="AO580" s="7">
        <f t="shared" si="178"/>
        <v>0</v>
      </c>
      <c r="AP580" s="2">
        <f t="shared" si="179"/>
        <v>761.84</v>
      </c>
    </row>
    <row r="581" spans="1:42" x14ac:dyDescent="0.15">
      <c r="A581" s="8">
        <v>410335723</v>
      </c>
      <c r="B581" t="s">
        <v>37</v>
      </c>
      <c r="C581" t="s">
        <v>19</v>
      </c>
      <c r="D581" s="1">
        <v>39245</v>
      </c>
      <c r="E581" s="2">
        <v>156000</v>
      </c>
      <c r="F581" s="2">
        <v>132600</v>
      </c>
      <c r="G581" t="s">
        <v>17</v>
      </c>
      <c r="H581" s="2">
        <v>1188.24</v>
      </c>
      <c r="I581" s="2">
        <v>131937.51</v>
      </c>
      <c r="J581">
        <v>0.10249999999999999</v>
      </c>
      <c r="K581">
        <v>10</v>
      </c>
      <c r="L581">
        <v>350</v>
      </c>
      <c r="M581" t="str">
        <f t="shared" si="165"/>
        <v>30 Year Fixed</v>
      </c>
      <c r="N581" s="2">
        <v>1126.97</v>
      </c>
      <c r="O581" t="str">
        <f t="shared" si="162"/>
        <v>Refi</v>
      </c>
      <c r="P581" s="3">
        <f t="shared" si="166"/>
        <v>0</v>
      </c>
      <c r="Q581" s="4">
        <v>133917</v>
      </c>
      <c r="R581" s="4" t="s">
        <v>41</v>
      </c>
      <c r="S581" s="6">
        <v>559</v>
      </c>
      <c r="T581">
        <v>7.625</v>
      </c>
      <c r="U581" s="7">
        <f t="shared" si="163"/>
        <v>1003.6549013057385</v>
      </c>
      <c r="V581" s="2">
        <f t="shared" si="167"/>
        <v>184.58509869426155</v>
      </c>
      <c r="W581" s="9">
        <f t="shared" si="168"/>
        <v>0</v>
      </c>
      <c r="X581" s="3">
        <v>133917</v>
      </c>
      <c r="Y581" s="3">
        <f t="shared" si="169"/>
        <v>0.42103448277339339</v>
      </c>
      <c r="Z581" s="7">
        <f t="shared" si="170"/>
        <v>1003.6549013057385</v>
      </c>
      <c r="AA581" s="2">
        <f t="shared" si="164"/>
        <v>184.58509869426155</v>
      </c>
      <c r="AB581" s="8">
        <f t="shared" si="171"/>
        <v>0</v>
      </c>
      <c r="AC581" s="10">
        <v>7.625</v>
      </c>
      <c r="AD581" s="7">
        <f t="shared" si="172"/>
        <v>1003.6549013057385</v>
      </c>
      <c r="AE581" s="2">
        <f t="shared" si="173"/>
        <v>184.58509869426155</v>
      </c>
      <c r="AF581" s="10">
        <v>0</v>
      </c>
      <c r="AG581" s="3">
        <f t="shared" si="174"/>
        <v>0</v>
      </c>
      <c r="AH581" s="7">
        <v>0</v>
      </c>
      <c r="AI581">
        <f t="shared" si="175"/>
        <v>360</v>
      </c>
      <c r="AJ581" t="e">
        <f>VLOOKUP(A581,'Borrower Details'!$A$1:$H$1493,8,FALSE)</f>
        <v>#N/A</v>
      </c>
      <c r="AK581" s="4" t="e">
        <f t="shared" si="176"/>
        <v>#N/A</v>
      </c>
      <c r="AL581" s="10">
        <v>7.625</v>
      </c>
      <c r="AM581" s="3">
        <f t="shared" si="177"/>
        <v>133916.57264999999</v>
      </c>
      <c r="AN581">
        <v>7.625</v>
      </c>
      <c r="AO581" s="7">
        <f t="shared" si="178"/>
        <v>1003.6516984866633</v>
      </c>
      <c r="AP581" s="2">
        <f t="shared" si="179"/>
        <v>184.58830151333666</v>
      </c>
    </row>
    <row r="582" spans="1:42" x14ac:dyDescent="0.15">
      <c r="A582" s="8">
        <v>410367643</v>
      </c>
      <c r="B582" t="s">
        <v>36</v>
      </c>
      <c r="C582" t="s">
        <v>19</v>
      </c>
      <c r="D582" s="1">
        <v>39251</v>
      </c>
      <c r="E582" s="2">
        <v>196000</v>
      </c>
      <c r="F582" s="2">
        <v>140000</v>
      </c>
      <c r="G582" t="s">
        <v>15</v>
      </c>
      <c r="H582" s="2">
        <v>1032.1600000000001</v>
      </c>
      <c r="I582" s="2">
        <v>138829.73000000001</v>
      </c>
      <c r="J582">
        <v>8.0500000000000002E-2</v>
      </c>
      <c r="K582">
        <v>10</v>
      </c>
      <c r="L582">
        <v>350</v>
      </c>
      <c r="M582" t="str">
        <f t="shared" si="165"/>
        <v>30 Year Fixed</v>
      </c>
      <c r="N582" s="2">
        <v>931.32</v>
      </c>
      <c r="O582" t="str">
        <f t="shared" si="162"/>
        <v>Cash Out</v>
      </c>
      <c r="P582" s="3">
        <f t="shared" si="166"/>
        <v>25308.201034482772</v>
      </c>
      <c r="Q582" s="4">
        <v>166600</v>
      </c>
      <c r="R582" s="4" t="s">
        <v>41</v>
      </c>
      <c r="S582" s="6">
        <v>593</v>
      </c>
      <c r="T582">
        <v>7.375</v>
      </c>
      <c r="U582" s="7">
        <f t="shared" si="163"/>
        <v>1220.0814625638316</v>
      </c>
      <c r="V582" s="2">
        <f t="shared" si="167"/>
        <v>-187.92146256383148</v>
      </c>
      <c r="W582" s="9">
        <f t="shared" si="168"/>
        <v>1</v>
      </c>
      <c r="X582" s="3">
        <v>140912</v>
      </c>
      <c r="Y582" s="3">
        <f t="shared" si="169"/>
        <v>-0.17334975369158201</v>
      </c>
      <c r="Z582" s="7">
        <f t="shared" si="170"/>
        <v>1031.9574973156939</v>
      </c>
      <c r="AA582" s="2">
        <f t="shared" si="164"/>
        <v>0.20250268430618235</v>
      </c>
      <c r="AB582" s="8">
        <f t="shared" si="171"/>
        <v>1</v>
      </c>
      <c r="AC582" s="10">
        <v>6.625</v>
      </c>
      <c r="AD582" s="7">
        <f t="shared" si="172"/>
        <v>960.98831480350316</v>
      </c>
      <c r="AE582" s="2">
        <f t="shared" si="173"/>
        <v>71.171685196496924</v>
      </c>
      <c r="AF582" s="10">
        <v>1.875</v>
      </c>
      <c r="AG582" s="3">
        <f t="shared" si="174"/>
        <v>2642.1</v>
      </c>
      <c r="AH582" s="7">
        <v>2800</v>
      </c>
      <c r="AI582">
        <f t="shared" si="175"/>
        <v>360</v>
      </c>
      <c r="AJ582" t="e">
        <f>VLOOKUP(A582,'Borrower Details'!$A$1:$H$1493,8,FALSE)</f>
        <v>#N/A</v>
      </c>
      <c r="AK582" s="4" t="e">
        <f t="shared" si="176"/>
        <v>#N/A</v>
      </c>
      <c r="AL582" s="10">
        <v>7.375</v>
      </c>
      <c r="AM582" s="3">
        <f t="shared" si="177"/>
        <v>140912.17595</v>
      </c>
      <c r="AN582">
        <v>7.375</v>
      </c>
      <c r="AO582" s="7">
        <f t="shared" si="178"/>
        <v>1031.9587858711161</v>
      </c>
      <c r="AP582" s="2">
        <f t="shared" si="179"/>
        <v>0.20121412888397572</v>
      </c>
    </row>
    <row r="583" spans="1:42" x14ac:dyDescent="0.15">
      <c r="A583" s="8">
        <v>410438733</v>
      </c>
      <c r="B583" t="s">
        <v>35</v>
      </c>
      <c r="C583" t="s">
        <v>16</v>
      </c>
      <c r="D583" s="1">
        <v>39265</v>
      </c>
      <c r="E583" s="2">
        <v>123000</v>
      </c>
      <c r="F583" s="2">
        <v>104550</v>
      </c>
      <c r="G583" t="s">
        <v>17</v>
      </c>
      <c r="H583" s="2">
        <v>826.24</v>
      </c>
      <c r="I583" s="2">
        <v>103934.55</v>
      </c>
      <c r="J583">
        <v>8.7999999999999995E-2</v>
      </c>
      <c r="K583">
        <v>10</v>
      </c>
      <c r="L583">
        <v>350</v>
      </c>
      <c r="M583" t="str">
        <f t="shared" si="165"/>
        <v>30 Year Fixed</v>
      </c>
      <c r="N583" s="2">
        <v>762.19</v>
      </c>
      <c r="O583" t="str">
        <f t="shared" si="162"/>
        <v>Refi</v>
      </c>
      <c r="P583" s="3">
        <f t="shared" si="166"/>
        <v>0</v>
      </c>
      <c r="Q583" s="4">
        <v>105494</v>
      </c>
      <c r="R583" s="4" t="s">
        <v>41</v>
      </c>
      <c r="S583" s="6">
        <v>605</v>
      </c>
      <c r="T583">
        <v>6.875</v>
      </c>
      <c r="U583" s="7">
        <f t="shared" si="163"/>
        <v>736.97631603218247</v>
      </c>
      <c r="V583" s="2">
        <f t="shared" si="167"/>
        <v>89.263683967817542</v>
      </c>
      <c r="W583" s="9">
        <f t="shared" si="168"/>
        <v>0</v>
      </c>
      <c r="X583" s="3">
        <v>105494</v>
      </c>
      <c r="Y583" s="3">
        <f t="shared" si="169"/>
        <v>0.42536945814208593</v>
      </c>
      <c r="Z583" s="7">
        <f t="shared" si="170"/>
        <v>736.97631603218247</v>
      </c>
      <c r="AA583" s="2">
        <f t="shared" si="164"/>
        <v>89.263683967817542</v>
      </c>
      <c r="AB583" s="8">
        <f t="shared" si="171"/>
        <v>0</v>
      </c>
      <c r="AC583" s="10">
        <v>6.875</v>
      </c>
      <c r="AD583" s="7">
        <f t="shared" si="172"/>
        <v>736.97631603218247</v>
      </c>
      <c r="AE583" s="2">
        <f t="shared" si="173"/>
        <v>89.263683967817542</v>
      </c>
      <c r="AF583" s="10">
        <v>0</v>
      </c>
      <c r="AG583" s="3">
        <f t="shared" si="174"/>
        <v>0</v>
      </c>
      <c r="AH583" s="7">
        <v>4600.2</v>
      </c>
      <c r="AI583">
        <f t="shared" si="175"/>
        <v>360</v>
      </c>
      <c r="AJ583" t="e">
        <f>VLOOKUP(A583,'Borrower Details'!$A$1:$H$1493,8,FALSE)</f>
        <v>#N/A</v>
      </c>
      <c r="AK583" s="4" t="e">
        <f t="shared" si="176"/>
        <v>#N/A</v>
      </c>
      <c r="AL583" s="10">
        <v>6.875</v>
      </c>
      <c r="AM583" s="3">
        <f t="shared" si="177"/>
        <v>105493.56825</v>
      </c>
      <c r="AN583">
        <v>6.875</v>
      </c>
      <c r="AO583" s="7">
        <f t="shared" si="178"/>
        <v>736.97329984619614</v>
      </c>
      <c r="AP583" s="2">
        <f t="shared" si="179"/>
        <v>89.266700153803868</v>
      </c>
    </row>
    <row r="584" spans="1:42" x14ac:dyDescent="0.15">
      <c r="A584" s="8">
        <v>410649073</v>
      </c>
      <c r="B584" t="s">
        <v>36</v>
      </c>
      <c r="C584" t="s">
        <v>16</v>
      </c>
      <c r="D584" s="1">
        <v>39300</v>
      </c>
      <c r="E584" s="2">
        <v>229000</v>
      </c>
      <c r="F584" s="2">
        <v>217550</v>
      </c>
      <c r="G584" t="s">
        <v>17</v>
      </c>
      <c r="H584" s="2">
        <v>1853.14</v>
      </c>
      <c r="I584" s="2">
        <v>216696.87</v>
      </c>
      <c r="J584">
        <v>9.6500000000000002E-2</v>
      </c>
      <c r="K584">
        <v>8</v>
      </c>
      <c r="L584">
        <v>352</v>
      </c>
      <c r="M584" t="str">
        <f t="shared" si="165"/>
        <v>30 Year Fixed</v>
      </c>
      <c r="N584" s="2">
        <v>1742.6</v>
      </c>
      <c r="O584" t="str">
        <f t="shared" si="162"/>
        <v>Refi</v>
      </c>
      <c r="P584" s="3">
        <f t="shared" si="166"/>
        <v>0</v>
      </c>
      <c r="Q584" s="4">
        <v>219947</v>
      </c>
      <c r="R584" s="4" t="s">
        <v>41</v>
      </c>
      <c r="S584" s="6">
        <v>601</v>
      </c>
      <c r="T584">
        <v>6.875</v>
      </c>
      <c r="U584" s="7">
        <f t="shared" si="163"/>
        <v>1536.5398011482212</v>
      </c>
      <c r="V584" s="2">
        <f t="shared" si="167"/>
        <v>316.60019885177894</v>
      </c>
      <c r="W584" s="9">
        <f t="shared" si="168"/>
        <v>0</v>
      </c>
      <c r="X584" s="3">
        <v>219947</v>
      </c>
      <c r="Y584" s="3">
        <f t="shared" si="169"/>
        <v>-0.31827586205326952</v>
      </c>
      <c r="Z584" s="7">
        <f t="shared" si="170"/>
        <v>1536.5398011482212</v>
      </c>
      <c r="AA584" s="2">
        <f t="shared" si="164"/>
        <v>316.60019885177894</v>
      </c>
      <c r="AB584" s="8">
        <f t="shared" si="171"/>
        <v>0</v>
      </c>
      <c r="AC584" s="10">
        <v>6.875</v>
      </c>
      <c r="AD584" s="7">
        <f t="shared" si="172"/>
        <v>1536.5398011482212</v>
      </c>
      <c r="AE584" s="2">
        <f t="shared" si="173"/>
        <v>316.60019885177894</v>
      </c>
      <c r="AF584" s="10">
        <v>0</v>
      </c>
      <c r="AG584" s="3">
        <f t="shared" si="174"/>
        <v>0</v>
      </c>
      <c r="AH584" s="7">
        <v>4351</v>
      </c>
      <c r="AI584">
        <f t="shared" si="175"/>
        <v>360</v>
      </c>
      <c r="AJ584" t="e">
        <f>VLOOKUP(A584,'Borrower Details'!$A$1:$H$1493,8,FALSE)</f>
        <v>#N/A</v>
      </c>
      <c r="AK584" s="4" t="e">
        <f t="shared" si="176"/>
        <v>#N/A</v>
      </c>
      <c r="AL584" s="10">
        <v>6.875</v>
      </c>
      <c r="AM584" s="3">
        <f t="shared" si="177"/>
        <v>219947.32304999998</v>
      </c>
      <c r="AN584">
        <v>6.875</v>
      </c>
      <c r="AO584" s="7">
        <f t="shared" si="178"/>
        <v>1536.5420579609204</v>
      </c>
      <c r="AP584" s="2">
        <f t="shared" si="179"/>
        <v>316.59794203907973</v>
      </c>
    </row>
    <row r="585" spans="1:42" x14ac:dyDescent="0.15">
      <c r="A585" s="8">
        <v>410518997</v>
      </c>
      <c r="B585" t="s">
        <v>38</v>
      </c>
      <c r="C585" t="s">
        <v>19</v>
      </c>
      <c r="D585" s="1">
        <v>39266</v>
      </c>
      <c r="E585" s="2">
        <v>89000</v>
      </c>
      <c r="F585" s="2">
        <v>80100</v>
      </c>
      <c r="G585" t="s">
        <v>15</v>
      </c>
      <c r="H585" s="2">
        <v>653.16999999999996</v>
      </c>
      <c r="I585" s="2">
        <v>79245.88</v>
      </c>
      <c r="J585">
        <v>9.1499999999999998E-2</v>
      </c>
      <c r="K585">
        <v>9</v>
      </c>
      <c r="L585">
        <v>351</v>
      </c>
      <c r="M585" t="str">
        <f t="shared" si="165"/>
        <v>30 Year Fixed</v>
      </c>
      <c r="N585" s="2">
        <v>604.25</v>
      </c>
      <c r="O585" t="str">
        <f t="shared" si="162"/>
        <v>Refi</v>
      </c>
      <c r="P585" s="3">
        <f t="shared" si="166"/>
        <v>0</v>
      </c>
      <c r="Q585" s="4">
        <v>80435</v>
      </c>
      <c r="R585" s="4" t="s">
        <v>41</v>
      </c>
      <c r="S585" s="6">
        <v>606</v>
      </c>
      <c r="T585">
        <v>7</v>
      </c>
      <c r="U585" s="7">
        <f t="shared" si="163"/>
        <v>568.65064533070893</v>
      </c>
      <c r="V585" s="2">
        <f t="shared" si="167"/>
        <v>84.519354669291033</v>
      </c>
      <c r="W585" s="9">
        <f t="shared" si="168"/>
        <v>0</v>
      </c>
      <c r="X585" s="3">
        <v>80435</v>
      </c>
      <c r="Y585" s="3">
        <f t="shared" si="169"/>
        <v>0.42541871921275742</v>
      </c>
      <c r="Z585" s="7">
        <f t="shared" si="170"/>
        <v>568.65064533070893</v>
      </c>
      <c r="AA585" s="2">
        <f t="shared" si="164"/>
        <v>84.519354669291033</v>
      </c>
      <c r="AB585" s="8">
        <f t="shared" si="171"/>
        <v>0</v>
      </c>
      <c r="AC585" s="10">
        <v>7</v>
      </c>
      <c r="AD585" s="7">
        <f t="shared" si="172"/>
        <v>568.65064533070893</v>
      </c>
      <c r="AE585" s="2">
        <f t="shared" si="173"/>
        <v>84.519354669291033</v>
      </c>
      <c r="AF585" s="10">
        <v>0</v>
      </c>
      <c r="AG585" s="3">
        <f t="shared" si="174"/>
        <v>0</v>
      </c>
      <c r="AH585" s="7">
        <v>0</v>
      </c>
      <c r="AI585">
        <f t="shared" si="175"/>
        <v>360</v>
      </c>
      <c r="AJ585" t="e">
        <f>VLOOKUP(A585,'Borrower Details'!$A$1:$H$1493,8,FALSE)</f>
        <v>#N/A</v>
      </c>
      <c r="AK585" s="4" t="e">
        <f t="shared" si="176"/>
        <v>#N/A</v>
      </c>
      <c r="AL585" s="10">
        <v>7</v>
      </c>
      <c r="AM585" s="3">
        <f t="shared" si="177"/>
        <v>80434.568199999994</v>
      </c>
      <c r="AN585">
        <v>7</v>
      </c>
      <c r="AO585" s="7">
        <f t="shared" si="178"/>
        <v>568.647592637868</v>
      </c>
      <c r="AP585" s="2">
        <f t="shared" si="179"/>
        <v>84.522407362131958</v>
      </c>
    </row>
    <row r="586" spans="1:42" x14ac:dyDescent="0.15">
      <c r="A586" s="8">
        <v>1150799</v>
      </c>
      <c r="B586" t="s">
        <v>37</v>
      </c>
      <c r="C586" t="s">
        <v>19</v>
      </c>
      <c r="D586" s="1">
        <v>39146</v>
      </c>
      <c r="E586" s="2">
        <v>60000</v>
      </c>
      <c r="F586" s="2">
        <v>51000</v>
      </c>
      <c r="G586" t="s">
        <v>15</v>
      </c>
      <c r="H586" s="2">
        <v>417.63</v>
      </c>
      <c r="I586" s="2">
        <v>50945.38</v>
      </c>
      <c r="J586">
        <v>9.7500000000000003E-2</v>
      </c>
      <c r="K586">
        <v>14</v>
      </c>
      <c r="L586">
        <v>345</v>
      </c>
      <c r="M586" t="str">
        <f t="shared" si="165"/>
        <v>30 Year Fixed</v>
      </c>
      <c r="N586" s="2">
        <v>413.93</v>
      </c>
      <c r="O586" t="str">
        <f t="shared" si="162"/>
        <v>Refi</v>
      </c>
      <c r="P586" s="3">
        <f t="shared" si="166"/>
        <v>0</v>
      </c>
      <c r="Q586" s="4">
        <v>51710</v>
      </c>
      <c r="R586" s="4" t="s">
        <v>41</v>
      </c>
      <c r="S586" s="6">
        <v>552</v>
      </c>
      <c r="T586">
        <v>7.625</v>
      </c>
      <c r="U586" s="7">
        <f t="shared" si="163"/>
        <v>387.54597957331583</v>
      </c>
      <c r="V586" s="2">
        <f t="shared" si="167"/>
        <v>30.084020426684162</v>
      </c>
      <c r="W586" s="9">
        <f t="shared" si="168"/>
        <v>0</v>
      </c>
      <c r="X586" s="3">
        <v>51710</v>
      </c>
      <c r="Y586" s="3">
        <f t="shared" si="169"/>
        <v>0.43280788177798968</v>
      </c>
      <c r="Z586" s="7">
        <f t="shared" si="170"/>
        <v>387.54597957331583</v>
      </c>
      <c r="AA586" s="2">
        <f t="shared" si="164"/>
        <v>30.084020426684162</v>
      </c>
      <c r="AB586" s="8">
        <f t="shared" si="171"/>
        <v>1</v>
      </c>
      <c r="AC586" s="10">
        <v>6.5</v>
      </c>
      <c r="AD586" s="7">
        <f t="shared" si="172"/>
        <v>348.3882082815461</v>
      </c>
      <c r="AE586" s="2">
        <f t="shared" si="173"/>
        <v>69.241791718453896</v>
      </c>
      <c r="AF586" s="10">
        <v>2.625</v>
      </c>
      <c r="AG586" s="3">
        <f t="shared" si="174"/>
        <v>1357.3875</v>
      </c>
      <c r="AH586" s="7">
        <v>0</v>
      </c>
      <c r="AI586">
        <f t="shared" si="175"/>
        <v>360</v>
      </c>
      <c r="AJ586" t="e">
        <f>VLOOKUP(A586,'Borrower Details'!$A$1:$H$1493,8,FALSE)</f>
        <v>#N/A</v>
      </c>
      <c r="AK586" s="4" t="e">
        <f t="shared" si="176"/>
        <v>#N/A</v>
      </c>
      <c r="AL586" s="10">
        <v>7.625</v>
      </c>
      <c r="AM586" s="3">
        <f t="shared" si="177"/>
        <v>51709.560699999995</v>
      </c>
      <c r="AN586">
        <v>7.625</v>
      </c>
      <c r="AO586" s="7">
        <f t="shared" si="178"/>
        <v>387.54268719372141</v>
      </c>
      <c r="AP586" s="2">
        <f t="shared" si="179"/>
        <v>30.08731280627859</v>
      </c>
    </row>
    <row r="587" spans="1:42" x14ac:dyDescent="0.15">
      <c r="A587" s="8">
        <v>410538045</v>
      </c>
      <c r="B587" t="s">
        <v>37</v>
      </c>
      <c r="C587" t="s">
        <v>16</v>
      </c>
      <c r="D587" s="1">
        <v>39294</v>
      </c>
      <c r="E587" s="2">
        <v>200000</v>
      </c>
      <c r="F587" s="2">
        <v>180000</v>
      </c>
      <c r="G587" t="s">
        <v>17</v>
      </c>
      <c r="H587" s="2">
        <v>1319.53</v>
      </c>
      <c r="I587" s="2">
        <v>178881.25</v>
      </c>
      <c r="J587">
        <v>7.9899999999999999E-2</v>
      </c>
      <c r="K587">
        <v>9</v>
      </c>
      <c r="L587">
        <v>351</v>
      </c>
      <c r="M587" t="str">
        <f t="shared" si="165"/>
        <v>30 Year Fixed</v>
      </c>
      <c r="N587" s="2">
        <v>1191.05</v>
      </c>
      <c r="O587" t="str">
        <f t="shared" si="162"/>
        <v>Refi</v>
      </c>
      <c r="P587" s="3">
        <f t="shared" si="166"/>
        <v>0</v>
      </c>
      <c r="Q587" s="4">
        <v>181564</v>
      </c>
      <c r="R587" s="4" t="s">
        <v>41</v>
      </c>
      <c r="S587" s="6">
        <v>666</v>
      </c>
      <c r="T587">
        <v>6.75</v>
      </c>
      <c r="U587" s="7">
        <f t="shared" si="163"/>
        <v>1253.2723147197785</v>
      </c>
      <c r="V587" s="2">
        <f t="shared" si="167"/>
        <v>66.257685280221494</v>
      </c>
      <c r="W587" s="9">
        <f t="shared" si="168"/>
        <v>0</v>
      </c>
      <c r="X587" s="3">
        <v>181564</v>
      </c>
      <c r="Y587" s="3">
        <f t="shared" si="169"/>
        <v>-0.46182266008690931</v>
      </c>
      <c r="Z587" s="7">
        <f t="shared" si="170"/>
        <v>1253.2723147197785</v>
      </c>
      <c r="AA587" s="2">
        <f t="shared" si="164"/>
        <v>66.257685280221494</v>
      </c>
      <c r="AB587" s="8">
        <f t="shared" si="171"/>
        <v>1</v>
      </c>
      <c r="AC587" s="10">
        <v>6.125</v>
      </c>
      <c r="AD587" s="7">
        <f t="shared" si="172"/>
        <v>1178.85366675095</v>
      </c>
      <c r="AE587" s="2">
        <f t="shared" si="173"/>
        <v>140.67633324905</v>
      </c>
      <c r="AF587" s="10">
        <v>3</v>
      </c>
      <c r="AG587" s="3">
        <f t="shared" si="174"/>
        <v>5446.92</v>
      </c>
      <c r="AH587" s="7">
        <v>1800</v>
      </c>
      <c r="AI587">
        <f t="shared" si="175"/>
        <v>360</v>
      </c>
      <c r="AJ587" t="e">
        <f>VLOOKUP(A587,'Borrower Details'!$A$1:$H$1493,8,FALSE)</f>
        <v>#N/A</v>
      </c>
      <c r="AK587" s="4" t="e">
        <f t="shared" si="176"/>
        <v>#N/A</v>
      </c>
      <c r="AL587" s="10">
        <v>6.75</v>
      </c>
      <c r="AM587" s="3">
        <f t="shared" si="177"/>
        <v>181564.46874999997</v>
      </c>
      <c r="AN587">
        <v>6.75</v>
      </c>
      <c r="AO587" s="7">
        <f t="shared" si="178"/>
        <v>1253.2755503358558</v>
      </c>
      <c r="AP587" s="2">
        <f t="shared" si="179"/>
        <v>66.254449664144204</v>
      </c>
    </row>
    <row r="588" spans="1:42" x14ac:dyDescent="0.15">
      <c r="A588" s="8">
        <v>410218333</v>
      </c>
      <c r="B588" t="s">
        <v>36</v>
      </c>
      <c r="C588" t="s">
        <v>19</v>
      </c>
      <c r="D588" s="1">
        <v>39210</v>
      </c>
      <c r="E588" s="2">
        <v>140000</v>
      </c>
      <c r="F588" s="2">
        <v>119000</v>
      </c>
      <c r="G588" t="s">
        <v>17</v>
      </c>
      <c r="H588" s="2">
        <v>872.36</v>
      </c>
      <c r="I588" s="2">
        <v>118089.9</v>
      </c>
      <c r="J588">
        <v>7.9899999999999999E-2</v>
      </c>
      <c r="K588">
        <v>11</v>
      </c>
      <c r="L588">
        <v>349</v>
      </c>
      <c r="M588" t="str">
        <f t="shared" si="165"/>
        <v>30 Year Fixed</v>
      </c>
      <c r="N588" s="2">
        <v>786.28</v>
      </c>
      <c r="O588" t="str">
        <f t="shared" si="162"/>
        <v>Refi</v>
      </c>
      <c r="P588" s="3">
        <f t="shared" si="166"/>
        <v>0</v>
      </c>
      <c r="Q588" s="4">
        <v>119861</v>
      </c>
      <c r="R588" s="4" t="s">
        <v>41</v>
      </c>
      <c r="S588" s="6">
        <v>634</v>
      </c>
      <c r="T588">
        <v>6.75</v>
      </c>
      <c r="U588" s="7">
        <f t="shared" si="163"/>
        <v>827.35824786096009</v>
      </c>
      <c r="V588" s="2">
        <f t="shared" si="167"/>
        <v>45.001752139039922</v>
      </c>
      <c r="W588" s="9">
        <f t="shared" si="168"/>
        <v>0</v>
      </c>
      <c r="X588" s="3">
        <v>119861</v>
      </c>
      <c r="Y588" s="3">
        <f t="shared" si="169"/>
        <v>-0.24482758618250955</v>
      </c>
      <c r="Z588" s="7">
        <f t="shared" si="170"/>
        <v>827.35824786096009</v>
      </c>
      <c r="AA588" s="2">
        <f t="shared" si="164"/>
        <v>45.001752139039922</v>
      </c>
      <c r="AB588" s="8">
        <f t="shared" si="171"/>
        <v>1</v>
      </c>
      <c r="AC588" s="10">
        <v>6.125</v>
      </c>
      <c r="AD588" s="7">
        <f t="shared" si="172"/>
        <v>778.2301521801437</v>
      </c>
      <c r="AE588" s="2">
        <f t="shared" si="173"/>
        <v>94.129847819856309</v>
      </c>
      <c r="AF588" s="10">
        <v>3</v>
      </c>
      <c r="AG588" s="3">
        <f t="shared" si="174"/>
        <v>3595.83</v>
      </c>
      <c r="AH588" s="7">
        <v>2380</v>
      </c>
      <c r="AI588">
        <f t="shared" si="175"/>
        <v>360</v>
      </c>
      <c r="AJ588" t="e">
        <f>VLOOKUP(A588,'Borrower Details'!$A$1:$H$1493,8,FALSE)</f>
        <v>#N/A</v>
      </c>
      <c r="AK588" s="4" t="e">
        <f t="shared" si="176"/>
        <v>#N/A</v>
      </c>
      <c r="AL588" s="10">
        <v>6.75</v>
      </c>
      <c r="AM588" s="3">
        <f t="shared" si="177"/>
        <v>119861.24849999999</v>
      </c>
      <c r="AN588">
        <v>6.75</v>
      </c>
      <c r="AO588" s="7">
        <f t="shared" si="178"/>
        <v>827.35996316889657</v>
      </c>
      <c r="AP588" s="2">
        <f t="shared" si="179"/>
        <v>45.000036831103444</v>
      </c>
    </row>
    <row r="589" spans="1:42" x14ac:dyDescent="0.15">
      <c r="A589" s="8">
        <v>410730097</v>
      </c>
      <c r="B589" t="s">
        <v>37</v>
      </c>
      <c r="C589" t="s">
        <v>16</v>
      </c>
      <c r="D589" s="1">
        <v>39307</v>
      </c>
      <c r="E589" s="2">
        <v>152500</v>
      </c>
      <c r="F589" s="2">
        <v>137250</v>
      </c>
      <c r="G589" t="s">
        <v>17</v>
      </c>
      <c r="H589" s="2">
        <v>1196.25</v>
      </c>
      <c r="I589" s="2">
        <v>137201.49</v>
      </c>
      <c r="J589">
        <v>0.104</v>
      </c>
      <c r="K589">
        <v>8</v>
      </c>
      <c r="L589">
        <v>353</v>
      </c>
      <c r="M589" t="str">
        <f t="shared" si="165"/>
        <v>30 Year Fixed</v>
      </c>
      <c r="N589" s="2">
        <v>1189.08</v>
      </c>
      <c r="O589" t="str">
        <f t="shared" si="162"/>
        <v>Refi</v>
      </c>
      <c r="P589" s="3">
        <f t="shared" si="166"/>
        <v>0</v>
      </c>
      <c r="Q589" s="4">
        <v>139260</v>
      </c>
      <c r="R589" s="4" t="s">
        <v>41</v>
      </c>
      <c r="S589" s="6">
        <v>594</v>
      </c>
      <c r="T589">
        <v>7.375</v>
      </c>
      <c r="U589" s="7">
        <f t="shared" si="163"/>
        <v>1019.8592105440526</v>
      </c>
      <c r="V589" s="2">
        <f t="shared" si="167"/>
        <v>176.39078945594736</v>
      </c>
      <c r="W589" s="9">
        <f t="shared" si="168"/>
        <v>0</v>
      </c>
      <c r="X589" s="3">
        <v>139260</v>
      </c>
      <c r="Y589" s="3">
        <f t="shared" si="169"/>
        <v>0.48044334977748804</v>
      </c>
      <c r="Z589" s="7">
        <f t="shared" si="170"/>
        <v>1019.8592105440526</v>
      </c>
      <c r="AA589" s="2">
        <f t="shared" si="164"/>
        <v>176.39078945594736</v>
      </c>
      <c r="AB589" s="8">
        <f t="shared" si="171"/>
        <v>0</v>
      </c>
      <c r="AC589" s="10">
        <v>7.375</v>
      </c>
      <c r="AD589" s="7">
        <f t="shared" si="172"/>
        <v>1019.8592105440526</v>
      </c>
      <c r="AE589" s="2">
        <f t="shared" si="173"/>
        <v>176.39078945594736</v>
      </c>
      <c r="AF589" s="10">
        <v>0</v>
      </c>
      <c r="AG589" s="3">
        <f t="shared" si="174"/>
        <v>0</v>
      </c>
      <c r="AH589" s="7">
        <v>0</v>
      </c>
      <c r="AI589">
        <f t="shared" si="175"/>
        <v>360</v>
      </c>
      <c r="AJ589" t="e">
        <f>VLOOKUP(A589,'Borrower Details'!$A$1:$H$1493,8,FALSE)</f>
        <v>#N/A</v>
      </c>
      <c r="AK589" s="4" t="e">
        <f t="shared" si="176"/>
        <v>#N/A</v>
      </c>
      <c r="AL589" s="10">
        <v>7.375</v>
      </c>
      <c r="AM589" s="3">
        <f t="shared" si="177"/>
        <v>139259.51234999998</v>
      </c>
      <c r="AN589">
        <v>7.375</v>
      </c>
      <c r="AO589" s="7">
        <f t="shared" si="178"/>
        <v>1019.8556392791952</v>
      </c>
      <c r="AP589" s="2">
        <f t="shared" si="179"/>
        <v>176.3943607208048</v>
      </c>
    </row>
    <row r="590" spans="1:42" x14ac:dyDescent="0.15">
      <c r="A590" s="8">
        <v>410645097</v>
      </c>
      <c r="B590" t="s">
        <v>36</v>
      </c>
      <c r="C590" t="s">
        <v>18</v>
      </c>
      <c r="D590" s="1">
        <v>39286</v>
      </c>
      <c r="E590" s="2">
        <v>194000</v>
      </c>
      <c r="F590" s="2">
        <v>174500</v>
      </c>
      <c r="G590" t="s">
        <v>20</v>
      </c>
      <c r="H590" s="2">
        <v>1266</v>
      </c>
      <c r="I590" s="2">
        <v>174088.1</v>
      </c>
      <c r="J590">
        <v>8.4000000000000005E-2</v>
      </c>
      <c r="K590">
        <v>9</v>
      </c>
      <c r="L590">
        <v>351</v>
      </c>
      <c r="M590" t="str">
        <f t="shared" si="165"/>
        <v>30 Year Fixed</v>
      </c>
      <c r="N590" s="2">
        <v>1218.6199999999999</v>
      </c>
      <c r="O590" t="str">
        <f t="shared" si="162"/>
        <v>Refi</v>
      </c>
      <c r="P590" s="3">
        <f t="shared" si="166"/>
        <v>0</v>
      </c>
      <c r="Q590" s="4">
        <v>176699</v>
      </c>
      <c r="R590" s="4" t="s">
        <v>41</v>
      </c>
      <c r="S590" s="6">
        <v>607</v>
      </c>
      <c r="T590">
        <v>6.875</v>
      </c>
      <c r="U590" s="7">
        <f t="shared" si="163"/>
        <v>1234.4112278098339</v>
      </c>
      <c r="V590" s="2">
        <f t="shared" si="167"/>
        <v>31.588772190166083</v>
      </c>
      <c r="W590" s="9">
        <f t="shared" si="168"/>
        <v>0</v>
      </c>
      <c r="X590" s="3">
        <v>176699</v>
      </c>
      <c r="Y590" s="3">
        <f t="shared" si="169"/>
        <v>-0.41527093594777398</v>
      </c>
      <c r="Z590" s="7">
        <f t="shared" si="170"/>
        <v>1234.4112278098339</v>
      </c>
      <c r="AA590" s="2">
        <f t="shared" si="164"/>
        <v>31.588772190166083</v>
      </c>
      <c r="AB590" s="8">
        <f t="shared" si="171"/>
        <v>1</v>
      </c>
      <c r="AC590" s="10">
        <v>6.25</v>
      </c>
      <c r="AD590" s="7">
        <f t="shared" si="172"/>
        <v>1161.5907193147664</v>
      </c>
      <c r="AE590" s="2">
        <f t="shared" si="173"/>
        <v>104.40928068523363</v>
      </c>
      <c r="AF590" s="10">
        <v>2.5</v>
      </c>
      <c r="AG590" s="3">
        <f t="shared" si="174"/>
        <v>4417.4750000000004</v>
      </c>
      <c r="AH590" s="7">
        <v>3490</v>
      </c>
      <c r="AI590">
        <f t="shared" si="175"/>
        <v>360</v>
      </c>
      <c r="AJ590" t="e">
        <f>VLOOKUP(A590,'Borrower Details'!$A$1:$H$1493,8,FALSE)</f>
        <v>#N/A</v>
      </c>
      <c r="AK590" s="4" t="e">
        <f t="shared" si="176"/>
        <v>#N/A</v>
      </c>
      <c r="AL590" s="10">
        <v>6.875</v>
      </c>
      <c r="AM590" s="3">
        <f t="shared" si="177"/>
        <v>176699.4215</v>
      </c>
      <c r="AN590">
        <v>6.875</v>
      </c>
      <c r="AO590" s="7">
        <f t="shared" si="178"/>
        <v>1234.4141723897835</v>
      </c>
      <c r="AP590" s="2">
        <f t="shared" si="179"/>
        <v>31.585827610216484</v>
      </c>
    </row>
    <row r="591" spans="1:42" x14ac:dyDescent="0.15">
      <c r="A591" s="8">
        <v>410138887</v>
      </c>
      <c r="B591" t="s">
        <v>35</v>
      </c>
      <c r="C591" t="s">
        <v>16</v>
      </c>
      <c r="D591" s="1">
        <v>39251</v>
      </c>
      <c r="E591" s="2">
        <v>138500</v>
      </c>
      <c r="F591" s="2">
        <v>110800</v>
      </c>
      <c r="G591" t="s">
        <v>17</v>
      </c>
      <c r="H591" s="2">
        <v>834.36</v>
      </c>
      <c r="I591" s="2">
        <v>109285.04</v>
      </c>
      <c r="J591">
        <v>8.2750000000000004E-2</v>
      </c>
      <c r="K591">
        <v>10</v>
      </c>
      <c r="L591">
        <v>350</v>
      </c>
      <c r="M591" t="str">
        <f t="shared" si="165"/>
        <v>30 Year Fixed</v>
      </c>
      <c r="N591" s="2">
        <v>753.61</v>
      </c>
      <c r="O591" t="str">
        <f t="shared" si="162"/>
        <v>Cash Out</v>
      </c>
      <c r="P591" s="3">
        <f t="shared" si="166"/>
        <v>6700.1816748768615</v>
      </c>
      <c r="Q591" s="4">
        <v>117725</v>
      </c>
      <c r="R591" s="4" t="s">
        <v>41</v>
      </c>
      <c r="S591" s="6">
        <v>563</v>
      </c>
      <c r="T591">
        <v>7.625</v>
      </c>
      <c r="U591" s="7">
        <f t="shared" si="163"/>
        <v>882.30227122932911</v>
      </c>
      <c r="V591" s="2">
        <f t="shared" si="167"/>
        <v>-47.942271229329094</v>
      </c>
      <c r="W591" s="9">
        <f t="shared" si="168"/>
        <v>1</v>
      </c>
      <c r="X591" s="3">
        <v>111255</v>
      </c>
      <c r="Y591" s="3">
        <f t="shared" si="169"/>
        <v>325.7974384236586</v>
      </c>
      <c r="Z591" s="7">
        <f t="shared" si="170"/>
        <v>833.81218250685072</v>
      </c>
      <c r="AA591" s="2">
        <f t="shared" si="164"/>
        <v>0.54781749314929584</v>
      </c>
      <c r="AB591" s="8">
        <f t="shared" si="171"/>
        <v>1</v>
      </c>
      <c r="AC591" s="10">
        <v>6.875</v>
      </c>
      <c r="AD591" s="7">
        <f t="shared" si="172"/>
        <v>777.22240165469577</v>
      </c>
      <c r="AE591" s="2">
        <f t="shared" si="173"/>
        <v>57.137598345304241</v>
      </c>
      <c r="AF591" s="10">
        <v>1</v>
      </c>
      <c r="AG591" s="3">
        <f t="shared" si="174"/>
        <v>1112.55</v>
      </c>
      <c r="AH591" s="7">
        <v>4584.3500000000004</v>
      </c>
      <c r="AI591">
        <f t="shared" si="175"/>
        <v>360</v>
      </c>
      <c r="AJ591" t="e">
        <f>VLOOKUP(A591,'Borrower Details'!$A$1:$H$1493,8,FALSE)</f>
        <v>#N/A</v>
      </c>
      <c r="AK591" s="4" t="e">
        <f t="shared" si="176"/>
        <v>#N/A</v>
      </c>
      <c r="AL591" s="10">
        <v>7.625</v>
      </c>
      <c r="AM591" s="3">
        <f t="shared" si="177"/>
        <v>110924.31559999999</v>
      </c>
      <c r="AN591">
        <v>7.625</v>
      </c>
      <c r="AO591" s="7">
        <f t="shared" si="178"/>
        <v>831.3338338368136</v>
      </c>
      <c r="AP591" s="2">
        <f t="shared" si="179"/>
        <v>3.0261661631864172</v>
      </c>
    </row>
    <row r="592" spans="1:42" x14ac:dyDescent="0.15">
      <c r="A592" s="8">
        <v>410674105</v>
      </c>
      <c r="B592" t="s">
        <v>35</v>
      </c>
      <c r="C592" t="s">
        <v>16</v>
      </c>
      <c r="D592" s="1">
        <v>39300</v>
      </c>
      <c r="E592" s="2">
        <v>160000</v>
      </c>
      <c r="F592" s="2">
        <v>136000</v>
      </c>
      <c r="G592" t="s">
        <v>20</v>
      </c>
      <c r="H592" s="2">
        <v>889.96</v>
      </c>
      <c r="I592" s="2">
        <v>135626.95000000001</v>
      </c>
      <c r="J592">
        <v>7.4499999999999997E-2</v>
      </c>
      <c r="K592">
        <v>8</v>
      </c>
      <c r="L592">
        <v>352</v>
      </c>
      <c r="M592" t="str">
        <f t="shared" si="165"/>
        <v>30 Year Fixed</v>
      </c>
      <c r="N592" s="2">
        <v>842.02</v>
      </c>
      <c r="O592" t="str">
        <f t="shared" si="162"/>
        <v>Refi</v>
      </c>
      <c r="P592" s="3">
        <f t="shared" si="166"/>
        <v>0</v>
      </c>
      <c r="Q592" s="4">
        <v>137661</v>
      </c>
      <c r="R592" s="4" t="s">
        <v>41</v>
      </c>
      <c r="S592" s="6">
        <v>665</v>
      </c>
      <c r="T592">
        <v>6.75</v>
      </c>
      <c r="U592" s="7">
        <f t="shared" si="163"/>
        <v>950.22537571676878</v>
      </c>
      <c r="V592" s="2">
        <f t="shared" si="167"/>
        <v>-60.265375716768744</v>
      </c>
      <c r="W592" s="9">
        <f t="shared" si="168"/>
        <v>0</v>
      </c>
      <c r="X592" s="3">
        <v>137661</v>
      </c>
      <c r="Y592" s="3">
        <f t="shared" si="169"/>
        <v>-0.34901477833045647</v>
      </c>
      <c r="Z592" s="7">
        <f t="shared" si="170"/>
        <v>950.22537571676878</v>
      </c>
      <c r="AA592" s="2">
        <f t="shared" si="164"/>
        <v>-60.265375716768744</v>
      </c>
      <c r="AB592" s="8">
        <f t="shared" si="171"/>
        <v>1</v>
      </c>
      <c r="AC592" s="10">
        <v>6.125</v>
      </c>
      <c r="AD592" s="7">
        <f t="shared" si="172"/>
        <v>893.80149489217308</v>
      </c>
      <c r="AE592" s="2">
        <f t="shared" si="173"/>
        <v>-3.8414948921730456</v>
      </c>
      <c r="AF592" s="10">
        <v>3</v>
      </c>
      <c r="AG592" s="3">
        <f t="shared" si="174"/>
        <v>4129.83</v>
      </c>
      <c r="AH592" s="7">
        <v>5066</v>
      </c>
      <c r="AI592">
        <f t="shared" si="175"/>
        <v>360</v>
      </c>
      <c r="AJ592" t="e">
        <f>VLOOKUP(A592,'Borrower Details'!$A$1:$H$1493,8,FALSE)</f>
        <v>#N/A</v>
      </c>
      <c r="AK592" s="4" t="e">
        <f t="shared" si="176"/>
        <v>#N/A</v>
      </c>
      <c r="AL592" s="10">
        <v>6.75</v>
      </c>
      <c r="AM592" s="3">
        <f t="shared" si="177"/>
        <v>137661.35425</v>
      </c>
      <c r="AN592">
        <v>6.75</v>
      </c>
      <c r="AO592" s="7">
        <f t="shared" si="178"/>
        <v>950.22782097969264</v>
      </c>
      <c r="AP592" s="2">
        <f t="shared" si="179"/>
        <v>-60.267820979692601</v>
      </c>
    </row>
    <row r="593" spans="1:42" x14ac:dyDescent="0.15">
      <c r="A593" s="8">
        <v>410351167</v>
      </c>
      <c r="B593" t="s">
        <v>36</v>
      </c>
      <c r="C593" t="s">
        <v>19</v>
      </c>
      <c r="D593" s="1">
        <v>39238</v>
      </c>
      <c r="E593" s="2">
        <v>168000</v>
      </c>
      <c r="F593" s="2">
        <v>123000</v>
      </c>
      <c r="G593" t="s">
        <v>17</v>
      </c>
      <c r="H593" s="2">
        <v>898.25</v>
      </c>
      <c r="I593" s="2">
        <v>122051.89</v>
      </c>
      <c r="J593">
        <v>7.9500000000000001E-2</v>
      </c>
      <c r="K593">
        <v>11</v>
      </c>
      <c r="L593">
        <v>349</v>
      </c>
      <c r="M593" t="str">
        <f t="shared" si="165"/>
        <v>30 Year Fixed</v>
      </c>
      <c r="N593" s="2">
        <v>808.59</v>
      </c>
      <c r="O593" t="str">
        <f t="shared" si="162"/>
        <v>Cash Out</v>
      </c>
      <c r="P593" s="3">
        <f t="shared" si="166"/>
        <v>18637.765172413798</v>
      </c>
      <c r="Q593" s="4">
        <v>142800</v>
      </c>
      <c r="R593" s="4" t="s">
        <v>41</v>
      </c>
      <c r="S593" s="6">
        <v>580</v>
      </c>
      <c r="T593">
        <v>7.375</v>
      </c>
      <c r="U593" s="7">
        <f t="shared" si="163"/>
        <v>1045.7841107689983</v>
      </c>
      <c r="V593" s="2">
        <f t="shared" si="167"/>
        <v>-147.53411076899829</v>
      </c>
      <c r="W593" s="9">
        <f t="shared" si="168"/>
        <v>1</v>
      </c>
      <c r="X593" s="3">
        <v>123883</v>
      </c>
      <c r="Y593" s="3">
        <f t="shared" si="169"/>
        <v>0.3267487684788648</v>
      </c>
      <c r="Z593" s="7">
        <f t="shared" si="170"/>
        <v>907.2470097646767</v>
      </c>
      <c r="AA593" s="2">
        <f t="shared" si="164"/>
        <v>-8.9970097646767044</v>
      </c>
      <c r="AB593" s="8">
        <f t="shared" si="171"/>
        <v>1</v>
      </c>
      <c r="AC593" s="10">
        <v>6.625</v>
      </c>
      <c r="AD593" s="7">
        <f t="shared" si="172"/>
        <v>844.85434457535473</v>
      </c>
      <c r="AE593" s="2">
        <f t="shared" si="173"/>
        <v>53.39565542464527</v>
      </c>
      <c r="AF593" s="10">
        <v>1.875</v>
      </c>
      <c r="AG593" s="3">
        <f t="shared" si="174"/>
        <v>2322.8062500000001</v>
      </c>
      <c r="AH593" s="7">
        <v>2460</v>
      </c>
      <c r="AI593">
        <f t="shared" si="175"/>
        <v>360</v>
      </c>
      <c r="AJ593" t="e">
        <f>VLOOKUP(A593,'Borrower Details'!$A$1:$H$1493,8,FALSE)</f>
        <v>#N/A</v>
      </c>
      <c r="AK593" s="4" t="e">
        <f t="shared" si="176"/>
        <v>#N/A</v>
      </c>
      <c r="AL593" s="10">
        <v>7.375</v>
      </c>
      <c r="AM593" s="3">
        <f t="shared" si="177"/>
        <v>123882.66834999999</v>
      </c>
      <c r="AN593">
        <v>7.375</v>
      </c>
      <c r="AO593" s="7">
        <f t="shared" si="178"/>
        <v>907.24458095304954</v>
      </c>
      <c r="AP593" s="2">
        <f t="shared" si="179"/>
        <v>-8.9945809530495353</v>
      </c>
    </row>
    <row r="594" spans="1:42" x14ac:dyDescent="0.15">
      <c r="A594" s="8">
        <v>1170373</v>
      </c>
      <c r="B594" t="s">
        <v>38</v>
      </c>
      <c r="C594" t="s">
        <v>19</v>
      </c>
      <c r="D594" s="1">
        <v>39162</v>
      </c>
      <c r="E594" s="2">
        <v>150000</v>
      </c>
      <c r="F594" s="2">
        <v>142500</v>
      </c>
      <c r="G594" t="s">
        <v>15</v>
      </c>
      <c r="H594" s="2">
        <v>1146.5899999999999</v>
      </c>
      <c r="I594" s="2">
        <v>141441.29</v>
      </c>
      <c r="J594">
        <v>0.09</v>
      </c>
      <c r="K594">
        <v>13</v>
      </c>
      <c r="L594">
        <v>347</v>
      </c>
      <c r="M594" t="str">
        <f t="shared" si="165"/>
        <v>30 Year Fixed</v>
      </c>
      <c r="N594" s="2">
        <v>1060.81</v>
      </c>
      <c r="O594" t="str">
        <f t="shared" si="162"/>
        <v>Refi</v>
      </c>
      <c r="P594" s="3">
        <f t="shared" si="166"/>
        <v>0</v>
      </c>
      <c r="Q594" s="4">
        <v>143563</v>
      </c>
      <c r="R594" s="4" t="s">
        <v>41</v>
      </c>
      <c r="S594" s="6">
        <v>605</v>
      </c>
      <c r="T594">
        <v>6.875</v>
      </c>
      <c r="U594" s="7">
        <f t="shared" si="163"/>
        <v>1002.9246294436481</v>
      </c>
      <c r="V594" s="2">
        <f t="shared" si="167"/>
        <v>143.66537055635183</v>
      </c>
      <c r="W594" s="9">
        <f t="shared" si="168"/>
        <v>0</v>
      </c>
      <c r="X594" s="3">
        <v>143563</v>
      </c>
      <c r="Y594" s="3">
        <f t="shared" si="169"/>
        <v>8.9310344832483679E-2</v>
      </c>
      <c r="Z594" s="7">
        <f t="shared" si="170"/>
        <v>1002.9246294436481</v>
      </c>
      <c r="AA594" s="2">
        <f t="shared" si="164"/>
        <v>143.66537055635183</v>
      </c>
      <c r="AB594" s="8">
        <f t="shared" si="171"/>
        <v>0</v>
      </c>
      <c r="AC594" s="10">
        <v>6.875</v>
      </c>
      <c r="AD594" s="7">
        <f t="shared" si="172"/>
        <v>1002.9246294436481</v>
      </c>
      <c r="AE594" s="2">
        <f t="shared" si="173"/>
        <v>143.66537055635183</v>
      </c>
      <c r="AF594" s="10">
        <v>0</v>
      </c>
      <c r="AG594" s="3">
        <f t="shared" si="174"/>
        <v>0</v>
      </c>
      <c r="AH594" s="7">
        <v>0</v>
      </c>
      <c r="AI594">
        <f t="shared" si="175"/>
        <v>360</v>
      </c>
      <c r="AJ594" t="e">
        <f>VLOOKUP(A594,'Borrower Details'!$A$1:$H$1493,8,FALSE)</f>
        <v>#N/A</v>
      </c>
      <c r="AK594" s="4" t="e">
        <f t="shared" si="176"/>
        <v>#N/A</v>
      </c>
      <c r="AL594" s="10">
        <v>6.875</v>
      </c>
      <c r="AM594" s="3">
        <f t="shared" si="177"/>
        <v>143562.90935</v>
      </c>
      <c r="AN594">
        <v>6.875</v>
      </c>
      <c r="AO594" s="7">
        <f t="shared" si="178"/>
        <v>1002.9239961668453</v>
      </c>
      <c r="AP594" s="2">
        <f t="shared" si="179"/>
        <v>143.6660038331546</v>
      </c>
    </row>
    <row r="595" spans="1:42" x14ac:dyDescent="0.15">
      <c r="A595" s="8">
        <v>410169817</v>
      </c>
      <c r="B595" t="s">
        <v>36</v>
      </c>
      <c r="C595" t="s">
        <v>19</v>
      </c>
      <c r="D595" s="1">
        <v>39225</v>
      </c>
      <c r="E595" s="2">
        <v>442000</v>
      </c>
      <c r="F595" s="2">
        <v>393000</v>
      </c>
      <c r="G595" t="s">
        <v>17</v>
      </c>
      <c r="H595" s="2">
        <v>3323.22</v>
      </c>
      <c r="I595" s="2">
        <v>390575.84</v>
      </c>
      <c r="J595">
        <v>9.5649999999999999E-2</v>
      </c>
      <c r="K595">
        <v>11</v>
      </c>
      <c r="L595">
        <v>348</v>
      </c>
      <c r="M595" t="str">
        <f t="shared" si="165"/>
        <v>30 Year Fixed</v>
      </c>
      <c r="N595" s="2">
        <v>3115.14</v>
      </c>
      <c r="O595" t="str">
        <f t="shared" si="162"/>
        <v>Refi</v>
      </c>
      <c r="P595" s="3">
        <f t="shared" si="166"/>
        <v>0</v>
      </c>
      <c r="Q595" s="4">
        <v>396434</v>
      </c>
      <c r="R595" s="4" t="s">
        <v>41</v>
      </c>
      <c r="S595" s="6">
        <v>547</v>
      </c>
      <c r="T595">
        <v>7.625</v>
      </c>
      <c r="U595" s="7">
        <f t="shared" si="163"/>
        <v>2971.1158937568725</v>
      </c>
      <c r="V595" s="2">
        <f t="shared" si="167"/>
        <v>352.10410624312726</v>
      </c>
      <c r="W595" s="9">
        <f t="shared" si="168"/>
        <v>0</v>
      </c>
      <c r="X595" s="3">
        <v>396435</v>
      </c>
      <c r="Y595" s="3">
        <f t="shared" si="169"/>
        <v>0.51467980298912153</v>
      </c>
      <c r="Z595" s="7">
        <f t="shared" si="170"/>
        <v>2971.123388361003</v>
      </c>
      <c r="AA595" s="2">
        <f t="shared" si="164"/>
        <v>352.09661163899682</v>
      </c>
      <c r="AB595" s="8">
        <f t="shared" si="171"/>
        <v>0</v>
      </c>
      <c r="AC595" s="10">
        <v>7.625</v>
      </c>
      <c r="AD595" s="7">
        <f t="shared" si="172"/>
        <v>2971.123388361003</v>
      </c>
      <c r="AE595" s="2">
        <f t="shared" si="173"/>
        <v>352.09661163899682</v>
      </c>
      <c r="AF595" s="10">
        <v>0</v>
      </c>
      <c r="AG595" s="3">
        <f t="shared" si="174"/>
        <v>0</v>
      </c>
      <c r="AH595" s="7">
        <v>7860</v>
      </c>
      <c r="AI595">
        <f t="shared" si="175"/>
        <v>360</v>
      </c>
      <c r="AJ595" t="e">
        <f>VLOOKUP(A595,'Borrower Details'!$A$1:$H$1493,8,FALSE)</f>
        <v>#N/A</v>
      </c>
      <c r="AK595" s="4" t="e">
        <f t="shared" si="176"/>
        <v>#N/A</v>
      </c>
      <c r="AL595" s="10">
        <v>7.625</v>
      </c>
      <c r="AM595" s="3">
        <f t="shared" si="177"/>
        <v>396434.47759999998</v>
      </c>
      <c r="AN595">
        <v>7.625</v>
      </c>
      <c r="AO595" s="7">
        <f t="shared" si="178"/>
        <v>2971.119473179805</v>
      </c>
      <c r="AP595" s="2">
        <f t="shared" si="179"/>
        <v>352.10052682019477</v>
      </c>
    </row>
    <row r="596" spans="1:42" x14ac:dyDescent="0.15">
      <c r="A596" s="8">
        <v>410318927</v>
      </c>
      <c r="B596" t="s">
        <v>37</v>
      </c>
      <c r="C596" t="s">
        <v>19</v>
      </c>
      <c r="D596" s="1">
        <v>39248</v>
      </c>
      <c r="E596" s="2">
        <v>155000</v>
      </c>
      <c r="F596" s="2">
        <v>147250</v>
      </c>
      <c r="G596" t="s">
        <v>17</v>
      </c>
      <c r="H596" s="2">
        <v>1265.1099999999999</v>
      </c>
      <c r="I596" s="2">
        <v>146757.21</v>
      </c>
      <c r="J596">
        <v>9.7500000000000003E-2</v>
      </c>
      <c r="K596">
        <v>10</v>
      </c>
      <c r="L596">
        <v>353</v>
      </c>
      <c r="M596" t="str">
        <f t="shared" si="165"/>
        <v>30 Year Fixed</v>
      </c>
      <c r="N596" s="2">
        <v>1192.4000000000001</v>
      </c>
      <c r="O596" t="str">
        <f t="shared" si="162"/>
        <v>Refi</v>
      </c>
      <c r="P596" s="3">
        <f t="shared" si="166"/>
        <v>0</v>
      </c>
      <c r="Q596" s="4">
        <v>148959</v>
      </c>
      <c r="R596" s="4" t="s">
        <v>41</v>
      </c>
      <c r="S596" s="6">
        <v>600</v>
      </c>
      <c r="T596">
        <v>6.875</v>
      </c>
      <c r="U596" s="7">
        <f t="shared" si="163"/>
        <v>1040.6208415629123</v>
      </c>
      <c r="V596" s="2">
        <f t="shared" si="167"/>
        <v>224.48915843708755</v>
      </c>
      <c r="W596" s="9">
        <f t="shared" si="168"/>
        <v>0</v>
      </c>
      <c r="X596" s="3">
        <v>148959</v>
      </c>
      <c r="Y596" s="3">
        <f t="shared" si="169"/>
        <v>0.42546798032708466</v>
      </c>
      <c r="Z596" s="7">
        <f t="shared" si="170"/>
        <v>1040.6208415629123</v>
      </c>
      <c r="AA596" s="2">
        <f t="shared" si="164"/>
        <v>224.48915843708755</v>
      </c>
      <c r="AB596" s="8">
        <f t="shared" si="171"/>
        <v>0</v>
      </c>
      <c r="AC596" s="10">
        <v>6.875</v>
      </c>
      <c r="AD596" s="7">
        <f t="shared" si="172"/>
        <v>1040.6208415629123</v>
      </c>
      <c r="AE596" s="2">
        <f t="shared" si="173"/>
        <v>224.48915843708755</v>
      </c>
      <c r="AF596" s="10">
        <v>0</v>
      </c>
      <c r="AG596" s="3">
        <f t="shared" si="174"/>
        <v>0</v>
      </c>
      <c r="AH596" s="7">
        <v>0</v>
      </c>
      <c r="AI596">
        <f t="shared" si="175"/>
        <v>360</v>
      </c>
      <c r="AJ596" t="e">
        <f>VLOOKUP(A596,'Borrower Details'!$A$1:$H$1493,8,FALSE)</f>
        <v>#N/A</v>
      </c>
      <c r="AK596" s="4" t="e">
        <f t="shared" si="176"/>
        <v>#N/A</v>
      </c>
      <c r="AL596" s="10">
        <v>6.875</v>
      </c>
      <c r="AM596" s="3">
        <f t="shared" si="177"/>
        <v>148958.56814999998</v>
      </c>
      <c r="AN596">
        <v>6.875</v>
      </c>
      <c r="AO596" s="7">
        <f t="shared" si="178"/>
        <v>1040.6178246783302</v>
      </c>
      <c r="AP596" s="2">
        <f t="shared" si="179"/>
        <v>224.49217532166972</v>
      </c>
    </row>
    <row r="597" spans="1:42" x14ac:dyDescent="0.15">
      <c r="A597" s="8">
        <v>410252845</v>
      </c>
      <c r="B597" t="s">
        <v>36</v>
      </c>
      <c r="C597" t="s">
        <v>18</v>
      </c>
      <c r="D597" s="1">
        <v>39231</v>
      </c>
      <c r="E597" s="2">
        <v>196000</v>
      </c>
      <c r="F597" s="2">
        <v>156000</v>
      </c>
      <c r="G597" t="s">
        <v>17</v>
      </c>
      <c r="H597" s="2">
        <v>1133.82</v>
      </c>
      <c r="I597" s="2">
        <v>152154.04999999999</v>
      </c>
      <c r="J597">
        <v>7.9000000000000001E-2</v>
      </c>
      <c r="K597">
        <v>11</v>
      </c>
      <c r="L597">
        <v>349</v>
      </c>
      <c r="M597" t="str">
        <f t="shared" si="165"/>
        <v>30 Year Fixed</v>
      </c>
      <c r="N597" s="2">
        <v>1001.68</v>
      </c>
      <c r="O597" t="str">
        <f t="shared" si="162"/>
        <v>Cash Out</v>
      </c>
      <c r="P597" s="3">
        <f t="shared" si="166"/>
        <v>11983.881034482794</v>
      </c>
      <c r="Q597" s="4">
        <v>166600</v>
      </c>
      <c r="R597" s="4" t="s">
        <v>41</v>
      </c>
      <c r="S597" s="6">
        <v>624</v>
      </c>
      <c r="T597">
        <v>6.75</v>
      </c>
      <c r="U597" s="7">
        <f t="shared" si="163"/>
        <v>1149.981095549311</v>
      </c>
      <c r="V597" s="2">
        <f t="shared" si="167"/>
        <v>-16.161095549311085</v>
      </c>
      <c r="W597" s="9">
        <f t="shared" si="168"/>
        <v>1</v>
      </c>
      <c r="X597" s="3">
        <v>164180</v>
      </c>
      <c r="Y597" s="3">
        <f t="shared" si="169"/>
        <v>9599.6445812808233</v>
      </c>
      <c r="Z597" s="7">
        <f t="shared" si="170"/>
        <v>1133.2766882790268</v>
      </c>
      <c r="AA597" s="2">
        <f t="shared" si="164"/>
        <v>0.54331172097317904</v>
      </c>
      <c r="AB597" s="8">
        <f t="shared" si="171"/>
        <v>1</v>
      </c>
      <c r="AC597" s="10">
        <v>6.125</v>
      </c>
      <c r="AD597" s="7">
        <f t="shared" si="172"/>
        <v>1065.9833172169097</v>
      </c>
      <c r="AE597" s="2">
        <f t="shared" si="173"/>
        <v>67.836682783090282</v>
      </c>
      <c r="AF597" s="10">
        <v>3</v>
      </c>
      <c r="AG597" s="3">
        <f t="shared" si="174"/>
        <v>4925.3999999999996</v>
      </c>
      <c r="AH597" s="7">
        <v>3120</v>
      </c>
      <c r="AI597">
        <f t="shared" si="175"/>
        <v>360</v>
      </c>
      <c r="AJ597" t="e">
        <f>VLOOKUP(A597,'Borrower Details'!$A$1:$H$1493,8,FALSE)</f>
        <v>#N/A</v>
      </c>
      <c r="AK597" s="4" t="e">
        <f t="shared" si="176"/>
        <v>#N/A</v>
      </c>
      <c r="AL597" s="10">
        <v>6.75</v>
      </c>
      <c r="AM597" s="3">
        <f t="shared" si="177"/>
        <v>154436.36074999996</v>
      </c>
      <c r="AN597">
        <v>6.75</v>
      </c>
      <c r="AO597" s="7">
        <f t="shared" si="178"/>
        <v>1066.0197798795532</v>
      </c>
      <c r="AP597" s="2">
        <f t="shared" si="179"/>
        <v>67.800220120446738</v>
      </c>
    </row>
    <row r="598" spans="1:42" x14ac:dyDescent="0.15">
      <c r="A598" s="8">
        <v>1127201</v>
      </c>
      <c r="B598" t="s">
        <v>37</v>
      </c>
      <c r="C598" t="s">
        <v>19</v>
      </c>
      <c r="D598" s="1">
        <v>39149</v>
      </c>
      <c r="E598" s="2">
        <v>284000</v>
      </c>
      <c r="F598" s="2">
        <v>261280</v>
      </c>
      <c r="G598" t="s">
        <v>15</v>
      </c>
      <c r="H598" s="2">
        <v>2283.2800000000002</v>
      </c>
      <c r="I598" s="2">
        <v>0</v>
      </c>
      <c r="J598">
        <v>9.9500000000000005E-2</v>
      </c>
      <c r="K598">
        <v>13</v>
      </c>
      <c r="L598">
        <v>348</v>
      </c>
      <c r="M598" t="str">
        <f t="shared" si="165"/>
        <v>30 Year Fixed</v>
      </c>
      <c r="N598" s="2">
        <v>0</v>
      </c>
      <c r="O598" t="str">
        <f t="shared" si="162"/>
        <v>Cash Out</v>
      </c>
      <c r="P598" s="3">
        <f t="shared" si="166"/>
        <v>237832.51231527096</v>
      </c>
      <c r="Q598" s="4">
        <v>241400</v>
      </c>
      <c r="R598" s="4" t="s">
        <v>41</v>
      </c>
      <c r="S598" s="6">
        <v>527</v>
      </c>
      <c r="T598">
        <v>7.625</v>
      </c>
      <c r="U598" s="7">
        <f t="shared" si="163"/>
        <v>1809.1974370334256</v>
      </c>
      <c r="V598" s="2">
        <f t="shared" si="167"/>
        <v>474.08256296657464</v>
      </c>
      <c r="W598" s="9">
        <f t="shared" si="168"/>
        <v>0</v>
      </c>
      <c r="X598" s="3">
        <v>241400</v>
      </c>
      <c r="Y598" s="3">
        <f t="shared" si="169"/>
        <v>237832.51231527096</v>
      </c>
      <c r="Z598" s="7">
        <f t="shared" si="170"/>
        <v>1809.1974370334256</v>
      </c>
      <c r="AA598" s="2">
        <f t="shared" si="164"/>
        <v>474.08256296657464</v>
      </c>
      <c r="AB598" s="8">
        <f t="shared" si="171"/>
        <v>0</v>
      </c>
      <c r="AC598" s="10">
        <v>7.625</v>
      </c>
      <c r="AD598" s="7">
        <f t="shared" si="172"/>
        <v>1809.1974370334256</v>
      </c>
      <c r="AE598" s="2">
        <f t="shared" si="173"/>
        <v>474.08256296657464</v>
      </c>
      <c r="AF598" s="10">
        <v>0</v>
      </c>
      <c r="AG598" s="3">
        <f t="shared" si="174"/>
        <v>0</v>
      </c>
      <c r="AH598" s="7">
        <v>2612.8000000000002</v>
      </c>
      <c r="AI598">
        <f t="shared" si="175"/>
        <v>360</v>
      </c>
      <c r="AJ598" t="e">
        <f>VLOOKUP(A598,'Borrower Details'!$A$1:$H$1493,8,FALSE)</f>
        <v>#N/A</v>
      </c>
      <c r="AK598" s="4" t="e">
        <f t="shared" si="176"/>
        <v>#N/A</v>
      </c>
      <c r="AL598" s="10">
        <v>7.625</v>
      </c>
      <c r="AM598" s="3">
        <f t="shared" si="177"/>
        <v>0</v>
      </c>
      <c r="AN598">
        <v>7.625</v>
      </c>
      <c r="AO598" s="7">
        <f t="shared" si="178"/>
        <v>0</v>
      </c>
      <c r="AP598" s="2">
        <f t="shared" si="179"/>
        <v>2283.2800000000002</v>
      </c>
    </row>
    <row r="599" spans="1:42" x14ac:dyDescent="0.15">
      <c r="A599" s="8">
        <v>1141917</v>
      </c>
      <c r="B599" t="s">
        <v>37</v>
      </c>
      <c r="C599" t="s">
        <v>19</v>
      </c>
      <c r="D599" s="1">
        <v>39148</v>
      </c>
      <c r="E599" s="2">
        <v>136000</v>
      </c>
      <c r="F599" s="2">
        <v>122400</v>
      </c>
      <c r="G599" t="s">
        <v>15</v>
      </c>
      <c r="H599" s="2">
        <v>1046.93</v>
      </c>
      <c r="I599" s="2">
        <v>122310.63</v>
      </c>
      <c r="J599">
        <v>0.10199999999999999</v>
      </c>
      <c r="K599">
        <v>13</v>
      </c>
      <c r="L599">
        <v>347</v>
      </c>
      <c r="M599" t="str">
        <f t="shared" si="165"/>
        <v>30 Year Fixed</v>
      </c>
      <c r="N599" s="2">
        <v>1039.6400000000001</v>
      </c>
      <c r="O599" t="str">
        <f t="shared" si="162"/>
        <v>Refi</v>
      </c>
      <c r="P599" s="3">
        <f t="shared" si="166"/>
        <v>0</v>
      </c>
      <c r="Q599" s="4">
        <v>124145</v>
      </c>
      <c r="R599" s="4" t="s">
        <v>41</v>
      </c>
      <c r="S599" s="6">
        <v>544</v>
      </c>
      <c r="T599">
        <v>7.625</v>
      </c>
      <c r="U599" s="7">
        <f t="shared" si="163"/>
        <v>930.41762974529672</v>
      </c>
      <c r="V599" s="2">
        <f t="shared" si="167"/>
        <v>116.51237025470334</v>
      </c>
      <c r="W599" s="9">
        <f t="shared" si="168"/>
        <v>0</v>
      </c>
      <c r="X599" s="3">
        <v>124146</v>
      </c>
      <c r="Y599" s="3">
        <f t="shared" si="169"/>
        <v>0.70004926109686494</v>
      </c>
      <c r="Z599" s="7">
        <f t="shared" si="170"/>
        <v>930.42512434942682</v>
      </c>
      <c r="AA599" s="2">
        <f t="shared" si="164"/>
        <v>116.50487565057324</v>
      </c>
      <c r="AB599" s="8">
        <f t="shared" si="171"/>
        <v>0</v>
      </c>
      <c r="AC599" s="10">
        <v>7.625</v>
      </c>
      <c r="AD599" s="7">
        <f t="shared" si="172"/>
        <v>930.42512434942682</v>
      </c>
      <c r="AE599" s="2">
        <f t="shared" si="173"/>
        <v>116.50487565057324</v>
      </c>
      <c r="AF599" s="10">
        <v>0</v>
      </c>
      <c r="AG599" s="3">
        <f t="shared" si="174"/>
        <v>0</v>
      </c>
      <c r="AH599" s="7">
        <v>0</v>
      </c>
      <c r="AI599">
        <f t="shared" si="175"/>
        <v>360</v>
      </c>
      <c r="AJ599" t="e">
        <f>VLOOKUP(A599,'Borrower Details'!$A$1:$H$1493,8,FALSE)</f>
        <v>#N/A</v>
      </c>
      <c r="AK599" s="4" t="e">
        <f t="shared" si="176"/>
        <v>#N/A</v>
      </c>
      <c r="AL599" s="10">
        <v>7.625</v>
      </c>
      <c r="AM599" s="3">
        <f t="shared" si="177"/>
        <v>124145.28945</v>
      </c>
      <c r="AN599">
        <v>7.625</v>
      </c>
      <c r="AO599" s="7">
        <f t="shared" si="178"/>
        <v>930.4197990584621</v>
      </c>
      <c r="AP599" s="2">
        <f t="shared" si="179"/>
        <v>116.51020094153796</v>
      </c>
    </row>
    <row r="600" spans="1:42" x14ac:dyDescent="0.15">
      <c r="A600" s="8">
        <v>410184147</v>
      </c>
      <c r="B600" t="s">
        <v>35</v>
      </c>
      <c r="C600" t="s">
        <v>16</v>
      </c>
      <c r="D600" s="1">
        <v>39209</v>
      </c>
      <c r="E600" s="2">
        <v>185000</v>
      </c>
      <c r="F600" s="2">
        <v>157250</v>
      </c>
      <c r="G600" t="s">
        <v>17</v>
      </c>
      <c r="H600" s="2">
        <v>1175.8499999999999</v>
      </c>
      <c r="I600" s="2">
        <v>155766.92000000001</v>
      </c>
      <c r="J600">
        <v>8.2000000000000003E-2</v>
      </c>
      <c r="K600">
        <v>11</v>
      </c>
      <c r="L600">
        <v>348</v>
      </c>
      <c r="M600" t="str">
        <f t="shared" si="165"/>
        <v>30 Year Fixed</v>
      </c>
      <c r="N600" s="2">
        <v>1065.1600000000001</v>
      </c>
      <c r="O600" t="str">
        <f t="shared" si="162"/>
        <v>Refi</v>
      </c>
      <c r="P600" s="3">
        <f t="shared" si="166"/>
        <v>0</v>
      </c>
      <c r="Q600" s="4">
        <v>158103</v>
      </c>
      <c r="R600" s="4" t="s">
        <v>41</v>
      </c>
      <c r="S600" s="6">
        <v>609</v>
      </c>
      <c r="T600">
        <v>6.875</v>
      </c>
      <c r="U600" s="7">
        <f t="shared" si="163"/>
        <v>1104.5004122854016</v>
      </c>
      <c r="V600" s="2">
        <f t="shared" si="167"/>
        <v>71.349587714598329</v>
      </c>
      <c r="W600" s="9">
        <f t="shared" si="168"/>
        <v>0</v>
      </c>
      <c r="X600" s="3">
        <v>158104</v>
      </c>
      <c r="Y600" s="3">
        <f t="shared" si="169"/>
        <v>0.56768472905969247</v>
      </c>
      <c r="Z600" s="7">
        <f t="shared" si="170"/>
        <v>1104.507398240205</v>
      </c>
      <c r="AA600" s="2">
        <f t="shared" si="164"/>
        <v>71.342601759794888</v>
      </c>
      <c r="AB600" s="8">
        <f t="shared" si="171"/>
        <v>1</v>
      </c>
      <c r="AC600" s="10">
        <v>6.25</v>
      </c>
      <c r="AD600" s="7">
        <f t="shared" si="172"/>
        <v>1039.3501892288118</v>
      </c>
      <c r="AE600" s="2">
        <f t="shared" si="173"/>
        <v>136.49981077118809</v>
      </c>
      <c r="AF600" s="10">
        <v>2.5</v>
      </c>
      <c r="AG600" s="3">
        <f t="shared" si="174"/>
        <v>3952.6</v>
      </c>
      <c r="AH600" s="7">
        <v>6447.25</v>
      </c>
      <c r="AI600">
        <f t="shared" si="175"/>
        <v>360</v>
      </c>
      <c r="AJ600" t="e">
        <f>VLOOKUP(A600,'Borrower Details'!$A$1:$H$1493,8,FALSE)</f>
        <v>#N/A</v>
      </c>
      <c r="AK600" s="4" t="e">
        <f t="shared" si="176"/>
        <v>#N/A</v>
      </c>
      <c r="AL600" s="10">
        <v>6.875</v>
      </c>
      <c r="AM600" s="3">
        <f t="shared" si="177"/>
        <v>158103.42379999999</v>
      </c>
      <c r="AN600">
        <v>6.875</v>
      </c>
      <c r="AO600" s="7">
        <f t="shared" si="178"/>
        <v>1104.5033729330471</v>
      </c>
      <c r="AP600" s="2">
        <f t="shared" si="179"/>
        <v>71.346627066952806</v>
      </c>
    </row>
    <row r="601" spans="1:42" x14ac:dyDescent="0.15">
      <c r="A601" s="8">
        <v>1136009</v>
      </c>
      <c r="B601" t="s">
        <v>38</v>
      </c>
      <c r="C601" t="s">
        <v>19</v>
      </c>
      <c r="D601" s="1">
        <v>39141</v>
      </c>
      <c r="E601" s="2">
        <v>172000</v>
      </c>
      <c r="F601" s="2">
        <v>154800</v>
      </c>
      <c r="G601" t="s">
        <v>17</v>
      </c>
      <c r="H601" s="2">
        <v>1329.98</v>
      </c>
      <c r="I601" s="2">
        <v>153733.6</v>
      </c>
      <c r="J601">
        <v>9.7500000000000003E-2</v>
      </c>
      <c r="K601">
        <v>14</v>
      </c>
      <c r="L601">
        <v>346</v>
      </c>
      <c r="M601" t="str">
        <f t="shared" si="165"/>
        <v>30 Year Fixed</v>
      </c>
      <c r="N601" s="2">
        <v>1249.0899999999999</v>
      </c>
      <c r="O601" t="str">
        <f t="shared" si="162"/>
        <v>Refi</v>
      </c>
      <c r="P601" s="3">
        <f t="shared" si="166"/>
        <v>0</v>
      </c>
      <c r="Q601" s="4">
        <v>156040</v>
      </c>
      <c r="R601" s="4" t="s">
        <v>41</v>
      </c>
      <c r="S601" s="6">
        <v>522</v>
      </c>
      <c r="T601">
        <v>7.625</v>
      </c>
      <c r="U601" s="7">
        <f t="shared" si="163"/>
        <v>1169.4580284784413</v>
      </c>
      <c r="V601" s="2">
        <f t="shared" si="167"/>
        <v>160.52197152155873</v>
      </c>
      <c r="W601" s="9">
        <f t="shared" si="168"/>
        <v>0</v>
      </c>
      <c r="X601" s="3">
        <v>156040</v>
      </c>
      <c r="Y601" s="3">
        <f t="shared" si="169"/>
        <v>0.39014778326964006</v>
      </c>
      <c r="Z601" s="7">
        <f t="shared" si="170"/>
        <v>1169.4580284784413</v>
      </c>
      <c r="AA601" s="2">
        <f t="shared" si="164"/>
        <v>160.52197152155873</v>
      </c>
      <c r="AB601" s="8">
        <f t="shared" si="171"/>
        <v>0</v>
      </c>
      <c r="AC601" s="10">
        <v>7.625</v>
      </c>
      <c r="AD601" s="7">
        <f t="shared" si="172"/>
        <v>1169.4580284784413</v>
      </c>
      <c r="AE601" s="2">
        <f t="shared" si="173"/>
        <v>160.52197152155873</v>
      </c>
      <c r="AF601" s="10">
        <v>0</v>
      </c>
      <c r="AG601" s="3">
        <f t="shared" si="174"/>
        <v>0</v>
      </c>
      <c r="AH601" s="7">
        <v>0</v>
      </c>
      <c r="AI601">
        <f t="shared" si="175"/>
        <v>360</v>
      </c>
      <c r="AJ601" t="e">
        <f>VLOOKUP(A601,'Borrower Details'!$A$1:$H$1493,8,FALSE)</f>
        <v>#N/A</v>
      </c>
      <c r="AK601" s="4" t="e">
        <f t="shared" si="176"/>
        <v>#N/A</v>
      </c>
      <c r="AL601" s="10">
        <v>7.625</v>
      </c>
      <c r="AM601" s="3">
        <f t="shared" si="177"/>
        <v>156039.60399999999</v>
      </c>
      <c r="AN601">
        <v>7.625</v>
      </c>
      <c r="AO601" s="7">
        <f t="shared" si="178"/>
        <v>1169.4550606152056</v>
      </c>
      <c r="AP601" s="2">
        <f t="shared" si="179"/>
        <v>160.52493938479438</v>
      </c>
    </row>
    <row r="602" spans="1:42" x14ac:dyDescent="0.15">
      <c r="A602" s="8">
        <v>1150915</v>
      </c>
      <c r="B602" t="s">
        <v>38</v>
      </c>
      <c r="C602" t="s">
        <v>19</v>
      </c>
      <c r="D602" s="1">
        <v>39156</v>
      </c>
      <c r="E602" s="2">
        <v>69000</v>
      </c>
      <c r="F602" s="2">
        <v>62000</v>
      </c>
      <c r="G602" t="s">
        <v>15</v>
      </c>
      <c r="H602" s="2">
        <v>510.06</v>
      </c>
      <c r="I602" s="2">
        <v>61562.19</v>
      </c>
      <c r="J602">
        <v>9.2499999999999999E-2</v>
      </c>
      <c r="K602">
        <v>13</v>
      </c>
      <c r="L602">
        <v>347</v>
      </c>
      <c r="M602" t="str">
        <f t="shared" si="165"/>
        <v>30 Year Fixed</v>
      </c>
      <c r="N602" s="2">
        <v>474.54</v>
      </c>
      <c r="O602" t="str">
        <f t="shared" si="162"/>
        <v>Refi</v>
      </c>
      <c r="P602" s="3">
        <f t="shared" si="166"/>
        <v>0</v>
      </c>
      <c r="Q602" s="4">
        <v>62486</v>
      </c>
      <c r="R602" s="4" t="s">
        <v>41</v>
      </c>
      <c r="S602" s="6">
        <v>552</v>
      </c>
      <c r="T602">
        <v>7.625</v>
      </c>
      <c r="U602" s="7">
        <f t="shared" si="163"/>
        <v>468.30783368049146</v>
      </c>
      <c r="V602" s="2">
        <f t="shared" si="167"/>
        <v>41.752166319508547</v>
      </c>
      <c r="W602" s="9">
        <f t="shared" si="168"/>
        <v>0</v>
      </c>
      <c r="X602" s="3">
        <v>62486</v>
      </c>
      <c r="Y602" s="3">
        <f t="shared" si="169"/>
        <v>0.37157635468611261</v>
      </c>
      <c r="Z602" s="7">
        <f t="shared" si="170"/>
        <v>468.30783368049146</v>
      </c>
      <c r="AA602" s="2">
        <f t="shared" si="164"/>
        <v>41.752166319508547</v>
      </c>
      <c r="AB602" s="8">
        <f t="shared" si="171"/>
        <v>1</v>
      </c>
      <c r="AC602" s="10">
        <v>6.5</v>
      </c>
      <c r="AD602" s="7">
        <f t="shared" si="172"/>
        <v>420.98985849314812</v>
      </c>
      <c r="AE602" s="2">
        <f t="shared" si="173"/>
        <v>89.070141506851883</v>
      </c>
      <c r="AF602" s="10">
        <v>2.625</v>
      </c>
      <c r="AG602" s="3">
        <f t="shared" si="174"/>
        <v>1640.2574999999999</v>
      </c>
      <c r="AH602" s="7">
        <v>0</v>
      </c>
      <c r="AI602">
        <f t="shared" si="175"/>
        <v>360</v>
      </c>
      <c r="AJ602" t="e">
        <f>VLOOKUP(A602,'Borrower Details'!$A$1:$H$1493,8,FALSE)</f>
        <v>#N/A</v>
      </c>
      <c r="AK602" s="4" t="e">
        <f t="shared" si="176"/>
        <v>#N/A</v>
      </c>
      <c r="AL602" s="10">
        <v>7.625</v>
      </c>
      <c r="AM602" s="3">
        <f t="shared" si="177"/>
        <v>62485.62285</v>
      </c>
      <c r="AN602">
        <v>7.625</v>
      </c>
      <c r="AO602" s="7">
        <f t="shared" si="178"/>
        <v>468.30500709054377</v>
      </c>
      <c r="AP602" s="2">
        <f t="shared" si="179"/>
        <v>41.754992909456234</v>
      </c>
    </row>
    <row r="603" spans="1:42" x14ac:dyDescent="0.15">
      <c r="A603" s="8">
        <v>410531073</v>
      </c>
      <c r="B603" t="s">
        <v>36</v>
      </c>
      <c r="C603" t="s">
        <v>19</v>
      </c>
      <c r="D603" s="1">
        <v>39262</v>
      </c>
      <c r="E603" s="2">
        <v>660000</v>
      </c>
      <c r="F603" s="2">
        <v>495000</v>
      </c>
      <c r="G603" t="s">
        <v>17</v>
      </c>
      <c r="H603" s="2">
        <v>3035.32</v>
      </c>
      <c r="I603" s="2">
        <v>494117.13</v>
      </c>
      <c r="J603">
        <v>7.1499999999999994E-2</v>
      </c>
      <c r="K603">
        <v>10</v>
      </c>
      <c r="L603">
        <v>350</v>
      </c>
      <c r="M603" t="str">
        <f t="shared" si="165"/>
        <v>30 Year Fixed</v>
      </c>
      <c r="N603" s="2">
        <v>2944.11</v>
      </c>
      <c r="O603" t="str">
        <f t="shared" si="162"/>
        <v>Cash Out</v>
      </c>
      <c r="P603" s="3">
        <f t="shared" si="166"/>
        <v>58592.229605911416</v>
      </c>
      <c r="Q603" s="4">
        <v>561000</v>
      </c>
      <c r="R603" s="4" t="s">
        <v>41</v>
      </c>
      <c r="S603" s="6">
        <v>583</v>
      </c>
      <c r="T603">
        <v>7.625</v>
      </c>
      <c r="U603" s="7">
        <f t="shared" si="163"/>
        <v>4204.4729170495102</v>
      </c>
      <c r="V603" s="2">
        <f t="shared" si="167"/>
        <v>-1169.1529170495101</v>
      </c>
      <c r="W603" s="9">
        <f t="shared" si="168"/>
        <v>1</v>
      </c>
      <c r="X603" s="3">
        <v>501529</v>
      </c>
      <c r="Y603" s="3">
        <f t="shared" si="169"/>
        <v>0.11137931037228554</v>
      </c>
      <c r="Z603" s="7">
        <f t="shared" si="170"/>
        <v>3758.761314821611</v>
      </c>
      <c r="AA603" s="2">
        <f t="shared" si="164"/>
        <v>-723.44131482161083</v>
      </c>
      <c r="AB603" s="8">
        <f t="shared" si="171"/>
        <v>1</v>
      </c>
      <c r="AC603" s="10">
        <v>6.875</v>
      </c>
      <c r="AD603" s="7">
        <f t="shared" si="172"/>
        <v>3503.6589266053466</v>
      </c>
      <c r="AE603" s="2">
        <f t="shared" si="173"/>
        <v>-468.33892660534639</v>
      </c>
      <c r="AF603" s="10">
        <v>1.75</v>
      </c>
      <c r="AG603" s="3">
        <f t="shared" si="174"/>
        <v>8776.7574999999997</v>
      </c>
      <c r="AH603" s="7">
        <v>9900</v>
      </c>
      <c r="AI603">
        <f t="shared" si="175"/>
        <v>360</v>
      </c>
      <c r="AJ603" t="e">
        <f>VLOOKUP(A603,'Borrower Details'!$A$1:$H$1493,8,FALSE)</f>
        <v>#N/A</v>
      </c>
      <c r="AK603" s="4" t="e">
        <f t="shared" si="176"/>
        <v>#N/A</v>
      </c>
      <c r="AL603" s="10">
        <v>7.625</v>
      </c>
      <c r="AM603" s="3">
        <f t="shared" si="177"/>
        <v>501528.88694999996</v>
      </c>
      <c r="AN603">
        <v>7.625</v>
      </c>
      <c r="AO603" s="7">
        <f t="shared" si="178"/>
        <v>3758.7604675566135</v>
      </c>
      <c r="AP603" s="2">
        <f t="shared" si="179"/>
        <v>-723.44046755661338</v>
      </c>
    </row>
    <row r="604" spans="1:42" x14ac:dyDescent="0.15">
      <c r="A604" s="8">
        <v>1152323</v>
      </c>
      <c r="B604" t="s">
        <v>36</v>
      </c>
      <c r="C604" t="s">
        <v>19</v>
      </c>
      <c r="D604" s="1">
        <v>39146</v>
      </c>
      <c r="E604" s="2">
        <v>130000</v>
      </c>
      <c r="F604" s="2">
        <v>80000</v>
      </c>
      <c r="G604" t="s">
        <v>17</v>
      </c>
      <c r="H604" s="2">
        <v>573.13</v>
      </c>
      <c r="I604" s="2">
        <v>79234.87</v>
      </c>
      <c r="J604">
        <v>7.7499999999999999E-2</v>
      </c>
      <c r="K604">
        <v>13</v>
      </c>
      <c r="L604">
        <v>347</v>
      </c>
      <c r="M604" t="str">
        <f t="shared" si="165"/>
        <v>30 Year Fixed</v>
      </c>
      <c r="N604" s="2">
        <v>511.73</v>
      </c>
      <c r="O604" t="str">
        <f t="shared" si="162"/>
        <v>Cash Out</v>
      </c>
      <c r="P604" s="3">
        <f t="shared" si="166"/>
        <v>29632.125073891642</v>
      </c>
      <c r="Q604" s="4">
        <v>110500</v>
      </c>
      <c r="R604" s="4" t="s">
        <v>41</v>
      </c>
      <c r="S604" s="6">
        <v>546</v>
      </c>
      <c r="T604">
        <v>7.625</v>
      </c>
      <c r="U604" s="7">
        <f t="shared" si="163"/>
        <v>828.15375638853982</v>
      </c>
      <c r="V604" s="2">
        <f t="shared" si="167"/>
        <v>-255.02375638853982</v>
      </c>
      <c r="W604" s="9">
        <f t="shared" si="168"/>
        <v>1</v>
      </c>
      <c r="X604" s="3">
        <v>80424</v>
      </c>
      <c r="Y604" s="3">
        <f t="shared" si="169"/>
        <v>0.59798029558442067</v>
      </c>
      <c r="Z604" s="7">
        <f t="shared" si="170"/>
        <v>602.74604256825273</v>
      </c>
      <c r="AA604" s="2">
        <f t="shared" si="164"/>
        <v>-29.616042568252738</v>
      </c>
      <c r="AB604" s="8">
        <f t="shared" si="171"/>
        <v>1</v>
      </c>
      <c r="AC604" s="10">
        <v>6.875</v>
      </c>
      <c r="AD604" s="7">
        <f t="shared" si="172"/>
        <v>561.83842911039721</v>
      </c>
      <c r="AE604" s="2">
        <f t="shared" si="173"/>
        <v>11.291570889602781</v>
      </c>
      <c r="AF604" s="10">
        <v>1.25</v>
      </c>
      <c r="AG604" s="3">
        <f t="shared" si="174"/>
        <v>1005.3</v>
      </c>
      <c r="AH604" s="7">
        <v>1600</v>
      </c>
      <c r="AI604">
        <f t="shared" si="175"/>
        <v>360</v>
      </c>
      <c r="AJ604" t="e">
        <f>VLOOKUP(A604,'Borrower Details'!$A$1:$H$1493,8,FALSE)</f>
        <v>#N/A</v>
      </c>
      <c r="AK604" s="4" t="e">
        <f t="shared" si="176"/>
        <v>#N/A</v>
      </c>
      <c r="AL604" s="10">
        <v>7.625</v>
      </c>
      <c r="AM604" s="3">
        <f t="shared" si="177"/>
        <v>80423.393049999984</v>
      </c>
      <c r="AN604">
        <v>7.625</v>
      </c>
      <c r="AO604" s="7">
        <f t="shared" si="178"/>
        <v>602.74149371827582</v>
      </c>
      <c r="AP604" s="2">
        <f t="shared" si="179"/>
        <v>-29.611493718275824</v>
      </c>
    </row>
    <row r="605" spans="1:42" x14ac:dyDescent="0.15">
      <c r="A605" s="8">
        <v>1155366</v>
      </c>
      <c r="B605" t="s">
        <v>35</v>
      </c>
      <c r="C605" t="s">
        <v>16</v>
      </c>
      <c r="D605" s="1">
        <v>39141</v>
      </c>
      <c r="E605" s="2">
        <v>101000</v>
      </c>
      <c r="F605" s="2">
        <v>85000</v>
      </c>
      <c r="G605" t="s">
        <v>17</v>
      </c>
      <c r="H605" s="2">
        <v>659.61</v>
      </c>
      <c r="I605" s="2">
        <v>84204.18</v>
      </c>
      <c r="J605">
        <v>8.5999999999999993E-2</v>
      </c>
      <c r="K605">
        <v>14</v>
      </c>
      <c r="L605">
        <v>345</v>
      </c>
      <c r="M605" t="str">
        <f t="shared" si="165"/>
        <v>30 Year Fixed</v>
      </c>
      <c r="N605" s="2">
        <v>603.46</v>
      </c>
      <c r="O605" t="str">
        <f t="shared" si="162"/>
        <v>Cash Out</v>
      </c>
      <c r="P605" s="3">
        <f t="shared" si="166"/>
        <v>377.10078817735484</v>
      </c>
      <c r="Q605" s="4">
        <v>85850</v>
      </c>
      <c r="R605" s="4" t="s">
        <v>41</v>
      </c>
      <c r="S605" s="6">
        <v>641</v>
      </c>
      <c r="T605">
        <v>6.875</v>
      </c>
      <c r="U605" s="7">
        <f t="shared" si="163"/>
        <v>599.74421987376411</v>
      </c>
      <c r="V605" s="2">
        <f t="shared" si="167"/>
        <v>59.865780126235904</v>
      </c>
      <c r="W605" s="9">
        <f t="shared" si="168"/>
        <v>0</v>
      </c>
      <c r="X605" s="3">
        <v>85850</v>
      </c>
      <c r="Y605" s="3">
        <f t="shared" si="169"/>
        <v>377.10078817735484</v>
      </c>
      <c r="Z605" s="7">
        <f t="shared" si="170"/>
        <v>599.74421987376411</v>
      </c>
      <c r="AA605" s="2">
        <f t="shared" si="164"/>
        <v>59.865780126235904</v>
      </c>
      <c r="AB605" s="8">
        <f t="shared" si="171"/>
        <v>0</v>
      </c>
      <c r="AC605" s="10">
        <v>6.875</v>
      </c>
      <c r="AD605" s="7">
        <f t="shared" si="172"/>
        <v>599.74421987376411</v>
      </c>
      <c r="AE605" s="2">
        <f t="shared" si="173"/>
        <v>59.865780126235904</v>
      </c>
      <c r="AF605" s="10">
        <v>0</v>
      </c>
      <c r="AG605" s="3">
        <f t="shared" si="174"/>
        <v>0</v>
      </c>
      <c r="AH605" s="7">
        <v>3655</v>
      </c>
      <c r="AI605">
        <f t="shared" si="175"/>
        <v>360</v>
      </c>
      <c r="AJ605" t="e">
        <f>VLOOKUP(A605,'Borrower Details'!$A$1:$H$1493,8,FALSE)</f>
        <v>#N/A</v>
      </c>
      <c r="AK605" s="4" t="e">
        <f t="shared" si="176"/>
        <v>#N/A</v>
      </c>
      <c r="AL605" s="10">
        <v>6.875</v>
      </c>
      <c r="AM605" s="3">
        <f t="shared" si="177"/>
        <v>85467.242699999988</v>
      </c>
      <c r="AN605">
        <v>6.875</v>
      </c>
      <c r="AO605" s="7">
        <f t="shared" si="178"/>
        <v>597.07029467528423</v>
      </c>
      <c r="AP605" s="2">
        <f t="shared" si="179"/>
        <v>62.539705324715783</v>
      </c>
    </row>
    <row r="606" spans="1:42" x14ac:dyDescent="0.15">
      <c r="A606" s="8">
        <v>410041685</v>
      </c>
      <c r="B606" t="s">
        <v>35</v>
      </c>
      <c r="C606" t="s">
        <v>16</v>
      </c>
      <c r="D606" s="1">
        <v>39205</v>
      </c>
      <c r="E606" s="2">
        <v>116000</v>
      </c>
      <c r="F606" s="2">
        <v>92800</v>
      </c>
      <c r="G606" t="s">
        <v>15</v>
      </c>
      <c r="H606" s="2">
        <v>639.37</v>
      </c>
      <c r="I606" s="2">
        <v>91994.99</v>
      </c>
      <c r="J606">
        <v>7.3499999999999996E-2</v>
      </c>
      <c r="K606">
        <v>12</v>
      </c>
      <c r="L606">
        <v>349</v>
      </c>
      <c r="M606" t="str">
        <f t="shared" si="165"/>
        <v>30 Year Fixed</v>
      </c>
      <c r="N606" s="2">
        <v>563.47</v>
      </c>
      <c r="O606" t="str">
        <f t="shared" si="162"/>
        <v>Cash Out</v>
      </c>
      <c r="P606" s="3">
        <f t="shared" si="166"/>
        <v>5147.8671428571397</v>
      </c>
      <c r="Q606" s="4">
        <v>98600</v>
      </c>
      <c r="R606" s="4" t="s">
        <v>41</v>
      </c>
      <c r="S606" s="6">
        <v>595</v>
      </c>
      <c r="T606">
        <v>7.625</v>
      </c>
      <c r="U606" s="7">
        <f t="shared" si="163"/>
        <v>738.96796723900491</v>
      </c>
      <c r="V606" s="2">
        <f t="shared" si="167"/>
        <v>-99.597967239004902</v>
      </c>
      <c r="W606" s="9">
        <f t="shared" si="168"/>
        <v>1</v>
      </c>
      <c r="X606" s="3">
        <v>93375</v>
      </c>
      <c r="Y606" s="3">
        <f t="shared" si="169"/>
        <v>8.3891625617980026E-2</v>
      </c>
      <c r="Z606" s="7">
        <f t="shared" si="170"/>
        <v>699.80866065864177</v>
      </c>
      <c r="AA606" s="2">
        <f t="shared" si="164"/>
        <v>-60.438660658641766</v>
      </c>
      <c r="AB606" s="8">
        <f t="shared" si="171"/>
        <v>1</v>
      </c>
      <c r="AC606" s="10">
        <v>6.875</v>
      </c>
      <c r="AD606" s="7">
        <f t="shared" si="172"/>
        <v>652.31352976951337</v>
      </c>
      <c r="AE606" s="2">
        <f t="shared" si="173"/>
        <v>-12.943529769513361</v>
      </c>
      <c r="AF606" s="10">
        <v>1</v>
      </c>
      <c r="AG606" s="3">
        <f t="shared" si="174"/>
        <v>933.75</v>
      </c>
      <c r="AH606" s="7">
        <v>3410.4</v>
      </c>
      <c r="AI606">
        <f t="shared" si="175"/>
        <v>360</v>
      </c>
      <c r="AJ606" t="e">
        <f>VLOOKUP(A606,'Borrower Details'!$A$1:$H$1493,8,FALSE)</f>
        <v>#N/A</v>
      </c>
      <c r="AK606" s="4" t="e">
        <f t="shared" si="176"/>
        <v>#N/A</v>
      </c>
      <c r="AL606" s="10">
        <v>7.625</v>
      </c>
      <c r="AM606" s="3">
        <f t="shared" si="177"/>
        <v>93374.914850000001</v>
      </c>
      <c r="AN606">
        <v>7.625</v>
      </c>
      <c r="AO606" s="7">
        <f t="shared" si="178"/>
        <v>699.80802249310011</v>
      </c>
      <c r="AP606" s="2">
        <f t="shared" si="179"/>
        <v>-60.438022493100107</v>
      </c>
    </row>
    <row r="607" spans="1:42" x14ac:dyDescent="0.15">
      <c r="A607" s="8">
        <v>1180661</v>
      </c>
      <c r="B607" t="s">
        <v>36</v>
      </c>
      <c r="C607" t="s">
        <v>19</v>
      </c>
      <c r="D607" s="1">
        <v>39168</v>
      </c>
      <c r="E607" s="2">
        <v>260000</v>
      </c>
      <c r="F607" s="2">
        <v>221000</v>
      </c>
      <c r="G607" t="s">
        <v>15</v>
      </c>
      <c r="H607" s="2">
        <v>1371.76</v>
      </c>
      <c r="I607" s="2">
        <v>219863.15</v>
      </c>
      <c r="J607">
        <v>6.9900000000000004E-2</v>
      </c>
      <c r="K607">
        <v>13</v>
      </c>
      <c r="L607">
        <v>347</v>
      </c>
      <c r="M607" t="str">
        <f t="shared" si="165"/>
        <v>30 Year Fixed</v>
      </c>
      <c r="N607" s="2">
        <v>1280.7</v>
      </c>
      <c r="O607" t="str">
        <f t="shared" si="162"/>
        <v>Refi</v>
      </c>
      <c r="P607" s="3">
        <f t="shared" si="166"/>
        <v>0</v>
      </c>
      <c r="Q607" s="4">
        <v>223161</v>
      </c>
      <c r="R607" s="4" t="s">
        <v>41</v>
      </c>
      <c r="S607" s="6">
        <v>659</v>
      </c>
      <c r="T607">
        <v>6.75</v>
      </c>
      <c r="U607" s="7">
        <f t="shared" si="163"/>
        <v>1540.4017482825918</v>
      </c>
      <c r="V607" s="2">
        <f t="shared" si="167"/>
        <v>-168.64174828259183</v>
      </c>
      <c r="W607" s="9">
        <f t="shared" si="168"/>
        <v>0</v>
      </c>
      <c r="X607" s="3">
        <v>223161</v>
      </c>
      <c r="Y607" s="3">
        <f t="shared" si="169"/>
        <v>-9.58128078491427E-2</v>
      </c>
      <c r="Z607" s="7">
        <f t="shared" si="170"/>
        <v>1540.4017482825918</v>
      </c>
      <c r="AA607" s="2">
        <f t="shared" si="164"/>
        <v>-168.64174828259183</v>
      </c>
      <c r="AB607" s="8">
        <f t="shared" si="171"/>
        <v>1</v>
      </c>
      <c r="AC607" s="10">
        <v>6.125</v>
      </c>
      <c r="AD607" s="7">
        <f t="shared" si="172"/>
        <v>1448.9335062336629</v>
      </c>
      <c r="AE607" s="2">
        <f t="shared" si="173"/>
        <v>-77.17350623366292</v>
      </c>
      <c r="AF607" s="10">
        <v>3</v>
      </c>
      <c r="AG607" s="3">
        <f t="shared" si="174"/>
        <v>6694.83</v>
      </c>
      <c r="AH607" s="7">
        <v>4420</v>
      </c>
      <c r="AI607">
        <f t="shared" si="175"/>
        <v>360</v>
      </c>
      <c r="AJ607" t="e">
        <f>VLOOKUP(A607,'Borrower Details'!$A$1:$H$1493,8,FALSE)</f>
        <v>#N/A</v>
      </c>
      <c r="AK607" s="4" t="e">
        <f t="shared" si="176"/>
        <v>#N/A</v>
      </c>
      <c r="AL607" s="10">
        <v>6.75</v>
      </c>
      <c r="AM607" s="3">
        <f t="shared" si="177"/>
        <v>223161.09724999996</v>
      </c>
      <c r="AN607">
        <v>6.75</v>
      </c>
      <c r="AO607" s="7">
        <f t="shared" si="178"/>
        <v>1540.4024195650736</v>
      </c>
      <c r="AP607" s="2">
        <f t="shared" si="179"/>
        <v>-168.64241956507362</v>
      </c>
    </row>
    <row r="608" spans="1:42" x14ac:dyDescent="0.15">
      <c r="A608" s="8">
        <v>1172467</v>
      </c>
      <c r="B608" t="s">
        <v>38</v>
      </c>
      <c r="C608" t="s">
        <v>19</v>
      </c>
      <c r="D608" s="1">
        <v>39162</v>
      </c>
      <c r="E608" s="2">
        <v>139000</v>
      </c>
      <c r="F608" s="2">
        <v>132050</v>
      </c>
      <c r="G608" t="s">
        <v>15</v>
      </c>
      <c r="H608" s="2">
        <v>1053.02</v>
      </c>
      <c r="I608" s="2">
        <v>131048.76</v>
      </c>
      <c r="J608">
        <v>8.8999999999999996E-2</v>
      </c>
      <c r="K608">
        <v>13</v>
      </c>
      <c r="L608">
        <v>347</v>
      </c>
      <c r="M608" t="str">
        <f t="shared" si="165"/>
        <v>30 Year Fixed</v>
      </c>
      <c r="N608" s="2">
        <v>971.94</v>
      </c>
      <c r="O608" t="str">
        <f t="shared" si="162"/>
        <v>Refi</v>
      </c>
      <c r="P608" s="3">
        <f t="shared" si="166"/>
        <v>0</v>
      </c>
      <c r="Q608" s="4">
        <v>133014</v>
      </c>
      <c r="R608" s="4" t="s">
        <v>41</v>
      </c>
      <c r="S608" s="6">
        <v>596</v>
      </c>
      <c r="T608">
        <v>7.375</v>
      </c>
      <c r="U608" s="7">
        <f t="shared" si="163"/>
        <v>974.11714082512287</v>
      </c>
      <c r="V608" s="2">
        <f t="shared" si="167"/>
        <v>78.902859174877108</v>
      </c>
      <c r="W608" s="9">
        <f t="shared" si="168"/>
        <v>0</v>
      </c>
      <c r="X608" s="3">
        <v>133015</v>
      </c>
      <c r="Y608" s="3">
        <f t="shared" si="169"/>
        <v>0.50108374386036303</v>
      </c>
      <c r="Z608" s="7">
        <f t="shared" si="170"/>
        <v>974.12446424326549</v>
      </c>
      <c r="AA608" s="2">
        <f t="shared" si="164"/>
        <v>78.895535756734489</v>
      </c>
      <c r="AB608" s="8">
        <f t="shared" si="171"/>
        <v>1</v>
      </c>
      <c r="AC608" s="10">
        <v>6.375</v>
      </c>
      <c r="AD608" s="7">
        <f t="shared" si="172"/>
        <v>885.2634625942469</v>
      </c>
      <c r="AE608" s="2">
        <f t="shared" si="173"/>
        <v>167.75653740575308</v>
      </c>
      <c r="AF608" s="10">
        <v>2.625</v>
      </c>
      <c r="AG608" s="3">
        <f t="shared" si="174"/>
        <v>3491.6437500000002</v>
      </c>
      <c r="AH608" s="7">
        <v>0</v>
      </c>
      <c r="AI608">
        <f t="shared" si="175"/>
        <v>360</v>
      </c>
      <c r="AJ608" t="e">
        <f>VLOOKUP(A608,'Borrower Details'!$A$1:$H$1493,8,FALSE)</f>
        <v>#N/A</v>
      </c>
      <c r="AK608" s="4" t="e">
        <f t="shared" si="176"/>
        <v>#N/A</v>
      </c>
      <c r="AL608" s="10">
        <v>7.375</v>
      </c>
      <c r="AM608" s="3">
        <f t="shared" si="177"/>
        <v>133014.49139999997</v>
      </c>
      <c r="AN608">
        <v>7.375</v>
      </c>
      <c r="AO608" s="7">
        <f t="shared" si="178"/>
        <v>974.120739552798</v>
      </c>
      <c r="AP608" s="2">
        <f t="shared" si="179"/>
        <v>78.899260447201982</v>
      </c>
    </row>
    <row r="609" spans="1:42" x14ac:dyDescent="0.15">
      <c r="A609" s="8">
        <v>1172115</v>
      </c>
      <c r="B609" t="s">
        <v>38</v>
      </c>
      <c r="C609" t="s">
        <v>19</v>
      </c>
      <c r="D609" s="1">
        <v>39182</v>
      </c>
      <c r="E609" s="2">
        <v>185000</v>
      </c>
      <c r="F609" s="2">
        <v>175750</v>
      </c>
      <c r="G609" t="s">
        <v>15</v>
      </c>
      <c r="H609" s="2">
        <v>1328.67</v>
      </c>
      <c r="I609" s="2">
        <v>174333.79</v>
      </c>
      <c r="J609">
        <v>8.7999999999999995E-2</v>
      </c>
      <c r="K609">
        <v>12</v>
      </c>
      <c r="L609">
        <v>348</v>
      </c>
      <c r="M609" t="str">
        <f t="shared" si="165"/>
        <v>30 Year Fixed</v>
      </c>
      <c r="N609" s="2">
        <v>1278.45</v>
      </c>
      <c r="O609" t="str">
        <f t="shared" si="162"/>
        <v>Refi</v>
      </c>
      <c r="P609" s="3">
        <f t="shared" si="166"/>
        <v>0</v>
      </c>
      <c r="Q609" s="4">
        <v>176949</v>
      </c>
      <c r="R609" s="4" t="s">
        <v>41</v>
      </c>
      <c r="S609" s="6">
        <v>585</v>
      </c>
      <c r="T609">
        <v>7.375</v>
      </c>
      <c r="U609" s="7">
        <f t="shared" si="163"/>
        <v>1295.8715169220131</v>
      </c>
      <c r="V609" s="2">
        <f t="shared" si="167"/>
        <v>32.79848307798693</v>
      </c>
      <c r="W609" s="9">
        <f t="shared" si="168"/>
        <v>0</v>
      </c>
      <c r="X609" s="3">
        <v>176949</v>
      </c>
      <c r="Y609" s="3">
        <f t="shared" si="169"/>
        <v>0.20014778326731175</v>
      </c>
      <c r="Z609" s="7">
        <f t="shared" si="170"/>
        <v>1295.8715169220131</v>
      </c>
      <c r="AA609" s="2">
        <f t="shared" si="164"/>
        <v>32.79848307798693</v>
      </c>
      <c r="AB609" s="8">
        <f t="shared" si="171"/>
        <v>1</v>
      </c>
      <c r="AC609" s="10">
        <v>6.375</v>
      </c>
      <c r="AD609" s="7">
        <f t="shared" si="172"/>
        <v>1177.6602972791745</v>
      </c>
      <c r="AE609" s="2">
        <f t="shared" si="173"/>
        <v>151.00970272082554</v>
      </c>
      <c r="AF609" s="10">
        <v>2.625</v>
      </c>
      <c r="AG609" s="3">
        <f t="shared" si="174"/>
        <v>4644.9112500000001</v>
      </c>
      <c r="AH609" s="7">
        <v>0</v>
      </c>
      <c r="AI609">
        <f t="shared" si="175"/>
        <v>360</v>
      </c>
      <c r="AJ609" t="e">
        <f>VLOOKUP(A609,'Borrower Details'!$A$1:$H$1493,8,FALSE)</f>
        <v>#N/A</v>
      </c>
      <c r="AK609" s="4" t="e">
        <f t="shared" si="176"/>
        <v>#N/A</v>
      </c>
      <c r="AL609" s="10">
        <v>7.375</v>
      </c>
      <c r="AM609" s="3">
        <f t="shared" si="177"/>
        <v>176948.79684999998</v>
      </c>
      <c r="AN609">
        <v>7.375</v>
      </c>
      <c r="AO609" s="7">
        <f t="shared" si="178"/>
        <v>1295.8700291696175</v>
      </c>
      <c r="AP609" s="2">
        <f t="shared" si="179"/>
        <v>32.799970830382563</v>
      </c>
    </row>
    <row r="610" spans="1:42" x14ac:dyDescent="0.15">
      <c r="A610" s="8">
        <v>1150433</v>
      </c>
      <c r="B610" t="s">
        <v>36</v>
      </c>
      <c r="C610" t="s">
        <v>19</v>
      </c>
      <c r="D610" s="1">
        <v>39140</v>
      </c>
      <c r="E610" s="2">
        <v>305000</v>
      </c>
      <c r="F610" s="2">
        <v>259250</v>
      </c>
      <c r="G610" t="s">
        <v>15</v>
      </c>
      <c r="H610" s="2">
        <v>1669.88</v>
      </c>
      <c r="I610" s="2">
        <v>258507.09</v>
      </c>
      <c r="J610">
        <v>7.5499999999999998E-2</v>
      </c>
      <c r="K610">
        <v>14</v>
      </c>
      <c r="L610">
        <v>346</v>
      </c>
      <c r="M610" t="str">
        <f t="shared" si="165"/>
        <v>30 Year Fixed</v>
      </c>
      <c r="N610" s="2">
        <v>1626.44</v>
      </c>
      <c r="O610" t="str">
        <f t="shared" si="162"/>
        <v>Refi</v>
      </c>
      <c r="P610" s="3">
        <f t="shared" si="166"/>
        <v>0</v>
      </c>
      <c r="Q610" s="4">
        <v>262385</v>
      </c>
      <c r="R610" s="4" t="s">
        <v>41</v>
      </c>
      <c r="S610" s="6">
        <v>586</v>
      </c>
      <c r="T610">
        <v>7.375</v>
      </c>
      <c r="U610" s="7">
        <f t="shared" si="163"/>
        <v>1921.5550693566081</v>
      </c>
      <c r="V610" s="2">
        <f t="shared" si="167"/>
        <v>-251.67506935660799</v>
      </c>
      <c r="W610" s="9">
        <f t="shared" si="168"/>
        <v>0</v>
      </c>
      <c r="X610" s="3">
        <v>262385</v>
      </c>
      <c r="Y610" s="3">
        <f t="shared" si="169"/>
        <v>0.29916256159776822</v>
      </c>
      <c r="Z610" s="7">
        <f t="shared" si="170"/>
        <v>1921.5550693566081</v>
      </c>
      <c r="AA610" s="2">
        <f t="shared" si="164"/>
        <v>-251.67506935660799</v>
      </c>
      <c r="AB610" s="8">
        <f t="shared" si="171"/>
        <v>1</v>
      </c>
      <c r="AC610" s="10">
        <v>6.625</v>
      </c>
      <c r="AD610" s="7">
        <f t="shared" si="172"/>
        <v>1789.4069985502808</v>
      </c>
      <c r="AE610" s="2">
        <f t="shared" si="173"/>
        <v>-119.52699855028072</v>
      </c>
      <c r="AF610" s="10">
        <v>1.875</v>
      </c>
      <c r="AG610" s="3">
        <f t="shared" si="174"/>
        <v>4919.71875</v>
      </c>
      <c r="AH610" s="7">
        <v>5185</v>
      </c>
      <c r="AI610">
        <f t="shared" si="175"/>
        <v>360</v>
      </c>
      <c r="AJ610" t="e">
        <f>VLOOKUP(A610,'Borrower Details'!$A$1:$H$1493,8,FALSE)</f>
        <v>#N/A</v>
      </c>
      <c r="AK610" s="4" t="e">
        <f t="shared" si="176"/>
        <v>#N/A</v>
      </c>
      <c r="AL610" s="10">
        <v>7.375</v>
      </c>
      <c r="AM610" s="3">
        <f t="shared" si="177"/>
        <v>262384.69634999998</v>
      </c>
      <c r="AN610">
        <v>7.375</v>
      </c>
      <c r="AO610" s="7">
        <f t="shared" si="178"/>
        <v>1921.5528456006889</v>
      </c>
      <c r="AP610" s="2">
        <f t="shared" si="179"/>
        <v>-251.67284560068879</v>
      </c>
    </row>
    <row r="611" spans="1:42" x14ac:dyDescent="0.15">
      <c r="A611" s="8">
        <v>1145648</v>
      </c>
      <c r="B611" t="s">
        <v>36</v>
      </c>
      <c r="C611" t="s">
        <v>19</v>
      </c>
      <c r="D611" s="1">
        <v>39149</v>
      </c>
      <c r="E611" s="2">
        <v>94500</v>
      </c>
      <c r="F611" s="2">
        <v>89775</v>
      </c>
      <c r="G611" t="s">
        <v>15</v>
      </c>
      <c r="H611" s="2">
        <v>851.56</v>
      </c>
      <c r="I611" s="2">
        <v>89359.67</v>
      </c>
      <c r="J611">
        <v>0.1095</v>
      </c>
      <c r="K611">
        <v>13</v>
      </c>
      <c r="L611">
        <v>348</v>
      </c>
      <c r="M611" t="str">
        <f t="shared" si="165"/>
        <v>30 Year Fixed</v>
      </c>
      <c r="N611" s="2">
        <v>815.41</v>
      </c>
      <c r="O611" t="str">
        <f t="shared" si="162"/>
        <v>Refi</v>
      </c>
      <c r="P611" s="3">
        <f t="shared" si="166"/>
        <v>0</v>
      </c>
      <c r="Q611" s="4">
        <v>90700</v>
      </c>
      <c r="R611" s="4" t="s">
        <v>41</v>
      </c>
      <c r="S611" s="6">
        <v>574</v>
      </c>
      <c r="T611">
        <v>7.625</v>
      </c>
      <c r="U611" s="7">
        <f t="shared" si="163"/>
        <v>679.76059461032185</v>
      </c>
      <c r="V611" s="2">
        <f t="shared" si="167"/>
        <v>171.7994053896781</v>
      </c>
      <c r="W611" s="9">
        <f t="shared" si="168"/>
        <v>0</v>
      </c>
      <c r="X611" s="3">
        <v>90700</v>
      </c>
      <c r="Y611" s="3">
        <f t="shared" si="169"/>
        <v>-6.40886699402472E-2</v>
      </c>
      <c r="Z611" s="7">
        <f t="shared" si="170"/>
        <v>679.76059461032185</v>
      </c>
      <c r="AA611" s="2">
        <f t="shared" si="164"/>
        <v>171.7994053896781</v>
      </c>
      <c r="AB611" s="8">
        <f t="shared" si="171"/>
        <v>0</v>
      </c>
      <c r="AC611" s="10">
        <v>7.625</v>
      </c>
      <c r="AD611" s="7">
        <f t="shared" si="172"/>
        <v>679.76059461032185</v>
      </c>
      <c r="AE611" s="2">
        <f t="shared" si="173"/>
        <v>171.7994053896781</v>
      </c>
      <c r="AF611" s="10">
        <v>0</v>
      </c>
      <c r="AG611" s="3">
        <f t="shared" si="174"/>
        <v>0</v>
      </c>
      <c r="AH611" s="7">
        <v>1795.5</v>
      </c>
      <c r="AI611">
        <f t="shared" si="175"/>
        <v>360</v>
      </c>
      <c r="AJ611" t="e">
        <f>VLOOKUP(A611,'Borrower Details'!$A$1:$H$1493,8,FALSE)</f>
        <v>#N/A</v>
      </c>
      <c r="AK611" s="4" t="e">
        <f t="shared" si="176"/>
        <v>#N/A</v>
      </c>
      <c r="AL611" s="10">
        <v>7.625</v>
      </c>
      <c r="AM611" s="3">
        <f t="shared" si="177"/>
        <v>90700.06504999999</v>
      </c>
      <c r="AN611">
        <v>7.625</v>
      </c>
      <c r="AO611" s="7">
        <f t="shared" si="178"/>
        <v>679.76108213432053</v>
      </c>
      <c r="AP611" s="2">
        <f t="shared" si="179"/>
        <v>171.79891786567941</v>
      </c>
    </row>
    <row r="612" spans="1:42" x14ac:dyDescent="0.15">
      <c r="A612" s="8">
        <v>1185438</v>
      </c>
      <c r="B612" t="s">
        <v>35</v>
      </c>
      <c r="C612" t="s">
        <v>16</v>
      </c>
      <c r="D612" s="1">
        <v>39195</v>
      </c>
      <c r="E612" s="2">
        <v>200000</v>
      </c>
      <c r="F612" s="2">
        <v>154700</v>
      </c>
      <c r="G612" t="s">
        <v>17</v>
      </c>
      <c r="H612" s="2">
        <v>1178.57</v>
      </c>
      <c r="I612" s="2">
        <v>153412.68</v>
      </c>
      <c r="J612">
        <v>8.4000000000000005E-2</v>
      </c>
      <c r="K612">
        <v>12</v>
      </c>
      <c r="L612">
        <v>348</v>
      </c>
      <c r="M612" t="str">
        <f t="shared" si="165"/>
        <v>30 Year Fixed</v>
      </c>
      <c r="N612" s="2">
        <v>1073.8900000000001</v>
      </c>
      <c r="O612" t="str">
        <f t="shared" si="162"/>
        <v>Cash Out</v>
      </c>
      <c r="P612" s="3">
        <f t="shared" si="166"/>
        <v>14075.004729064065</v>
      </c>
      <c r="Q612" s="4">
        <v>170000</v>
      </c>
      <c r="R612" s="4" t="s">
        <v>41</v>
      </c>
      <c r="S612" s="6">
        <v>651</v>
      </c>
      <c r="T612">
        <v>6.75</v>
      </c>
      <c r="U612" s="7">
        <f t="shared" si="163"/>
        <v>1173.4500974992968</v>
      </c>
      <c r="V612" s="2">
        <f t="shared" si="167"/>
        <v>5.1199025007031196</v>
      </c>
      <c r="W612" s="9">
        <f t="shared" si="168"/>
        <v>0</v>
      </c>
      <c r="X612" s="3">
        <v>170000</v>
      </c>
      <c r="Y612" s="3">
        <f t="shared" si="169"/>
        <v>14075.004729064065</v>
      </c>
      <c r="Z612" s="7">
        <f t="shared" si="170"/>
        <v>1173.4500974992968</v>
      </c>
      <c r="AA612" s="2">
        <f t="shared" si="164"/>
        <v>5.1199025007031196</v>
      </c>
      <c r="AB612" s="8">
        <f t="shared" si="171"/>
        <v>0</v>
      </c>
      <c r="AC612" s="10">
        <v>6.75</v>
      </c>
      <c r="AD612" s="7">
        <f t="shared" si="172"/>
        <v>1173.4500974992968</v>
      </c>
      <c r="AE612" s="2">
        <f t="shared" si="173"/>
        <v>5.1199025007031196</v>
      </c>
      <c r="AF612" s="10">
        <v>0</v>
      </c>
      <c r="AG612" s="3">
        <f t="shared" si="174"/>
        <v>0</v>
      </c>
      <c r="AH612" s="7">
        <v>6497.4</v>
      </c>
      <c r="AI612">
        <f t="shared" si="175"/>
        <v>360</v>
      </c>
      <c r="AJ612" t="e">
        <f>VLOOKUP(A612,'Borrower Details'!$A$1:$H$1493,8,FALSE)</f>
        <v>#N/A</v>
      </c>
      <c r="AK612" s="4" t="e">
        <f t="shared" si="176"/>
        <v>#N/A</v>
      </c>
      <c r="AL612" s="10">
        <v>6.75</v>
      </c>
      <c r="AM612" s="3">
        <f t="shared" si="177"/>
        <v>155713.87019999998</v>
      </c>
      <c r="AN612">
        <v>6.75</v>
      </c>
      <c r="AO612" s="7">
        <f t="shared" si="178"/>
        <v>1074.8379774598989</v>
      </c>
      <c r="AP612" s="2">
        <f t="shared" si="179"/>
        <v>103.73202254010107</v>
      </c>
    </row>
    <row r="613" spans="1:42" x14ac:dyDescent="0.15">
      <c r="A613" s="8">
        <v>1102678</v>
      </c>
      <c r="B613" t="s">
        <v>35</v>
      </c>
      <c r="C613" t="s">
        <v>16</v>
      </c>
      <c r="D613" s="1">
        <v>39167</v>
      </c>
      <c r="E613" s="2">
        <v>130000</v>
      </c>
      <c r="F613" s="2">
        <v>117000</v>
      </c>
      <c r="G613" t="s">
        <v>15</v>
      </c>
      <c r="H613" s="2">
        <v>880.04</v>
      </c>
      <c r="I613" s="2">
        <v>116634.39</v>
      </c>
      <c r="J613">
        <v>8.7499999999999994E-2</v>
      </c>
      <c r="K613">
        <v>13</v>
      </c>
      <c r="L613">
        <v>347</v>
      </c>
      <c r="M613" t="str">
        <f t="shared" si="165"/>
        <v>30 Year Fixed</v>
      </c>
      <c r="N613" s="2">
        <v>850.46</v>
      </c>
      <c r="O613" t="str">
        <f t="shared" si="162"/>
        <v>Refi</v>
      </c>
      <c r="P613" s="3">
        <f t="shared" si="166"/>
        <v>0</v>
      </c>
      <c r="Q613" s="4">
        <v>118384</v>
      </c>
      <c r="R613" s="4" t="s">
        <v>41</v>
      </c>
      <c r="S613" s="6">
        <v>577</v>
      </c>
      <c r="T613">
        <v>7.625</v>
      </c>
      <c r="U613" s="7">
        <f t="shared" si="163"/>
        <v>887.24121535113943</v>
      </c>
      <c r="V613" s="2">
        <f t="shared" si="167"/>
        <v>-7.2012153511394672</v>
      </c>
      <c r="W613" s="9">
        <f t="shared" si="168"/>
        <v>0</v>
      </c>
      <c r="X613" s="3">
        <v>118384</v>
      </c>
      <c r="Y613" s="3">
        <f t="shared" si="169"/>
        <v>9.2758620696258731E-2</v>
      </c>
      <c r="Z613" s="7">
        <f t="shared" si="170"/>
        <v>887.24121535113943</v>
      </c>
      <c r="AA613" s="2">
        <f t="shared" si="164"/>
        <v>-7.2012153511394672</v>
      </c>
      <c r="AB613" s="8">
        <f t="shared" si="171"/>
        <v>1</v>
      </c>
      <c r="AC613" s="10">
        <v>6.875</v>
      </c>
      <c r="AD613" s="7">
        <f t="shared" si="172"/>
        <v>827.02527344828991</v>
      </c>
      <c r="AE613" s="2">
        <f t="shared" si="173"/>
        <v>53.014726551710055</v>
      </c>
      <c r="AF613" s="10">
        <v>1</v>
      </c>
      <c r="AG613" s="3">
        <f t="shared" si="174"/>
        <v>1183.8399999999999</v>
      </c>
      <c r="AH613" s="7">
        <v>5118.75</v>
      </c>
      <c r="AI613">
        <f t="shared" si="175"/>
        <v>360</v>
      </c>
      <c r="AJ613" t="e">
        <f>VLOOKUP(A613,'Borrower Details'!$A$1:$H$1493,8,FALSE)</f>
        <v>#N/A</v>
      </c>
      <c r="AK613" s="4" t="e">
        <f t="shared" si="176"/>
        <v>#N/A</v>
      </c>
      <c r="AL613" s="10">
        <v>7.625</v>
      </c>
      <c r="AM613" s="3">
        <f t="shared" si="177"/>
        <v>118383.90584999998</v>
      </c>
      <c r="AN613">
        <v>7.625</v>
      </c>
      <c r="AO613" s="7">
        <f t="shared" si="178"/>
        <v>887.24050973416036</v>
      </c>
      <c r="AP613" s="2">
        <f t="shared" si="179"/>
        <v>-7.2005097341603914</v>
      </c>
    </row>
    <row r="614" spans="1:42" x14ac:dyDescent="0.15">
      <c r="A614" s="8">
        <v>1164738</v>
      </c>
      <c r="B614" t="s">
        <v>36</v>
      </c>
      <c r="C614" t="s">
        <v>19</v>
      </c>
      <c r="D614" s="1">
        <v>39154</v>
      </c>
      <c r="E614" s="2">
        <v>208000</v>
      </c>
      <c r="F614" s="2">
        <v>187200</v>
      </c>
      <c r="G614" t="s">
        <v>17</v>
      </c>
      <c r="H614" s="2">
        <v>1164.83</v>
      </c>
      <c r="I614" s="2">
        <v>184861.62</v>
      </c>
      <c r="J614">
        <v>6.3500000000000001E-2</v>
      </c>
      <c r="K614">
        <v>13</v>
      </c>
      <c r="L614">
        <v>347</v>
      </c>
      <c r="M614" t="str">
        <f t="shared" si="165"/>
        <v>30 Year Fixed</v>
      </c>
      <c r="N614" s="2">
        <v>978.23</v>
      </c>
      <c r="O614" t="str">
        <f t="shared" si="162"/>
        <v>Refi</v>
      </c>
      <c r="P614" s="3">
        <f t="shared" si="166"/>
        <v>0</v>
      </c>
      <c r="Q614" s="4">
        <v>187635</v>
      </c>
      <c r="R614" s="4" t="s">
        <v>41</v>
      </c>
      <c r="S614" s="6">
        <v>769</v>
      </c>
      <c r="T614">
        <v>6.75</v>
      </c>
      <c r="U614" s="7">
        <f t="shared" si="163"/>
        <v>1295.1782884957681</v>
      </c>
      <c r="V614" s="2">
        <f t="shared" si="167"/>
        <v>-130.3482884957682</v>
      </c>
      <c r="W614" s="9">
        <f t="shared" si="168"/>
        <v>0</v>
      </c>
      <c r="X614" s="3">
        <v>187635</v>
      </c>
      <c r="Y614" s="3">
        <f t="shared" si="169"/>
        <v>0.44896551725105383</v>
      </c>
      <c r="Z614" s="7">
        <f t="shared" si="170"/>
        <v>1295.1782884957681</v>
      </c>
      <c r="AA614" s="2">
        <f t="shared" si="164"/>
        <v>-130.3482884957682</v>
      </c>
      <c r="AB614" s="8">
        <f t="shared" si="171"/>
        <v>1</v>
      </c>
      <c r="AC614" s="10">
        <v>6.125</v>
      </c>
      <c r="AD614" s="7">
        <f t="shared" si="172"/>
        <v>1218.271285942227</v>
      </c>
      <c r="AE614" s="2">
        <f t="shared" si="173"/>
        <v>-53.441285942227069</v>
      </c>
      <c r="AF614" s="10">
        <v>3</v>
      </c>
      <c r="AG614" s="3">
        <f t="shared" si="174"/>
        <v>5629.05</v>
      </c>
      <c r="AH614" s="7">
        <v>3744</v>
      </c>
      <c r="AI614">
        <f t="shared" si="175"/>
        <v>360</v>
      </c>
      <c r="AJ614" t="e">
        <f>VLOOKUP(A614,'Borrower Details'!$A$1:$H$1493,8,FALSE)</f>
        <v>#N/A</v>
      </c>
      <c r="AK614" s="4" t="e">
        <f t="shared" si="176"/>
        <v>#N/A</v>
      </c>
      <c r="AL614" s="10">
        <v>6.75</v>
      </c>
      <c r="AM614" s="3">
        <f t="shared" si="177"/>
        <v>187634.54429999998</v>
      </c>
      <c r="AN614">
        <v>6.75</v>
      </c>
      <c r="AO614" s="7">
        <f t="shared" si="178"/>
        <v>1295.1751429592416</v>
      </c>
      <c r="AP614" s="2">
        <f t="shared" si="179"/>
        <v>-130.34514295924168</v>
      </c>
    </row>
    <row r="615" spans="1:42" x14ac:dyDescent="0.15">
      <c r="A615" s="8">
        <v>410181796</v>
      </c>
      <c r="B615" t="s">
        <v>35</v>
      </c>
      <c r="C615" t="s">
        <v>16</v>
      </c>
      <c r="D615" s="1">
        <v>39209</v>
      </c>
      <c r="E615" s="2">
        <v>195000</v>
      </c>
      <c r="F615" s="2">
        <v>154000</v>
      </c>
      <c r="G615" t="s">
        <v>17</v>
      </c>
      <c r="H615" s="2">
        <v>1013.43</v>
      </c>
      <c r="I615" s="2">
        <v>153366.32999999999</v>
      </c>
      <c r="J615">
        <v>7.4999999999999997E-2</v>
      </c>
      <c r="K615">
        <v>11</v>
      </c>
      <c r="L615">
        <v>348</v>
      </c>
      <c r="M615" t="str">
        <f t="shared" si="165"/>
        <v>30 Year Fixed</v>
      </c>
      <c r="N615" s="2">
        <v>958.88</v>
      </c>
      <c r="O615" t="str">
        <f t="shared" si="162"/>
        <v>Cash Out</v>
      </c>
      <c r="P615" s="3">
        <f t="shared" si="166"/>
        <v>9934.1626108374621</v>
      </c>
      <c r="Q615" s="4">
        <v>165750</v>
      </c>
      <c r="R615" s="4" t="s">
        <v>41</v>
      </c>
      <c r="S615" s="6">
        <v>634</v>
      </c>
      <c r="T615">
        <v>6.75</v>
      </c>
      <c r="U615" s="7">
        <f t="shared" si="163"/>
        <v>1144.1138450618143</v>
      </c>
      <c r="V615" s="2">
        <f t="shared" si="167"/>
        <v>-130.6838450618144</v>
      </c>
      <c r="W615" s="9">
        <f t="shared" si="168"/>
        <v>1</v>
      </c>
      <c r="X615" s="3">
        <v>155666</v>
      </c>
      <c r="Y615" s="3">
        <f t="shared" si="169"/>
        <v>-0.81275862065376714</v>
      </c>
      <c r="Z615" s="7">
        <f t="shared" si="170"/>
        <v>1074.5075463372091</v>
      </c>
      <c r="AA615" s="2">
        <f t="shared" si="164"/>
        <v>-61.077546337209128</v>
      </c>
      <c r="AB615" s="8">
        <f t="shared" si="171"/>
        <v>1</v>
      </c>
      <c r="AC615" s="10">
        <v>6.125</v>
      </c>
      <c r="AD615" s="7">
        <f t="shared" si="172"/>
        <v>1010.7038558770096</v>
      </c>
      <c r="AE615" s="2">
        <f t="shared" si="173"/>
        <v>2.7261441229903767</v>
      </c>
      <c r="AF615" s="10">
        <v>3</v>
      </c>
      <c r="AG615" s="3">
        <f t="shared" si="174"/>
        <v>4669.9799999999996</v>
      </c>
      <c r="AH615" s="7">
        <v>5775</v>
      </c>
      <c r="AI615">
        <f t="shared" si="175"/>
        <v>360</v>
      </c>
      <c r="AJ615" t="e">
        <f>VLOOKUP(A615,'Borrower Details'!$A$1:$H$1493,8,FALSE)</f>
        <v>#N/A</v>
      </c>
      <c r="AK615" s="4" t="e">
        <f t="shared" si="176"/>
        <v>#N/A</v>
      </c>
      <c r="AL615" s="10">
        <v>6.75</v>
      </c>
      <c r="AM615" s="3">
        <f t="shared" si="177"/>
        <v>155666.82494999998</v>
      </c>
      <c r="AN615">
        <v>6.75</v>
      </c>
      <c r="AO615" s="7">
        <f t="shared" si="178"/>
        <v>1074.5132406763732</v>
      </c>
      <c r="AP615" s="2">
        <f t="shared" si="179"/>
        <v>-61.083240676373293</v>
      </c>
    </row>
    <row r="616" spans="1:42" x14ac:dyDescent="0.15">
      <c r="A616" s="8">
        <v>410538938</v>
      </c>
      <c r="B616" t="s">
        <v>36</v>
      </c>
      <c r="C616" t="s">
        <v>19</v>
      </c>
      <c r="D616" s="1">
        <v>39268</v>
      </c>
      <c r="E616" s="2">
        <v>181000</v>
      </c>
      <c r="F616" s="2">
        <v>155000</v>
      </c>
      <c r="G616" t="s">
        <v>17</v>
      </c>
      <c r="H616" s="2">
        <v>1151.03</v>
      </c>
      <c r="I616" s="2">
        <v>154755.34</v>
      </c>
      <c r="J616">
        <v>8.7999999999999995E-2</v>
      </c>
      <c r="K616">
        <v>9</v>
      </c>
      <c r="L616">
        <v>351</v>
      </c>
      <c r="M616" t="str">
        <f t="shared" si="165"/>
        <v>30 Year Fixed</v>
      </c>
      <c r="N616" s="2">
        <v>1134.8699999999999</v>
      </c>
      <c r="O616" t="str">
        <f t="shared" si="162"/>
        <v>Refi</v>
      </c>
      <c r="P616" s="3">
        <f t="shared" si="166"/>
        <v>0</v>
      </c>
      <c r="Q616" s="4">
        <v>157077</v>
      </c>
      <c r="R616" s="4" t="s">
        <v>41</v>
      </c>
      <c r="S616" s="6">
        <v>619</v>
      </c>
      <c r="T616">
        <v>6.875</v>
      </c>
      <c r="U616" s="7">
        <f t="shared" si="163"/>
        <v>1097.3328226570907</v>
      </c>
      <c r="V616" s="2">
        <f t="shared" si="167"/>
        <v>53.697177342909299</v>
      </c>
      <c r="W616" s="9">
        <f t="shared" si="168"/>
        <v>0</v>
      </c>
      <c r="X616" s="3">
        <v>157077</v>
      </c>
      <c r="Y616" s="3">
        <f t="shared" si="169"/>
        <v>0.32502463055425324</v>
      </c>
      <c r="Z616" s="7">
        <f t="shared" si="170"/>
        <v>1097.3328226570907</v>
      </c>
      <c r="AA616" s="2">
        <f t="shared" si="164"/>
        <v>53.697177342909299</v>
      </c>
      <c r="AB616" s="8">
        <f t="shared" si="171"/>
        <v>1</v>
      </c>
      <c r="AC616" s="10">
        <v>6.25</v>
      </c>
      <c r="AD616" s="7">
        <f t="shared" si="172"/>
        <v>1032.5988569137662</v>
      </c>
      <c r="AE616" s="2">
        <f t="shared" si="173"/>
        <v>118.43114308623376</v>
      </c>
      <c r="AF616" s="10">
        <v>2.5</v>
      </c>
      <c r="AG616" s="3">
        <f t="shared" si="174"/>
        <v>3926.9250000000002</v>
      </c>
      <c r="AH616" s="7">
        <v>3100</v>
      </c>
      <c r="AI616">
        <f t="shared" si="175"/>
        <v>360</v>
      </c>
      <c r="AJ616" t="e">
        <f>VLOOKUP(A616,'Borrower Details'!$A$1:$H$1493,8,FALSE)</f>
        <v>#N/A</v>
      </c>
      <c r="AK616" s="4" t="e">
        <f t="shared" si="176"/>
        <v>#N/A</v>
      </c>
      <c r="AL616" s="10">
        <v>6.875</v>
      </c>
      <c r="AM616" s="3">
        <f t="shared" si="177"/>
        <v>157076.67009999999</v>
      </c>
      <c r="AN616">
        <v>6.875</v>
      </c>
      <c r="AO616" s="7">
        <f t="shared" si="178"/>
        <v>1097.330517990601</v>
      </c>
      <c r="AP616" s="2">
        <f t="shared" si="179"/>
        <v>53.699482009398935</v>
      </c>
    </row>
    <row r="617" spans="1:42" x14ac:dyDescent="0.15">
      <c r="A617" s="8">
        <v>410391858</v>
      </c>
      <c r="B617" t="s">
        <v>35</v>
      </c>
      <c r="C617" t="s">
        <v>16</v>
      </c>
      <c r="D617" s="1">
        <v>39245</v>
      </c>
      <c r="E617" s="2">
        <v>175000</v>
      </c>
      <c r="F617" s="2">
        <v>140000</v>
      </c>
      <c r="G617" t="s">
        <v>15</v>
      </c>
      <c r="H617" s="2">
        <v>1045.23</v>
      </c>
      <c r="I617" s="2">
        <v>139868.4</v>
      </c>
      <c r="J617">
        <v>8.8499999999999995E-2</v>
      </c>
      <c r="K617">
        <v>10</v>
      </c>
      <c r="L617">
        <v>350</v>
      </c>
      <c r="M617" t="str">
        <f t="shared" si="165"/>
        <v>30 Year Fixed</v>
      </c>
      <c r="N617" s="2">
        <v>1031.53</v>
      </c>
      <c r="O617" t="str">
        <f t="shared" si="162"/>
        <v>Cash Out</v>
      </c>
      <c r="P617" s="3">
        <f t="shared" si="166"/>
        <v>6683.3241379310493</v>
      </c>
      <c r="Q617" s="4">
        <v>148750</v>
      </c>
      <c r="R617" s="4" t="s">
        <v>41</v>
      </c>
      <c r="S617" s="6">
        <v>574</v>
      </c>
      <c r="T617">
        <v>7.625</v>
      </c>
      <c r="U617" s="7">
        <f t="shared" si="163"/>
        <v>1114.8223643691883</v>
      </c>
      <c r="V617" s="2">
        <f t="shared" si="167"/>
        <v>-69.592364369188317</v>
      </c>
      <c r="W617" s="9">
        <f t="shared" si="168"/>
        <v>1</v>
      </c>
      <c r="X617" s="3">
        <v>141966</v>
      </c>
      <c r="Y617" s="3">
        <f t="shared" si="169"/>
        <v>-0.41970443347236142</v>
      </c>
      <c r="Z617" s="7">
        <f t="shared" si="170"/>
        <v>1063.9789699498231</v>
      </c>
      <c r="AA617" s="2">
        <f t="shared" si="164"/>
        <v>-18.748969949823049</v>
      </c>
      <c r="AB617" s="8">
        <f t="shared" si="171"/>
        <v>1</v>
      </c>
      <c r="AC617" s="10">
        <v>6.875</v>
      </c>
      <c r="AD617" s="7">
        <f t="shared" si="172"/>
        <v>991.76805962258356</v>
      </c>
      <c r="AE617" s="2">
        <f t="shared" si="173"/>
        <v>53.461940377416454</v>
      </c>
      <c r="AF617" s="10">
        <v>1</v>
      </c>
      <c r="AG617" s="3">
        <f t="shared" si="174"/>
        <v>1419.66</v>
      </c>
      <c r="AH617" s="7">
        <v>6195</v>
      </c>
      <c r="AI617">
        <f t="shared" si="175"/>
        <v>360</v>
      </c>
      <c r="AJ617" t="e">
        <f>VLOOKUP(A617,'Borrower Details'!$A$1:$H$1493,8,FALSE)</f>
        <v>#N/A</v>
      </c>
      <c r="AK617" s="4" t="e">
        <f t="shared" si="176"/>
        <v>#N/A</v>
      </c>
      <c r="AL617" s="10">
        <v>7.625</v>
      </c>
      <c r="AM617" s="3">
        <f t="shared" si="177"/>
        <v>141966.42599999998</v>
      </c>
      <c r="AN617">
        <v>7.625</v>
      </c>
      <c r="AO617" s="7">
        <f t="shared" si="178"/>
        <v>1063.9821626511825</v>
      </c>
      <c r="AP617" s="2">
        <f t="shared" si="179"/>
        <v>-18.752162651182516</v>
      </c>
    </row>
    <row r="618" spans="1:42" x14ac:dyDescent="0.15">
      <c r="A618" s="8">
        <v>410500680</v>
      </c>
      <c r="B618" t="s">
        <v>35</v>
      </c>
      <c r="C618" t="s">
        <v>16</v>
      </c>
      <c r="D618" s="1">
        <v>39266</v>
      </c>
      <c r="E618" s="2">
        <v>265000</v>
      </c>
      <c r="F618" s="2">
        <v>179500</v>
      </c>
      <c r="G618" t="s">
        <v>17</v>
      </c>
      <c r="H618" s="2">
        <v>1298.3900000000001</v>
      </c>
      <c r="I618" s="2">
        <v>178221.15</v>
      </c>
      <c r="J618">
        <v>7.85E-2</v>
      </c>
      <c r="K618">
        <v>10</v>
      </c>
      <c r="L618">
        <v>350</v>
      </c>
      <c r="M618" t="str">
        <f t="shared" si="165"/>
        <v>30 Year Fixed</v>
      </c>
      <c r="N618" s="2">
        <v>1165.8599999999999</v>
      </c>
      <c r="O618" t="str">
        <f t="shared" si="162"/>
        <v>Cash Out</v>
      </c>
      <c r="P618" s="3">
        <f t="shared" si="166"/>
        <v>43700.03226600989</v>
      </c>
      <c r="Q618" s="4">
        <v>225250</v>
      </c>
      <c r="R618" s="4" t="s">
        <v>41</v>
      </c>
      <c r="S618" s="6">
        <v>602</v>
      </c>
      <c r="T618">
        <v>6.875</v>
      </c>
      <c r="U618" s="7">
        <f t="shared" si="163"/>
        <v>1573.5863194707672</v>
      </c>
      <c r="V618" s="2">
        <f t="shared" si="167"/>
        <v>-275.19631947076709</v>
      </c>
      <c r="W618" s="9">
        <f t="shared" si="168"/>
        <v>1</v>
      </c>
      <c r="X618" s="3">
        <v>185780</v>
      </c>
      <c r="Y618" s="3">
        <f t="shared" si="169"/>
        <v>4813.3327586207015</v>
      </c>
      <c r="Z618" s="7">
        <f t="shared" si="170"/>
        <v>1297.8506833797076</v>
      </c>
      <c r="AA618" s="2">
        <f t="shared" si="164"/>
        <v>0.53931662029253857</v>
      </c>
      <c r="AB618" s="8">
        <f t="shared" si="171"/>
        <v>1</v>
      </c>
      <c r="AC618" s="10">
        <v>6.25</v>
      </c>
      <c r="AD618" s="7">
        <f t="shared" si="172"/>
        <v>1221.2877482854872</v>
      </c>
      <c r="AE618" s="2">
        <f t="shared" si="173"/>
        <v>77.102251714512931</v>
      </c>
      <c r="AF618" s="10">
        <v>2.5</v>
      </c>
      <c r="AG618" s="3">
        <f t="shared" si="174"/>
        <v>4644.5</v>
      </c>
      <c r="AH618" s="7">
        <v>7045.375</v>
      </c>
      <c r="AI618">
        <f t="shared" si="175"/>
        <v>360</v>
      </c>
      <c r="AJ618" t="e">
        <f>VLOOKUP(A618,'Borrower Details'!$A$1:$H$1493,8,FALSE)</f>
        <v>#N/A</v>
      </c>
      <c r="AK618" s="4" t="e">
        <f t="shared" si="176"/>
        <v>#N/A</v>
      </c>
      <c r="AL618" s="10">
        <v>6.875</v>
      </c>
      <c r="AM618" s="3">
        <f t="shared" si="177"/>
        <v>180894.46724999999</v>
      </c>
      <c r="AN618">
        <v>6.875</v>
      </c>
      <c r="AO618" s="7">
        <f t="shared" si="178"/>
        <v>1263.7205723975703</v>
      </c>
      <c r="AP618" s="2">
        <f t="shared" si="179"/>
        <v>34.669427602429778</v>
      </c>
    </row>
    <row r="619" spans="1:42" x14ac:dyDescent="0.15">
      <c r="A619" s="8">
        <v>1170391</v>
      </c>
      <c r="B619" t="s">
        <v>36</v>
      </c>
      <c r="C619" t="s">
        <v>18</v>
      </c>
      <c r="D619" s="1">
        <v>39185</v>
      </c>
      <c r="E619" s="2">
        <v>216000</v>
      </c>
      <c r="F619" s="2">
        <v>140000</v>
      </c>
      <c r="G619" t="s">
        <v>17</v>
      </c>
      <c r="H619" s="2">
        <v>930.49</v>
      </c>
      <c r="I619" s="2">
        <v>138575.04000000001</v>
      </c>
      <c r="J619">
        <v>6.9900000000000004E-2</v>
      </c>
      <c r="K619">
        <v>12</v>
      </c>
      <c r="L619">
        <v>348</v>
      </c>
      <c r="M619" t="str">
        <f t="shared" si="165"/>
        <v>30 Year Fixed</v>
      </c>
      <c r="N619" s="2">
        <v>807.2</v>
      </c>
      <c r="O619" t="str">
        <f t="shared" si="162"/>
        <v>Cash Out</v>
      </c>
      <c r="P619" s="3">
        <f t="shared" si="166"/>
        <v>42311.65950738918</v>
      </c>
      <c r="Q619" s="4">
        <v>183600</v>
      </c>
      <c r="R619" s="4" t="s">
        <v>41</v>
      </c>
      <c r="S619" s="6">
        <v>589</v>
      </c>
      <c r="T619">
        <v>7.375</v>
      </c>
      <c r="U619" s="7">
        <f t="shared" si="163"/>
        <v>1344.5795709887122</v>
      </c>
      <c r="V619" s="2">
        <f t="shared" si="167"/>
        <v>-414.08957098871224</v>
      </c>
      <c r="W619" s="9">
        <f t="shared" si="168"/>
        <v>1</v>
      </c>
      <c r="X619" s="3">
        <v>140654</v>
      </c>
      <c r="Y619" s="3">
        <f t="shared" si="169"/>
        <v>0.32945812807884067</v>
      </c>
      <c r="Z619" s="7">
        <f t="shared" si="170"/>
        <v>1030.0680554348928</v>
      </c>
      <c r="AA619" s="2">
        <f t="shared" si="164"/>
        <v>-99.578055434892804</v>
      </c>
      <c r="AB619" s="8">
        <f t="shared" si="171"/>
        <v>1</v>
      </c>
      <c r="AC619" s="10">
        <v>6.625</v>
      </c>
      <c r="AD619" s="7">
        <f t="shared" si="172"/>
        <v>959.22881252392926</v>
      </c>
      <c r="AE619" s="2">
        <f t="shared" si="173"/>
        <v>-28.738812523929255</v>
      </c>
      <c r="AF619" s="10">
        <v>1.875</v>
      </c>
      <c r="AG619" s="3">
        <f t="shared" si="174"/>
        <v>2637.2624999999998</v>
      </c>
      <c r="AH619" s="7">
        <v>2800</v>
      </c>
      <c r="AI619">
        <f t="shared" si="175"/>
        <v>360</v>
      </c>
      <c r="AJ619" t="e">
        <f>VLOOKUP(A619,'Borrower Details'!$A$1:$H$1493,8,FALSE)</f>
        <v>#N/A</v>
      </c>
      <c r="AK619" s="4" t="e">
        <f t="shared" si="176"/>
        <v>#N/A</v>
      </c>
      <c r="AL619" s="10">
        <v>7.375</v>
      </c>
      <c r="AM619" s="3">
        <f t="shared" si="177"/>
        <v>140653.66560000001</v>
      </c>
      <c r="AN619">
        <v>7.375</v>
      </c>
      <c r="AO619" s="7">
        <f t="shared" si="178"/>
        <v>1030.0656064838661</v>
      </c>
      <c r="AP619" s="2">
        <f t="shared" si="179"/>
        <v>-99.575606483866068</v>
      </c>
    </row>
    <row r="620" spans="1:42" x14ac:dyDescent="0.15">
      <c r="A620" s="8">
        <v>410310742</v>
      </c>
      <c r="B620" t="s">
        <v>37</v>
      </c>
      <c r="C620" t="s">
        <v>18</v>
      </c>
      <c r="D620" s="1">
        <v>39238</v>
      </c>
      <c r="E620" s="2">
        <v>128000</v>
      </c>
      <c r="F620" s="2">
        <v>115200</v>
      </c>
      <c r="G620" t="s">
        <v>17</v>
      </c>
      <c r="H620" s="2">
        <v>906.39</v>
      </c>
      <c r="I620" s="2">
        <v>114959.93</v>
      </c>
      <c r="J620">
        <v>9.1999999999999998E-2</v>
      </c>
      <c r="K620">
        <v>10</v>
      </c>
      <c r="L620">
        <v>350</v>
      </c>
      <c r="M620" t="str">
        <f t="shared" si="165"/>
        <v>30 Year Fixed</v>
      </c>
      <c r="N620" s="2">
        <v>881.36</v>
      </c>
      <c r="O620" t="str">
        <f t="shared" si="162"/>
        <v>Refi</v>
      </c>
      <c r="P620" s="3">
        <f t="shared" si="166"/>
        <v>0</v>
      </c>
      <c r="Q620" s="4">
        <v>116684</v>
      </c>
      <c r="R620" s="4" t="s">
        <v>41</v>
      </c>
      <c r="S620" s="6">
        <v>592</v>
      </c>
      <c r="T620">
        <v>7.375</v>
      </c>
      <c r="U620" s="7">
        <f t="shared" si="163"/>
        <v>854.52572255581094</v>
      </c>
      <c r="V620" s="2">
        <f t="shared" si="167"/>
        <v>51.864277444189042</v>
      </c>
      <c r="W620" s="9">
        <f t="shared" si="168"/>
        <v>0</v>
      </c>
      <c r="X620" s="3">
        <v>116684</v>
      </c>
      <c r="Y620" s="3">
        <f t="shared" si="169"/>
        <v>-0.32408866993500851</v>
      </c>
      <c r="Z620" s="7">
        <f t="shared" si="170"/>
        <v>854.52572255581094</v>
      </c>
      <c r="AA620" s="2">
        <f t="shared" si="164"/>
        <v>51.864277444189042</v>
      </c>
      <c r="AB620" s="8">
        <f t="shared" si="171"/>
        <v>1</v>
      </c>
      <c r="AC620" s="10">
        <v>6.375</v>
      </c>
      <c r="AD620" s="7">
        <f t="shared" si="172"/>
        <v>776.57468608312672</v>
      </c>
      <c r="AE620" s="2">
        <f t="shared" si="173"/>
        <v>129.81531391687327</v>
      </c>
      <c r="AF620" s="10">
        <v>2.625</v>
      </c>
      <c r="AG620" s="3">
        <f t="shared" si="174"/>
        <v>3062.9549999999999</v>
      </c>
      <c r="AH620" s="7">
        <v>0</v>
      </c>
      <c r="AI620">
        <f t="shared" si="175"/>
        <v>360</v>
      </c>
      <c r="AJ620" t="e">
        <f>VLOOKUP(A620,'Borrower Details'!$A$1:$H$1493,8,FALSE)</f>
        <v>#N/A</v>
      </c>
      <c r="AK620" s="4" t="e">
        <f t="shared" si="176"/>
        <v>#N/A</v>
      </c>
      <c r="AL620" s="10">
        <v>7.375</v>
      </c>
      <c r="AM620" s="3">
        <f t="shared" si="177"/>
        <v>116684.32894999998</v>
      </c>
      <c r="AN620">
        <v>7.375</v>
      </c>
      <c r="AO620" s="7">
        <f t="shared" si="178"/>
        <v>854.52813159420884</v>
      </c>
      <c r="AP620" s="2">
        <f t="shared" si="179"/>
        <v>51.861868405791142</v>
      </c>
    </row>
    <row r="621" spans="1:42" x14ac:dyDescent="0.15">
      <c r="A621" s="8">
        <v>410419766</v>
      </c>
      <c r="B621" t="s">
        <v>37</v>
      </c>
      <c r="C621" t="s">
        <v>19</v>
      </c>
      <c r="D621" s="1">
        <v>39246</v>
      </c>
      <c r="E621" s="2">
        <v>205000</v>
      </c>
      <c r="F621" s="2">
        <v>184500</v>
      </c>
      <c r="G621" t="s">
        <v>17</v>
      </c>
      <c r="H621" s="2">
        <v>1469.95</v>
      </c>
      <c r="I621" s="2">
        <v>183500.21</v>
      </c>
      <c r="J621">
        <v>8.8900000000000007E-2</v>
      </c>
      <c r="K621">
        <v>10</v>
      </c>
      <c r="L621">
        <v>351</v>
      </c>
      <c r="M621" t="str">
        <f t="shared" si="165"/>
        <v>30 Year Fixed</v>
      </c>
      <c r="N621" s="2">
        <v>1359.43</v>
      </c>
      <c r="O621" t="str">
        <f t="shared" si="162"/>
        <v>Refi</v>
      </c>
      <c r="P621" s="3">
        <f t="shared" si="166"/>
        <v>0</v>
      </c>
      <c r="Q621" s="4">
        <v>186253</v>
      </c>
      <c r="R621" s="4" t="s">
        <v>41</v>
      </c>
      <c r="S621" s="6">
        <v>621</v>
      </c>
      <c r="T621">
        <v>6.75</v>
      </c>
      <c r="U621" s="7">
        <f t="shared" si="163"/>
        <v>1285.638829467862</v>
      </c>
      <c r="V621" s="2">
        <f t="shared" si="167"/>
        <v>184.31117053213802</v>
      </c>
      <c r="W621" s="9">
        <f t="shared" si="168"/>
        <v>0</v>
      </c>
      <c r="X621" s="3">
        <v>186253</v>
      </c>
      <c r="Y621" s="3">
        <f t="shared" si="169"/>
        <v>0.28261083745746873</v>
      </c>
      <c r="Z621" s="7">
        <f t="shared" si="170"/>
        <v>1285.638829467862</v>
      </c>
      <c r="AA621" s="2">
        <f t="shared" si="164"/>
        <v>184.31117053213802</v>
      </c>
      <c r="AB621" s="8">
        <f t="shared" si="171"/>
        <v>0</v>
      </c>
      <c r="AC621" s="10">
        <v>6.75</v>
      </c>
      <c r="AD621" s="7">
        <f t="shared" si="172"/>
        <v>1285.638829467862</v>
      </c>
      <c r="AE621" s="2">
        <f t="shared" si="173"/>
        <v>184.31117053213802</v>
      </c>
      <c r="AF621" s="10">
        <v>0</v>
      </c>
      <c r="AG621" s="3">
        <f t="shared" si="174"/>
        <v>0</v>
      </c>
      <c r="AH621" s="7">
        <v>1845</v>
      </c>
      <c r="AI621">
        <f t="shared" si="175"/>
        <v>360</v>
      </c>
      <c r="AJ621" t="e">
        <f>VLOOKUP(A621,'Borrower Details'!$A$1:$H$1493,8,FALSE)</f>
        <v>#N/A</v>
      </c>
      <c r="AK621" s="4" t="e">
        <f t="shared" si="176"/>
        <v>#N/A</v>
      </c>
      <c r="AL621" s="10">
        <v>6.75</v>
      </c>
      <c r="AM621" s="3">
        <f t="shared" si="177"/>
        <v>186252.71314999997</v>
      </c>
      <c r="AN621">
        <v>6.75</v>
      </c>
      <c r="AO621" s="7">
        <f t="shared" si="178"/>
        <v>1285.6368494433882</v>
      </c>
      <c r="AP621" s="2">
        <f t="shared" si="179"/>
        <v>184.31315055661184</v>
      </c>
    </row>
    <row r="622" spans="1:42" x14ac:dyDescent="0.15">
      <c r="A622" s="8">
        <v>1156476</v>
      </c>
      <c r="B622" t="s">
        <v>36</v>
      </c>
      <c r="C622" t="s">
        <v>19</v>
      </c>
      <c r="D622" s="1">
        <v>39141</v>
      </c>
      <c r="E622" s="2">
        <v>102000</v>
      </c>
      <c r="F622" s="2">
        <v>73000</v>
      </c>
      <c r="G622" t="s">
        <v>17</v>
      </c>
      <c r="H622" s="2">
        <v>586.07000000000005</v>
      </c>
      <c r="I622" s="2">
        <v>72403.08</v>
      </c>
      <c r="J622">
        <v>8.9749999999999996E-2</v>
      </c>
      <c r="K622">
        <v>14</v>
      </c>
      <c r="L622">
        <v>346</v>
      </c>
      <c r="M622" t="str">
        <f t="shared" si="165"/>
        <v>30 Year Fixed</v>
      </c>
      <c r="N622" s="2">
        <v>541.51</v>
      </c>
      <c r="O622" t="str">
        <f t="shared" si="162"/>
        <v>Cash Out</v>
      </c>
      <c r="P622" s="3">
        <f t="shared" si="166"/>
        <v>13015.639211822665</v>
      </c>
      <c r="Q622" s="4">
        <v>86700</v>
      </c>
      <c r="R622" s="4" t="s">
        <v>41</v>
      </c>
      <c r="S622" s="6">
        <v>562</v>
      </c>
      <c r="T622">
        <v>7.625</v>
      </c>
      <c r="U622" s="7">
        <f t="shared" si="163"/>
        <v>649.78217808946977</v>
      </c>
      <c r="V622" s="2">
        <f t="shared" si="167"/>
        <v>-63.712178089469717</v>
      </c>
      <c r="W622" s="9">
        <f t="shared" si="168"/>
        <v>1</v>
      </c>
      <c r="X622" s="3">
        <v>78130</v>
      </c>
      <c r="Y622" s="3">
        <f t="shared" si="169"/>
        <v>4572.2894581280852</v>
      </c>
      <c r="Z622" s="7">
        <f t="shared" si="170"/>
        <v>585.55342069354413</v>
      </c>
      <c r="AA622" s="2">
        <f t="shared" si="164"/>
        <v>0.51657930645592387</v>
      </c>
      <c r="AB622" s="8">
        <f t="shared" si="171"/>
        <v>1</v>
      </c>
      <c r="AC622" s="10">
        <v>6.875</v>
      </c>
      <c r="AD622" s="7">
        <f t="shared" si="172"/>
        <v>545.81264879134756</v>
      </c>
      <c r="AE622" s="2">
        <f t="shared" si="173"/>
        <v>40.257351208652494</v>
      </c>
      <c r="AF622" s="10">
        <v>1.25</v>
      </c>
      <c r="AG622" s="3">
        <f t="shared" si="174"/>
        <v>976.625</v>
      </c>
      <c r="AH622" s="7">
        <v>1460</v>
      </c>
      <c r="AI622">
        <f t="shared" si="175"/>
        <v>360</v>
      </c>
      <c r="AJ622" t="e">
        <f>VLOOKUP(A622,'Borrower Details'!$A$1:$H$1493,8,FALSE)</f>
        <v>#N/A</v>
      </c>
      <c r="AK622" s="4" t="e">
        <f t="shared" si="176"/>
        <v>#N/A</v>
      </c>
      <c r="AL622" s="10">
        <v>7.625</v>
      </c>
      <c r="AM622" s="3">
        <f t="shared" si="177"/>
        <v>73489.126199999999</v>
      </c>
      <c r="AN622">
        <v>7.625</v>
      </c>
      <c r="AO622" s="7">
        <f t="shared" si="178"/>
        <v>550.77190874426663</v>
      </c>
      <c r="AP622" s="2">
        <f t="shared" si="179"/>
        <v>35.298091255733425</v>
      </c>
    </row>
    <row r="623" spans="1:42" x14ac:dyDescent="0.15">
      <c r="A623" s="8">
        <v>411070428</v>
      </c>
      <c r="B623" t="s">
        <v>36</v>
      </c>
      <c r="C623" t="s">
        <v>16</v>
      </c>
      <c r="D623" s="1">
        <v>39393</v>
      </c>
      <c r="E623" s="2">
        <v>165000</v>
      </c>
      <c r="F623" s="2">
        <v>100000</v>
      </c>
      <c r="G623" t="s">
        <v>17</v>
      </c>
      <c r="H623" s="2">
        <v>758.31</v>
      </c>
      <c r="I623" s="2">
        <v>99683.24</v>
      </c>
      <c r="J623">
        <v>8.3500000000000005E-2</v>
      </c>
      <c r="K623">
        <v>5</v>
      </c>
      <c r="L623">
        <v>355</v>
      </c>
      <c r="M623" t="str">
        <f t="shared" si="165"/>
        <v>30 Year Fixed</v>
      </c>
      <c r="N623" s="2">
        <v>693.63</v>
      </c>
      <c r="O623" t="str">
        <f t="shared" si="162"/>
        <v>Cash Out</v>
      </c>
      <c r="P623" s="3">
        <f t="shared" si="166"/>
        <v>38494.09990147785</v>
      </c>
      <c r="Q623" s="4">
        <v>140250</v>
      </c>
      <c r="R623" s="4" t="s">
        <v>41</v>
      </c>
      <c r="S623" s="6">
        <v>613</v>
      </c>
      <c r="T623">
        <v>6.875</v>
      </c>
      <c r="U623" s="7">
        <f t="shared" si="163"/>
        <v>979.7801611799116</v>
      </c>
      <c r="V623" s="2">
        <f t="shared" si="167"/>
        <v>-221.47016117991166</v>
      </c>
      <c r="W623" s="9">
        <f t="shared" si="168"/>
        <v>1</v>
      </c>
      <c r="X623" s="3">
        <v>108470</v>
      </c>
      <c r="Y623" s="3">
        <f t="shared" si="169"/>
        <v>7183.7550738916325</v>
      </c>
      <c r="Z623" s="7">
        <f t="shared" si="170"/>
        <v>757.76651752716589</v>
      </c>
      <c r="AA623" s="2">
        <f t="shared" si="164"/>
        <v>0.54348247283405726</v>
      </c>
      <c r="AB623" s="8">
        <f t="shared" si="171"/>
        <v>0</v>
      </c>
      <c r="AC623" s="10">
        <v>6.875</v>
      </c>
      <c r="AD623" s="7">
        <f t="shared" si="172"/>
        <v>757.76651752716589</v>
      </c>
      <c r="AE623" s="2">
        <f t="shared" si="173"/>
        <v>0.54348247283405726</v>
      </c>
      <c r="AF623" s="10">
        <v>0</v>
      </c>
      <c r="AG623" s="3">
        <f t="shared" si="174"/>
        <v>0</v>
      </c>
      <c r="AH623" s="7">
        <v>2000</v>
      </c>
      <c r="AI623">
        <f t="shared" si="175"/>
        <v>360</v>
      </c>
      <c r="AJ623" t="e">
        <f>VLOOKUP(A623,'Borrower Details'!$A$1:$H$1493,8,FALSE)</f>
        <v>#N/A</v>
      </c>
      <c r="AK623" s="4" t="e">
        <f t="shared" si="176"/>
        <v>#N/A</v>
      </c>
      <c r="AL623" s="10">
        <v>6.875</v>
      </c>
      <c r="AM623" s="3">
        <f t="shared" si="177"/>
        <v>101178.4886</v>
      </c>
      <c r="AN623">
        <v>6.875</v>
      </c>
      <c r="AO623" s="7">
        <f t="shared" si="178"/>
        <v>706.82834843813089</v>
      </c>
      <c r="AP623" s="2">
        <f t="shared" si="179"/>
        <v>51.481651561869057</v>
      </c>
    </row>
    <row r="624" spans="1:42" x14ac:dyDescent="0.15">
      <c r="A624" s="8">
        <v>410285522</v>
      </c>
      <c r="B624" t="s">
        <v>37</v>
      </c>
      <c r="C624" t="s">
        <v>19</v>
      </c>
      <c r="D624" s="1">
        <v>39238</v>
      </c>
      <c r="E624" s="2">
        <v>158000</v>
      </c>
      <c r="F624" s="2">
        <v>150100</v>
      </c>
      <c r="G624" t="s">
        <v>20</v>
      </c>
      <c r="H624" s="2">
        <v>1351.06</v>
      </c>
      <c r="I624" s="2">
        <v>149946.37</v>
      </c>
      <c r="J624">
        <v>0.1075</v>
      </c>
      <c r="K624">
        <v>11</v>
      </c>
      <c r="L624">
        <v>349</v>
      </c>
      <c r="M624" t="str">
        <f t="shared" si="165"/>
        <v>30 Year Fixed</v>
      </c>
      <c r="N624" s="2">
        <v>1343.27</v>
      </c>
      <c r="O624" t="str">
        <f t="shared" si="162"/>
        <v>Refi</v>
      </c>
      <c r="P624" s="3">
        <f t="shared" si="166"/>
        <v>0</v>
      </c>
      <c r="Q624" s="4">
        <v>152196</v>
      </c>
      <c r="R624" s="4" t="s">
        <v>41</v>
      </c>
      <c r="S624" s="6">
        <v>579</v>
      </c>
      <c r="T624">
        <v>7.625</v>
      </c>
      <c r="U624" s="7">
        <f t="shared" si="163"/>
        <v>1140.6487702019024</v>
      </c>
      <c r="V624" s="2">
        <f t="shared" si="167"/>
        <v>210.41122979809757</v>
      </c>
      <c r="W624" s="9">
        <f t="shared" si="168"/>
        <v>0</v>
      </c>
      <c r="X624" s="3">
        <v>152196</v>
      </c>
      <c r="Y624" s="3">
        <f t="shared" si="169"/>
        <v>0.42802955667139031</v>
      </c>
      <c r="Z624" s="7">
        <f t="shared" si="170"/>
        <v>1140.6487702019024</v>
      </c>
      <c r="AA624" s="2">
        <f t="shared" si="164"/>
        <v>210.41122979809757</v>
      </c>
      <c r="AB624" s="8">
        <f t="shared" si="171"/>
        <v>0</v>
      </c>
      <c r="AC624" s="10">
        <v>7.625</v>
      </c>
      <c r="AD624" s="7">
        <f t="shared" si="172"/>
        <v>1140.6487702019024</v>
      </c>
      <c r="AE624" s="2">
        <f t="shared" si="173"/>
        <v>210.41122979809757</v>
      </c>
      <c r="AF624" s="10">
        <v>0</v>
      </c>
      <c r="AG624" s="3">
        <f t="shared" si="174"/>
        <v>0</v>
      </c>
      <c r="AH624" s="7">
        <v>1501</v>
      </c>
      <c r="AI624">
        <f t="shared" si="175"/>
        <v>360</v>
      </c>
      <c r="AJ624" t="e">
        <f>VLOOKUP(A624,'Borrower Details'!$A$1:$H$1493,8,FALSE)</f>
        <v>#N/A</v>
      </c>
      <c r="AK624" s="4" t="e">
        <f t="shared" si="176"/>
        <v>#N/A</v>
      </c>
      <c r="AL624" s="10">
        <v>7.625</v>
      </c>
      <c r="AM624" s="3">
        <f t="shared" si="177"/>
        <v>152195.56554999997</v>
      </c>
      <c r="AN624">
        <v>7.625</v>
      </c>
      <c r="AO624" s="7">
        <f t="shared" si="178"/>
        <v>1140.6455141711378</v>
      </c>
      <c r="AP624" s="2">
        <f t="shared" si="179"/>
        <v>210.4144858288621</v>
      </c>
    </row>
    <row r="625" spans="1:42" x14ac:dyDescent="0.15">
      <c r="A625" s="8">
        <v>1177077</v>
      </c>
      <c r="B625" t="s">
        <v>37</v>
      </c>
      <c r="C625" t="s">
        <v>19</v>
      </c>
      <c r="D625" s="1">
        <v>39174</v>
      </c>
      <c r="E625" s="2">
        <v>345000</v>
      </c>
      <c r="F625" s="2">
        <v>227500</v>
      </c>
      <c r="G625" t="s">
        <v>15</v>
      </c>
      <c r="H625" s="2">
        <v>1527.51</v>
      </c>
      <c r="I625" s="2">
        <v>225992.21</v>
      </c>
      <c r="J625">
        <v>7.9000000000000001E-2</v>
      </c>
      <c r="K625">
        <v>12</v>
      </c>
      <c r="L625">
        <v>348</v>
      </c>
      <c r="M625" t="str">
        <f t="shared" si="165"/>
        <v>30 Year Fixed</v>
      </c>
      <c r="N625" s="2">
        <v>1487.78</v>
      </c>
      <c r="O625" t="str">
        <f t="shared" si="162"/>
        <v>Cash Out</v>
      </c>
      <c r="P625" s="3">
        <f t="shared" si="166"/>
        <v>62924.046157635486</v>
      </c>
      <c r="Q625" s="4">
        <v>293250</v>
      </c>
      <c r="R625" s="4" t="s">
        <v>41</v>
      </c>
      <c r="S625" s="6">
        <v>543</v>
      </c>
      <c r="T625">
        <v>7.625</v>
      </c>
      <c r="U625" s="7">
        <f t="shared" si="163"/>
        <v>2197.7926611849712</v>
      </c>
      <c r="V625" s="2">
        <f t="shared" si="167"/>
        <v>-670.28266118497118</v>
      </c>
      <c r="W625" s="9">
        <f t="shared" si="168"/>
        <v>1</v>
      </c>
      <c r="X625" s="3">
        <v>229382</v>
      </c>
      <c r="Y625" s="3">
        <f t="shared" si="169"/>
        <v>-9.1773398977238685E-2</v>
      </c>
      <c r="Z625" s="7">
        <f t="shared" si="170"/>
        <v>1719.1272845965254</v>
      </c>
      <c r="AA625" s="2">
        <f t="shared" si="164"/>
        <v>-191.61728459652545</v>
      </c>
      <c r="AB625" s="8">
        <f t="shared" si="171"/>
        <v>1</v>
      </c>
      <c r="AC625" s="10">
        <v>6.875</v>
      </c>
      <c r="AD625" s="7">
        <f t="shared" si="172"/>
        <v>1602.4522847185062</v>
      </c>
      <c r="AE625" s="2">
        <f t="shared" si="173"/>
        <v>-74.942284718506244</v>
      </c>
      <c r="AF625" s="10">
        <v>1</v>
      </c>
      <c r="AG625" s="3">
        <f t="shared" si="174"/>
        <v>2293.8200000000002</v>
      </c>
      <c r="AH625" s="7">
        <v>2275</v>
      </c>
      <c r="AI625">
        <f t="shared" si="175"/>
        <v>360</v>
      </c>
      <c r="AJ625" t="e">
        <f>VLOOKUP(A625,'Borrower Details'!$A$1:$H$1493,8,FALSE)</f>
        <v>#N/A</v>
      </c>
      <c r="AK625" s="4" t="e">
        <f t="shared" si="176"/>
        <v>#N/A</v>
      </c>
      <c r="AL625" s="10">
        <v>7.625</v>
      </c>
      <c r="AM625" s="3">
        <f t="shared" si="177"/>
        <v>229382.09314999997</v>
      </c>
      <c r="AN625">
        <v>7.625</v>
      </c>
      <c r="AO625" s="7">
        <f t="shared" si="178"/>
        <v>1719.1279827188998</v>
      </c>
      <c r="AP625" s="2">
        <f t="shared" si="179"/>
        <v>-191.61798271889984</v>
      </c>
    </row>
    <row r="626" spans="1:42" x14ac:dyDescent="0.15">
      <c r="A626" s="8">
        <v>1138664</v>
      </c>
      <c r="B626" t="s">
        <v>37</v>
      </c>
      <c r="C626" t="s">
        <v>19</v>
      </c>
      <c r="D626" s="1">
        <v>39140</v>
      </c>
      <c r="E626" s="2">
        <v>347000</v>
      </c>
      <c r="F626" s="2">
        <v>301000</v>
      </c>
      <c r="G626" t="s">
        <v>15</v>
      </c>
      <c r="H626" s="2">
        <v>2166.8200000000002</v>
      </c>
      <c r="I626" s="2">
        <v>297877.53999999998</v>
      </c>
      <c r="J626">
        <v>7.8E-2</v>
      </c>
      <c r="K626">
        <v>14</v>
      </c>
      <c r="L626">
        <v>346</v>
      </c>
      <c r="M626" t="str">
        <f t="shared" si="165"/>
        <v>30 Year Fixed</v>
      </c>
      <c r="N626" s="2">
        <v>1936.2</v>
      </c>
      <c r="O626" t="str">
        <f t="shared" si="162"/>
        <v>Refi</v>
      </c>
      <c r="P626" s="3">
        <f t="shared" si="166"/>
        <v>0</v>
      </c>
      <c r="Q626" s="4">
        <v>302346</v>
      </c>
      <c r="R626" s="4" t="s">
        <v>41</v>
      </c>
      <c r="S626" s="6">
        <v>631</v>
      </c>
      <c r="T626">
        <v>6.75</v>
      </c>
      <c r="U626" s="7">
        <f t="shared" si="163"/>
        <v>2086.9879010501318</v>
      </c>
      <c r="V626" s="2">
        <f t="shared" si="167"/>
        <v>79.832098949868396</v>
      </c>
      <c r="W626" s="9">
        <f t="shared" si="168"/>
        <v>0</v>
      </c>
      <c r="X626" s="3">
        <v>302346</v>
      </c>
      <c r="Y626" s="3">
        <f t="shared" si="169"/>
        <v>0.29251231532543898</v>
      </c>
      <c r="Z626" s="7">
        <f t="shared" si="170"/>
        <v>2086.9879010501318</v>
      </c>
      <c r="AA626" s="2">
        <f t="shared" si="164"/>
        <v>79.832098949868396</v>
      </c>
      <c r="AB626" s="8">
        <f t="shared" si="171"/>
        <v>1</v>
      </c>
      <c r="AC626" s="10">
        <v>6.125</v>
      </c>
      <c r="AD626" s="7">
        <f t="shared" si="172"/>
        <v>1963.0636620006317</v>
      </c>
      <c r="AE626" s="2">
        <f t="shared" si="173"/>
        <v>203.7563379993685</v>
      </c>
      <c r="AF626" s="10">
        <v>3</v>
      </c>
      <c r="AG626" s="3">
        <f t="shared" si="174"/>
        <v>9070.3799999999992</v>
      </c>
      <c r="AH626" s="7">
        <v>3010</v>
      </c>
      <c r="AI626">
        <f t="shared" si="175"/>
        <v>360</v>
      </c>
      <c r="AJ626" t="e">
        <f>VLOOKUP(A626,'Borrower Details'!$A$1:$H$1493,8,FALSE)</f>
        <v>#N/A</v>
      </c>
      <c r="AK626" s="4" t="e">
        <f t="shared" si="176"/>
        <v>#N/A</v>
      </c>
      <c r="AL626" s="10">
        <v>6.75</v>
      </c>
      <c r="AM626" s="3">
        <f t="shared" si="177"/>
        <v>302345.70309999993</v>
      </c>
      <c r="AN626">
        <v>6.75</v>
      </c>
      <c r="AO626" s="7">
        <f t="shared" si="178"/>
        <v>2086.9858516540494</v>
      </c>
      <c r="AP626" s="2">
        <f t="shared" si="179"/>
        <v>79.83414834595078</v>
      </c>
    </row>
    <row r="627" spans="1:42" x14ac:dyDescent="0.15">
      <c r="A627" s="8">
        <v>410731574</v>
      </c>
      <c r="B627" t="s">
        <v>38</v>
      </c>
      <c r="C627" t="s">
        <v>16</v>
      </c>
      <c r="D627" s="1">
        <v>39297</v>
      </c>
      <c r="E627" s="2">
        <v>145000</v>
      </c>
      <c r="F627" s="2">
        <v>108750</v>
      </c>
      <c r="G627" t="s">
        <v>21</v>
      </c>
      <c r="H627" s="2">
        <v>851.1</v>
      </c>
      <c r="I627" s="2">
        <v>108673.05</v>
      </c>
      <c r="J627">
        <v>9.2999999999999999E-2</v>
      </c>
      <c r="K627">
        <v>9</v>
      </c>
      <c r="L627">
        <v>351</v>
      </c>
      <c r="M627" t="str">
        <f t="shared" si="165"/>
        <v>30 Year Fixed</v>
      </c>
      <c r="N627" s="2">
        <v>842.22</v>
      </c>
      <c r="O627" t="str">
        <f t="shared" si="162"/>
        <v>Cash Out</v>
      </c>
      <c r="P627" s="3">
        <f t="shared" si="166"/>
        <v>12755.521428571432</v>
      </c>
      <c r="Q627" s="4">
        <v>123250</v>
      </c>
      <c r="R627" s="4" t="s">
        <v>41</v>
      </c>
      <c r="S627" s="6">
        <v>538</v>
      </c>
      <c r="T627">
        <v>7.625</v>
      </c>
      <c r="U627" s="7">
        <f t="shared" si="163"/>
        <v>923.70995904875599</v>
      </c>
      <c r="V627" s="2">
        <f t="shared" si="167"/>
        <v>-72.609959048755968</v>
      </c>
      <c r="W627" s="9">
        <f t="shared" si="168"/>
        <v>1</v>
      </c>
      <c r="X627" s="3">
        <v>113490</v>
      </c>
      <c r="Y627" s="3">
        <f t="shared" si="169"/>
        <v>3139.7578817734029</v>
      </c>
      <c r="Z627" s="7">
        <f t="shared" si="170"/>
        <v>850.56262273787684</v>
      </c>
      <c r="AA627" s="2">
        <f t="shared" si="164"/>
        <v>0.53737726212318648</v>
      </c>
      <c r="AB627" s="8">
        <f t="shared" si="171"/>
        <v>1</v>
      </c>
      <c r="AC627" s="10">
        <v>6.5</v>
      </c>
      <c r="AD627" s="7">
        <f t="shared" si="172"/>
        <v>764.62149986216718</v>
      </c>
      <c r="AE627" s="2">
        <f t="shared" si="173"/>
        <v>86.478500137832839</v>
      </c>
      <c r="AF627" s="10">
        <v>2.375</v>
      </c>
      <c r="AG627" s="3">
        <f t="shared" si="174"/>
        <v>2695.3874999999998</v>
      </c>
      <c r="AH627" s="7">
        <v>0</v>
      </c>
      <c r="AI627">
        <f t="shared" si="175"/>
        <v>360</v>
      </c>
      <c r="AJ627" t="e">
        <f>VLOOKUP(A627,'Borrower Details'!$A$1:$H$1493,8,FALSE)</f>
        <v>#N/A</v>
      </c>
      <c r="AK627" s="4" t="e">
        <f t="shared" si="176"/>
        <v>#N/A</v>
      </c>
      <c r="AL627" s="10">
        <v>7.625</v>
      </c>
      <c r="AM627" s="3">
        <f t="shared" si="177"/>
        <v>110303.14575</v>
      </c>
      <c r="AN627">
        <v>7.625</v>
      </c>
      <c r="AO627" s="7">
        <f t="shared" si="178"/>
        <v>826.67841171343991</v>
      </c>
      <c r="AP627" s="2">
        <f t="shared" si="179"/>
        <v>24.421588286560109</v>
      </c>
    </row>
    <row r="628" spans="1:42" x14ac:dyDescent="0.15">
      <c r="A628" s="8">
        <v>410893010</v>
      </c>
      <c r="B628" t="s">
        <v>36</v>
      </c>
      <c r="C628" t="s">
        <v>16</v>
      </c>
      <c r="D628" s="1">
        <v>39323</v>
      </c>
      <c r="E628" s="2">
        <v>239000</v>
      </c>
      <c r="F628" s="2">
        <v>191200</v>
      </c>
      <c r="G628" t="s">
        <v>20</v>
      </c>
      <c r="H628" s="2">
        <v>1527.13</v>
      </c>
      <c r="I628" s="2">
        <v>191089.26</v>
      </c>
      <c r="J628">
        <v>9.5000000000000001E-2</v>
      </c>
      <c r="K628">
        <v>8</v>
      </c>
      <c r="L628">
        <v>352</v>
      </c>
      <c r="M628" t="str">
        <f t="shared" si="165"/>
        <v>30 Year Fixed</v>
      </c>
      <c r="N628" s="2">
        <v>1512.79</v>
      </c>
      <c r="O628" t="str">
        <f t="shared" si="162"/>
        <v>Cash Out</v>
      </c>
      <c r="P628" s="3">
        <f t="shared" si="166"/>
        <v>9058.523251231527</v>
      </c>
      <c r="Q628" s="4">
        <v>203150</v>
      </c>
      <c r="R628" s="4" t="s">
        <v>41</v>
      </c>
      <c r="S628" s="6">
        <v>569</v>
      </c>
      <c r="T628">
        <v>7.625</v>
      </c>
      <c r="U628" s="7">
        <f t="shared" si="163"/>
        <v>1522.5288290527772</v>
      </c>
      <c r="V628" s="2">
        <f t="shared" si="167"/>
        <v>4.6011709472229541</v>
      </c>
      <c r="W628" s="9">
        <f t="shared" si="168"/>
        <v>0</v>
      </c>
      <c r="X628" s="3">
        <v>203150</v>
      </c>
      <c r="Y628" s="3">
        <f t="shared" si="169"/>
        <v>9058.523251231527</v>
      </c>
      <c r="Z628" s="7">
        <f t="shared" si="170"/>
        <v>1522.5288290527772</v>
      </c>
      <c r="AA628" s="2">
        <f t="shared" si="164"/>
        <v>4.6011709472229541</v>
      </c>
      <c r="AB628" s="8">
        <f t="shared" si="171"/>
        <v>1</v>
      </c>
      <c r="AC628" s="10">
        <v>6.875</v>
      </c>
      <c r="AD628" s="7">
        <f t="shared" si="172"/>
        <v>1419.1967183151446</v>
      </c>
      <c r="AE628" s="2">
        <f t="shared" si="173"/>
        <v>107.9332816848555</v>
      </c>
      <c r="AF628" s="10">
        <v>1</v>
      </c>
      <c r="AG628" s="3">
        <f t="shared" si="174"/>
        <v>2031.5</v>
      </c>
      <c r="AH628" s="7">
        <v>3824</v>
      </c>
      <c r="AI628">
        <f t="shared" si="175"/>
        <v>360</v>
      </c>
      <c r="AJ628" t="e">
        <f>VLOOKUP(A628,'Borrower Details'!$A$1:$H$1493,8,FALSE)</f>
        <v>#N/A</v>
      </c>
      <c r="AK628" s="4" t="e">
        <f t="shared" si="176"/>
        <v>#N/A</v>
      </c>
      <c r="AL628" s="10">
        <v>7.625</v>
      </c>
      <c r="AM628" s="3">
        <f t="shared" si="177"/>
        <v>193955.59889999998</v>
      </c>
      <c r="AN628">
        <v>7.625</v>
      </c>
      <c r="AO628" s="7">
        <f t="shared" si="178"/>
        <v>1453.6204325938818</v>
      </c>
      <c r="AP628" s="2">
        <f t="shared" si="179"/>
        <v>73.509567406118322</v>
      </c>
    </row>
    <row r="629" spans="1:42" x14ac:dyDescent="0.15">
      <c r="A629" s="8">
        <v>410165542</v>
      </c>
      <c r="B629" t="s">
        <v>37</v>
      </c>
      <c r="C629" t="s">
        <v>19</v>
      </c>
      <c r="D629" s="1">
        <v>39209</v>
      </c>
      <c r="E629" s="2">
        <v>140000</v>
      </c>
      <c r="F629" s="2">
        <v>87000</v>
      </c>
      <c r="G629" t="s">
        <v>17</v>
      </c>
      <c r="H629" s="2">
        <v>608.19000000000005</v>
      </c>
      <c r="I629" s="2">
        <v>86720.54</v>
      </c>
      <c r="J629">
        <v>8.0500000000000002E-2</v>
      </c>
      <c r="K629">
        <v>11</v>
      </c>
      <c r="L629">
        <v>349</v>
      </c>
      <c r="M629" t="str">
        <f t="shared" si="165"/>
        <v>30 Year Fixed</v>
      </c>
      <c r="N629" s="2">
        <v>581.75</v>
      </c>
      <c r="O629" t="str">
        <f t="shared" si="162"/>
        <v>Cash Out</v>
      </c>
      <c r="P629" s="3">
        <f t="shared" si="166"/>
        <v>30520.839310344847</v>
      </c>
      <c r="Q629" s="4">
        <v>119000</v>
      </c>
      <c r="R629" s="4" t="s">
        <v>41</v>
      </c>
      <c r="S629" s="6">
        <v>685</v>
      </c>
      <c r="T629">
        <v>6.75</v>
      </c>
      <c r="U629" s="7">
        <f t="shared" si="163"/>
        <v>821.41506824950784</v>
      </c>
      <c r="V629" s="2">
        <f t="shared" si="167"/>
        <v>-213.22506824950779</v>
      </c>
      <c r="W629" s="9">
        <f t="shared" si="168"/>
        <v>1</v>
      </c>
      <c r="X629" s="3">
        <v>88030</v>
      </c>
      <c r="Y629" s="3">
        <f t="shared" si="169"/>
        <v>8.5240394088759786</v>
      </c>
      <c r="Z629" s="7">
        <f t="shared" si="170"/>
        <v>614.97360134522364</v>
      </c>
      <c r="AA629" s="2">
        <f t="shared" si="164"/>
        <v>-6.7836013452235875</v>
      </c>
      <c r="AB629" s="8">
        <f t="shared" si="171"/>
        <v>1</v>
      </c>
      <c r="AC629" s="10">
        <v>6.25</v>
      </c>
      <c r="AD629" s="7">
        <f t="shared" si="172"/>
        <v>578.69501820202095</v>
      </c>
      <c r="AE629" s="2">
        <f t="shared" si="173"/>
        <v>29.494981797979108</v>
      </c>
      <c r="AF629" s="10">
        <v>2.5</v>
      </c>
      <c r="AG629" s="3">
        <f t="shared" si="174"/>
        <v>2200.75</v>
      </c>
      <c r="AH629" s="7">
        <v>0</v>
      </c>
      <c r="AI629">
        <f t="shared" si="175"/>
        <v>360</v>
      </c>
      <c r="AJ629" t="e">
        <f>VLOOKUP(A629,'Borrower Details'!$A$1:$H$1493,8,FALSE)</f>
        <v>#N/A</v>
      </c>
      <c r="AK629" s="4" t="e">
        <f t="shared" si="176"/>
        <v>#N/A</v>
      </c>
      <c r="AL629" s="10">
        <v>6.875</v>
      </c>
      <c r="AM629" s="3">
        <f t="shared" si="177"/>
        <v>88021.348099999988</v>
      </c>
      <c r="AN629">
        <v>6.875</v>
      </c>
      <c r="AO629" s="7">
        <f t="shared" si="178"/>
        <v>614.91315956285996</v>
      </c>
      <c r="AP629" s="2">
        <f t="shared" si="179"/>
        <v>-6.7231595628599052</v>
      </c>
    </row>
    <row r="630" spans="1:42" x14ac:dyDescent="0.15">
      <c r="A630" s="8">
        <v>1186953</v>
      </c>
      <c r="B630" t="s">
        <v>36</v>
      </c>
      <c r="C630" t="s">
        <v>19</v>
      </c>
      <c r="D630" s="1">
        <v>39223</v>
      </c>
      <c r="E630" s="2">
        <v>125000</v>
      </c>
      <c r="F630" s="2">
        <v>98000</v>
      </c>
      <c r="G630" t="s">
        <v>17</v>
      </c>
      <c r="H630" s="2">
        <v>608.29999999999995</v>
      </c>
      <c r="I630" s="2">
        <v>97575.84</v>
      </c>
      <c r="J630">
        <v>6.9900000000000004E-2</v>
      </c>
      <c r="K630">
        <v>11</v>
      </c>
      <c r="L630">
        <v>349</v>
      </c>
      <c r="M630" t="str">
        <f t="shared" si="165"/>
        <v>30 Year Fixed</v>
      </c>
      <c r="N630" s="2">
        <v>568.38</v>
      </c>
      <c r="O630" t="str">
        <f t="shared" si="162"/>
        <v>Cash Out</v>
      </c>
      <c r="P630" s="3">
        <f t="shared" si="166"/>
        <v>7103.9629556650325</v>
      </c>
      <c r="Q630" s="4">
        <v>106250</v>
      </c>
      <c r="R630" s="4" t="s">
        <v>41</v>
      </c>
      <c r="S630" s="6">
        <v>641</v>
      </c>
      <c r="T630">
        <v>6.75</v>
      </c>
      <c r="U630" s="7">
        <f t="shared" si="163"/>
        <v>733.40631093706054</v>
      </c>
      <c r="V630" s="2">
        <f t="shared" si="167"/>
        <v>-125.10631093706058</v>
      </c>
      <c r="W630" s="9">
        <f t="shared" si="168"/>
        <v>1</v>
      </c>
      <c r="X630" s="3">
        <v>99040</v>
      </c>
      <c r="Y630" s="3">
        <f t="shared" si="169"/>
        <v>0.51467980297456961</v>
      </c>
      <c r="Z630" s="7">
        <f t="shared" si="170"/>
        <v>691.88896373089801</v>
      </c>
      <c r="AA630" s="2">
        <f t="shared" si="164"/>
        <v>-83.588963730898058</v>
      </c>
      <c r="AB630" s="8">
        <f t="shared" si="171"/>
        <v>1</v>
      </c>
      <c r="AC630" s="10">
        <v>6.25</v>
      </c>
      <c r="AD630" s="7">
        <f t="shared" si="172"/>
        <v>651.07298196896681</v>
      </c>
      <c r="AE630" s="2">
        <f t="shared" si="173"/>
        <v>-42.77298196896686</v>
      </c>
      <c r="AF630" s="10">
        <v>2.5</v>
      </c>
      <c r="AG630" s="3">
        <f t="shared" si="174"/>
        <v>2476</v>
      </c>
      <c r="AH630" s="7">
        <v>1960</v>
      </c>
      <c r="AI630">
        <f t="shared" si="175"/>
        <v>360</v>
      </c>
      <c r="AJ630" t="e">
        <f>VLOOKUP(A630,'Borrower Details'!$A$1:$H$1493,8,FALSE)</f>
        <v>#N/A</v>
      </c>
      <c r="AK630" s="4" t="e">
        <f t="shared" si="176"/>
        <v>#N/A</v>
      </c>
      <c r="AL630" s="10">
        <v>6.875</v>
      </c>
      <c r="AM630" s="3">
        <f t="shared" si="177"/>
        <v>99039.477599999984</v>
      </c>
      <c r="AN630">
        <v>6.875</v>
      </c>
      <c r="AO630" s="7">
        <f t="shared" si="178"/>
        <v>691.88531426810857</v>
      </c>
      <c r="AP630" s="2">
        <f t="shared" si="179"/>
        <v>-83.585314268108618</v>
      </c>
    </row>
    <row r="631" spans="1:42" x14ac:dyDescent="0.15">
      <c r="A631" s="8">
        <v>410034128</v>
      </c>
      <c r="B631" t="s">
        <v>35</v>
      </c>
      <c r="C631" t="s">
        <v>16</v>
      </c>
      <c r="D631" s="1">
        <v>39192</v>
      </c>
      <c r="E631" s="2">
        <v>205000</v>
      </c>
      <c r="F631" s="2">
        <v>184500</v>
      </c>
      <c r="G631" t="s">
        <v>15</v>
      </c>
      <c r="H631" s="2">
        <v>1373.66</v>
      </c>
      <c r="I631" s="2">
        <v>183954.01</v>
      </c>
      <c r="J631">
        <v>8.6499999999999994E-2</v>
      </c>
      <c r="K631">
        <v>12</v>
      </c>
      <c r="L631">
        <v>348</v>
      </c>
      <c r="M631" t="str">
        <f t="shared" si="165"/>
        <v>30 Year Fixed</v>
      </c>
      <c r="N631" s="2">
        <v>1326</v>
      </c>
      <c r="O631" t="str">
        <f t="shared" si="162"/>
        <v>Refi</v>
      </c>
      <c r="P631" s="3">
        <f t="shared" si="166"/>
        <v>0</v>
      </c>
      <c r="Q631" s="4">
        <v>186713</v>
      </c>
      <c r="R631" s="4" t="s">
        <v>41</v>
      </c>
      <c r="S631" s="6">
        <v>638</v>
      </c>
      <c r="T631">
        <v>6.75</v>
      </c>
      <c r="U631" s="7">
        <f t="shared" si="163"/>
        <v>1288.8140473787425</v>
      </c>
      <c r="V631" s="2">
        <f t="shared" si="167"/>
        <v>84.845952621257538</v>
      </c>
      <c r="W631" s="9">
        <f t="shared" si="168"/>
        <v>0</v>
      </c>
      <c r="X631" s="3">
        <v>186713</v>
      </c>
      <c r="Y631" s="3">
        <f t="shared" si="169"/>
        <v>-0.31541871919762343</v>
      </c>
      <c r="Z631" s="7">
        <f t="shared" si="170"/>
        <v>1288.8140473787425</v>
      </c>
      <c r="AA631" s="2">
        <f t="shared" si="164"/>
        <v>84.845952621257538</v>
      </c>
      <c r="AB631" s="8">
        <f t="shared" si="171"/>
        <v>1</v>
      </c>
      <c r="AC631" s="10">
        <v>6.125</v>
      </c>
      <c r="AD631" s="7">
        <f t="shared" si="172"/>
        <v>1212.2849501006262</v>
      </c>
      <c r="AE631" s="2">
        <f t="shared" si="173"/>
        <v>161.37504989937383</v>
      </c>
      <c r="AF631" s="10">
        <v>3</v>
      </c>
      <c r="AG631" s="3">
        <f t="shared" si="174"/>
        <v>5601.39</v>
      </c>
      <c r="AH631" s="7">
        <v>7979.6249999999991</v>
      </c>
      <c r="AI631">
        <f t="shared" si="175"/>
        <v>360</v>
      </c>
      <c r="AJ631" t="e">
        <f>VLOOKUP(A631,'Borrower Details'!$A$1:$H$1493,8,FALSE)</f>
        <v>#N/A</v>
      </c>
      <c r="AK631" s="4" t="e">
        <f t="shared" si="176"/>
        <v>#N/A</v>
      </c>
      <c r="AL631" s="10">
        <v>6.75</v>
      </c>
      <c r="AM631" s="3">
        <f t="shared" si="177"/>
        <v>186713.32014999999</v>
      </c>
      <c r="AN631">
        <v>6.75</v>
      </c>
      <c r="AO631" s="7">
        <f t="shared" si="178"/>
        <v>1288.8162572613817</v>
      </c>
      <c r="AP631" s="2">
        <f t="shared" si="179"/>
        <v>84.843742738618403</v>
      </c>
    </row>
    <row r="632" spans="1:42" x14ac:dyDescent="0.15">
      <c r="A632" s="8">
        <v>410673610</v>
      </c>
      <c r="B632" t="s">
        <v>36</v>
      </c>
      <c r="C632" t="s">
        <v>19</v>
      </c>
      <c r="D632" s="1">
        <v>39290</v>
      </c>
      <c r="E632" s="2">
        <v>280000</v>
      </c>
      <c r="F632" s="2">
        <v>261250</v>
      </c>
      <c r="G632" t="s">
        <v>20</v>
      </c>
      <c r="H632" s="2">
        <v>1955.06</v>
      </c>
      <c r="I632" s="2">
        <v>260749.45</v>
      </c>
      <c r="J632">
        <v>8.6999999999999994E-2</v>
      </c>
      <c r="K632">
        <v>9</v>
      </c>
      <c r="L632">
        <v>352</v>
      </c>
      <c r="M632" t="str">
        <f t="shared" si="165"/>
        <v>30 Year Fixed</v>
      </c>
      <c r="N632" s="2">
        <v>1890.43</v>
      </c>
      <c r="O632" t="str">
        <f t="shared" si="162"/>
        <v>Refi</v>
      </c>
      <c r="P632" s="3">
        <f t="shared" si="166"/>
        <v>0</v>
      </c>
      <c r="Q632" s="4">
        <v>264661</v>
      </c>
      <c r="R632" s="4" t="s">
        <v>41</v>
      </c>
      <c r="S632" s="6">
        <v>650</v>
      </c>
      <c r="T632">
        <v>6.75</v>
      </c>
      <c r="U632" s="7">
        <f t="shared" si="163"/>
        <v>1826.861625025067</v>
      </c>
      <c r="V632" s="2">
        <f t="shared" si="167"/>
        <v>128.1983749749329</v>
      </c>
      <c r="W632" s="9">
        <f t="shared" si="168"/>
        <v>0</v>
      </c>
      <c r="X632" s="3">
        <v>264661</v>
      </c>
      <c r="Y632" s="3">
        <f t="shared" si="169"/>
        <v>0.30369458129280247</v>
      </c>
      <c r="Z632" s="7">
        <f t="shared" si="170"/>
        <v>1826.861625025067</v>
      </c>
      <c r="AA632" s="2">
        <f t="shared" si="164"/>
        <v>128.1983749749329</v>
      </c>
      <c r="AB632" s="8">
        <f t="shared" si="171"/>
        <v>0</v>
      </c>
      <c r="AC632" s="10">
        <v>6.75</v>
      </c>
      <c r="AD632" s="7">
        <f t="shared" si="172"/>
        <v>1826.861625025067</v>
      </c>
      <c r="AE632" s="2">
        <f t="shared" si="173"/>
        <v>128.1983749749329</v>
      </c>
      <c r="AF632" s="10">
        <v>0</v>
      </c>
      <c r="AG632" s="3">
        <f t="shared" si="174"/>
        <v>0</v>
      </c>
      <c r="AH632" s="7">
        <v>5225</v>
      </c>
      <c r="AI632">
        <f t="shared" si="175"/>
        <v>360</v>
      </c>
      <c r="AJ632" t="e">
        <f>VLOOKUP(A632,'Borrower Details'!$A$1:$H$1493,8,FALSE)</f>
        <v>#N/A</v>
      </c>
      <c r="AK632" s="4" t="e">
        <f t="shared" si="176"/>
        <v>#N/A</v>
      </c>
      <c r="AL632" s="10">
        <v>6.75</v>
      </c>
      <c r="AM632" s="3">
        <f t="shared" si="177"/>
        <v>264660.69175</v>
      </c>
      <c r="AN632">
        <v>6.75</v>
      </c>
      <c r="AO632" s="7">
        <f t="shared" si="178"/>
        <v>1826.8594972839342</v>
      </c>
      <c r="AP632" s="2">
        <f t="shared" si="179"/>
        <v>128.20050271606578</v>
      </c>
    </row>
    <row r="633" spans="1:42" x14ac:dyDescent="0.15">
      <c r="A633" s="8">
        <v>411224744</v>
      </c>
      <c r="B633" t="s">
        <v>38</v>
      </c>
      <c r="C633" t="s">
        <v>18</v>
      </c>
      <c r="D633" s="1">
        <v>39493</v>
      </c>
      <c r="E633" s="2">
        <v>82500</v>
      </c>
      <c r="F633" s="2">
        <v>58000</v>
      </c>
      <c r="G633" t="s">
        <v>17</v>
      </c>
      <c r="H633" s="2">
        <v>543.61</v>
      </c>
      <c r="I633" s="2">
        <v>57950.2</v>
      </c>
      <c r="J633">
        <v>0.108</v>
      </c>
      <c r="K633">
        <v>2</v>
      </c>
      <c r="L633">
        <v>358</v>
      </c>
      <c r="M633" t="str">
        <f t="shared" si="165"/>
        <v>30 Year Fixed</v>
      </c>
      <c r="N633" s="2">
        <v>521.54999999999995</v>
      </c>
      <c r="O633" t="str">
        <f t="shared" si="162"/>
        <v>Cash Out</v>
      </c>
      <c r="P633" s="3">
        <f t="shared" si="166"/>
        <v>11138.46995073893</v>
      </c>
      <c r="Q633" s="4">
        <v>70125</v>
      </c>
      <c r="R633" s="4" t="s">
        <v>41</v>
      </c>
      <c r="S633" s="6">
        <v>553</v>
      </c>
      <c r="T633">
        <v>7.625</v>
      </c>
      <c r="U633" s="7">
        <f t="shared" si="163"/>
        <v>525.55911463118878</v>
      </c>
      <c r="V633" s="2">
        <f t="shared" si="167"/>
        <v>18.050885368811237</v>
      </c>
      <c r="W633" s="9">
        <f t="shared" si="168"/>
        <v>0</v>
      </c>
      <c r="X633" s="3">
        <v>70125</v>
      </c>
      <c r="Y633" s="3">
        <f t="shared" si="169"/>
        <v>11138.46995073893</v>
      </c>
      <c r="Z633" s="7">
        <f t="shared" si="170"/>
        <v>525.55911463118878</v>
      </c>
      <c r="AA633" s="2">
        <f t="shared" si="164"/>
        <v>18.050885368811237</v>
      </c>
      <c r="AB633" s="8">
        <f t="shared" si="171"/>
        <v>0</v>
      </c>
      <c r="AC633" s="10">
        <v>7.625</v>
      </c>
      <c r="AD633" s="7">
        <f t="shared" si="172"/>
        <v>525.55911463118878</v>
      </c>
      <c r="AE633" s="2">
        <f t="shared" si="173"/>
        <v>18.050885368811237</v>
      </c>
      <c r="AF633" s="10">
        <v>0</v>
      </c>
      <c r="AG633" s="3">
        <f t="shared" si="174"/>
        <v>0</v>
      </c>
      <c r="AH633" s="7">
        <v>0</v>
      </c>
      <c r="AI633">
        <f t="shared" si="175"/>
        <v>360</v>
      </c>
      <c r="AJ633" t="e">
        <f>VLOOKUP(A633,'Borrower Details'!$A$1:$H$1493,8,FALSE)</f>
        <v>#N/A</v>
      </c>
      <c r="AK633" s="4" t="e">
        <f t="shared" si="176"/>
        <v>#N/A</v>
      </c>
      <c r="AL633" s="10">
        <v>7.625</v>
      </c>
      <c r="AM633" s="3">
        <f t="shared" si="177"/>
        <v>58819.452999999994</v>
      </c>
      <c r="AN633">
        <v>7.625</v>
      </c>
      <c r="AO633" s="7">
        <f t="shared" si="178"/>
        <v>440.82851539067121</v>
      </c>
      <c r="AP633" s="2">
        <f t="shared" si="179"/>
        <v>102.7814846093288</v>
      </c>
    </row>
    <row r="634" spans="1:42" x14ac:dyDescent="0.15">
      <c r="A634" s="8">
        <v>411276140</v>
      </c>
      <c r="B634" t="s">
        <v>38</v>
      </c>
      <c r="C634" t="s">
        <v>16</v>
      </c>
      <c r="D634" s="1">
        <v>39483</v>
      </c>
      <c r="E634" s="2">
        <v>175000</v>
      </c>
      <c r="F634" s="2">
        <v>120000</v>
      </c>
      <c r="G634" t="s">
        <v>17</v>
      </c>
      <c r="H634" s="2">
        <v>868.01</v>
      </c>
      <c r="I634" s="2">
        <v>119664.69</v>
      </c>
      <c r="J634">
        <v>7.85E-2</v>
      </c>
      <c r="K634">
        <v>3</v>
      </c>
      <c r="L634">
        <v>356</v>
      </c>
      <c r="M634" t="str">
        <f t="shared" si="165"/>
        <v>30 Year Fixed</v>
      </c>
      <c r="N634" s="2">
        <v>782.81</v>
      </c>
      <c r="O634" t="str">
        <f t="shared" si="162"/>
        <v>Cash Out</v>
      </c>
      <c r="P634" s="3">
        <f t="shared" si="166"/>
        <v>26887.034137931041</v>
      </c>
      <c r="Q634" s="4">
        <v>148750</v>
      </c>
      <c r="R634" s="4" t="s">
        <v>41</v>
      </c>
      <c r="S634" s="6">
        <v>598</v>
      </c>
      <c r="T634">
        <v>7.375</v>
      </c>
      <c r="U634" s="7">
        <f t="shared" si="163"/>
        <v>1089.3584487177068</v>
      </c>
      <c r="V634" s="2">
        <f t="shared" si="167"/>
        <v>-221.34844871770679</v>
      </c>
      <c r="W634" s="9">
        <f t="shared" si="168"/>
        <v>1</v>
      </c>
      <c r="X634" s="3">
        <v>121460</v>
      </c>
      <c r="Y634" s="3">
        <f t="shared" si="169"/>
        <v>0.33463054188177921</v>
      </c>
      <c r="Z634" s="7">
        <f t="shared" si="170"/>
        <v>889.50236760505982</v>
      </c>
      <c r="AA634" s="2">
        <f t="shared" si="164"/>
        <v>-21.492367605059826</v>
      </c>
      <c r="AB634" s="8">
        <f t="shared" si="171"/>
        <v>1</v>
      </c>
      <c r="AC634" s="10">
        <v>6.375</v>
      </c>
      <c r="AD634" s="7">
        <f t="shared" si="172"/>
        <v>808.3607124512065</v>
      </c>
      <c r="AE634" s="2">
        <f t="shared" si="173"/>
        <v>59.649287548793495</v>
      </c>
      <c r="AF634" s="10">
        <v>2.625</v>
      </c>
      <c r="AG634" s="3">
        <f t="shared" si="174"/>
        <v>3188.3249999999998</v>
      </c>
      <c r="AH634" s="7">
        <v>0</v>
      </c>
      <c r="AI634">
        <f t="shared" si="175"/>
        <v>360</v>
      </c>
      <c r="AJ634" t="e">
        <f>VLOOKUP(A634,'Borrower Details'!$A$1:$H$1493,8,FALSE)</f>
        <v>#N/A</v>
      </c>
      <c r="AK634" s="4" t="e">
        <f t="shared" si="176"/>
        <v>#N/A</v>
      </c>
      <c r="AL634" s="10">
        <v>7.375</v>
      </c>
      <c r="AM634" s="3">
        <f t="shared" si="177"/>
        <v>121459.66034999999</v>
      </c>
      <c r="AN634">
        <v>7.375</v>
      </c>
      <c r="AO634" s="7">
        <f t="shared" si="178"/>
        <v>889.4998802060876</v>
      </c>
      <c r="AP634" s="2">
        <f t="shared" si="179"/>
        <v>-21.489880206087605</v>
      </c>
    </row>
    <row r="635" spans="1:42" x14ac:dyDescent="0.15">
      <c r="A635" s="8">
        <v>411269202</v>
      </c>
      <c r="B635" t="s">
        <v>35</v>
      </c>
      <c r="C635" t="s">
        <v>16</v>
      </c>
      <c r="D635" s="1">
        <v>39482</v>
      </c>
      <c r="E635" s="2">
        <v>170000</v>
      </c>
      <c r="F635" s="2">
        <v>144500</v>
      </c>
      <c r="G635" t="s">
        <v>17</v>
      </c>
      <c r="H635" s="2">
        <v>1458.6</v>
      </c>
      <c r="I635" s="2">
        <v>144319.73000000001</v>
      </c>
      <c r="J635">
        <v>0.11749999999999999</v>
      </c>
      <c r="K635">
        <v>3</v>
      </c>
      <c r="L635">
        <v>356</v>
      </c>
      <c r="M635" t="str">
        <f t="shared" si="165"/>
        <v>30 Year Fixed</v>
      </c>
      <c r="N635" s="2">
        <v>1413.13</v>
      </c>
      <c r="O635" t="str">
        <f t="shared" si="162"/>
        <v>Refi</v>
      </c>
      <c r="P635" s="3">
        <f t="shared" si="166"/>
        <v>0</v>
      </c>
      <c r="Q635" s="4">
        <v>146485</v>
      </c>
      <c r="R635" s="4" t="s">
        <v>41</v>
      </c>
      <c r="S635" s="6">
        <v>531</v>
      </c>
      <c r="T635">
        <v>7.625</v>
      </c>
      <c r="U635" s="7">
        <f t="shared" si="163"/>
        <v>1097.8470860142556</v>
      </c>
      <c r="V635" s="2">
        <f t="shared" si="167"/>
        <v>360.75291398574427</v>
      </c>
      <c r="W635" s="9">
        <f t="shared" si="168"/>
        <v>0</v>
      </c>
      <c r="X635" s="3">
        <v>146485</v>
      </c>
      <c r="Y635" s="3">
        <f t="shared" si="169"/>
        <v>0.46704433497507125</v>
      </c>
      <c r="Z635" s="7">
        <f t="shared" si="170"/>
        <v>1097.8470860142556</v>
      </c>
      <c r="AA635" s="2">
        <f t="shared" si="164"/>
        <v>360.75291398574427</v>
      </c>
      <c r="AB635" s="8">
        <f t="shared" si="171"/>
        <v>0</v>
      </c>
      <c r="AC635" s="10">
        <v>7.625</v>
      </c>
      <c r="AD635" s="7">
        <f t="shared" si="172"/>
        <v>1097.8470860142556</v>
      </c>
      <c r="AE635" s="2">
        <f t="shared" si="173"/>
        <v>360.75291398574427</v>
      </c>
      <c r="AF635" s="10">
        <v>0</v>
      </c>
      <c r="AG635" s="3">
        <f t="shared" si="174"/>
        <v>0</v>
      </c>
      <c r="AH635" s="7">
        <v>8489.375</v>
      </c>
      <c r="AI635">
        <f t="shared" si="175"/>
        <v>360</v>
      </c>
      <c r="AJ635" t="e">
        <f>VLOOKUP(A635,'Borrower Details'!$A$1:$H$1493,8,FALSE)</f>
        <v>#N/A</v>
      </c>
      <c r="AK635" s="4" t="e">
        <f t="shared" si="176"/>
        <v>#N/A</v>
      </c>
      <c r="AL635" s="10">
        <v>7.625</v>
      </c>
      <c r="AM635" s="3">
        <f t="shared" si="177"/>
        <v>146484.52595000001</v>
      </c>
      <c r="AN635">
        <v>7.625</v>
      </c>
      <c r="AO635" s="7">
        <f t="shared" si="178"/>
        <v>1097.8435331971677</v>
      </c>
      <c r="AP635" s="2">
        <f t="shared" si="179"/>
        <v>360.75646680283216</v>
      </c>
    </row>
    <row r="636" spans="1:42" x14ac:dyDescent="0.15">
      <c r="A636" s="8">
        <v>410660484</v>
      </c>
      <c r="B636" t="s">
        <v>35</v>
      </c>
      <c r="C636" t="s">
        <v>16</v>
      </c>
      <c r="D636" s="1">
        <v>39294</v>
      </c>
      <c r="E636" s="2">
        <v>175000</v>
      </c>
      <c r="F636" s="2">
        <v>140000</v>
      </c>
      <c r="G636" t="s">
        <v>17</v>
      </c>
      <c r="H636" s="2">
        <v>988.51</v>
      </c>
      <c r="I636" s="2">
        <v>139059.82999999999</v>
      </c>
      <c r="J636">
        <v>7.5999999999999998E-2</v>
      </c>
      <c r="K636">
        <v>9</v>
      </c>
      <c r="L636">
        <v>351</v>
      </c>
      <c r="M636" t="str">
        <f t="shared" si="165"/>
        <v>30 Year Fixed</v>
      </c>
      <c r="N636" s="2">
        <v>880.71</v>
      </c>
      <c r="O636" t="str">
        <f t="shared" si="162"/>
        <v>Cash Out</v>
      </c>
      <c r="P636" s="3">
        <f t="shared" si="166"/>
        <v>7491.8941379310563</v>
      </c>
      <c r="Q636" s="4">
        <v>148750</v>
      </c>
      <c r="R636" s="4" t="s">
        <v>41</v>
      </c>
      <c r="S636" s="6">
        <v>634</v>
      </c>
      <c r="T636">
        <v>6.75</v>
      </c>
      <c r="U636" s="7">
        <f t="shared" si="163"/>
        <v>1026.7688353118847</v>
      </c>
      <c r="V636" s="2">
        <f t="shared" si="167"/>
        <v>-38.258835311884695</v>
      </c>
      <c r="W636" s="9">
        <f t="shared" si="168"/>
        <v>1</v>
      </c>
      <c r="X636" s="3">
        <v>143130</v>
      </c>
      <c r="Y636" s="3">
        <f t="shared" si="169"/>
        <v>1954.9483251231723</v>
      </c>
      <c r="Z636" s="7">
        <f t="shared" si="170"/>
        <v>987.97595561808453</v>
      </c>
      <c r="AA636" s="2">
        <f t="shared" si="164"/>
        <v>0.53404438191546433</v>
      </c>
      <c r="AB636" s="8">
        <f t="shared" si="171"/>
        <v>1</v>
      </c>
      <c r="AC636" s="10">
        <v>6.125</v>
      </c>
      <c r="AD636" s="7">
        <f t="shared" si="172"/>
        <v>929.31046530184108</v>
      </c>
      <c r="AE636" s="2">
        <f t="shared" si="173"/>
        <v>59.199534698158914</v>
      </c>
      <c r="AF636" s="10">
        <v>3</v>
      </c>
      <c r="AG636" s="3">
        <f t="shared" si="174"/>
        <v>4293.8999999999996</v>
      </c>
      <c r="AH636" s="7">
        <v>5320</v>
      </c>
      <c r="AI636">
        <f t="shared" si="175"/>
        <v>360</v>
      </c>
      <c r="AJ636" t="e">
        <f>VLOOKUP(A636,'Borrower Details'!$A$1:$H$1493,8,FALSE)</f>
        <v>#N/A</v>
      </c>
      <c r="AK636" s="4" t="e">
        <f t="shared" si="176"/>
        <v>#N/A</v>
      </c>
      <c r="AL636" s="10">
        <v>6.75</v>
      </c>
      <c r="AM636" s="3">
        <f t="shared" si="177"/>
        <v>141145.72744999998</v>
      </c>
      <c r="AN636">
        <v>6.75</v>
      </c>
      <c r="AO636" s="7">
        <f t="shared" si="178"/>
        <v>974.27922139889199</v>
      </c>
      <c r="AP636" s="2">
        <f t="shared" si="179"/>
        <v>14.230778601108</v>
      </c>
    </row>
    <row r="637" spans="1:42" x14ac:dyDescent="0.15">
      <c r="A637" s="8">
        <v>410913230</v>
      </c>
      <c r="B637" t="s">
        <v>37</v>
      </c>
      <c r="C637" t="s">
        <v>16</v>
      </c>
      <c r="D637" s="1">
        <v>39343</v>
      </c>
      <c r="E637" s="2">
        <v>389000</v>
      </c>
      <c r="F637" s="2">
        <v>233400</v>
      </c>
      <c r="G637" t="s">
        <v>21</v>
      </c>
      <c r="H637" s="2">
        <v>1761.67</v>
      </c>
      <c r="I637" s="2">
        <v>231700.38</v>
      </c>
      <c r="J637">
        <v>8.3000000000000004E-2</v>
      </c>
      <c r="K637">
        <v>7</v>
      </c>
      <c r="L637">
        <v>353</v>
      </c>
      <c r="M637" t="str">
        <f t="shared" si="165"/>
        <v>30 Year Fixed</v>
      </c>
      <c r="N637" s="2">
        <v>1602.59</v>
      </c>
      <c r="O637" t="str">
        <f t="shared" si="162"/>
        <v>Cash Out</v>
      </c>
      <c r="P637" s="3">
        <f t="shared" si="166"/>
        <v>94063.166798029561</v>
      </c>
      <c r="Q637" s="4">
        <v>330650</v>
      </c>
      <c r="R637" s="4" t="s">
        <v>41</v>
      </c>
      <c r="S637" s="6">
        <v>544</v>
      </c>
      <c r="T637">
        <v>7.625</v>
      </c>
      <c r="U637" s="7">
        <f t="shared" si="163"/>
        <v>2478.0908556549389</v>
      </c>
      <c r="V637" s="2">
        <f t="shared" si="167"/>
        <v>-716.4208556549388</v>
      </c>
      <c r="W637" s="9">
        <f t="shared" si="168"/>
        <v>1</v>
      </c>
      <c r="X637" s="3">
        <v>235175</v>
      </c>
      <c r="Y637" s="3">
        <f t="shared" si="169"/>
        <v>-0.87261083742487244</v>
      </c>
      <c r="Z637" s="7">
        <f t="shared" si="170"/>
        <v>1762.5435263228494</v>
      </c>
      <c r="AA637" s="2">
        <f t="shared" si="164"/>
        <v>-0.87352632284932952</v>
      </c>
      <c r="AB637" s="8">
        <f t="shared" si="171"/>
        <v>1</v>
      </c>
      <c r="AC637" s="10">
        <v>6.875</v>
      </c>
      <c r="AD637" s="7">
        <f t="shared" si="172"/>
        <v>1642.9219208947288</v>
      </c>
      <c r="AE637" s="2">
        <f t="shared" si="173"/>
        <v>118.74807910527124</v>
      </c>
      <c r="AF637" s="10">
        <v>1</v>
      </c>
      <c r="AG637" s="3">
        <f t="shared" si="174"/>
        <v>2351.75</v>
      </c>
      <c r="AH637" s="7">
        <v>2334</v>
      </c>
      <c r="AI637">
        <f t="shared" si="175"/>
        <v>360</v>
      </c>
      <c r="AJ637" t="e">
        <f>VLOOKUP(A637,'Borrower Details'!$A$1:$H$1493,8,FALSE)</f>
        <v>#N/A</v>
      </c>
      <c r="AK637" s="4" t="e">
        <f t="shared" si="176"/>
        <v>#N/A</v>
      </c>
      <c r="AL637" s="10">
        <v>7.625</v>
      </c>
      <c r="AM637" s="3">
        <f t="shared" si="177"/>
        <v>235175.88569999998</v>
      </c>
      <c r="AN637">
        <v>7.625</v>
      </c>
      <c r="AO637" s="7">
        <f t="shared" si="178"/>
        <v>1762.5501642937274</v>
      </c>
      <c r="AP637" s="2">
        <f t="shared" si="179"/>
        <v>-0.88016429372737548</v>
      </c>
    </row>
    <row r="638" spans="1:42" x14ac:dyDescent="0.15">
      <c r="A638" s="8">
        <v>411283914</v>
      </c>
      <c r="B638" t="s">
        <v>37</v>
      </c>
      <c r="C638" t="s">
        <v>18</v>
      </c>
      <c r="D638" s="1">
        <v>39489</v>
      </c>
      <c r="E638" s="2">
        <v>116000</v>
      </c>
      <c r="F638" s="2">
        <v>103410</v>
      </c>
      <c r="G638" t="s">
        <v>17</v>
      </c>
      <c r="H638" s="2">
        <v>862</v>
      </c>
      <c r="I638" s="2">
        <v>103305.68</v>
      </c>
      <c r="J638">
        <v>9.4E-2</v>
      </c>
      <c r="K638">
        <v>2</v>
      </c>
      <c r="L638">
        <v>358</v>
      </c>
      <c r="M638" t="str">
        <f t="shared" si="165"/>
        <v>30 Year Fixed</v>
      </c>
      <c r="N638" s="2">
        <v>809.23</v>
      </c>
      <c r="O638" t="str">
        <f t="shared" si="162"/>
        <v>Refi</v>
      </c>
      <c r="P638" s="3">
        <f t="shared" si="166"/>
        <v>0</v>
      </c>
      <c r="Q638" s="4">
        <v>104855</v>
      </c>
      <c r="R638" s="4" t="s">
        <v>41</v>
      </c>
      <c r="S638" s="6">
        <v>618</v>
      </c>
      <c r="T638">
        <v>6.875</v>
      </c>
      <c r="U638" s="7">
        <f t="shared" si="163"/>
        <v>732.51229091279595</v>
      </c>
      <c r="V638" s="2">
        <f t="shared" si="167"/>
        <v>129.48770908720405</v>
      </c>
      <c r="W638" s="9">
        <f t="shared" si="168"/>
        <v>0</v>
      </c>
      <c r="X638" s="3">
        <v>104856</v>
      </c>
      <c r="Y638" s="3">
        <f t="shared" si="169"/>
        <v>0.72394088671717327</v>
      </c>
      <c r="Z638" s="7">
        <f t="shared" si="170"/>
        <v>732.51927686759927</v>
      </c>
      <c r="AA638" s="2">
        <f t="shared" si="164"/>
        <v>129.48072313240073</v>
      </c>
      <c r="AB638" s="8">
        <f t="shared" si="171"/>
        <v>0</v>
      </c>
      <c r="AC638" s="10">
        <v>6.875</v>
      </c>
      <c r="AD638" s="7">
        <f t="shared" si="172"/>
        <v>732.51927686759927</v>
      </c>
      <c r="AE638" s="2">
        <f t="shared" si="173"/>
        <v>129.48072313240073</v>
      </c>
      <c r="AF638" s="10">
        <v>0</v>
      </c>
      <c r="AG638" s="3">
        <f t="shared" si="174"/>
        <v>0</v>
      </c>
      <c r="AH638" s="7">
        <v>0</v>
      </c>
      <c r="AI638">
        <f t="shared" si="175"/>
        <v>360</v>
      </c>
      <c r="AJ638" t="e">
        <f>VLOOKUP(A638,'Borrower Details'!$A$1:$H$1493,8,FALSE)</f>
        <v>#N/A</v>
      </c>
      <c r="AK638" s="4" t="e">
        <f t="shared" si="176"/>
        <v>#N/A</v>
      </c>
      <c r="AL638" s="10">
        <v>6.875</v>
      </c>
      <c r="AM638" s="3">
        <f t="shared" si="177"/>
        <v>104855.26519999998</v>
      </c>
      <c r="AN638">
        <v>6.875</v>
      </c>
      <c r="AO638" s="7">
        <f t="shared" si="178"/>
        <v>732.51414358800969</v>
      </c>
      <c r="AP638" s="2">
        <f t="shared" si="179"/>
        <v>129.48585641199031</v>
      </c>
    </row>
    <row r="639" spans="1:42" x14ac:dyDescent="0.15">
      <c r="A639" s="8">
        <v>410690242</v>
      </c>
      <c r="B639" t="s">
        <v>38</v>
      </c>
      <c r="C639" t="s">
        <v>18</v>
      </c>
      <c r="D639" s="1">
        <v>39294</v>
      </c>
      <c r="E639" s="2">
        <v>123500</v>
      </c>
      <c r="F639" s="2">
        <v>104550</v>
      </c>
      <c r="G639" t="s">
        <v>20</v>
      </c>
      <c r="H639" s="2">
        <v>839.27</v>
      </c>
      <c r="I639" s="2">
        <v>104490.55</v>
      </c>
      <c r="J639">
        <v>9.5500000000000002E-2</v>
      </c>
      <c r="K639">
        <v>9</v>
      </c>
      <c r="L639">
        <v>352</v>
      </c>
      <c r="M639" t="str">
        <f t="shared" si="165"/>
        <v>30 Year Fixed</v>
      </c>
      <c r="N639" s="2">
        <v>831.63</v>
      </c>
      <c r="O639" t="str">
        <f t="shared" si="162"/>
        <v>Refi</v>
      </c>
      <c r="P639" s="3">
        <f t="shared" si="166"/>
        <v>0</v>
      </c>
      <c r="Q639" s="4">
        <v>106058</v>
      </c>
      <c r="R639" s="4" t="s">
        <v>41</v>
      </c>
      <c r="S639" s="6">
        <v>552</v>
      </c>
      <c r="T639">
        <v>7.625</v>
      </c>
      <c r="U639" s="7">
        <f t="shared" si="163"/>
        <v>794.86272484213362</v>
      </c>
      <c r="V639" s="2">
        <f t="shared" si="167"/>
        <v>44.407275157866366</v>
      </c>
      <c r="W639" s="9">
        <f t="shared" si="168"/>
        <v>0</v>
      </c>
      <c r="X639" s="3">
        <v>106058</v>
      </c>
      <c r="Y639" s="3">
        <f t="shared" si="169"/>
        <v>9.0394088678294793E-2</v>
      </c>
      <c r="Z639" s="7">
        <f t="shared" si="170"/>
        <v>794.86272484213362</v>
      </c>
      <c r="AA639" s="2">
        <f t="shared" si="164"/>
        <v>44.407275157866366</v>
      </c>
      <c r="AB639" s="8">
        <f t="shared" si="171"/>
        <v>1</v>
      </c>
      <c r="AC639" s="10">
        <v>6.5</v>
      </c>
      <c r="AD639" s="7">
        <f t="shared" si="172"/>
        <v>714.54953768950327</v>
      </c>
      <c r="AE639" s="2">
        <f t="shared" si="173"/>
        <v>124.72046231049671</v>
      </c>
      <c r="AF639" s="10">
        <v>2.375</v>
      </c>
      <c r="AG639" s="3">
        <f t="shared" si="174"/>
        <v>2518.8775000000001</v>
      </c>
      <c r="AH639" s="7">
        <v>0</v>
      </c>
      <c r="AI639">
        <f t="shared" si="175"/>
        <v>360</v>
      </c>
      <c r="AJ639" t="e">
        <f>VLOOKUP(A639,'Borrower Details'!$A$1:$H$1493,8,FALSE)</f>
        <v>#N/A</v>
      </c>
      <c r="AK639" s="4" t="e">
        <f t="shared" si="176"/>
        <v>#N/A</v>
      </c>
      <c r="AL639" s="10">
        <v>7.625</v>
      </c>
      <c r="AM639" s="3">
        <f t="shared" si="177"/>
        <v>106057.90824999999</v>
      </c>
      <c r="AN639">
        <v>7.625</v>
      </c>
      <c r="AO639" s="7">
        <f t="shared" si="178"/>
        <v>794.86203721220465</v>
      </c>
      <c r="AP639" s="2">
        <f t="shared" si="179"/>
        <v>44.407962787795327</v>
      </c>
    </row>
    <row r="640" spans="1:42" x14ac:dyDescent="0.15">
      <c r="A640" s="8">
        <v>410690150</v>
      </c>
      <c r="B640" t="s">
        <v>35</v>
      </c>
      <c r="C640" t="s">
        <v>16</v>
      </c>
      <c r="D640" s="1">
        <v>39300</v>
      </c>
      <c r="E640" s="2">
        <v>143000</v>
      </c>
      <c r="F640" s="2">
        <v>128700</v>
      </c>
      <c r="G640" t="s">
        <v>17</v>
      </c>
      <c r="H640" s="2">
        <v>849.78</v>
      </c>
      <c r="I640" s="2">
        <v>127713.79</v>
      </c>
      <c r="J640">
        <v>6.9250000000000006E-2</v>
      </c>
      <c r="K640">
        <v>8</v>
      </c>
      <c r="L640">
        <v>351</v>
      </c>
      <c r="M640" t="str">
        <f t="shared" si="165"/>
        <v>30 Year Fixed</v>
      </c>
      <c r="N640" s="2">
        <v>737.66</v>
      </c>
      <c r="O640" t="str">
        <f t="shared" si="162"/>
        <v>Refi</v>
      </c>
      <c r="P640" s="3">
        <f t="shared" si="166"/>
        <v>0</v>
      </c>
      <c r="Q640" s="4">
        <v>129629</v>
      </c>
      <c r="R640" s="4" t="s">
        <v>41</v>
      </c>
      <c r="S640" s="6">
        <v>716</v>
      </c>
      <c r="T640">
        <v>6.75</v>
      </c>
      <c r="U640" s="7">
        <f t="shared" si="163"/>
        <v>894.78330993374323</v>
      </c>
      <c r="V640" s="2">
        <f t="shared" si="167"/>
        <v>-45.003309933743253</v>
      </c>
      <c r="W640" s="9">
        <f t="shared" si="168"/>
        <v>0</v>
      </c>
      <c r="X640" s="3">
        <v>129630</v>
      </c>
      <c r="Y640" s="3">
        <f t="shared" si="169"/>
        <v>0.49571428573108278</v>
      </c>
      <c r="Z640" s="7">
        <f t="shared" si="170"/>
        <v>894.79021258137561</v>
      </c>
      <c r="AA640" s="2">
        <f t="shared" si="164"/>
        <v>-45.01021258137564</v>
      </c>
      <c r="AB640" s="8">
        <f t="shared" si="171"/>
        <v>1</v>
      </c>
      <c r="AC640" s="10">
        <v>6.125</v>
      </c>
      <c r="AD640" s="7">
        <f t="shared" si="172"/>
        <v>841.65804245844799</v>
      </c>
      <c r="AE640" s="2">
        <f t="shared" si="173"/>
        <v>8.1219575415519785</v>
      </c>
      <c r="AF640" s="10">
        <v>3</v>
      </c>
      <c r="AG640" s="3">
        <f t="shared" si="174"/>
        <v>3888.9</v>
      </c>
      <c r="AH640" s="7">
        <v>4456.2375000000002</v>
      </c>
      <c r="AI640">
        <f t="shared" si="175"/>
        <v>360</v>
      </c>
      <c r="AJ640" t="e">
        <f>VLOOKUP(A640,'Borrower Details'!$A$1:$H$1493,8,FALSE)</f>
        <v>#N/A</v>
      </c>
      <c r="AK640" s="4" t="e">
        <f t="shared" si="176"/>
        <v>#N/A</v>
      </c>
      <c r="AL640" s="10">
        <v>6.75</v>
      </c>
      <c r="AM640" s="3">
        <f t="shared" si="177"/>
        <v>129629.49684999998</v>
      </c>
      <c r="AN640">
        <v>6.75</v>
      </c>
      <c r="AO640" s="7">
        <f t="shared" si="178"/>
        <v>894.78673951421922</v>
      </c>
      <c r="AP640" s="2">
        <f t="shared" si="179"/>
        <v>-45.006739514219248</v>
      </c>
    </row>
    <row r="641" spans="1:42" x14ac:dyDescent="0.15">
      <c r="A641" s="8">
        <v>1158222</v>
      </c>
      <c r="B641" t="s">
        <v>36</v>
      </c>
      <c r="C641" t="s">
        <v>18</v>
      </c>
      <c r="D641" s="1">
        <v>39148</v>
      </c>
      <c r="E641" s="2">
        <v>230000</v>
      </c>
      <c r="F641" s="2">
        <v>195500</v>
      </c>
      <c r="G641" t="s">
        <v>17</v>
      </c>
      <c r="H641" s="2">
        <v>1165.8499999999999</v>
      </c>
      <c r="I641" s="2">
        <v>192658.57</v>
      </c>
      <c r="J641">
        <v>5.9499999999999997E-2</v>
      </c>
      <c r="K641">
        <v>13</v>
      </c>
      <c r="L641">
        <v>346</v>
      </c>
      <c r="M641" t="str">
        <f t="shared" si="165"/>
        <v>30 Year Fixed</v>
      </c>
      <c r="N641" s="2">
        <v>955.27</v>
      </c>
      <c r="O641" t="str">
        <f t="shared" si="162"/>
        <v>Refi</v>
      </c>
      <c r="P641" s="3">
        <f t="shared" si="166"/>
        <v>0</v>
      </c>
      <c r="Q641" s="4">
        <v>195548</v>
      </c>
      <c r="R641" s="4" t="s">
        <v>41</v>
      </c>
      <c r="S641" s="6">
        <v>699</v>
      </c>
      <c r="T641">
        <v>6.75</v>
      </c>
      <c r="U641" s="7">
        <f t="shared" si="163"/>
        <v>1349.7989392105439</v>
      </c>
      <c r="V641" s="2">
        <f t="shared" si="167"/>
        <v>-183.94893921054404</v>
      </c>
      <c r="W641" s="9">
        <f t="shared" si="168"/>
        <v>0</v>
      </c>
      <c r="X641" s="3">
        <v>195549</v>
      </c>
      <c r="Y641" s="3">
        <f t="shared" si="169"/>
        <v>0.54330049263080582</v>
      </c>
      <c r="Z641" s="7">
        <f t="shared" si="170"/>
        <v>1349.8058418581763</v>
      </c>
      <c r="AA641" s="2">
        <f t="shared" si="164"/>
        <v>-183.95584185817643</v>
      </c>
      <c r="AB641" s="8">
        <f t="shared" si="171"/>
        <v>1</v>
      </c>
      <c r="AC641" s="10">
        <v>6.125</v>
      </c>
      <c r="AD641" s="7">
        <f t="shared" si="172"/>
        <v>1269.6550840446428</v>
      </c>
      <c r="AE641" s="2">
        <f t="shared" si="173"/>
        <v>-103.80508404464285</v>
      </c>
      <c r="AF641" s="10">
        <v>3</v>
      </c>
      <c r="AG641" s="3">
        <f t="shared" si="174"/>
        <v>5866.47</v>
      </c>
      <c r="AH641" s="7">
        <v>3910</v>
      </c>
      <c r="AI641">
        <f t="shared" si="175"/>
        <v>360</v>
      </c>
      <c r="AJ641" t="e">
        <f>VLOOKUP(A641,'Borrower Details'!$A$1:$H$1493,8,FALSE)</f>
        <v>#N/A</v>
      </c>
      <c r="AK641" s="4" t="e">
        <f t="shared" si="176"/>
        <v>#N/A</v>
      </c>
      <c r="AL641" s="10">
        <v>6.75</v>
      </c>
      <c r="AM641" s="3">
        <f t="shared" si="177"/>
        <v>195548.44855</v>
      </c>
      <c r="AN641">
        <v>6.75</v>
      </c>
      <c r="AO641" s="7">
        <f t="shared" si="178"/>
        <v>1349.8020353931395</v>
      </c>
      <c r="AP641" s="2">
        <f t="shared" si="179"/>
        <v>-183.95203539313957</v>
      </c>
    </row>
    <row r="642" spans="1:42" x14ac:dyDescent="0.15">
      <c r="A642" s="8">
        <v>1152149</v>
      </c>
      <c r="B642" t="s">
        <v>36</v>
      </c>
      <c r="C642" t="s">
        <v>18</v>
      </c>
      <c r="D642" s="1">
        <v>39146</v>
      </c>
      <c r="E642" s="2">
        <v>159500</v>
      </c>
      <c r="F642" s="2">
        <v>119625</v>
      </c>
      <c r="G642" t="s">
        <v>17</v>
      </c>
      <c r="H642" s="2">
        <v>812.01</v>
      </c>
      <c r="I642" s="2">
        <v>118354.53</v>
      </c>
      <c r="J642">
        <v>7.1999999999999995E-2</v>
      </c>
      <c r="K642">
        <v>13</v>
      </c>
      <c r="L642">
        <v>347</v>
      </c>
      <c r="M642" t="str">
        <f t="shared" si="165"/>
        <v>30 Year Fixed</v>
      </c>
      <c r="N642" s="2">
        <v>710.13</v>
      </c>
      <c r="O642" t="str">
        <f t="shared" ref="O642:O705" si="180">IF((0.85*E642)&gt;(I642*1.015),"Cash Out","Refi")</f>
        <v>Cash Out</v>
      </c>
      <c r="P642" s="3">
        <f t="shared" si="166"/>
        <v>15216.898571428581</v>
      </c>
      <c r="Q642" s="4">
        <v>135575</v>
      </c>
      <c r="R642" s="4" t="s">
        <v>41</v>
      </c>
      <c r="S642" s="6">
        <v>642</v>
      </c>
      <c r="T642">
        <v>6.75</v>
      </c>
      <c r="U642" s="7">
        <f t="shared" ref="U642:U705" si="181">(Q642*((T642/1200)/(1-(1+(T642/1200))^-AI642)))+((Q642*0.005)/12)</f>
        <v>935.82645275568927</v>
      </c>
      <c r="V642" s="2">
        <f t="shared" si="167"/>
        <v>-123.81645275568928</v>
      </c>
      <c r="W642" s="9">
        <f t="shared" si="168"/>
        <v>1</v>
      </c>
      <c r="X642" s="3">
        <v>120130</v>
      </c>
      <c r="Y642" s="3">
        <f t="shared" si="169"/>
        <v>0.14980295568238944</v>
      </c>
      <c r="Z642" s="7">
        <f t="shared" si="170"/>
        <v>829.21506007406197</v>
      </c>
      <c r="AA642" s="2">
        <f t="shared" ref="AA642:AA705" si="182">H642-Z642</f>
        <v>-17.205060074061976</v>
      </c>
      <c r="AB642" s="8">
        <f t="shared" si="171"/>
        <v>1</v>
      </c>
      <c r="AC642" s="10">
        <v>6.125</v>
      </c>
      <c r="AD642" s="7">
        <f t="shared" si="172"/>
        <v>779.97670786494905</v>
      </c>
      <c r="AE642" s="2">
        <f t="shared" si="173"/>
        <v>32.033292135050942</v>
      </c>
      <c r="AF642" s="10">
        <v>3</v>
      </c>
      <c r="AG642" s="3">
        <f t="shared" si="174"/>
        <v>3603.9</v>
      </c>
      <c r="AH642" s="7">
        <v>2392.5</v>
      </c>
      <c r="AI642">
        <f t="shared" si="175"/>
        <v>360</v>
      </c>
      <c r="AJ642" t="e">
        <f>VLOOKUP(A642,'Borrower Details'!$A$1:$H$1493,8,FALSE)</f>
        <v>#N/A</v>
      </c>
      <c r="AK642" s="4" t="e">
        <f t="shared" si="176"/>
        <v>#N/A</v>
      </c>
      <c r="AL642" s="10">
        <v>6.75</v>
      </c>
      <c r="AM642" s="3">
        <f t="shared" si="177"/>
        <v>120129.84794999998</v>
      </c>
      <c r="AN642">
        <v>6.75</v>
      </c>
      <c r="AO642" s="7">
        <f t="shared" si="178"/>
        <v>829.21401052648935</v>
      </c>
      <c r="AP642" s="2">
        <f t="shared" si="179"/>
        <v>-17.204010526489355</v>
      </c>
    </row>
    <row r="643" spans="1:42" x14ac:dyDescent="0.15">
      <c r="A643" s="8">
        <v>1145650</v>
      </c>
      <c r="B643" t="s">
        <v>37</v>
      </c>
      <c r="C643" t="s">
        <v>18</v>
      </c>
      <c r="D643" s="1">
        <v>39150</v>
      </c>
      <c r="E643" s="2">
        <v>204000</v>
      </c>
      <c r="F643" s="2">
        <v>163200</v>
      </c>
      <c r="G643" t="s">
        <v>17</v>
      </c>
      <c r="H643" s="2">
        <v>1231.24</v>
      </c>
      <c r="I643" s="2">
        <v>158455.71</v>
      </c>
      <c r="J643">
        <v>6.6500000000000004E-2</v>
      </c>
      <c r="K643">
        <v>13</v>
      </c>
      <c r="L643">
        <v>226</v>
      </c>
      <c r="M643" t="str">
        <f t="shared" ref="M643:M706" si="183">(IF((L643+K643)&lt;180,"15 Year Fixed","30 Year Fixed"))</f>
        <v>30 Year Fixed</v>
      </c>
      <c r="N643" s="2">
        <v>880.05</v>
      </c>
      <c r="O643" t="str">
        <f t="shared" si="180"/>
        <v>Cash Out</v>
      </c>
      <c r="P643" s="3">
        <f t="shared" ref="P643:P706" si="184">IF((0.85*E643)&gt;(I643*1.015),((0.85*E643)/1.015)-(I643),0)</f>
        <v>12381.728423645342</v>
      </c>
      <c r="Q643" s="4">
        <v>173400</v>
      </c>
      <c r="R643" s="4" t="s">
        <v>41</v>
      </c>
      <c r="S643" s="6">
        <v>692</v>
      </c>
      <c r="T643">
        <v>6.75</v>
      </c>
      <c r="U643" s="7">
        <f t="shared" si="181"/>
        <v>1196.9190994492828</v>
      </c>
      <c r="V643" s="2">
        <f t="shared" ref="V643:V706" si="185">H643-U643</f>
        <v>34.32090055071717</v>
      </c>
      <c r="W643" s="9">
        <f t="shared" ref="W643:W706" si="186">IF(AND(O643="Cash Out",V643&lt;0),1,0)</f>
        <v>0</v>
      </c>
      <c r="X643" s="3">
        <v>173400</v>
      </c>
      <c r="Y643" s="3">
        <f t="shared" ref="Y643:Y706" si="187">(X643/1.015)-(I643)</f>
        <v>12381.728423645342</v>
      </c>
      <c r="Z643" s="7">
        <f t="shared" ref="Z643:Z706" si="188">(X643*((AL643/1200)/(1-(1+(AL643/1200))^-AI643)))+((X643*0.005)/12)</f>
        <v>1196.9190994492828</v>
      </c>
      <c r="AA643" s="2">
        <f t="shared" si="182"/>
        <v>34.32090055071717</v>
      </c>
      <c r="AB643" s="8">
        <f t="shared" ref="AB643:AB706" si="189">IF(I643=0,0,IF(AND(AH643&gt;0,(AP643/AO643)&lt;0.07),1,IF(AND(AH643=0,(AP643/AO643)&lt;0.1),1,0)))</f>
        <v>0</v>
      </c>
      <c r="AC643" s="10">
        <v>6.75</v>
      </c>
      <c r="AD643" s="7">
        <f t="shared" ref="AD643:AD706" si="190">(X643*((AC643/1200)/(1-(1+(AC643/1200))^-AI643)))+((X643*0.005)/12)</f>
        <v>1196.9190994492828</v>
      </c>
      <c r="AE643" s="2">
        <f t="shared" ref="AE643:AE706" si="191">H643-AD643</f>
        <v>34.32090055071717</v>
      </c>
      <c r="AF643" s="10">
        <v>0</v>
      </c>
      <c r="AG643" s="3">
        <f t="shared" ref="AG643:AG706" si="192">AF643*X643/100</f>
        <v>0</v>
      </c>
      <c r="AH643" s="7">
        <v>1632</v>
      </c>
      <c r="AI643">
        <f t="shared" ref="AI643:AI706" si="193">IF(M643="30 Year Fixed",360,180)</f>
        <v>360</v>
      </c>
      <c r="AJ643" t="e">
        <f>VLOOKUP(A643,'Borrower Details'!$A$1:$H$1493,8,FALSE)</f>
        <v>#N/A</v>
      </c>
      <c r="AK643" s="4" t="e">
        <f t="shared" ref="AK643:AK706" si="194">IF(AJ643&gt;360,PV((J643/12),AJ643-AI643,-H643),"NA")</f>
        <v>#N/A</v>
      </c>
      <c r="AL643" s="10">
        <v>6.75</v>
      </c>
      <c r="AM643" s="3">
        <f t="shared" ref="AM643:AM706" si="195">I643*1.015</f>
        <v>160832.54564999999</v>
      </c>
      <c r="AN643">
        <v>6.75</v>
      </c>
      <c r="AO643" s="7">
        <f t="shared" ref="AO643:AO706" si="196">(AM643*((AN643/1200)/(1-(1+(AN643/1200))^-AI643)))+((AM643*0.005)/12)</f>
        <v>1110.1703904356036</v>
      </c>
      <c r="AP643" s="2">
        <f t="shared" ref="AP643:AP706" si="197">H643-AO643</f>
        <v>121.06960956439639</v>
      </c>
    </row>
    <row r="644" spans="1:42" x14ac:dyDescent="0.15">
      <c r="A644" s="8">
        <v>410068092</v>
      </c>
      <c r="B644" t="s">
        <v>35</v>
      </c>
      <c r="C644" t="s">
        <v>16</v>
      </c>
      <c r="D644" s="1">
        <v>39196</v>
      </c>
      <c r="E644" s="2">
        <v>121000</v>
      </c>
      <c r="F644" s="2">
        <v>90750</v>
      </c>
      <c r="G644" t="s">
        <v>17</v>
      </c>
      <c r="H644" s="2">
        <v>799.08</v>
      </c>
      <c r="I644" s="2">
        <v>88984.47</v>
      </c>
      <c r="J644">
        <v>8.6999999999999994E-2</v>
      </c>
      <c r="K644">
        <v>12</v>
      </c>
      <c r="L644">
        <v>228</v>
      </c>
      <c r="M644" t="str">
        <f t="shared" si="183"/>
        <v>30 Year Fixed</v>
      </c>
      <c r="N644" s="2">
        <v>645.14</v>
      </c>
      <c r="O644" t="str">
        <f t="shared" si="180"/>
        <v>Cash Out</v>
      </c>
      <c r="P644" s="3">
        <f t="shared" si="184"/>
        <v>12345.579261083752</v>
      </c>
      <c r="Q644" s="4">
        <v>102850</v>
      </c>
      <c r="R644" s="4" t="s">
        <v>41</v>
      </c>
      <c r="S644" s="6">
        <v>613</v>
      </c>
      <c r="T644">
        <v>6.875</v>
      </c>
      <c r="U644" s="7">
        <f t="shared" si="181"/>
        <v>718.50545153193514</v>
      </c>
      <c r="V644" s="2">
        <f t="shared" si="185"/>
        <v>80.574548468064904</v>
      </c>
      <c r="W644" s="9">
        <f t="shared" si="186"/>
        <v>0</v>
      </c>
      <c r="X644" s="3">
        <v>102850</v>
      </c>
      <c r="Y644" s="3">
        <f t="shared" si="187"/>
        <v>12345.579261083752</v>
      </c>
      <c r="Z644" s="7">
        <f t="shared" si="188"/>
        <v>718.50545153193514</v>
      </c>
      <c r="AA644" s="2">
        <f t="shared" si="182"/>
        <v>80.574548468064904</v>
      </c>
      <c r="AB644" s="8">
        <f t="shared" si="189"/>
        <v>0</v>
      </c>
      <c r="AC644" s="10">
        <v>7</v>
      </c>
      <c r="AD644" s="7">
        <f t="shared" si="190"/>
        <v>727.11778295845602</v>
      </c>
      <c r="AE644" s="2">
        <f t="shared" si="191"/>
        <v>71.962217041544022</v>
      </c>
      <c r="AF644" s="10">
        <v>0</v>
      </c>
      <c r="AG644" s="3">
        <f t="shared" si="192"/>
        <v>0</v>
      </c>
      <c r="AH644" s="7">
        <v>3947.6249999999995</v>
      </c>
      <c r="AI644">
        <f t="shared" si="193"/>
        <v>360</v>
      </c>
      <c r="AJ644" t="e">
        <f>VLOOKUP(A644,'Borrower Details'!$A$1:$H$1493,8,FALSE)</f>
        <v>#N/A</v>
      </c>
      <c r="AK644" s="4" t="e">
        <f t="shared" si="194"/>
        <v>#N/A</v>
      </c>
      <c r="AL644" s="10">
        <v>6.875</v>
      </c>
      <c r="AM644" s="3">
        <f t="shared" si="195"/>
        <v>90319.237049999996</v>
      </c>
      <c r="AN644">
        <v>7</v>
      </c>
      <c r="AO644" s="7">
        <f t="shared" si="196"/>
        <v>638.52915315795076</v>
      </c>
      <c r="AP644" s="2">
        <f t="shared" si="197"/>
        <v>160.55084684204928</v>
      </c>
    </row>
    <row r="645" spans="1:42" x14ac:dyDescent="0.15">
      <c r="A645" s="8">
        <v>410963672</v>
      </c>
      <c r="B645" t="s">
        <v>37</v>
      </c>
      <c r="C645" t="s">
        <v>16</v>
      </c>
      <c r="D645" s="1">
        <v>39374</v>
      </c>
      <c r="E645" s="2">
        <v>234000</v>
      </c>
      <c r="F645" s="2">
        <v>210600</v>
      </c>
      <c r="G645" t="s">
        <v>20</v>
      </c>
      <c r="H645" s="2">
        <v>2005.44</v>
      </c>
      <c r="I645" s="2">
        <v>210138.85</v>
      </c>
      <c r="J645">
        <v>0.10999</v>
      </c>
      <c r="K645">
        <v>6</v>
      </c>
      <c r="L645">
        <v>354</v>
      </c>
      <c r="M645" t="str">
        <f t="shared" si="183"/>
        <v>30 Year Fixed</v>
      </c>
      <c r="N645" s="2">
        <v>1926.1</v>
      </c>
      <c r="O645" t="str">
        <f t="shared" si="180"/>
        <v>Refi</v>
      </c>
      <c r="P645" s="3">
        <f t="shared" si="184"/>
        <v>0</v>
      </c>
      <c r="Q645" s="4">
        <v>213291</v>
      </c>
      <c r="R645" s="4" t="s">
        <v>41</v>
      </c>
      <c r="S645" s="6">
        <v>586</v>
      </c>
      <c r="T645">
        <v>7.375</v>
      </c>
      <c r="U645" s="7">
        <f t="shared" si="181"/>
        <v>1562.0191790618376</v>
      </c>
      <c r="V645" s="2">
        <f t="shared" si="185"/>
        <v>443.42082093816248</v>
      </c>
      <c r="W645" s="9">
        <f t="shared" si="186"/>
        <v>0</v>
      </c>
      <c r="X645" s="3">
        <v>213291</v>
      </c>
      <c r="Y645" s="3">
        <f t="shared" si="187"/>
        <v>6.6256157646421343E-2</v>
      </c>
      <c r="Z645" s="7">
        <f t="shared" si="188"/>
        <v>1562.0191790618376</v>
      </c>
      <c r="AA645" s="2">
        <f t="shared" si="182"/>
        <v>443.42082093816248</v>
      </c>
      <c r="AB645" s="8">
        <f t="shared" si="189"/>
        <v>0</v>
      </c>
      <c r="AC645" s="10">
        <v>7.375</v>
      </c>
      <c r="AD645" s="7">
        <f t="shared" si="190"/>
        <v>1562.0191790618376</v>
      </c>
      <c r="AE645" s="2">
        <f t="shared" si="191"/>
        <v>443.42082093816248</v>
      </c>
      <c r="AF645" s="10">
        <v>0</v>
      </c>
      <c r="AG645" s="3">
        <f t="shared" si="192"/>
        <v>0</v>
      </c>
      <c r="AH645" s="7">
        <v>2106</v>
      </c>
      <c r="AI645">
        <f t="shared" si="193"/>
        <v>360</v>
      </c>
      <c r="AJ645" t="e">
        <f>VLOOKUP(A645,'Borrower Details'!$A$1:$H$1493,8,FALSE)</f>
        <v>#N/A</v>
      </c>
      <c r="AK645" s="4" t="e">
        <f t="shared" si="194"/>
        <v>#N/A</v>
      </c>
      <c r="AL645" s="10">
        <v>7.375</v>
      </c>
      <c r="AM645" s="3">
        <f t="shared" si="195"/>
        <v>213290.93274999998</v>
      </c>
      <c r="AN645">
        <v>7.375</v>
      </c>
      <c r="AO645" s="7">
        <f t="shared" si="196"/>
        <v>1562.0186865619676</v>
      </c>
      <c r="AP645" s="2">
        <f t="shared" si="197"/>
        <v>443.42131343803248</v>
      </c>
    </row>
    <row r="646" spans="1:42" x14ac:dyDescent="0.15">
      <c r="A646" s="8">
        <v>410590632</v>
      </c>
      <c r="B646" t="s">
        <v>37</v>
      </c>
      <c r="C646" t="s">
        <v>19</v>
      </c>
      <c r="D646" s="1">
        <v>39288</v>
      </c>
      <c r="E646" s="2">
        <v>107000</v>
      </c>
      <c r="F646" s="2">
        <v>101650</v>
      </c>
      <c r="G646" t="s">
        <v>15</v>
      </c>
      <c r="H646" s="2">
        <v>919.35</v>
      </c>
      <c r="I646" s="2">
        <v>101529.01</v>
      </c>
      <c r="J646">
        <v>0.107</v>
      </c>
      <c r="K646">
        <v>9</v>
      </c>
      <c r="L646">
        <v>351</v>
      </c>
      <c r="M646" t="str">
        <f t="shared" si="183"/>
        <v>30 Year Fixed</v>
      </c>
      <c r="N646" s="2">
        <v>905.3</v>
      </c>
      <c r="O646" t="str">
        <f t="shared" si="180"/>
        <v>Refi</v>
      </c>
      <c r="P646" s="3">
        <f t="shared" si="184"/>
        <v>0</v>
      </c>
      <c r="Q646" s="4">
        <v>103052</v>
      </c>
      <c r="R646" s="4" t="s">
        <v>41</v>
      </c>
      <c r="S646" s="6">
        <v>598</v>
      </c>
      <c r="T646">
        <v>7.375</v>
      </c>
      <c r="U646" s="7">
        <f t="shared" si="181"/>
        <v>754.69288643534196</v>
      </c>
      <c r="V646" s="2">
        <f t="shared" si="185"/>
        <v>164.65711356465806</v>
      </c>
      <c r="W646" s="9">
        <f t="shared" si="186"/>
        <v>0</v>
      </c>
      <c r="X646" s="3">
        <v>103052</v>
      </c>
      <c r="Y646" s="3">
        <f t="shared" si="187"/>
        <v>5.4039408874814399E-2</v>
      </c>
      <c r="Z646" s="7">
        <f t="shared" si="188"/>
        <v>754.69288643534196</v>
      </c>
      <c r="AA646" s="2">
        <f t="shared" si="182"/>
        <v>164.65711356465806</v>
      </c>
      <c r="AB646" s="8">
        <f t="shared" si="189"/>
        <v>0</v>
      </c>
      <c r="AC646" s="10">
        <v>7.375</v>
      </c>
      <c r="AD646" s="7">
        <f t="shared" si="190"/>
        <v>754.69288643534196</v>
      </c>
      <c r="AE646" s="2">
        <f t="shared" si="191"/>
        <v>164.65711356465806</v>
      </c>
      <c r="AF646" s="10">
        <v>0</v>
      </c>
      <c r="AG646" s="3">
        <f t="shared" si="192"/>
        <v>0</v>
      </c>
      <c r="AH646" s="7">
        <v>0</v>
      </c>
      <c r="AI646">
        <f t="shared" si="193"/>
        <v>360</v>
      </c>
      <c r="AJ646" t="e">
        <f>VLOOKUP(A646,'Borrower Details'!$A$1:$H$1493,8,FALSE)</f>
        <v>#N/A</v>
      </c>
      <c r="AK646" s="4" t="e">
        <f t="shared" si="194"/>
        <v>#N/A</v>
      </c>
      <c r="AL646" s="10">
        <v>7.375</v>
      </c>
      <c r="AM646" s="3">
        <f t="shared" si="195"/>
        <v>103051.94514999999</v>
      </c>
      <c r="AN646">
        <v>7.375</v>
      </c>
      <c r="AO646" s="7">
        <f t="shared" si="196"/>
        <v>754.69248474585675</v>
      </c>
      <c r="AP646" s="2">
        <f t="shared" si="197"/>
        <v>164.65751525414328</v>
      </c>
    </row>
    <row r="647" spans="1:42" x14ac:dyDescent="0.15">
      <c r="A647" s="8">
        <v>410600688</v>
      </c>
      <c r="B647" t="s">
        <v>35</v>
      </c>
      <c r="C647" t="s">
        <v>16</v>
      </c>
      <c r="D647" s="1">
        <v>39293</v>
      </c>
      <c r="E647" s="2">
        <v>150000</v>
      </c>
      <c r="F647" s="2">
        <v>135000</v>
      </c>
      <c r="G647" t="s">
        <v>20</v>
      </c>
      <c r="H647" s="2">
        <v>1209.74</v>
      </c>
      <c r="I647" s="2">
        <v>134593.4</v>
      </c>
      <c r="J647">
        <v>0.10249999999999999</v>
      </c>
      <c r="K647">
        <v>9</v>
      </c>
      <c r="L647">
        <v>353</v>
      </c>
      <c r="M647" t="str">
        <f t="shared" si="183"/>
        <v>30 Year Fixed</v>
      </c>
      <c r="N647" s="2">
        <v>1149.6500000000001</v>
      </c>
      <c r="O647" t="str">
        <f t="shared" si="180"/>
        <v>Refi</v>
      </c>
      <c r="P647" s="3">
        <f t="shared" si="184"/>
        <v>0</v>
      </c>
      <c r="Q647" s="4">
        <v>136612</v>
      </c>
      <c r="R647" s="4" t="s">
        <v>41</v>
      </c>
      <c r="S647" s="6">
        <v>572</v>
      </c>
      <c r="T647">
        <v>7.625</v>
      </c>
      <c r="U647" s="7">
        <f t="shared" si="181"/>
        <v>1023.8528594366625</v>
      </c>
      <c r="V647" s="2">
        <f t="shared" si="185"/>
        <v>185.88714056333754</v>
      </c>
      <c r="W647" s="9">
        <f t="shared" si="186"/>
        <v>0</v>
      </c>
      <c r="X647" s="3">
        <v>136612</v>
      </c>
      <c r="Y647" s="3">
        <f t="shared" si="187"/>
        <v>-0.2965517241100315</v>
      </c>
      <c r="Z647" s="7">
        <f t="shared" si="188"/>
        <v>1023.8528594366625</v>
      </c>
      <c r="AA647" s="2">
        <f t="shared" si="182"/>
        <v>185.88714056333754</v>
      </c>
      <c r="AB647" s="8">
        <f t="shared" si="189"/>
        <v>0</v>
      </c>
      <c r="AC647" s="10">
        <v>7.625</v>
      </c>
      <c r="AD647" s="7">
        <f t="shared" si="190"/>
        <v>1023.8528594366625</v>
      </c>
      <c r="AE647" s="2">
        <f t="shared" si="191"/>
        <v>185.88714056333754</v>
      </c>
      <c r="AF647" s="10">
        <v>0</v>
      </c>
      <c r="AG647" s="3">
        <f t="shared" si="192"/>
        <v>0</v>
      </c>
      <c r="AH647" s="7">
        <v>6918.75</v>
      </c>
      <c r="AI647">
        <f t="shared" si="193"/>
        <v>360</v>
      </c>
      <c r="AJ647" t="e">
        <f>VLOOKUP(A647,'Borrower Details'!$A$1:$H$1493,8,FALSE)</f>
        <v>#N/A</v>
      </c>
      <c r="AK647" s="4" t="e">
        <f t="shared" si="194"/>
        <v>#N/A</v>
      </c>
      <c r="AL647" s="10">
        <v>7.625</v>
      </c>
      <c r="AM647" s="3">
        <f t="shared" si="195"/>
        <v>136612.30099999998</v>
      </c>
      <c r="AN647">
        <v>7.625</v>
      </c>
      <c r="AO647" s="7">
        <f t="shared" si="196"/>
        <v>1023.8551153125056</v>
      </c>
      <c r="AP647" s="2">
        <f t="shared" si="197"/>
        <v>185.88488468749438</v>
      </c>
    </row>
    <row r="648" spans="1:42" x14ac:dyDescent="0.15">
      <c r="A648" s="8">
        <v>410110324</v>
      </c>
      <c r="B648" t="s">
        <v>35</v>
      </c>
      <c r="C648" t="s">
        <v>16</v>
      </c>
      <c r="D648" s="1">
        <v>39244</v>
      </c>
      <c r="E648" s="2">
        <v>62000</v>
      </c>
      <c r="F648" s="2">
        <v>52700</v>
      </c>
      <c r="G648" t="s">
        <v>15</v>
      </c>
      <c r="H648" s="2">
        <v>454.72</v>
      </c>
      <c r="I648" s="2">
        <v>52447.48</v>
      </c>
      <c r="J648">
        <v>9.8000000000000004E-2</v>
      </c>
      <c r="K648">
        <v>10</v>
      </c>
      <c r="L648">
        <v>350</v>
      </c>
      <c r="M648" t="str">
        <f t="shared" si="183"/>
        <v>30 Year Fixed</v>
      </c>
      <c r="N648" s="2">
        <v>428.32</v>
      </c>
      <c r="O648" t="str">
        <f t="shared" si="180"/>
        <v>Refi</v>
      </c>
      <c r="P648" s="3">
        <f t="shared" si="184"/>
        <v>0</v>
      </c>
      <c r="Q648" s="4">
        <v>53234</v>
      </c>
      <c r="R648" s="4" t="s">
        <v>41</v>
      </c>
      <c r="S648" s="6">
        <v>592</v>
      </c>
      <c r="T648">
        <v>7.625</v>
      </c>
      <c r="U648" s="7">
        <f t="shared" si="181"/>
        <v>398.96775626776048</v>
      </c>
      <c r="V648" s="2">
        <f t="shared" si="185"/>
        <v>55.752243732239549</v>
      </c>
      <c r="W648" s="9">
        <f t="shared" si="186"/>
        <v>0</v>
      </c>
      <c r="X648" s="3">
        <v>53234</v>
      </c>
      <c r="Y648" s="3">
        <f t="shared" si="187"/>
        <v>-0.18935960590897594</v>
      </c>
      <c r="Z648" s="7">
        <f t="shared" si="188"/>
        <v>398.96775626776048</v>
      </c>
      <c r="AA648" s="2">
        <f t="shared" si="182"/>
        <v>55.752243732239549</v>
      </c>
      <c r="AB648" s="8">
        <f t="shared" si="189"/>
        <v>0</v>
      </c>
      <c r="AC648" s="10">
        <v>7.625</v>
      </c>
      <c r="AD648" s="7">
        <f t="shared" si="190"/>
        <v>398.96775626776048</v>
      </c>
      <c r="AE648" s="2">
        <f t="shared" si="191"/>
        <v>55.752243732239549</v>
      </c>
      <c r="AF648" s="10">
        <v>0</v>
      </c>
      <c r="AG648" s="3">
        <f t="shared" si="192"/>
        <v>0</v>
      </c>
      <c r="AH648" s="7">
        <v>2582.3000000000002</v>
      </c>
      <c r="AI648">
        <f t="shared" si="193"/>
        <v>360</v>
      </c>
      <c r="AJ648" t="e">
        <f>VLOOKUP(A648,'Borrower Details'!$A$1:$H$1493,8,FALSE)</f>
        <v>#N/A</v>
      </c>
      <c r="AK648" s="4" t="e">
        <f t="shared" si="194"/>
        <v>#N/A</v>
      </c>
      <c r="AL648" s="10">
        <v>7.625</v>
      </c>
      <c r="AM648" s="3">
        <f t="shared" si="195"/>
        <v>53234.192199999998</v>
      </c>
      <c r="AN648">
        <v>7.625</v>
      </c>
      <c r="AO648" s="7">
        <f t="shared" si="196"/>
        <v>398.9691967306743</v>
      </c>
      <c r="AP648" s="2">
        <f t="shared" si="197"/>
        <v>55.750803269325729</v>
      </c>
    </row>
    <row r="649" spans="1:42" x14ac:dyDescent="0.15">
      <c r="A649" s="8">
        <v>410563720</v>
      </c>
      <c r="B649" t="s">
        <v>35</v>
      </c>
      <c r="C649" t="s">
        <v>16</v>
      </c>
      <c r="D649" s="1">
        <v>39286</v>
      </c>
      <c r="E649" s="2">
        <v>279000</v>
      </c>
      <c r="F649" s="2">
        <v>237150</v>
      </c>
      <c r="G649" t="s">
        <v>17</v>
      </c>
      <c r="H649" s="2">
        <v>1789.47</v>
      </c>
      <c r="I649" s="2">
        <v>236957.8</v>
      </c>
      <c r="J649">
        <v>8.9499999999999996E-2</v>
      </c>
      <c r="K649">
        <v>9</v>
      </c>
      <c r="L649">
        <v>351</v>
      </c>
      <c r="M649" t="str">
        <f t="shared" si="183"/>
        <v>30 Year Fixed</v>
      </c>
      <c r="N649" s="2">
        <v>1767.31</v>
      </c>
      <c r="O649" t="str">
        <f t="shared" si="180"/>
        <v>Refi</v>
      </c>
      <c r="P649" s="3">
        <f t="shared" si="184"/>
        <v>0</v>
      </c>
      <c r="Q649" s="4">
        <v>240512</v>
      </c>
      <c r="R649" s="4" t="s">
        <v>41</v>
      </c>
      <c r="S649" s="6">
        <v>572</v>
      </c>
      <c r="T649">
        <v>7.625</v>
      </c>
      <c r="U649" s="7">
        <f t="shared" si="181"/>
        <v>1802.5422285657964</v>
      </c>
      <c r="V649" s="2">
        <f t="shared" si="185"/>
        <v>-13.072228565796422</v>
      </c>
      <c r="W649" s="9">
        <f t="shared" si="186"/>
        <v>0</v>
      </c>
      <c r="X649" s="3">
        <v>240512</v>
      </c>
      <c r="Y649" s="3">
        <f t="shared" si="187"/>
        <v>-0.16453201966942288</v>
      </c>
      <c r="Z649" s="7">
        <f t="shared" si="188"/>
        <v>1802.5422285657964</v>
      </c>
      <c r="AA649" s="2">
        <f t="shared" si="182"/>
        <v>-13.072228565796422</v>
      </c>
      <c r="AB649" s="8">
        <f t="shared" si="189"/>
        <v>1</v>
      </c>
      <c r="AC649" s="10">
        <v>6.875</v>
      </c>
      <c r="AD649" s="7">
        <f t="shared" si="190"/>
        <v>1680.2059616805911</v>
      </c>
      <c r="AE649" s="2">
        <f t="shared" si="191"/>
        <v>109.26403831940888</v>
      </c>
      <c r="AF649" s="10">
        <v>1</v>
      </c>
      <c r="AG649" s="3">
        <f t="shared" si="192"/>
        <v>2405.12</v>
      </c>
      <c r="AH649" s="7">
        <v>10612.4625</v>
      </c>
      <c r="AI649">
        <f t="shared" si="193"/>
        <v>360</v>
      </c>
      <c r="AJ649" t="e">
        <f>VLOOKUP(A649,'Borrower Details'!$A$1:$H$1493,8,FALSE)</f>
        <v>#N/A</v>
      </c>
      <c r="AK649" s="4" t="e">
        <f t="shared" si="194"/>
        <v>#N/A</v>
      </c>
      <c r="AL649" s="10">
        <v>7.625</v>
      </c>
      <c r="AM649" s="3">
        <f t="shared" si="195"/>
        <v>240512.16699999996</v>
      </c>
      <c r="AN649">
        <v>7.625</v>
      </c>
      <c r="AO649" s="7">
        <f t="shared" si="196"/>
        <v>1802.5434801646859</v>
      </c>
      <c r="AP649" s="2">
        <f t="shared" si="197"/>
        <v>-13.073480164685861</v>
      </c>
    </row>
    <row r="650" spans="1:42" x14ac:dyDescent="0.15">
      <c r="A650" s="8">
        <v>1152613</v>
      </c>
      <c r="B650" t="s">
        <v>35</v>
      </c>
      <c r="C650" t="s">
        <v>16</v>
      </c>
      <c r="D650" s="1">
        <v>39141</v>
      </c>
      <c r="E650" s="2">
        <v>115000</v>
      </c>
      <c r="F650" s="2">
        <v>86250</v>
      </c>
      <c r="G650" t="s">
        <v>17</v>
      </c>
      <c r="H650" s="2">
        <v>565.16999999999996</v>
      </c>
      <c r="I650" s="2">
        <v>85191.73</v>
      </c>
      <c r="J650">
        <v>6.8500000000000005E-2</v>
      </c>
      <c r="K650">
        <v>14</v>
      </c>
      <c r="L650">
        <v>346</v>
      </c>
      <c r="M650" t="str">
        <f t="shared" si="183"/>
        <v>30 Year Fixed</v>
      </c>
      <c r="N650" s="2">
        <v>486.3</v>
      </c>
      <c r="O650" t="str">
        <f t="shared" si="180"/>
        <v>Cash Out</v>
      </c>
      <c r="P650" s="3">
        <f t="shared" si="184"/>
        <v>11113.68871921183</v>
      </c>
      <c r="Q650" s="4">
        <v>97750</v>
      </c>
      <c r="R650" s="4" t="s">
        <v>41</v>
      </c>
      <c r="S650" s="6">
        <v>665</v>
      </c>
      <c r="T650">
        <v>6.875</v>
      </c>
      <c r="U650" s="7">
        <f t="shared" si="181"/>
        <v>682.87708203448381</v>
      </c>
      <c r="V650" s="2">
        <f t="shared" si="185"/>
        <v>-117.70708203448385</v>
      </c>
      <c r="W650" s="9">
        <f t="shared" si="186"/>
        <v>1</v>
      </c>
      <c r="X650" s="3">
        <v>86470</v>
      </c>
      <c r="Y650" s="3">
        <f t="shared" si="187"/>
        <v>0.38822660100413486</v>
      </c>
      <c r="Z650" s="7">
        <f t="shared" si="188"/>
        <v>604.07551185188561</v>
      </c>
      <c r="AA650" s="2">
        <f t="shared" si="182"/>
        <v>-38.905511851885649</v>
      </c>
      <c r="AB650" s="8">
        <f t="shared" si="189"/>
        <v>1</v>
      </c>
      <c r="AC650" s="10">
        <v>6.25</v>
      </c>
      <c r="AD650" s="7">
        <f t="shared" si="190"/>
        <v>568.43982987536924</v>
      </c>
      <c r="AE650" s="2">
        <f t="shared" si="191"/>
        <v>-3.2698298753692825</v>
      </c>
      <c r="AF650" s="10">
        <v>2.5</v>
      </c>
      <c r="AG650" s="3">
        <f t="shared" si="192"/>
        <v>2161.75</v>
      </c>
      <c r="AH650" s="7">
        <v>2954.0625000000005</v>
      </c>
      <c r="AI650">
        <f t="shared" si="193"/>
        <v>360</v>
      </c>
      <c r="AJ650" t="e">
        <f>VLOOKUP(A650,'Borrower Details'!$A$1:$H$1493,8,FALSE)</f>
        <v>#N/A</v>
      </c>
      <c r="AK650" s="4" t="e">
        <f t="shared" si="194"/>
        <v>#N/A</v>
      </c>
      <c r="AL650" s="10">
        <v>6.875</v>
      </c>
      <c r="AM650" s="3">
        <f t="shared" si="195"/>
        <v>86469.605949999983</v>
      </c>
      <c r="AN650">
        <v>6.875</v>
      </c>
      <c r="AO650" s="7">
        <f t="shared" si="196"/>
        <v>604.07275903639527</v>
      </c>
      <c r="AP650" s="2">
        <f t="shared" si="197"/>
        <v>-38.90275903639531</v>
      </c>
    </row>
    <row r="651" spans="1:42" x14ac:dyDescent="0.15">
      <c r="A651" s="8">
        <v>1151528</v>
      </c>
      <c r="B651" t="s">
        <v>36</v>
      </c>
      <c r="C651" t="s">
        <v>18</v>
      </c>
      <c r="D651" s="1">
        <v>39140</v>
      </c>
      <c r="E651" s="2">
        <v>276000</v>
      </c>
      <c r="F651" s="2">
        <v>168000</v>
      </c>
      <c r="G651" t="s">
        <v>17</v>
      </c>
      <c r="H651" s="2">
        <v>1150.6199999999999</v>
      </c>
      <c r="I651" s="2">
        <v>166104.68</v>
      </c>
      <c r="J651">
        <v>7.2900000000000006E-2</v>
      </c>
      <c r="K651">
        <v>14</v>
      </c>
      <c r="L651">
        <v>346</v>
      </c>
      <c r="M651" t="str">
        <f t="shared" si="183"/>
        <v>30 Year Fixed</v>
      </c>
      <c r="N651" s="2">
        <v>1009.09</v>
      </c>
      <c r="O651" t="str">
        <f t="shared" si="180"/>
        <v>Cash Out</v>
      </c>
      <c r="P651" s="3">
        <f t="shared" si="184"/>
        <v>65028.324926108413</v>
      </c>
      <c r="Q651" s="4">
        <v>234600</v>
      </c>
      <c r="R651" s="4" t="s">
        <v>41</v>
      </c>
      <c r="S651" s="6">
        <v>608</v>
      </c>
      <c r="T651">
        <v>6.875</v>
      </c>
      <c r="U651" s="7">
        <f t="shared" si="181"/>
        <v>1638.9049968827612</v>
      </c>
      <c r="V651" s="2">
        <f t="shared" si="185"/>
        <v>-488.28499688276133</v>
      </c>
      <c r="W651" s="9">
        <f t="shared" si="186"/>
        <v>1</v>
      </c>
      <c r="X651" s="3">
        <v>168597</v>
      </c>
      <c r="Y651" s="3">
        <f t="shared" si="187"/>
        <v>0.73871921183308586</v>
      </c>
      <c r="Z651" s="7">
        <f t="shared" si="188"/>
        <v>1177.8110219925102</v>
      </c>
      <c r="AA651" s="2">
        <f t="shared" si="182"/>
        <v>-27.191021992510287</v>
      </c>
      <c r="AB651" s="8">
        <f t="shared" si="189"/>
        <v>1</v>
      </c>
      <c r="AC651" s="10">
        <v>6.25</v>
      </c>
      <c r="AD651" s="7">
        <f t="shared" si="190"/>
        <v>1108.3294784028867</v>
      </c>
      <c r="AE651" s="2">
        <f t="shared" si="191"/>
        <v>42.290521597113184</v>
      </c>
      <c r="AF651" s="10">
        <v>2.5</v>
      </c>
      <c r="AG651" s="3">
        <f t="shared" si="192"/>
        <v>4214.9250000000002</v>
      </c>
      <c r="AH651" s="7">
        <v>3360</v>
      </c>
      <c r="AI651">
        <f t="shared" si="193"/>
        <v>360</v>
      </c>
      <c r="AJ651" t="e">
        <f>VLOOKUP(A651,'Borrower Details'!$A$1:$H$1493,8,FALSE)</f>
        <v>#N/A</v>
      </c>
      <c r="AK651" s="4" t="e">
        <f t="shared" si="194"/>
        <v>#N/A</v>
      </c>
      <c r="AL651" s="10">
        <v>6.875</v>
      </c>
      <c r="AM651" s="3">
        <f t="shared" si="195"/>
        <v>168596.25019999998</v>
      </c>
      <c r="AN651">
        <v>6.875</v>
      </c>
      <c r="AO651" s="7">
        <f t="shared" si="196"/>
        <v>1177.8057839235985</v>
      </c>
      <c r="AP651" s="2">
        <f t="shared" si="197"/>
        <v>-27.185783923598592</v>
      </c>
    </row>
    <row r="652" spans="1:42" x14ac:dyDescent="0.15">
      <c r="A652" s="8">
        <v>1158646</v>
      </c>
      <c r="B652" t="s">
        <v>36</v>
      </c>
      <c r="C652" t="s">
        <v>19</v>
      </c>
      <c r="D652" s="1">
        <v>39150</v>
      </c>
      <c r="E652" s="2">
        <v>182000</v>
      </c>
      <c r="F652" s="2">
        <v>161000</v>
      </c>
      <c r="G652" t="s">
        <v>15</v>
      </c>
      <c r="H652" s="2">
        <v>1347.91</v>
      </c>
      <c r="I652" s="2">
        <v>159908.93</v>
      </c>
      <c r="J652">
        <v>9.4500000000000001E-2</v>
      </c>
      <c r="K652">
        <v>13</v>
      </c>
      <c r="L652">
        <v>347</v>
      </c>
      <c r="M652" t="str">
        <f t="shared" si="183"/>
        <v>30 Year Fixed</v>
      </c>
      <c r="N652" s="2">
        <v>1259.28</v>
      </c>
      <c r="O652" t="str">
        <f t="shared" si="180"/>
        <v>Refi</v>
      </c>
      <c r="P652" s="3">
        <f t="shared" si="184"/>
        <v>0</v>
      </c>
      <c r="Q652" s="4">
        <v>162308</v>
      </c>
      <c r="R652" s="4" t="s">
        <v>41</v>
      </c>
      <c r="S652" s="6">
        <v>559</v>
      </c>
      <c r="T652">
        <v>7.625</v>
      </c>
      <c r="U652" s="7">
        <f t="shared" si="181"/>
        <v>1216.4342071666165</v>
      </c>
      <c r="V652" s="2">
        <f t="shared" si="185"/>
        <v>131.47579283338359</v>
      </c>
      <c r="W652" s="9">
        <f t="shared" si="186"/>
        <v>0</v>
      </c>
      <c r="X652" s="3">
        <v>162308</v>
      </c>
      <c r="Y652" s="3">
        <f t="shared" si="187"/>
        <v>0.42960591134033166</v>
      </c>
      <c r="Z652" s="7">
        <f t="shared" si="188"/>
        <v>1216.4342071666165</v>
      </c>
      <c r="AA652" s="2">
        <f t="shared" si="182"/>
        <v>131.47579283338359</v>
      </c>
      <c r="AB652" s="8">
        <f t="shared" si="189"/>
        <v>0</v>
      </c>
      <c r="AC652" s="10">
        <v>7.625</v>
      </c>
      <c r="AD652" s="7">
        <f t="shared" si="190"/>
        <v>1216.4342071666165</v>
      </c>
      <c r="AE652" s="2">
        <f t="shared" si="191"/>
        <v>131.47579283338359</v>
      </c>
      <c r="AF652" s="10">
        <v>0</v>
      </c>
      <c r="AG652" s="3">
        <f t="shared" si="192"/>
        <v>0</v>
      </c>
      <c r="AH652" s="7">
        <v>3220</v>
      </c>
      <c r="AI652">
        <f t="shared" si="193"/>
        <v>360</v>
      </c>
      <c r="AJ652" t="e">
        <f>VLOOKUP(A652,'Borrower Details'!$A$1:$H$1493,8,FALSE)</f>
        <v>#N/A</v>
      </c>
      <c r="AK652" s="4" t="e">
        <f t="shared" si="194"/>
        <v>#N/A</v>
      </c>
      <c r="AL652" s="10">
        <v>7.625</v>
      </c>
      <c r="AM652" s="3">
        <f t="shared" si="195"/>
        <v>162307.56394999998</v>
      </c>
      <c r="AN652">
        <v>7.625</v>
      </c>
      <c r="AO652" s="7">
        <f t="shared" si="196"/>
        <v>1216.4309391444854</v>
      </c>
      <c r="AP652" s="2">
        <f t="shared" si="197"/>
        <v>131.47906085551472</v>
      </c>
    </row>
    <row r="653" spans="1:42" x14ac:dyDescent="0.15">
      <c r="A653" s="8">
        <v>410266084</v>
      </c>
      <c r="B653" t="s">
        <v>38</v>
      </c>
      <c r="C653" t="s">
        <v>18</v>
      </c>
      <c r="D653" s="1">
        <v>39231</v>
      </c>
      <c r="E653" s="2">
        <v>163000</v>
      </c>
      <c r="F653" s="2">
        <v>130000</v>
      </c>
      <c r="G653" t="s">
        <v>17</v>
      </c>
      <c r="H653" s="2">
        <v>1013.44</v>
      </c>
      <c r="I653" s="2">
        <v>129129.14</v>
      </c>
      <c r="J653">
        <v>8.6499999999999994E-2</v>
      </c>
      <c r="K653">
        <v>11</v>
      </c>
      <c r="L653">
        <v>349</v>
      </c>
      <c r="M653" t="str">
        <f t="shared" si="183"/>
        <v>30 Year Fixed</v>
      </c>
      <c r="N653" s="2">
        <v>930.81</v>
      </c>
      <c r="O653" t="str">
        <f t="shared" si="180"/>
        <v>Cash Out</v>
      </c>
      <c r="P653" s="3">
        <f t="shared" si="184"/>
        <v>7373.3230541872181</v>
      </c>
      <c r="Q653" s="4">
        <v>138550</v>
      </c>
      <c r="R653" s="4" t="s">
        <v>41</v>
      </c>
      <c r="S653" s="6">
        <v>578</v>
      </c>
      <c r="T653">
        <v>7.625</v>
      </c>
      <c r="U653" s="7">
        <f t="shared" si="181"/>
        <v>1038.3774022410155</v>
      </c>
      <c r="V653" s="2">
        <f t="shared" si="185"/>
        <v>-24.937402241015434</v>
      </c>
      <c r="W653" s="9">
        <f t="shared" si="186"/>
        <v>1</v>
      </c>
      <c r="X653" s="3">
        <v>135150</v>
      </c>
      <c r="Y653" s="3">
        <f t="shared" si="187"/>
        <v>4023.5693596059136</v>
      </c>
      <c r="Z653" s="7">
        <f t="shared" si="188"/>
        <v>1012.8957481982911</v>
      </c>
      <c r="AA653" s="2">
        <f t="shared" si="182"/>
        <v>0.54425180170892418</v>
      </c>
      <c r="AB653" s="8">
        <f t="shared" si="189"/>
        <v>1</v>
      </c>
      <c r="AC653" s="10">
        <v>6.5</v>
      </c>
      <c r="AD653" s="7">
        <f t="shared" si="190"/>
        <v>910.5524337507436</v>
      </c>
      <c r="AE653" s="2">
        <f t="shared" si="191"/>
        <v>102.88756624925645</v>
      </c>
      <c r="AF653" s="10">
        <v>2.375</v>
      </c>
      <c r="AG653" s="3">
        <f t="shared" si="192"/>
        <v>3209.8125</v>
      </c>
      <c r="AH653" s="7">
        <v>0</v>
      </c>
      <c r="AI653">
        <f t="shared" si="193"/>
        <v>360</v>
      </c>
      <c r="AJ653" t="e">
        <f>VLOOKUP(A653,'Borrower Details'!$A$1:$H$1493,8,FALSE)</f>
        <v>#N/A</v>
      </c>
      <c r="AK653" s="4" t="e">
        <f t="shared" si="194"/>
        <v>#N/A</v>
      </c>
      <c r="AL653" s="10">
        <v>7.625</v>
      </c>
      <c r="AM653" s="3">
        <f t="shared" si="195"/>
        <v>131066.07709999998</v>
      </c>
      <c r="AN653">
        <v>7.625</v>
      </c>
      <c r="AO653" s="7">
        <f t="shared" si="196"/>
        <v>982.28836276447942</v>
      </c>
      <c r="AP653" s="2">
        <f t="shared" si="197"/>
        <v>31.151637235520639</v>
      </c>
    </row>
    <row r="654" spans="1:42" x14ac:dyDescent="0.15">
      <c r="A654" s="8">
        <v>410041800</v>
      </c>
      <c r="B654" t="s">
        <v>37</v>
      </c>
      <c r="C654" t="s">
        <v>19</v>
      </c>
      <c r="D654" s="1">
        <v>39202</v>
      </c>
      <c r="E654" s="2">
        <v>95000</v>
      </c>
      <c r="F654" s="2">
        <v>66500</v>
      </c>
      <c r="G654" t="s">
        <v>17</v>
      </c>
      <c r="H654" s="2">
        <v>527.91999999999996</v>
      </c>
      <c r="I654" s="2">
        <v>65962.66</v>
      </c>
      <c r="J654">
        <v>8.8499999999999995E-2</v>
      </c>
      <c r="K654">
        <v>12</v>
      </c>
      <c r="L654">
        <v>348</v>
      </c>
      <c r="M654" t="str">
        <f t="shared" si="183"/>
        <v>30 Year Fixed</v>
      </c>
      <c r="N654" s="2">
        <v>486.78</v>
      </c>
      <c r="O654" t="str">
        <f t="shared" si="180"/>
        <v>Cash Out</v>
      </c>
      <c r="P654" s="3">
        <f t="shared" si="184"/>
        <v>13593.990246305417</v>
      </c>
      <c r="Q654" s="4">
        <v>80750</v>
      </c>
      <c r="R654" s="4" t="s">
        <v>41</v>
      </c>
      <c r="S654" s="6">
        <v>589</v>
      </c>
      <c r="T654">
        <v>7.625</v>
      </c>
      <c r="U654" s="7">
        <f t="shared" si="181"/>
        <v>605.18928351470231</v>
      </c>
      <c r="V654" s="2">
        <f t="shared" si="185"/>
        <v>-77.269283514702352</v>
      </c>
      <c r="W654" s="9">
        <f t="shared" si="186"/>
        <v>1</v>
      </c>
      <c r="X654" s="3">
        <v>70370</v>
      </c>
      <c r="Y654" s="3">
        <f t="shared" si="187"/>
        <v>3367.3892610837502</v>
      </c>
      <c r="Z654" s="7">
        <f t="shared" si="188"/>
        <v>527.39529264309101</v>
      </c>
      <c r="AA654" s="2">
        <f t="shared" si="182"/>
        <v>0.52470735690894799</v>
      </c>
      <c r="AB654" s="8">
        <f t="shared" si="189"/>
        <v>1</v>
      </c>
      <c r="AC654" s="10">
        <v>6.5</v>
      </c>
      <c r="AD654" s="7">
        <f t="shared" si="190"/>
        <v>474.10710146533353</v>
      </c>
      <c r="AE654" s="2">
        <f t="shared" si="191"/>
        <v>53.812898534666431</v>
      </c>
      <c r="AF654" s="10">
        <v>2.375</v>
      </c>
      <c r="AG654" s="3">
        <f t="shared" si="192"/>
        <v>1671.2874999999999</v>
      </c>
      <c r="AH654" s="7">
        <v>0</v>
      </c>
      <c r="AI654">
        <f t="shared" si="193"/>
        <v>360</v>
      </c>
      <c r="AJ654" t="e">
        <f>VLOOKUP(A654,'Borrower Details'!$A$1:$H$1493,8,FALSE)</f>
        <v>#N/A</v>
      </c>
      <c r="AK654" s="4" t="e">
        <f t="shared" si="194"/>
        <v>#N/A</v>
      </c>
      <c r="AL654" s="10">
        <v>7.625</v>
      </c>
      <c r="AM654" s="3">
        <f t="shared" si="195"/>
        <v>66952.099900000001</v>
      </c>
      <c r="AN654">
        <v>7.625</v>
      </c>
      <c r="AO654" s="7">
        <f t="shared" si="196"/>
        <v>501.77948443697539</v>
      </c>
      <c r="AP654" s="2">
        <f t="shared" si="197"/>
        <v>26.140515563024564</v>
      </c>
    </row>
    <row r="655" spans="1:42" x14ac:dyDescent="0.15">
      <c r="A655" s="8">
        <v>410043178</v>
      </c>
      <c r="B655" t="s">
        <v>36</v>
      </c>
      <c r="C655" t="s">
        <v>18</v>
      </c>
      <c r="D655" s="1">
        <v>39195</v>
      </c>
      <c r="E655" s="2">
        <v>120700</v>
      </c>
      <c r="F655" s="2">
        <v>80000</v>
      </c>
      <c r="G655" t="s">
        <v>17</v>
      </c>
      <c r="H655" s="2">
        <v>640.83000000000004</v>
      </c>
      <c r="I655" s="2">
        <v>79435.509999999995</v>
      </c>
      <c r="J655">
        <v>8.9499999999999996E-2</v>
      </c>
      <c r="K655">
        <v>12</v>
      </c>
      <c r="L655">
        <v>348</v>
      </c>
      <c r="M655" t="str">
        <f t="shared" si="183"/>
        <v>30 Year Fixed</v>
      </c>
      <c r="N655" s="2">
        <v>592.46</v>
      </c>
      <c r="O655" t="str">
        <f t="shared" si="180"/>
        <v>Cash Out</v>
      </c>
      <c r="P655" s="3">
        <f t="shared" si="184"/>
        <v>21643.307733990165</v>
      </c>
      <c r="Q655" s="4">
        <v>102595</v>
      </c>
      <c r="R655" s="4" t="s">
        <v>41</v>
      </c>
      <c r="S655" s="6">
        <v>558</v>
      </c>
      <c r="T655">
        <v>7.625</v>
      </c>
      <c r="U655" s="7">
        <f t="shared" si="181"/>
        <v>768.90891073920591</v>
      </c>
      <c r="V655" s="2">
        <f t="shared" si="185"/>
        <v>-128.07891073920587</v>
      </c>
      <c r="W655" s="9">
        <f t="shared" si="186"/>
        <v>1</v>
      </c>
      <c r="X655" s="3">
        <v>85435</v>
      </c>
      <c r="Y655" s="3">
        <f t="shared" si="187"/>
        <v>4736.9037931034545</v>
      </c>
      <c r="Z655" s="7">
        <f t="shared" si="188"/>
        <v>640.30150386475032</v>
      </c>
      <c r="AA655" s="2">
        <f t="shared" si="182"/>
        <v>0.52849613524972483</v>
      </c>
      <c r="AB655" s="8">
        <f t="shared" si="189"/>
        <v>1</v>
      </c>
      <c r="AC655" s="10">
        <v>6.875</v>
      </c>
      <c r="AD655" s="7">
        <f t="shared" si="190"/>
        <v>596.84504863034408</v>
      </c>
      <c r="AE655" s="2">
        <f t="shared" si="191"/>
        <v>43.98495136965596</v>
      </c>
      <c r="AF655" s="10">
        <v>1.25</v>
      </c>
      <c r="AG655" s="3">
        <f t="shared" si="192"/>
        <v>1067.9375</v>
      </c>
      <c r="AH655" s="7">
        <v>1600</v>
      </c>
      <c r="AI655">
        <f t="shared" si="193"/>
        <v>360</v>
      </c>
      <c r="AJ655" t="e">
        <f>VLOOKUP(A655,'Borrower Details'!$A$1:$H$1493,8,FALSE)</f>
        <v>#N/A</v>
      </c>
      <c r="AK655" s="4" t="e">
        <f t="shared" si="194"/>
        <v>#N/A</v>
      </c>
      <c r="AL655" s="10">
        <v>7.625</v>
      </c>
      <c r="AM655" s="3">
        <f t="shared" si="195"/>
        <v>80627.042649999988</v>
      </c>
      <c r="AN655">
        <v>7.625</v>
      </c>
      <c r="AO655" s="7">
        <f t="shared" si="196"/>
        <v>604.2677668515521</v>
      </c>
      <c r="AP655" s="2">
        <f t="shared" si="197"/>
        <v>36.562233148447945</v>
      </c>
    </row>
    <row r="656" spans="1:42" x14ac:dyDescent="0.15">
      <c r="A656" s="8">
        <v>1131169</v>
      </c>
      <c r="B656" t="s">
        <v>37</v>
      </c>
      <c r="C656" t="s">
        <v>18</v>
      </c>
      <c r="D656" s="1">
        <v>39150</v>
      </c>
      <c r="E656" s="2">
        <v>148000</v>
      </c>
      <c r="F656" s="2">
        <v>130625</v>
      </c>
      <c r="G656" t="s">
        <v>15</v>
      </c>
      <c r="H656" s="2">
        <v>1186.43</v>
      </c>
      <c r="I656" s="2">
        <v>130551.39</v>
      </c>
      <c r="J656">
        <v>0.1085</v>
      </c>
      <c r="K656">
        <v>13</v>
      </c>
      <c r="L656">
        <v>347</v>
      </c>
      <c r="M656" t="str">
        <f t="shared" si="183"/>
        <v>30 Year Fixed</v>
      </c>
      <c r="N656" s="2">
        <v>1180.4000000000001</v>
      </c>
      <c r="O656" t="str">
        <f t="shared" si="180"/>
        <v>Refi</v>
      </c>
      <c r="P656" s="3">
        <f t="shared" si="184"/>
        <v>0</v>
      </c>
      <c r="Q656" s="4">
        <v>132510</v>
      </c>
      <c r="R656" s="4" t="s">
        <v>41</v>
      </c>
      <c r="S656" s="6">
        <v>579</v>
      </c>
      <c r="T656">
        <v>7.625</v>
      </c>
      <c r="U656" s="7">
        <f t="shared" si="181"/>
        <v>993.10999329452864</v>
      </c>
      <c r="V656" s="2">
        <f t="shared" si="185"/>
        <v>193.32000670547143</v>
      </c>
      <c r="W656" s="9">
        <f t="shared" si="186"/>
        <v>0</v>
      </c>
      <c r="X656" s="3">
        <v>132510</v>
      </c>
      <c r="Y656" s="3">
        <f t="shared" si="187"/>
        <v>0.33413793104409706</v>
      </c>
      <c r="Z656" s="7">
        <f t="shared" si="188"/>
        <v>993.10999329452864</v>
      </c>
      <c r="AA656" s="2">
        <f t="shared" si="182"/>
        <v>193.32000670547143</v>
      </c>
      <c r="AB656" s="8">
        <f t="shared" si="189"/>
        <v>0</v>
      </c>
      <c r="AC656" s="10">
        <v>7.625</v>
      </c>
      <c r="AD656" s="7">
        <f t="shared" si="190"/>
        <v>993.10999329452864</v>
      </c>
      <c r="AE656" s="2">
        <f t="shared" si="191"/>
        <v>193.32000670547143</v>
      </c>
      <c r="AF656" s="10">
        <v>0</v>
      </c>
      <c r="AG656" s="3">
        <f t="shared" si="192"/>
        <v>0</v>
      </c>
      <c r="AH656" s="7">
        <v>0</v>
      </c>
      <c r="AI656">
        <f t="shared" si="193"/>
        <v>360</v>
      </c>
      <c r="AJ656" t="e">
        <f>VLOOKUP(A656,'Borrower Details'!$A$1:$H$1493,8,FALSE)</f>
        <v>#N/A</v>
      </c>
      <c r="AK656" s="4" t="e">
        <f t="shared" si="194"/>
        <v>#N/A</v>
      </c>
      <c r="AL656" s="10">
        <v>7.625</v>
      </c>
      <c r="AM656" s="3">
        <f t="shared" si="195"/>
        <v>132509.66084999999</v>
      </c>
      <c r="AN656">
        <v>7.625</v>
      </c>
      <c r="AO656" s="7">
        <f t="shared" si="196"/>
        <v>993.10745149953777</v>
      </c>
      <c r="AP656" s="2">
        <f t="shared" si="197"/>
        <v>193.32254850046229</v>
      </c>
    </row>
    <row r="657" spans="1:42" x14ac:dyDescent="0.15">
      <c r="A657" s="8">
        <v>410449466</v>
      </c>
      <c r="B657" t="s">
        <v>37</v>
      </c>
      <c r="C657" t="s">
        <v>18</v>
      </c>
      <c r="D657" s="1">
        <v>39262</v>
      </c>
      <c r="E657" s="2">
        <v>230000</v>
      </c>
      <c r="F657" s="2">
        <v>207000</v>
      </c>
      <c r="G657" t="s">
        <v>17</v>
      </c>
      <c r="H657" s="2">
        <v>1702.94</v>
      </c>
      <c r="I657" s="2">
        <v>205745.45</v>
      </c>
      <c r="J657">
        <v>9.2499999999999999E-2</v>
      </c>
      <c r="K657">
        <v>10</v>
      </c>
      <c r="L657">
        <v>350</v>
      </c>
      <c r="M657" t="str">
        <f t="shared" si="183"/>
        <v>30 Year Fixed</v>
      </c>
      <c r="N657" s="2">
        <v>1585.95</v>
      </c>
      <c r="O657" t="str">
        <f t="shared" si="180"/>
        <v>Refi</v>
      </c>
      <c r="P657" s="3">
        <f t="shared" si="184"/>
        <v>0</v>
      </c>
      <c r="Q657" s="4">
        <v>208832</v>
      </c>
      <c r="R657" s="4" t="s">
        <v>41</v>
      </c>
      <c r="S657" s="6">
        <v>630</v>
      </c>
      <c r="T657">
        <v>6.75</v>
      </c>
      <c r="U657" s="7">
        <f t="shared" si="181"/>
        <v>1441.4937103586656</v>
      </c>
      <c r="V657" s="2">
        <f t="shared" si="185"/>
        <v>261.44628964133449</v>
      </c>
      <c r="W657" s="9">
        <f t="shared" si="186"/>
        <v>0</v>
      </c>
      <c r="X657" s="3">
        <v>208832</v>
      </c>
      <c r="Y657" s="3">
        <f t="shared" si="187"/>
        <v>0.36280788178555667</v>
      </c>
      <c r="Z657" s="7">
        <f t="shared" si="188"/>
        <v>1441.4937103586656</v>
      </c>
      <c r="AA657" s="2">
        <f t="shared" si="182"/>
        <v>261.44628964133449</v>
      </c>
      <c r="AB657" s="8">
        <f t="shared" si="189"/>
        <v>0</v>
      </c>
      <c r="AC657" s="10">
        <v>6.75</v>
      </c>
      <c r="AD657" s="7">
        <f t="shared" si="190"/>
        <v>1441.4937103586656</v>
      </c>
      <c r="AE657" s="2">
        <f t="shared" si="191"/>
        <v>261.44628964133449</v>
      </c>
      <c r="AF657" s="10">
        <v>0</v>
      </c>
      <c r="AG657" s="3">
        <f t="shared" si="192"/>
        <v>0</v>
      </c>
      <c r="AH657" s="7">
        <v>2070</v>
      </c>
      <c r="AI657">
        <f t="shared" si="193"/>
        <v>360</v>
      </c>
      <c r="AJ657" t="e">
        <f>VLOOKUP(A657,'Borrower Details'!$A$1:$H$1493,8,FALSE)</f>
        <v>#N/A</v>
      </c>
      <c r="AK657" s="4" t="e">
        <f t="shared" si="194"/>
        <v>#N/A</v>
      </c>
      <c r="AL657" s="10">
        <v>6.75</v>
      </c>
      <c r="AM657" s="3">
        <f t="shared" si="195"/>
        <v>208831.63175</v>
      </c>
      <c r="AN657">
        <v>6.75</v>
      </c>
      <c r="AO657" s="7">
        <f t="shared" si="196"/>
        <v>1441.491168458675</v>
      </c>
      <c r="AP657" s="2">
        <f t="shared" si="197"/>
        <v>261.44883154132503</v>
      </c>
    </row>
    <row r="658" spans="1:42" x14ac:dyDescent="0.15">
      <c r="A658" s="8">
        <v>411226640</v>
      </c>
      <c r="B658" t="s">
        <v>37</v>
      </c>
      <c r="C658" t="s">
        <v>16</v>
      </c>
      <c r="D658" s="1">
        <v>39469</v>
      </c>
      <c r="E658" s="2">
        <v>153000</v>
      </c>
      <c r="F658" s="2">
        <v>125000</v>
      </c>
      <c r="G658" t="s">
        <v>17</v>
      </c>
      <c r="H658" s="2">
        <v>1028.3499999999999</v>
      </c>
      <c r="I658" s="2">
        <v>124800.76</v>
      </c>
      <c r="J658">
        <v>9.2499999999999999E-2</v>
      </c>
      <c r="K658">
        <v>3</v>
      </c>
      <c r="L658">
        <v>357</v>
      </c>
      <c r="M658" t="str">
        <f t="shared" si="183"/>
        <v>30 Year Fixed</v>
      </c>
      <c r="N658" s="2">
        <v>962.01</v>
      </c>
      <c r="O658" t="str">
        <f t="shared" si="180"/>
        <v>Cash Out</v>
      </c>
      <c r="P658" s="3">
        <f t="shared" si="184"/>
        <v>3327.3188177340053</v>
      </c>
      <c r="Q658" s="4">
        <v>130050</v>
      </c>
      <c r="R658" s="4" t="s">
        <v>41</v>
      </c>
      <c r="S658" s="6">
        <v>658</v>
      </c>
      <c r="T658">
        <v>6.75</v>
      </c>
      <c r="U658" s="7">
        <f t="shared" si="181"/>
        <v>897.68932458696202</v>
      </c>
      <c r="V658" s="2">
        <f t="shared" si="185"/>
        <v>130.66067541303789</v>
      </c>
      <c r="W658" s="9">
        <f t="shared" si="186"/>
        <v>0</v>
      </c>
      <c r="X658" s="3">
        <v>130050</v>
      </c>
      <c r="Y658" s="3">
        <f t="shared" si="187"/>
        <v>3327.3188177340053</v>
      </c>
      <c r="Z658" s="7">
        <f t="shared" si="188"/>
        <v>897.68932458696202</v>
      </c>
      <c r="AA658" s="2">
        <f t="shared" si="182"/>
        <v>130.66067541303789</v>
      </c>
      <c r="AB658" s="8">
        <f t="shared" si="189"/>
        <v>0</v>
      </c>
      <c r="AC658" s="10">
        <v>6.75</v>
      </c>
      <c r="AD658" s="7">
        <f t="shared" si="190"/>
        <v>897.68932458696202</v>
      </c>
      <c r="AE658" s="2">
        <f t="shared" si="191"/>
        <v>130.66067541303789</v>
      </c>
      <c r="AF658" s="10">
        <v>0</v>
      </c>
      <c r="AG658" s="3">
        <f t="shared" si="192"/>
        <v>0</v>
      </c>
      <c r="AH658" s="7">
        <v>0</v>
      </c>
      <c r="AI658">
        <f t="shared" si="193"/>
        <v>360</v>
      </c>
      <c r="AJ658" t="e">
        <f>VLOOKUP(A658,'Borrower Details'!$A$1:$H$1493,8,FALSE)</f>
        <v>#N/A</v>
      </c>
      <c r="AK658" s="4" t="e">
        <f t="shared" si="194"/>
        <v>#N/A</v>
      </c>
      <c r="AL658" s="10">
        <v>6.75</v>
      </c>
      <c r="AM658" s="3">
        <f t="shared" si="195"/>
        <v>126672.77139999998</v>
      </c>
      <c r="AN658">
        <v>6.75</v>
      </c>
      <c r="AO658" s="7">
        <f t="shared" si="196"/>
        <v>874.37750558727123</v>
      </c>
      <c r="AP658" s="2">
        <f t="shared" si="197"/>
        <v>153.97249441272868</v>
      </c>
    </row>
    <row r="659" spans="1:42" x14ac:dyDescent="0.15">
      <c r="A659" s="8">
        <v>410961098</v>
      </c>
      <c r="B659" t="s">
        <v>36</v>
      </c>
      <c r="C659" t="s">
        <v>16</v>
      </c>
      <c r="D659" s="1">
        <v>39344</v>
      </c>
      <c r="E659" s="2">
        <v>186000</v>
      </c>
      <c r="F659" s="2">
        <v>148800</v>
      </c>
      <c r="G659" t="s">
        <v>20</v>
      </c>
      <c r="H659" s="2">
        <v>1350.02</v>
      </c>
      <c r="I659" s="2">
        <v>148301.74</v>
      </c>
      <c r="J659">
        <v>0.104</v>
      </c>
      <c r="K659">
        <v>7</v>
      </c>
      <c r="L659">
        <v>352</v>
      </c>
      <c r="M659" t="str">
        <f t="shared" si="183"/>
        <v>30 Year Fixed</v>
      </c>
      <c r="N659" s="2">
        <v>1285.8399999999999</v>
      </c>
      <c r="O659" t="str">
        <f t="shared" si="180"/>
        <v>Cash Out</v>
      </c>
      <c r="P659" s="3">
        <f t="shared" si="184"/>
        <v>7461.8067980295746</v>
      </c>
      <c r="Q659" s="4">
        <v>158100</v>
      </c>
      <c r="R659" s="4" t="s">
        <v>41</v>
      </c>
      <c r="S659" s="6">
        <v>540</v>
      </c>
      <c r="T659">
        <v>7.625</v>
      </c>
      <c r="U659" s="7">
        <f t="shared" si="181"/>
        <v>1184.89691298668</v>
      </c>
      <c r="V659" s="2">
        <f t="shared" si="185"/>
        <v>165.12308701331995</v>
      </c>
      <c r="W659" s="9">
        <f t="shared" si="186"/>
        <v>0</v>
      </c>
      <c r="X659" s="3">
        <v>158100</v>
      </c>
      <c r="Y659" s="3">
        <f t="shared" si="187"/>
        <v>7461.8067980295746</v>
      </c>
      <c r="Z659" s="7">
        <f t="shared" si="188"/>
        <v>1184.89691298668</v>
      </c>
      <c r="AA659" s="2">
        <f t="shared" si="182"/>
        <v>165.12308701331995</v>
      </c>
      <c r="AB659" s="8">
        <f t="shared" si="189"/>
        <v>0</v>
      </c>
      <c r="AC659" s="10">
        <v>7.625</v>
      </c>
      <c r="AD659" s="7">
        <f t="shared" si="190"/>
        <v>1184.89691298668</v>
      </c>
      <c r="AE659" s="2">
        <f t="shared" si="191"/>
        <v>165.12308701331995</v>
      </c>
      <c r="AF659" s="10">
        <v>0</v>
      </c>
      <c r="AG659" s="3">
        <f t="shared" si="192"/>
        <v>0</v>
      </c>
      <c r="AH659" s="7">
        <v>2976</v>
      </c>
      <c r="AI659">
        <f t="shared" si="193"/>
        <v>360</v>
      </c>
      <c r="AJ659" t="e">
        <f>VLOOKUP(A659,'Borrower Details'!$A$1:$H$1493,8,FALSE)</f>
        <v>#N/A</v>
      </c>
      <c r="AK659" s="4" t="e">
        <f t="shared" si="194"/>
        <v>#N/A</v>
      </c>
      <c r="AL659" s="10">
        <v>7.625</v>
      </c>
      <c r="AM659" s="3">
        <f t="shared" si="195"/>
        <v>150526.26609999998</v>
      </c>
      <c r="AN659">
        <v>7.625</v>
      </c>
      <c r="AO659" s="7">
        <f t="shared" si="196"/>
        <v>1128.1347756186055</v>
      </c>
      <c r="AP659" s="2">
        <f t="shared" si="197"/>
        <v>221.88522438139444</v>
      </c>
    </row>
    <row r="660" spans="1:42" x14ac:dyDescent="0.15">
      <c r="A660" s="8">
        <v>410527188</v>
      </c>
      <c r="B660" t="s">
        <v>35</v>
      </c>
      <c r="C660" t="s">
        <v>16</v>
      </c>
      <c r="D660" s="1">
        <v>39272</v>
      </c>
      <c r="E660" s="2">
        <v>174000</v>
      </c>
      <c r="F660" s="2">
        <v>165300</v>
      </c>
      <c r="G660" t="s">
        <v>21</v>
      </c>
      <c r="H660" s="2">
        <v>1449.41</v>
      </c>
      <c r="I660" s="2">
        <v>163742.49</v>
      </c>
      <c r="J660">
        <v>9.9900000000000003E-2</v>
      </c>
      <c r="K660">
        <v>9</v>
      </c>
      <c r="L660">
        <v>350</v>
      </c>
      <c r="M660" t="str">
        <f t="shared" si="183"/>
        <v>30 Year Fixed</v>
      </c>
      <c r="N660" s="2">
        <v>1363.87</v>
      </c>
      <c r="O660" t="str">
        <f t="shared" si="180"/>
        <v>Refi</v>
      </c>
      <c r="P660" s="3">
        <f t="shared" si="184"/>
        <v>0</v>
      </c>
      <c r="Q660" s="4">
        <v>166199</v>
      </c>
      <c r="R660" s="4" t="s">
        <v>41</v>
      </c>
      <c r="S660" s="6">
        <v>630</v>
      </c>
      <c r="T660">
        <v>6.75</v>
      </c>
      <c r="U660" s="7">
        <f t="shared" si="181"/>
        <v>1147.2131338487388</v>
      </c>
      <c r="V660" s="2">
        <f t="shared" si="185"/>
        <v>302.19686615126125</v>
      </c>
      <c r="W660" s="9">
        <f t="shared" si="186"/>
        <v>0</v>
      </c>
      <c r="X660" s="3">
        <v>166199</v>
      </c>
      <c r="Y660" s="3">
        <f t="shared" si="187"/>
        <v>0.36714285716880113</v>
      </c>
      <c r="Z660" s="7">
        <f t="shared" si="188"/>
        <v>1147.2131338487388</v>
      </c>
      <c r="AA660" s="2">
        <f t="shared" si="182"/>
        <v>302.19686615126125</v>
      </c>
      <c r="AB660" s="8">
        <f t="shared" si="189"/>
        <v>0</v>
      </c>
      <c r="AC660" s="10">
        <v>6.75</v>
      </c>
      <c r="AD660" s="7">
        <f t="shared" si="190"/>
        <v>1147.2131338487388</v>
      </c>
      <c r="AE660" s="2">
        <f t="shared" si="191"/>
        <v>302.19686615126125</v>
      </c>
      <c r="AF660" s="10">
        <v>0</v>
      </c>
      <c r="AG660" s="3">
        <f t="shared" si="192"/>
        <v>0</v>
      </c>
      <c r="AH660" s="7">
        <v>8256.7350000000006</v>
      </c>
      <c r="AI660">
        <f t="shared" si="193"/>
        <v>360</v>
      </c>
      <c r="AJ660" t="e">
        <f>VLOOKUP(A660,'Borrower Details'!$A$1:$H$1493,8,FALSE)</f>
        <v>#N/A</v>
      </c>
      <c r="AK660" s="4" t="e">
        <f t="shared" si="194"/>
        <v>#N/A</v>
      </c>
      <c r="AL660" s="10">
        <v>6.75</v>
      </c>
      <c r="AM660" s="3">
        <f t="shared" si="195"/>
        <v>166198.62734999997</v>
      </c>
      <c r="AN660">
        <v>6.75</v>
      </c>
      <c r="AO660" s="7">
        <f t="shared" si="196"/>
        <v>1147.2105615770984</v>
      </c>
      <c r="AP660" s="2">
        <f t="shared" si="197"/>
        <v>302.19943842290172</v>
      </c>
    </row>
    <row r="661" spans="1:42" x14ac:dyDescent="0.15">
      <c r="A661" s="8">
        <v>1184710</v>
      </c>
      <c r="B661" t="s">
        <v>35</v>
      </c>
      <c r="C661" t="s">
        <v>16</v>
      </c>
      <c r="D661" s="1">
        <v>39195</v>
      </c>
      <c r="E661" s="2">
        <v>59000</v>
      </c>
      <c r="F661" s="2">
        <v>50150</v>
      </c>
      <c r="G661" t="s">
        <v>15</v>
      </c>
      <c r="H661" s="2">
        <v>403.52</v>
      </c>
      <c r="I661" s="2">
        <v>49807.35</v>
      </c>
      <c r="J661">
        <v>0.09</v>
      </c>
      <c r="K661">
        <v>12</v>
      </c>
      <c r="L661">
        <v>348</v>
      </c>
      <c r="M661" t="str">
        <f t="shared" si="183"/>
        <v>30 Year Fixed</v>
      </c>
      <c r="N661" s="2">
        <v>373.56</v>
      </c>
      <c r="O661" t="str">
        <f t="shared" si="180"/>
        <v>Refi</v>
      </c>
      <c r="P661" s="3">
        <f t="shared" si="184"/>
        <v>0</v>
      </c>
      <c r="Q661" s="4">
        <v>50554</v>
      </c>
      <c r="R661" s="4" t="s">
        <v>41</v>
      </c>
      <c r="S661" s="6">
        <v>560</v>
      </c>
      <c r="T661">
        <v>7.625</v>
      </c>
      <c r="U661" s="7">
        <f t="shared" si="181"/>
        <v>378.88221719878953</v>
      </c>
      <c r="V661" s="2">
        <f t="shared" si="185"/>
        <v>24.637782801210449</v>
      </c>
      <c r="W661" s="9">
        <f t="shared" si="186"/>
        <v>0</v>
      </c>
      <c r="X661" s="3">
        <v>50554</v>
      </c>
      <c r="Y661" s="3">
        <f t="shared" si="187"/>
        <v>-0.45344827585358871</v>
      </c>
      <c r="Z661" s="7">
        <f t="shared" si="188"/>
        <v>378.88221719878953</v>
      </c>
      <c r="AA661" s="2">
        <f t="shared" si="182"/>
        <v>24.637782801210449</v>
      </c>
      <c r="AB661" s="8">
        <f t="shared" si="189"/>
        <v>1</v>
      </c>
      <c r="AC661" s="10">
        <v>6.875</v>
      </c>
      <c r="AD661" s="7">
        <f t="shared" si="190"/>
        <v>353.16795913218721</v>
      </c>
      <c r="AE661" s="2">
        <f t="shared" si="191"/>
        <v>50.352040867812775</v>
      </c>
      <c r="AF661" s="10">
        <v>1.25</v>
      </c>
      <c r="AG661" s="3">
        <f t="shared" si="192"/>
        <v>631.92499999999995</v>
      </c>
      <c r="AH661" s="7">
        <v>2256.75</v>
      </c>
      <c r="AI661">
        <f t="shared" si="193"/>
        <v>360</v>
      </c>
      <c r="AJ661" t="e">
        <f>VLOOKUP(A661,'Borrower Details'!$A$1:$H$1493,8,FALSE)</f>
        <v>#N/A</v>
      </c>
      <c r="AK661" s="4" t="e">
        <f t="shared" si="194"/>
        <v>#N/A</v>
      </c>
      <c r="AL661" s="10">
        <v>7.625</v>
      </c>
      <c r="AM661" s="3">
        <f t="shared" si="195"/>
        <v>50554.460249999996</v>
      </c>
      <c r="AN661">
        <v>7.625</v>
      </c>
      <c r="AO661" s="7">
        <f t="shared" si="196"/>
        <v>378.88566659034046</v>
      </c>
      <c r="AP661" s="2">
        <f t="shared" si="197"/>
        <v>24.634333409659519</v>
      </c>
    </row>
    <row r="662" spans="1:42" x14ac:dyDescent="0.15">
      <c r="A662" s="8">
        <v>410926380</v>
      </c>
      <c r="B662" t="s">
        <v>37</v>
      </c>
      <c r="C662" t="s">
        <v>16</v>
      </c>
      <c r="D662" s="1">
        <v>39346</v>
      </c>
      <c r="E662" s="2">
        <v>160000</v>
      </c>
      <c r="F662" s="2">
        <v>120000</v>
      </c>
      <c r="G662" t="s">
        <v>17</v>
      </c>
      <c r="H662" s="2">
        <v>1141.8900000000001</v>
      </c>
      <c r="I662" s="2">
        <v>119644.04</v>
      </c>
      <c r="J662">
        <v>0.1099</v>
      </c>
      <c r="K662">
        <v>7</v>
      </c>
      <c r="L662">
        <v>353</v>
      </c>
      <c r="M662" t="str">
        <f t="shared" si="183"/>
        <v>30 Year Fixed</v>
      </c>
      <c r="N662" s="2">
        <v>1095.74</v>
      </c>
      <c r="O662" t="str">
        <f t="shared" si="180"/>
        <v>Cash Out</v>
      </c>
      <c r="P662" s="3">
        <f t="shared" si="184"/>
        <v>14346.107783251253</v>
      </c>
      <c r="Q662" s="4">
        <v>136000</v>
      </c>
      <c r="R662" s="4" t="s">
        <v>41</v>
      </c>
      <c r="S662" s="6">
        <v>539</v>
      </c>
      <c r="T662">
        <v>7.625</v>
      </c>
      <c r="U662" s="7">
        <f t="shared" si="181"/>
        <v>1019.2661617089722</v>
      </c>
      <c r="V662" s="2">
        <f t="shared" si="185"/>
        <v>122.62383829102794</v>
      </c>
      <c r="W662" s="9">
        <f t="shared" si="186"/>
        <v>0</v>
      </c>
      <c r="X662" s="3">
        <v>136000</v>
      </c>
      <c r="Y662" s="3">
        <f t="shared" si="187"/>
        <v>14346.107783251253</v>
      </c>
      <c r="Z662" s="7">
        <f t="shared" si="188"/>
        <v>1019.2661617089722</v>
      </c>
      <c r="AA662" s="2">
        <f t="shared" si="182"/>
        <v>122.62383829102794</v>
      </c>
      <c r="AB662" s="8">
        <f t="shared" si="189"/>
        <v>0</v>
      </c>
      <c r="AC662" s="10">
        <v>7.625</v>
      </c>
      <c r="AD662" s="7">
        <f t="shared" si="190"/>
        <v>1019.2661617089722</v>
      </c>
      <c r="AE662" s="2">
        <f t="shared" si="191"/>
        <v>122.62383829102794</v>
      </c>
      <c r="AF662" s="10">
        <v>0</v>
      </c>
      <c r="AG662" s="3">
        <f t="shared" si="192"/>
        <v>0</v>
      </c>
      <c r="AH662" s="7">
        <v>0</v>
      </c>
      <c r="AI662">
        <f t="shared" si="193"/>
        <v>360</v>
      </c>
      <c r="AJ662" t="e">
        <f>VLOOKUP(A662,'Borrower Details'!$A$1:$H$1493,8,FALSE)</f>
        <v>#N/A</v>
      </c>
      <c r="AK662" s="4" t="e">
        <f t="shared" si="194"/>
        <v>#N/A</v>
      </c>
      <c r="AL662" s="10">
        <v>7.625</v>
      </c>
      <c r="AM662" s="3">
        <f t="shared" si="195"/>
        <v>121438.70059999998</v>
      </c>
      <c r="AN662">
        <v>7.625</v>
      </c>
      <c r="AO662" s="7">
        <f t="shared" si="196"/>
        <v>910.13498708446355</v>
      </c>
      <c r="AP662" s="2">
        <f t="shared" si="197"/>
        <v>231.75501291553655</v>
      </c>
    </row>
    <row r="663" spans="1:42" x14ac:dyDescent="0.15">
      <c r="A663" s="8">
        <v>411078462</v>
      </c>
      <c r="B663" t="s">
        <v>37</v>
      </c>
      <c r="C663" t="s">
        <v>16</v>
      </c>
      <c r="D663" s="1">
        <v>39399</v>
      </c>
      <c r="E663" s="2">
        <v>256500</v>
      </c>
      <c r="F663" s="2">
        <v>230850</v>
      </c>
      <c r="G663" t="s">
        <v>17</v>
      </c>
      <c r="H663" s="2">
        <v>2330.23</v>
      </c>
      <c r="I663" s="2">
        <v>230493.98</v>
      </c>
      <c r="J663">
        <v>0.11749999999999999</v>
      </c>
      <c r="K663">
        <v>5</v>
      </c>
      <c r="L663">
        <v>355</v>
      </c>
      <c r="M663" t="str">
        <f t="shared" si="183"/>
        <v>30 Year Fixed</v>
      </c>
      <c r="N663" s="2">
        <v>2256.92</v>
      </c>
      <c r="O663" t="str">
        <f t="shared" si="180"/>
        <v>Refi</v>
      </c>
      <c r="P663" s="3">
        <f t="shared" si="184"/>
        <v>0</v>
      </c>
      <c r="Q663" s="4">
        <v>233951</v>
      </c>
      <c r="R663" s="4" t="s">
        <v>41</v>
      </c>
      <c r="S663" s="6">
        <v>583</v>
      </c>
      <c r="T663">
        <v>7.375</v>
      </c>
      <c r="U663" s="7">
        <f t="shared" si="181"/>
        <v>1713.320997888781</v>
      </c>
      <c r="V663" s="2">
        <f t="shared" si="185"/>
        <v>616.90900211121902</v>
      </c>
      <c r="W663" s="9">
        <f t="shared" si="186"/>
        <v>0</v>
      </c>
      <c r="X663" s="3">
        <v>233951</v>
      </c>
      <c r="Y663" s="3">
        <f t="shared" si="187"/>
        <v>-0.38394088667700998</v>
      </c>
      <c r="Z663" s="7">
        <f t="shared" si="188"/>
        <v>1713.320997888781</v>
      </c>
      <c r="AA663" s="2">
        <f t="shared" si="182"/>
        <v>616.90900211121902</v>
      </c>
      <c r="AB663" s="8">
        <f t="shared" si="189"/>
        <v>0</v>
      </c>
      <c r="AC663" s="10">
        <v>7.375</v>
      </c>
      <c r="AD663" s="7">
        <f t="shared" si="190"/>
        <v>1713.320997888781</v>
      </c>
      <c r="AE663" s="2">
        <f t="shared" si="191"/>
        <v>616.90900211121902</v>
      </c>
      <c r="AF663" s="10">
        <v>0</v>
      </c>
      <c r="AG663" s="3">
        <f t="shared" si="192"/>
        <v>0</v>
      </c>
      <c r="AH663" s="7">
        <v>2308.5</v>
      </c>
      <c r="AI663">
        <f t="shared" si="193"/>
        <v>360</v>
      </c>
      <c r="AJ663" t="e">
        <f>VLOOKUP(A663,'Borrower Details'!$A$1:$H$1493,8,FALSE)</f>
        <v>#N/A</v>
      </c>
      <c r="AK663" s="4" t="e">
        <f t="shared" si="194"/>
        <v>#N/A</v>
      </c>
      <c r="AL663" s="10">
        <v>7.375</v>
      </c>
      <c r="AM663" s="3">
        <f t="shared" si="195"/>
        <v>233951.3897</v>
      </c>
      <c r="AN663">
        <v>7.375</v>
      </c>
      <c r="AO663" s="7">
        <f t="shared" si="196"/>
        <v>1713.3238518248313</v>
      </c>
      <c r="AP663" s="2">
        <f t="shared" si="197"/>
        <v>616.90614817516871</v>
      </c>
    </row>
    <row r="664" spans="1:42" x14ac:dyDescent="0.15">
      <c r="A664" s="8">
        <v>411070824</v>
      </c>
      <c r="B664" t="s">
        <v>36</v>
      </c>
      <c r="C664" t="s">
        <v>16</v>
      </c>
      <c r="D664" s="1">
        <v>39416</v>
      </c>
      <c r="E664" s="2">
        <v>135000</v>
      </c>
      <c r="F664" s="2">
        <v>108000</v>
      </c>
      <c r="G664" t="s">
        <v>20</v>
      </c>
      <c r="H664" s="2">
        <v>921.32</v>
      </c>
      <c r="I664" s="2">
        <v>107931.83</v>
      </c>
      <c r="J664">
        <v>0.10050000000000001</v>
      </c>
      <c r="K664">
        <v>5</v>
      </c>
      <c r="L664">
        <v>356</v>
      </c>
      <c r="M664" t="str">
        <f t="shared" si="183"/>
        <v>30 Year Fixed</v>
      </c>
      <c r="N664" s="2">
        <v>903.93</v>
      </c>
      <c r="O664" t="str">
        <f t="shared" si="180"/>
        <v>Cash Out</v>
      </c>
      <c r="P664" s="3">
        <f t="shared" si="184"/>
        <v>5122.3571921182302</v>
      </c>
      <c r="Q664" s="4">
        <v>114750</v>
      </c>
      <c r="R664" s="4" t="s">
        <v>41</v>
      </c>
      <c r="S664" s="6">
        <v>546</v>
      </c>
      <c r="T664">
        <v>7.625</v>
      </c>
      <c r="U664" s="7">
        <f t="shared" si="181"/>
        <v>860.00582394194521</v>
      </c>
      <c r="V664" s="2">
        <f t="shared" si="185"/>
        <v>61.314176058054841</v>
      </c>
      <c r="W664" s="9">
        <f t="shared" si="186"/>
        <v>0</v>
      </c>
      <c r="X664" s="3">
        <v>114750</v>
      </c>
      <c r="Y664" s="3">
        <f t="shared" si="187"/>
        <v>5122.3571921182302</v>
      </c>
      <c r="Z664" s="7">
        <f t="shared" si="188"/>
        <v>860.00582394194521</v>
      </c>
      <c r="AA664" s="2">
        <f t="shared" si="182"/>
        <v>61.314176058054841</v>
      </c>
      <c r="AB664" s="8">
        <f t="shared" si="189"/>
        <v>0</v>
      </c>
      <c r="AC664" s="10">
        <v>7.625</v>
      </c>
      <c r="AD664" s="7">
        <f t="shared" si="190"/>
        <v>860.00582394194521</v>
      </c>
      <c r="AE664" s="2">
        <f t="shared" si="191"/>
        <v>61.314176058054841</v>
      </c>
      <c r="AF664" s="10">
        <v>0</v>
      </c>
      <c r="AG664" s="3">
        <f t="shared" si="192"/>
        <v>0</v>
      </c>
      <c r="AH664" s="7">
        <v>2160</v>
      </c>
      <c r="AI664">
        <f t="shared" si="193"/>
        <v>360</v>
      </c>
      <c r="AJ664" t="e">
        <f>VLOOKUP(A664,'Borrower Details'!$A$1:$H$1493,8,FALSE)</f>
        <v>#N/A</v>
      </c>
      <c r="AK664" s="4" t="e">
        <f t="shared" si="194"/>
        <v>#N/A</v>
      </c>
      <c r="AL664" s="10">
        <v>7.625</v>
      </c>
      <c r="AM664" s="3">
        <f t="shared" si="195"/>
        <v>109550.80744999999</v>
      </c>
      <c r="AN664">
        <v>7.625</v>
      </c>
      <c r="AO664" s="7">
        <f t="shared" si="196"/>
        <v>821.03993398294244</v>
      </c>
      <c r="AP664" s="2">
        <f t="shared" si="197"/>
        <v>100.28006601705761</v>
      </c>
    </row>
    <row r="665" spans="1:42" x14ac:dyDescent="0.15">
      <c r="A665" s="8">
        <v>410735542</v>
      </c>
      <c r="B665" t="s">
        <v>38</v>
      </c>
      <c r="C665" t="s">
        <v>16</v>
      </c>
      <c r="D665" s="1">
        <v>39300</v>
      </c>
      <c r="E665" s="2">
        <v>169000</v>
      </c>
      <c r="F665" s="2">
        <v>135200</v>
      </c>
      <c r="G665" t="s">
        <v>17</v>
      </c>
      <c r="H665" s="2">
        <v>1117.1600000000001</v>
      </c>
      <c r="I665" s="2">
        <v>134629.82</v>
      </c>
      <c r="J665">
        <v>9.2999999999999999E-2</v>
      </c>
      <c r="K665">
        <v>8</v>
      </c>
      <c r="L665">
        <v>352</v>
      </c>
      <c r="M665" t="str">
        <f t="shared" si="183"/>
        <v>30 Year Fixed</v>
      </c>
      <c r="N665" s="2">
        <v>1043.3800000000001</v>
      </c>
      <c r="O665" t="str">
        <f t="shared" si="180"/>
        <v>Cash Out</v>
      </c>
      <c r="P665" s="3">
        <f t="shared" si="184"/>
        <v>6897.2735960591235</v>
      </c>
      <c r="Q665" s="4">
        <v>143650</v>
      </c>
      <c r="R665" s="4" t="s">
        <v>41</v>
      </c>
      <c r="S665" s="6">
        <v>537</v>
      </c>
      <c r="T665">
        <v>7.625</v>
      </c>
      <c r="U665" s="7">
        <f t="shared" si="181"/>
        <v>1076.5998833051019</v>
      </c>
      <c r="V665" s="2">
        <f t="shared" si="185"/>
        <v>40.56011669489817</v>
      </c>
      <c r="W665" s="9">
        <f t="shared" si="186"/>
        <v>0</v>
      </c>
      <c r="X665" s="3">
        <v>143650</v>
      </c>
      <c r="Y665" s="3">
        <f t="shared" si="187"/>
        <v>6897.2735960591235</v>
      </c>
      <c r="Z665" s="7">
        <f t="shared" si="188"/>
        <v>1076.5998833051019</v>
      </c>
      <c r="AA665" s="2">
        <f t="shared" si="182"/>
        <v>40.56011669489817</v>
      </c>
      <c r="AB665" s="8">
        <f t="shared" si="189"/>
        <v>1</v>
      </c>
      <c r="AC665" s="10">
        <v>6.5</v>
      </c>
      <c r="AD665" s="7">
        <f t="shared" si="190"/>
        <v>967.81988241431236</v>
      </c>
      <c r="AE665" s="2">
        <f t="shared" si="191"/>
        <v>149.34011758568772</v>
      </c>
      <c r="AF665" s="10">
        <v>2.375</v>
      </c>
      <c r="AG665" s="3">
        <f t="shared" si="192"/>
        <v>3411.6875</v>
      </c>
      <c r="AH665" s="7">
        <v>0</v>
      </c>
      <c r="AI665">
        <f t="shared" si="193"/>
        <v>360</v>
      </c>
      <c r="AJ665" t="e">
        <f>VLOOKUP(A665,'Borrower Details'!$A$1:$H$1493,8,FALSE)</f>
        <v>#N/A</v>
      </c>
      <c r="AK665" s="4" t="e">
        <f t="shared" si="194"/>
        <v>#N/A</v>
      </c>
      <c r="AL665" s="10">
        <v>7.625</v>
      </c>
      <c r="AM665" s="3">
        <f t="shared" si="195"/>
        <v>136649.26730000001</v>
      </c>
      <c r="AN665">
        <v>7.625</v>
      </c>
      <c r="AO665" s="7">
        <f t="shared" si="196"/>
        <v>1024.1321630971645</v>
      </c>
      <c r="AP665" s="2">
        <f t="shared" si="197"/>
        <v>93.027836902835588</v>
      </c>
    </row>
    <row r="666" spans="1:42" x14ac:dyDescent="0.15">
      <c r="A666" s="8">
        <v>410476394</v>
      </c>
      <c r="B666" t="s">
        <v>36</v>
      </c>
      <c r="C666" t="s">
        <v>16</v>
      </c>
      <c r="D666" s="1">
        <v>39300</v>
      </c>
      <c r="E666" s="2">
        <v>230000</v>
      </c>
      <c r="F666" s="2">
        <v>165000</v>
      </c>
      <c r="G666" t="s">
        <v>17</v>
      </c>
      <c r="H666" s="2">
        <v>1209.57</v>
      </c>
      <c r="I666" s="2">
        <v>163974.48000000001</v>
      </c>
      <c r="J666">
        <v>7.9899999999999999E-2</v>
      </c>
      <c r="K666">
        <v>8</v>
      </c>
      <c r="L666">
        <v>351</v>
      </c>
      <c r="M666" t="str">
        <f t="shared" si="183"/>
        <v>30 Year Fixed</v>
      </c>
      <c r="N666" s="2">
        <v>1092.58</v>
      </c>
      <c r="O666" t="str">
        <f t="shared" si="180"/>
        <v>Cash Out</v>
      </c>
      <c r="P666" s="3">
        <f t="shared" si="184"/>
        <v>28636.357438423642</v>
      </c>
      <c r="Q666" s="4">
        <v>195500</v>
      </c>
      <c r="R666" s="4" t="s">
        <v>41</v>
      </c>
      <c r="S666" s="6">
        <v>574</v>
      </c>
      <c r="T666">
        <v>7.625</v>
      </c>
      <c r="U666" s="7">
        <f t="shared" si="181"/>
        <v>1465.1951074566473</v>
      </c>
      <c r="V666" s="2">
        <f t="shared" si="185"/>
        <v>-255.62510745664736</v>
      </c>
      <c r="W666" s="9">
        <f t="shared" si="186"/>
        <v>1</v>
      </c>
      <c r="X666" s="3">
        <v>166434</v>
      </c>
      <c r="Y666" s="3">
        <f t="shared" si="187"/>
        <v>-9.5763546793023124E-2</v>
      </c>
      <c r="Z666" s="7">
        <f t="shared" si="188"/>
        <v>1247.3569438078757</v>
      </c>
      <c r="AA666" s="2">
        <f t="shared" si="182"/>
        <v>-37.786943807875787</v>
      </c>
      <c r="AB666" s="8">
        <f t="shared" si="189"/>
        <v>1</v>
      </c>
      <c r="AC666" s="10">
        <v>6.875</v>
      </c>
      <c r="AD666" s="7">
        <f t="shared" si="190"/>
        <v>1162.700401752709</v>
      </c>
      <c r="AE666" s="2">
        <f t="shared" si="191"/>
        <v>46.869598247290924</v>
      </c>
      <c r="AF666" s="10">
        <v>1</v>
      </c>
      <c r="AG666" s="3">
        <f t="shared" si="192"/>
        <v>1664.34</v>
      </c>
      <c r="AH666" s="7">
        <v>3300</v>
      </c>
      <c r="AI666">
        <f t="shared" si="193"/>
        <v>360</v>
      </c>
      <c r="AJ666" t="e">
        <f>VLOOKUP(A666,'Borrower Details'!$A$1:$H$1493,8,FALSE)</f>
        <v>#N/A</v>
      </c>
      <c r="AK666" s="4" t="e">
        <f t="shared" si="194"/>
        <v>#N/A</v>
      </c>
      <c r="AL666" s="10">
        <v>7.625</v>
      </c>
      <c r="AM666" s="3">
        <f t="shared" si="195"/>
        <v>166434.09719999999</v>
      </c>
      <c r="AN666">
        <v>7.625</v>
      </c>
      <c r="AO666" s="7">
        <f t="shared" si="196"/>
        <v>1247.3576722833968</v>
      </c>
      <c r="AP666" s="2">
        <f t="shared" si="197"/>
        <v>-37.787672283396887</v>
      </c>
    </row>
    <row r="667" spans="1:42" x14ac:dyDescent="0.15">
      <c r="A667" s="8">
        <v>411169758</v>
      </c>
      <c r="B667" t="s">
        <v>36</v>
      </c>
      <c r="C667" t="s">
        <v>16</v>
      </c>
      <c r="D667" s="1">
        <v>39423</v>
      </c>
      <c r="E667" s="2">
        <v>435000</v>
      </c>
      <c r="F667" s="2">
        <v>306000</v>
      </c>
      <c r="G667" t="s">
        <v>17</v>
      </c>
      <c r="H667" s="2">
        <v>2891.02</v>
      </c>
      <c r="I667" s="2">
        <v>305547.8</v>
      </c>
      <c r="J667">
        <v>0.109</v>
      </c>
      <c r="K667">
        <v>4</v>
      </c>
      <c r="L667">
        <v>356</v>
      </c>
      <c r="M667" t="str">
        <f t="shared" si="183"/>
        <v>30 Year Fixed</v>
      </c>
      <c r="N667" s="2">
        <v>2775.39</v>
      </c>
      <c r="O667" t="str">
        <f t="shared" si="180"/>
        <v>Cash Out</v>
      </c>
      <c r="P667" s="3">
        <f t="shared" si="184"/>
        <v>58737.914285714331</v>
      </c>
      <c r="Q667" s="4">
        <v>369750</v>
      </c>
      <c r="R667" s="4" t="s">
        <v>41</v>
      </c>
      <c r="S667" s="6">
        <v>573</v>
      </c>
      <c r="T667">
        <v>7.625</v>
      </c>
      <c r="U667" s="7">
        <f t="shared" si="181"/>
        <v>2771.129877146268</v>
      </c>
      <c r="V667" s="2">
        <f t="shared" si="185"/>
        <v>119.89012285373201</v>
      </c>
      <c r="W667" s="9">
        <f t="shared" si="186"/>
        <v>0</v>
      </c>
      <c r="X667" s="3">
        <v>369750</v>
      </c>
      <c r="Y667" s="3">
        <f t="shared" si="187"/>
        <v>58737.914285714331</v>
      </c>
      <c r="Z667" s="7">
        <f t="shared" si="188"/>
        <v>2771.129877146268</v>
      </c>
      <c r="AA667" s="2">
        <f t="shared" si="182"/>
        <v>119.89012285373201</v>
      </c>
      <c r="AB667" s="8">
        <f t="shared" si="189"/>
        <v>0</v>
      </c>
      <c r="AC667" s="10">
        <v>7.625</v>
      </c>
      <c r="AD667" s="7">
        <f t="shared" si="190"/>
        <v>2771.129877146268</v>
      </c>
      <c r="AE667" s="2">
        <f t="shared" si="191"/>
        <v>119.89012285373201</v>
      </c>
      <c r="AF667" s="10">
        <v>0</v>
      </c>
      <c r="AG667" s="3">
        <f t="shared" si="192"/>
        <v>0</v>
      </c>
      <c r="AH667" s="7">
        <v>6120</v>
      </c>
      <c r="AI667">
        <f t="shared" si="193"/>
        <v>360</v>
      </c>
      <c r="AJ667" t="e">
        <f>VLOOKUP(A667,'Borrower Details'!$A$1:$H$1493,8,FALSE)</f>
        <v>#N/A</v>
      </c>
      <c r="AK667" s="4" t="e">
        <f t="shared" si="194"/>
        <v>#N/A</v>
      </c>
      <c r="AL667" s="10">
        <v>7.625</v>
      </c>
      <c r="AM667" s="3">
        <f t="shared" si="195"/>
        <v>310131.01699999993</v>
      </c>
      <c r="AN667">
        <v>7.625</v>
      </c>
      <c r="AO667" s="7">
        <f t="shared" si="196"/>
        <v>2324.3092009153675</v>
      </c>
      <c r="AP667" s="2">
        <f t="shared" si="197"/>
        <v>566.71079908463253</v>
      </c>
    </row>
    <row r="668" spans="1:42" x14ac:dyDescent="0.15">
      <c r="A668" s="8">
        <v>411210222</v>
      </c>
      <c r="B668" t="s">
        <v>36</v>
      </c>
      <c r="C668" t="s">
        <v>18</v>
      </c>
      <c r="D668" s="1">
        <v>39443</v>
      </c>
      <c r="E668" s="2">
        <v>184000</v>
      </c>
      <c r="F668" s="2">
        <v>147200</v>
      </c>
      <c r="G668" t="s">
        <v>17</v>
      </c>
      <c r="H668" s="2">
        <v>1183.3499999999999</v>
      </c>
      <c r="I668" s="2">
        <v>146854.43</v>
      </c>
      <c r="J668">
        <v>8.9899999999999994E-2</v>
      </c>
      <c r="K668">
        <v>4</v>
      </c>
      <c r="L668">
        <v>356</v>
      </c>
      <c r="M668" t="str">
        <f t="shared" si="183"/>
        <v>30 Year Fixed</v>
      </c>
      <c r="N668" s="2">
        <v>1100.18</v>
      </c>
      <c r="O668" t="str">
        <f t="shared" si="180"/>
        <v>Cash Out</v>
      </c>
      <c r="P668" s="3">
        <f t="shared" si="184"/>
        <v>7234.2399507389346</v>
      </c>
      <c r="Q668" s="4">
        <v>156400</v>
      </c>
      <c r="R668" s="4" t="s">
        <v>41</v>
      </c>
      <c r="S668" s="6">
        <v>586</v>
      </c>
      <c r="T668">
        <v>7.375</v>
      </c>
      <c r="U668" s="7">
        <f t="shared" si="181"/>
        <v>1145.382597508903</v>
      </c>
      <c r="V668" s="2">
        <f t="shared" si="185"/>
        <v>37.967402491096891</v>
      </c>
      <c r="W668" s="9">
        <f t="shared" si="186"/>
        <v>0</v>
      </c>
      <c r="X668" s="3">
        <v>156400</v>
      </c>
      <c r="Y668" s="3">
        <f t="shared" si="187"/>
        <v>7234.2399507389346</v>
      </c>
      <c r="Z668" s="7">
        <f t="shared" si="188"/>
        <v>1145.382597508903</v>
      </c>
      <c r="AA668" s="2">
        <f t="shared" si="182"/>
        <v>37.967402491096891</v>
      </c>
      <c r="AB668" s="8">
        <f t="shared" si="189"/>
        <v>0</v>
      </c>
      <c r="AC668" s="10">
        <v>7.375</v>
      </c>
      <c r="AD668" s="7">
        <f t="shared" si="190"/>
        <v>1145.382597508903</v>
      </c>
      <c r="AE668" s="2">
        <f t="shared" si="191"/>
        <v>37.967402491096891</v>
      </c>
      <c r="AF668" s="10">
        <v>0</v>
      </c>
      <c r="AG668" s="3">
        <f t="shared" si="192"/>
        <v>0</v>
      </c>
      <c r="AH668" s="7">
        <v>2944</v>
      </c>
      <c r="AI668">
        <f t="shared" si="193"/>
        <v>360</v>
      </c>
      <c r="AJ668" t="e">
        <f>VLOOKUP(A668,'Borrower Details'!$A$1:$H$1493,8,FALSE)</f>
        <v>#N/A</v>
      </c>
      <c r="AK668" s="4" t="e">
        <f t="shared" si="194"/>
        <v>#N/A</v>
      </c>
      <c r="AL668" s="10">
        <v>7.375</v>
      </c>
      <c r="AM668" s="3">
        <f t="shared" si="195"/>
        <v>149057.24644999998</v>
      </c>
      <c r="AN668">
        <v>7.375</v>
      </c>
      <c r="AO668" s="7">
        <f t="shared" si="196"/>
        <v>1091.6085429438981</v>
      </c>
      <c r="AP668" s="2">
        <f t="shared" si="197"/>
        <v>91.741457056101808</v>
      </c>
    </row>
    <row r="669" spans="1:42" x14ac:dyDescent="0.15">
      <c r="A669" s="8">
        <v>1149825</v>
      </c>
      <c r="B669" t="s">
        <v>35</v>
      </c>
      <c r="C669" t="s">
        <v>16</v>
      </c>
      <c r="D669" s="1">
        <v>39139</v>
      </c>
      <c r="E669" s="2">
        <v>167000</v>
      </c>
      <c r="F669" s="2">
        <v>150300</v>
      </c>
      <c r="G669" t="s">
        <v>17</v>
      </c>
      <c r="H669" s="2">
        <v>1087.18</v>
      </c>
      <c r="I669" s="2">
        <v>148545.74</v>
      </c>
      <c r="J669">
        <v>7.85E-2</v>
      </c>
      <c r="K669">
        <v>14</v>
      </c>
      <c r="L669">
        <v>345</v>
      </c>
      <c r="M669" t="str">
        <f t="shared" si="183"/>
        <v>30 Year Fixed</v>
      </c>
      <c r="N669" s="2">
        <v>971.74</v>
      </c>
      <c r="O669" t="str">
        <f t="shared" si="180"/>
        <v>Refi</v>
      </c>
      <c r="P669" s="3">
        <f t="shared" si="184"/>
        <v>0</v>
      </c>
      <c r="Q669" s="4">
        <v>150774</v>
      </c>
      <c r="R669" s="4" t="s">
        <v>41</v>
      </c>
      <c r="S669" s="6">
        <v>707</v>
      </c>
      <c r="T669">
        <v>6.75</v>
      </c>
      <c r="U669" s="7">
        <f t="shared" si="181"/>
        <v>1040.7397941197587</v>
      </c>
      <c r="V669" s="2">
        <f t="shared" si="185"/>
        <v>46.440205880241365</v>
      </c>
      <c r="W669" s="9">
        <f t="shared" si="186"/>
        <v>0</v>
      </c>
      <c r="X669" s="3">
        <v>150774</v>
      </c>
      <c r="Y669" s="3">
        <f t="shared" si="187"/>
        <v>7.2807881806511432E-2</v>
      </c>
      <c r="Z669" s="7">
        <f t="shared" si="188"/>
        <v>1040.7397941197587</v>
      </c>
      <c r="AA669" s="2">
        <f t="shared" si="182"/>
        <v>46.440205880241365</v>
      </c>
      <c r="AB669" s="8">
        <f t="shared" si="189"/>
        <v>1</v>
      </c>
      <c r="AC669" s="10">
        <v>6.125</v>
      </c>
      <c r="AD669" s="7">
        <f t="shared" si="190"/>
        <v>978.94121494738897</v>
      </c>
      <c r="AE669" s="2">
        <f t="shared" si="191"/>
        <v>108.23878505261109</v>
      </c>
      <c r="AF669" s="10">
        <v>3</v>
      </c>
      <c r="AG669" s="3">
        <f t="shared" si="192"/>
        <v>4523.22</v>
      </c>
      <c r="AH669" s="7">
        <v>5899.2749999999996</v>
      </c>
      <c r="AI669">
        <f t="shared" si="193"/>
        <v>360</v>
      </c>
      <c r="AJ669" t="e">
        <f>VLOOKUP(A669,'Borrower Details'!$A$1:$H$1493,8,FALSE)</f>
        <v>#N/A</v>
      </c>
      <c r="AK669" s="4" t="e">
        <f t="shared" si="194"/>
        <v>#N/A</v>
      </c>
      <c r="AL669" s="10">
        <v>6.75</v>
      </c>
      <c r="AM669" s="3">
        <f t="shared" si="195"/>
        <v>150773.92609999998</v>
      </c>
      <c r="AN669">
        <v>6.75</v>
      </c>
      <c r="AO669" s="7">
        <f t="shared" si="196"/>
        <v>1040.7392840140985</v>
      </c>
      <c r="AP669" s="2">
        <f t="shared" si="197"/>
        <v>46.440715985901534</v>
      </c>
    </row>
    <row r="670" spans="1:42" x14ac:dyDescent="0.15">
      <c r="A670" s="8">
        <v>1165828</v>
      </c>
      <c r="B670" t="s">
        <v>35</v>
      </c>
      <c r="C670" t="s">
        <v>16</v>
      </c>
      <c r="D670" s="1">
        <v>39176</v>
      </c>
      <c r="E670" s="2">
        <v>103000</v>
      </c>
      <c r="F670" s="2">
        <v>92700</v>
      </c>
      <c r="G670" t="s">
        <v>17</v>
      </c>
      <c r="H670" s="2">
        <v>794.45</v>
      </c>
      <c r="I670" s="2">
        <v>92536.78</v>
      </c>
      <c r="J670">
        <v>0.10100000000000001</v>
      </c>
      <c r="K670">
        <v>12</v>
      </c>
      <c r="L670">
        <v>349</v>
      </c>
      <c r="M670" t="str">
        <f t="shared" si="183"/>
        <v>30 Year Fixed</v>
      </c>
      <c r="N670" s="2">
        <v>778.85</v>
      </c>
      <c r="O670" t="str">
        <f t="shared" si="180"/>
        <v>Refi</v>
      </c>
      <c r="P670" s="3">
        <f t="shared" si="184"/>
        <v>0</v>
      </c>
      <c r="Q670" s="4">
        <v>93925</v>
      </c>
      <c r="R670" s="4" t="s">
        <v>41</v>
      </c>
      <c r="S670" s="6">
        <v>575</v>
      </c>
      <c r="T670">
        <v>7.625</v>
      </c>
      <c r="U670" s="7">
        <f t="shared" si="181"/>
        <v>703.93069293025883</v>
      </c>
      <c r="V670" s="2">
        <f t="shared" si="185"/>
        <v>90.519307069741217</v>
      </c>
      <c r="W670" s="9">
        <f t="shared" si="186"/>
        <v>0</v>
      </c>
      <c r="X670" s="3">
        <v>93925</v>
      </c>
      <c r="Y670" s="3">
        <f t="shared" si="187"/>
        <v>0.16581280788523145</v>
      </c>
      <c r="Z670" s="7">
        <f t="shared" si="188"/>
        <v>703.93069293025883</v>
      </c>
      <c r="AA670" s="2">
        <f t="shared" si="182"/>
        <v>90.519307069741217</v>
      </c>
      <c r="AB670" s="8">
        <f t="shared" si="189"/>
        <v>0</v>
      </c>
      <c r="AC670" s="10">
        <v>7.625</v>
      </c>
      <c r="AD670" s="7">
        <f t="shared" si="190"/>
        <v>703.93069293025883</v>
      </c>
      <c r="AE670" s="2">
        <f t="shared" si="191"/>
        <v>90.519307069741217</v>
      </c>
      <c r="AF670" s="10">
        <v>0</v>
      </c>
      <c r="AG670" s="3">
        <f t="shared" si="192"/>
        <v>0</v>
      </c>
      <c r="AH670" s="7">
        <v>4681.3500000000004</v>
      </c>
      <c r="AI670">
        <f t="shared" si="193"/>
        <v>360</v>
      </c>
      <c r="AJ670" t="e">
        <f>VLOOKUP(A670,'Borrower Details'!$A$1:$H$1493,8,FALSE)</f>
        <v>#N/A</v>
      </c>
      <c r="AK670" s="4" t="e">
        <f t="shared" si="194"/>
        <v>#N/A</v>
      </c>
      <c r="AL670" s="10">
        <v>7.625</v>
      </c>
      <c r="AM670" s="3">
        <f t="shared" si="195"/>
        <v>93924.831699999995</v>
      </c>
      <c r="AN670">
        <v>7.625</v>
      </c>
      <c r="AO670" s="7">
        <f t="shared" si="196"/>
        <v>703.92943158838375</v>
      </c>
      <c r="AP670" s="2">
        <f t="shared" si="197"/>
        <v>90.520568411616296</v>
      </c>
    </row>
    <row r="671" spans="1:42" x14ac:dyDescent="0.15">
      <c r="A671" s="8">
        <v>1172013</v>
      </c>
      <c r="B671" t="s">
        <v>35</v>
      </c>
      <c r="C671" t="s">
        <v>16</v>
      </c>
      <c r="D671" s="1">
        <v>39156</v>
      </c>
      <c r="E671" s="2">
        <v>172000</v>
      </c>
      <c r="F671" s="2">
        <v>137600</v>
      </c>
      <c r="G671" t="s">
        <v>17</v>
      </c>
      <c r="H671" s="2">
        <v>943.35</v>
      </c>
      <c r="I671" s="2">
        <v>136166.74</v>
      </c>
      <c r="J671">
        <v>7.2999999999999995E-2</v>
      </c>
      <c r="K671">
        <v>13</v>
      </c>
      <c r="L671">
        <v>347</v>
      </c>
      <c r="M671" t="str">
        <f t="shared" si="183"/>
        <v>30 Year Fixed</v>
      </c>
      <c r="N671" s="2">
        <v>828.35</v>
      </c>
      <c r="O671" t="str">
        <f t="shared" si="180"/>
        <v>Cash Out</v>
      </c>
      <c r="P671" s="3">
        <f t="shared" si="184"/>
        <v>7872.6688669951109</v>
      </c>
      <c r="Q671" s="4">
        <v>146200</v>
      </c>
      <c r="R671" s="4" t="s">
        <v>41</v>
      </c>
      <c r="S671" s="6">
        <v>675</v>
      </c>
      <c r="T671">
        <v>6.75</v>
      </c>
      <c r="U671" s="7">
        <f t="shared" si="181"/>
        <v>1009.1670838493952</v>
      </c>
      <c r="V671" s="2">
        <f t="shared" si="185"/>
        <v>-65.817083849395203</v>
      </c>
      <c r="W671" s="9">
        <f t="shared" si="186"/>
        <v>1</v>
      </c>
      <c r="X671" s="3">
        <v>138210</v>
      </c>
      <c r="Y671" s="3">
        <f t="shared" si="187"/>
        <v>0.74768472908181138</v>
      </c>
      <c r="Z671" s="7">
        <f t="shared" si="188"/>
        <v>954.01492926692833</v>
      </c>
      <c r="AA671" s="2">
        <f t="shared" si="182"/>
        <v>-10.664929266928311</v>
      </c>
      <c r="AB671" s="8">
        <f t="shared" si="189"/>
        <v>1</v>
      </c>
      <c r="AC671" s="10">
        <v>6.125</v>
      </c>
      <c r="AD671" s="7">
        <f t="shared" si="190"/>
        <v>897.36602675447102</v>
      </c>
      <c r="AE671" s="2">
        <f t="shared" si="191"/>
        <v>45.983973245529</v>
      </c>
      <c r="AF671" s="10">
        <v>3</v>
      </c>
      <c r="AG671" s="3">
        <f t="shared" si="192"/>
        <v>4146.3</v>
      </c>
      <c r="AH671" s="7">
        <v>5022.3999999999996</v>
      </c>
      <c r="AI671">
        <f t="shared" si="193"/>
        <v>360</v>
      </c>
      <c r="AJ671" t="e">
        <f>VLOOKUP(A671,'Borrower Details'!$A$1:$H$1493,8,FALSE)</f>
        <v>#N/A</v>
      </c>
      <c r="AK671" s="4" t="e">
        <f t="shared" si="194"/>
        <v>#N/A</v>
      </c>
      <c r="AL671" s="10">
        <v>6.75</v>
      </c>
      <c r="AM671" s="3">
        <f t="shared" si="195"/>
        <v>138209.24109999998</v>
      </c>
      <c r="AN671">
        <v>6.75</v>
      </c>
      <c r="AO671" s="7">
        <f t="shared" si="196"/>
        <v>954.00969084764006</v>
      </c>
      <c r="AP671" s="2">
        <f t="shared" si="197"/>
        <v>-10.659690847640036</v>
      </c>
    </row>
    <row r="672" spans="1:42" x14ac:dyDescent="0.15">
      <c r="A672" s="8">
        <v>410287023</v>
      </c>
      <c r="B672" t="s">
        <v>38</v>
      </c>
      <c r="C672" t="s">
        <v>18</v>
      </c>
      <c r="D672" s="1">
        <v>39237</v>
      </c>
      <c r="E672" s="2">
        <v>110000</v>
      </c>
      <c r="F672" s="2">
        <v>93500</v>
      </c>
      <c r="G672" t="s">
        <v>17</v>
      </c>
      <c r="H672" s="2">
        <v>779.39</v>
      </c>
      <c r="I672" s="2">
        <v>93063.76</v>
      </c>
      <c r="J672">
        <v>9.4E-2</v>
      </c>
      <c r="K672">
        <v>10</v>
      </c>
      <c r="L672">
        <v>351</v>
      </c>
      <c r="M672" t="str">
        <f t="shared" si="183"/>
        <v>30 Year Fixed</v>
      </c>
      <c r="N672" s="2">
        <v>729</v>
      </c>
      <c r="O672" t="str">
        <f t="shared" si="180"/>
        <v>Refi</v>
      </c>
      <c r="P672" s="3">
        <f t="shared" si="184"/>
        <v>0</v>
      </c>
      <c r="Q672" s="4">
        <v>94460</v>
      </c>
      <c r="R672" s="4" t="s">
        <v>41</v>
      </c>
      <c r="S672" s="6">
        <v>585</v>
      </c>
      <c r="T672">
        <v>7.625</v>
      </c>
      <c r="U672" s="7">
        <f t="shared" si="181"/>
        <v>707.94030613992288</v>
      </c>
      <c r="V672" s="2">
        <f t="shared" si="185"/>
        <v>71.449693860077105</v>
      </c>
      <c r="W672" s="9">
        <f t="shared" si="186"/>
        <v>0</v>
      </c>
      <c r="X672" s="3">
        <v>94460</v>
      </c>
      <c r="Y672" s="3">
        <f t="shared" si="187"/>
        <v>0.2794088670052588</v>
      </c>
      <c r="Z672" s="7">
        <f t="shared" si="188"/>
        <v>707.94030613992288</v>
      </c>
      <c r="AA672" s="2">
        <f t="shared" si="182"/>
        <v>71.449693860077105</v>
      </c>
      <c r="AB672" s="8">
        <f t="shared" si="189"/>
        <v>0</v>
      </c>
      <c r="AC672" s="10">
        <v>7.625</v>
      </c>
      <c r="AD672" s="7">
        <f t="shared" si="190"/>
        <v>707.94030613992288</v>
      </c>
      <c r="AE672" s="2">
        <f t="shared" si="191"/>
        <v>71.449693860077105</v>
      </c>
      <c r="AF672" s="10">
        <v>0</v>
      </c>
      <c r="AG672" s="3">
        <f t="shared" si="192"/>
        <v>0</v>
      </c>
      <c r="AH672" s="7">
        <v>0</v>
      </c>
      <c r="AI672">
        <f t="shared" si="193"/>
        <v>360</v>
      </c>
      <c r="AJ672" t="e">
        <f>VLOOKUP(A672,'Borrower Details'!$A$1:$H$1493,8,FALSE)</f>
        <v>#N/A</v>
      </c>
      <c r="AK672" s="4" t="e">
        <f t="shared" si="194"/>
        <v>#N/A</v>
      </c>
      <c r="AL672" s="10">
        <v>7.625</v>
      </c>
      <c r="AM672" s="3">
        <f t="shared" si="195"/>
        <v>94459.71639999999</v>
      </c>
      <c r="AN672">
        <v>7.625</v>
      </c>
      <c r="AO672" s="7">
        <f t="shared" si="196"/>
        <v>707.93818067019151</v>
      </c>
      <c r="AP672" s="2">
        <f t="shared" si="197"/>
        <v>71.451819329808473</v>
      </c>
    </row>
    <row r="673" spans="1:42" x14ac:dyDescent="0.15">
      <c r="A673" s="8">
        <v>1180308</v>
      </c>
      <c r="B673" t="s">
        <v>37</v>
      </c>
      <c r="C673" t="s">
        <v>19</v>
      </c>
      <c r="D673" s="1">
        <v>39210</v>
      </c>
      <c r="E673" s="2">
        <v>142000</v>
      </c>
      <c r="F673" s="2">
        <v>127800</v>
      </c>
      <c r="G673" t="s">
        <v>17</v>
      </c>
      <c r="H673" s="2">
        <v>937.76</v>
      </c>
      <c r="I673" s="2">
        <v>126824.56</v>
      </c>
      <c r="J673">
        <v>0.08</v>
      </c>
      <c r="K673">
        <v>11</v>
      </c>
      <c r="L673">
        <v>349</v>
      </c>
      <c r="M673" t="str">
        <f t="shared" si="183"/>
        <v>30 Year Fixed</v>
      </c>
      <c r="N673" s="2">
        <v>845.5</v>
      </c>
      <c r="O673" t="str">
        <f t="shared" si="180"/>
        <v>Refi</v>
      </c>
      <c r="P673" s="3">
        <f t="shared" si="184"/>
        <v>0</v>
      </c>
      <c r="Q673" s="4">
        <v>128727</v>
      </c>
      <c r="R673" s="4" t="s">
        <v>41</v>
      </c>
      <c r="S673" s="6">
        <v>630</v>
      </c>
      <c r="T673">
        <v>6.75</v>
      </c>
      <c r="U673" s="7">
        <f t="shared" si="181"/>
        <v>888.55712176936458</v>
      </c>
      <c r="V673" s="2">
        <f t="shared" si="185"/>
        <v>49.202878230635406</v>
      </c>
      <c r="W673" s="9">
        <f t="shared" si="186"/>
        <v>0</v>
      </c>
      <c r="X673" s="3">
        <v>128727</v>
      </c>
      <c r="Y673" s="3">
        <f t="shared" si="187"/>
        <v>7.0541871929890476E-2</v>
      </c>
      <c r="Z673" s="7">
        <f t="shared" si="188"/>
        <v>888.55712176936458</v>
      </c>
      <c r="AA673" s="2">
        <f t="shared" si="182"/>
        <v>49.202878230635406</v>
      </c>
      <c r="AB673" s="8">
        <f t="shared" si="189"/>
        <v>1</v>
      </c>
      <c r="AC673" s="10">
        <v>6.125</v>
      </c>
      <c r="AD673" s="7">
        <f t="shared" si="190"/>
        <v>835.79506928603428</v>
      </c>
      <c r="AE673" s="2">
        <f t="shared" si="191"/>
        <v>101.96493071396571</v>
      </c>
      <c r="AF673" s="10">
        <v>3</v>
      </c>
      <c r="AG673" s="3">
        <f t="shared" si="192"/>
        <v>3861.81</v>
      </c>
      <c r="AH673" s="7">
        <v>0</v>
      </c>
      <c r="AI673">
        <f t="shared" si="193"/>
        <v>360</v>
      </c>
      <c r="AJ673" t="e">
        <f>VLOOKUP(A673,'Borrower Details'!$A$1:$H$1493,8,FALSE)</f>
        <v>#N/A</v>
      </c>
      <c r="AK673" s="4" t="e">
        <f t="shared" si="194"/>
        <v>#N/A</v>
      </c>
      <c r="AL673" s="10">
        <v>6.75</v>
      </c>
      <c r="AM673" s="3">
        <f t="shared" si="195"/>
        <v>128726.92839999999</v>
      </c>
      <c r="AN673">
        <v>6.75</v>
      </c>
      <c r="AO673" s="7">
        <f t="shared" si="196"/>
        <v>888.55662753979414</v>
      </c>
      <c r="AP673" s="2">
        <f t="shared" si="197"/>
        <v>49.203372460205856</v>
      </c>
    </row>
    <row r="674" spans="1:42" x14ac:dyDescent="0.15">
      <c r="A674" s="8">
        <v>410012389</v>
      </c>
      <c r="B674" t="s">
        <v>36</v>
      </c>
      <c r="C674" t="s">
        <v>19</v>
      </c>
      <c r="D674" s="1">
        <v>39195</v>
      </c>
      <c r="E674" s="2">
        <v>185000</v>
      </c>
      <c r="F674" s="2">
        <v>175750</v>
      </c>
      <c r="G674" t="s">
        <v>15</v>
      </c>
      <c r="H674" s="2">
        <v>1412.86</v>
      </c>
      <c r="I674" s="2">
        <v>174546.83</v>
      </c>
      <c r="J674">
        <v>8.9899999999999994E-2</v>
      </c>
      <c r="K674">
        <v>12</v>
      </c>
      <c r="L674">
        <v>348</v>
      </c>
      <c r="M674" t="str">
        <f t="shared" si="183"/>
        <v>30 Year Fixed</v>
      </c>
      <c r="N674" s="2">
        <v>1307.6500000000001</v>
      </c>
      <c r="O674" t="str">
        <f t="shared" si="180"/>
        <v>Refi</v>
      </c>
      <c r="P674" s="3">
        <f t="shared" si="184"/>
        <v>0</v>
      </c>
      <c r="Q674" s="4">
        <v>177165</v>
      </c>
      <c r="R674" s="4" t="s">
        <v>41</v>
      </c>
      <c r="S674" s="6">
        <v>622</v>
      </c>
      <c r="T674">
        <v>6.75</v>
      </c>
      <c r="U674" s="7">
        <f t="shared" si="181"/>
        <v>1222.9075677850758</v>
      </c>
      <c r="V674" s="2">
        <f t="shared" si="185"/>
        <v>189.9524322149241</v>
      </c>
      <c r="W674" s="9">
        <f t="shared" si="186"/>
        <v>0</v>
      </c>
      <c r="X674" s="3">
        <v>177165</v>
      </c>
      <c r="Y674" s="3">
        <f t="shared" si="187"/>
        <v>-3.1970443320460618E-2</v>
      </c>
      <c r="Z674" s="7">
        <f t="shared" si="188"/>
        <v>1222.9075677850758</v>
      </c>
      <c r="AA674" s="2">
        <f t="shared" si="182"/>
        <v>189.9524322149241</v>
      </c>
      <c r="AB674" s="8">
        <f t="shared" si="189"/>
        <v>0</v>
      </c>
      <c r="AC674" s="10">
        <v>6.75</v>
      </c>
      <c r="AD674" s="7">
        <f t="shared" si="190"/>
        <v>1222.9075677850758</v>
      </c>
      <c r="AE674" s="2">
        <f t="shared" si="191"/>
        <v>189.9524322149241</v>
      </c>
      <c r="AF674" s="10">
        <v>0</v>
      </c>
      <c r="AG674" s="3">
        <f t="shared" si="192"/>
        <v>0</v>
      </c>
      <c r="AH674" s="7">
        <v>3515</v>
      </c>
      <c r="AI674">
        <f t="shared" si="193"/>
        <v>360</v>
      </c>
      <c r="AJ674" t="e">
        <f>VLOOKUP(A674,'Borrower Details'!$A$1:$H$1493,8,FALSE)</f>
        <v>#N/A</v>
      </c>
      <c r="AK674" s="4" t="e">
        <f t="shared" si="194"/>
        <v>#N/A</v>
      </c>
      <c r="AL674" s="10">
        <v>6.75</v>
      </c>
      <c r="AM674" s="3">
        <f t="shared" si="195"/>
        <v>177165.03244999997</v>
      </c>
      <c r="AN674">
        <v>6.75</v>
      </c>
      <c r="AO674" s="7">
        <f t="shared" si="196"/>
        <v>1222.9077917759914</v>
      </c>
      <c r="AP674" s="2">
        <f t="shared" si="197"/>
        <v>189.95220822400847</v>
      </c>
    </row>
    <row r="675" spans="1:42" x14ac:dyDescent="0.15">
      <c r="A675" s="8">
        <v>410429187</v>
      </c>
      <c r="B675" t="s">
        <v>36</v>
      </c>
      <c r="C675" t="s">
        <v>19</v>
      </c>
      <c r="D675" s="1">
        <v>39246</v>
      </c>
      <c r="E675" s="2">
        <v>185000</v>
      </c>
      <c r="F675" s="2">
        <v>148000</v>
      </c>
      <c r="G675" t="s">
        <v>17</v>
      </c>
      <c r="H675" s="2">
        <v>1094</v>
      </c>
      <c r="I675" s="2">
        <v>147630.26999999999</v>
      </c>
      <c r="J675">
        <v>8.5800000000000001E-2</v>
      </c>
      <c r="K675">
        <v>10</v>
      </c>
      <c r="L675">
        <v>350</v>
      </c>
      <c r="M675" t="str">
        <f t="shared" si="183"/>
        <v>30 Year Fixed</v>
      </c>
      <c r="N675" s="2">
        <v>1055.56</v>
      </c>
      <c r="O675" t="str">
        <f t="shared" si="180"/>
        <v>Cash Out</v>
      </c>
      <c r="P675" s="3">
        <f t="shared" si="184"/>
        <v>7295.8383743842714</v>
      </c>
      <c r="Q675" s="4">
        <v>157250</v>
      </c>
      <c r="R675" s="4" t="s">
        <v>41</v>
      </c>
      <c r="S675" s="6">
        <v>525</v>
      </c>
      <c r="T675">
        <v>7.625</v>
      </c>
      <c r="U675" s="7">
        <f t="shared" si="181"/>
        <v>1178.5264994759989</v>
      </c>
      <c r="V675" s="2">
        <f t="shared" si="185"/>
        <v>-84.526499475998889</v>
      </c>
      <c r="W675" s="9">
        <f t="shared" si="186"/>
        <v>1</v>
      </c>
      <c r="X675" s="3">
        <v>149844</v>
      </c>
      <c r="Y675" s="3">
        <f t="shared" si="187"/>
        <v>-0.71334975367062725</v>
      </c>
      <c r="Z675" s="7">
        <f t="shared" si="188"/>
        <v>1123.0214612876414</v>
      </c>
      <c r="AA675" s="2">
        <f t="shared" si="182"/>
        <v>-29.021461287641387</v>
      </c>
      <c r="AB675" s="8">
        <f t="shared" si="189"/>
        <v>1</v>
      </c>
      <c r="AC675" s="10">
        <v>6.875</v>
      </c>
      <c r="AD675" s="7">
        <f t="shared" si="190"/>
        <v>1046.8034115639407</v>
      </c>
      <c r="AE675" s="2">
        <f t="shared" si="191"/>
        <v>47.196588436059301</v>
      </c>
      <c r="AF675" s="10">
        <v>1.75</v>
      </c>
      <c r="AG675" s="3">
        <f t="shared" si="192"/>
        <v>2622.27</v>
      </c>
      <c r="AH675" s="7">
        <v>2960</v>
      </c>
      <c r="AI675">
        <f t="shared" si="193"/>
        <v>360</v>
      </c>
      <c r="AJ675" t="e">
        <f>VLOOKUP(A675,'Borrower Details'!$A$1:$H$1493,8,FALSE)</f>
        <v>#N/A</v>
      </c>
      <c r="AK675" s="4" t="e">
        <f t="shared" si="194"/>
        <v>#N/A</v>
      </c>
      <c r="AL675" s="10">
        <v>7.625</v>
      </c>
      <c r="AM675" s="3">
        <f t="shared" si="195"/>
        <v>149844.72404999996</v>
      </c>
      <c r="AN675">
        <v>7.625</v>
      </c>
      <c r="AO675" s="7">
        <f t="shared" si="196"/>
        <v>1123.0268877557614</v>
      </c>
      <c r="AP675" s="2">
        <f t="shared" si="197"/>
        <v>-29.026887755761436</v>
      </c>
    </row>
    <row r="676" spans="1:42" x14ac:dyDescent="0.15">
      <c r="A676" s="8">
        <v>410042329</v>
      </c>
      <c r="B676" t="s">
        <v>38</v>
      </c>
      <c r="C676" t="s">
        <v>19</v>
      </c>
      <c r="D676" s="1">
        <v>39204</v>
      </c>
      <c r="E676" s="2">
        <v>275000</v>
      </c>
      <c r="F676" s="2">
        <v>260000</v>
      </c>
      <c r="G676" t="s">
        <v>17</v>
      </c>
      <c r="H676" s="2">
        <v>2272.09</v>
      </c>
      <c r="I676" s="2">
        <v>258477.44</v>
      </c>
      <c r="J676">
        <v>9.7500000000000003E-2</v>
      </c>
      <c r="K676">
        <v>12</v>
      </c>
      <c r="L676">
        <v>348</v>
      </c>
      <c r="M676" t="str">
        <f t="shared" si="183"/>
        <v>30 Year Fixed</v>
      </c>
      <c r="N676" s="2">
        <v>2100.13</v>
      </c>
      <c r="O676" t="str">
        <f t="shared" si="180"/>
        <v>Refi</v>
      </c>
      <c r="P676" s="3">
        <f t="shared" si="184"/>
        <v>0</v>
      </c>
      <c r="Q676" s="4">
        <v>262355</v>
      </c>
      <c r="R676" s="4" t="s">
        <v>41</v>
      </c>
      <c r="S676" s="6">
        <v>581</v>
      </c>
      <c r="T676">
        <v>7.375</v>
      </c>
      <c r="U676" s="7">
        <f t="shared" si="181"/>
        <v>1921.3353668123289</v>
      </c>
      <c r="V676" s="2">
        <f t="shared" si="185"/>
        <v>350.75463318767129</v>
      </c>
      <c r="W676" s="9">
        <f t="shared" si="186"/>
        <v>0</v>
      </c>
      <c r="X676" s="3">
        <v>262355</v>
      </c>
      <c r="Y676" s="3">
        <f t="shared" si="187"/>
        <v>0.39251231530215591</v>
      </c>
      <c r="Z676" s="7">
        <f t="shared" si="188"/>
        <v>1921.3353668123289</v>
      </c>
      <c r="AA676" s="2">
        <f t="shared" si="182"/>
        <v>350.75463318767129</v>
      </c>
      <c r="AB676" s="8">
        <f t="shared" si="189"/>
        <v>0</v>
      </c>
      <c r="AC676" s="10">
        <v>7.375</v>
      </c>
      <c r="AD676" s="7">
        <f t="shared" si="190"/>
        <v>1921.3353668123289</v>
      </c>
      <c r="AE676" s="2">
        <f t="shared" si="191"/>
        <v>350.75463318767129</v>
      </c>
      <c r="AF676" s="10">
        <v>0</v>
      </c>
      <c r="AG676" s="3">
        <f t="shared" si="192"/>
        <v>0</v>
      </c>
      <c r="AH676" s="7">
        <v>0</v>
      </c>
      <c r="AI676">
        <f t="shared" si="193"/>
        <v>360</v>
      </c>
      <c r="AJ676" t="e">
        <f>VLOOKUP(A676,'Borrower Details'!$A$1:$H$1493,8,FALSE)</f>
        <v>#N/A</v>
      </c>
      <c r="AK676" s="4" t="e">
        <f t="shared" si="194"/>
        <v>#N/A</v>
      </c>
      <c r="AL676" s="10">
        <v>7.375</v>
      </c>
      <c r="AM676" s="3">
        <f t="shared" si="195"/>
        <v>262354.60159999999</v>
      </c>
      <c r="AN676">
        <v>7.375</v>
      </c>
      <c r="AO676" s="7">
        <f t="shared" si="196"/>
        <v>1921.3324491625408</v>
      </c>
      <c r="AP676" s="2">
        <f t="shared" si="197"/>
        <v>350.75755083745935</v>
      </c>
    </row>
    <row r="677" spans="1:42" x14ac:dyDescent="0.15">
      <c r="A677" s="8">
        <v>410487169</v>
      </c>
      <c r="B677" t="s">
        <v>37</v>
      </c>
      <c r="C677" t="s">
        <v>19</v>
      </c>
      <c r="D677" s="1">
        <v>39255</v>
      </c>
      <c r="E677" s="2">
        <v>230000</v>
      </c>
      <c r="F677" s="2">
        <v>218500</v>
      </c>
      <c r="G677" t="s">
        <v>20</v>
      </c>
      <c r="H677" s="2">
        <v>1635.66</v>
      </c>
      <c r="I677" s="2">
        <v>218296.62</v>
      </c>
      <c r="J677">
        <v>8.8749999999999996E-2</v>
      </c>
      <c r="K677">
        <v>10</v>
      </c>
      <c r="L677">
        <v>350</v>
      </c>
      <c r="M677" t="str">
        <f t="shared" si="183"/>
        <v>30 Year Fixed</v>
      </c>
      <c r="N677" s="2">
        <v>1614.49</v>
      </c>
      <c r="O677" t="str">
        <f t="shared" si="180"/>
        <v>Refi</v>
      </c>
      <c r="P677" s="3">
        <f t="shared" si="184"/>
        <v>0</v>
      </c>
      <c r="Q677" s="4">
        <v>221571</v>
      </c>
      <c r="R677" s="4" t="s">
        <v>41</v>
      </c>
      <c r="S677" s="6">
        <v>643</v>
      </c>
      <c r="T677">
        <v>6.75</v>
      </c>
      <c r="U677" s="7">
        <f t="shared" si="181"/>
        <v>1529.426538547157</v>
      </c>
      <c r="V677" s="2">
        <f t="shared" si="185"/>
        <v>106.23346145284313</v>
      </c>
      <c r="W677" s="9">
        <f t="shared" si="186"/>
        <v>0</v>
      </c>
      <c r="X677" s="3">
        <v>221571</v>
      </c>
      <c r="Y677" s="3">
        <f t="shared" si="187"/>
        <v>-6.827586205326952E-2</v>
      </c>
      <c r="Z677" s="7">
        <f t="shared" si="188"/>
        <v>1529.426538547157</v>
      </c>
      <c r="AA677" s="2">
        <f t="shared" si="182"/>
        <v>106.23346145284313</v>
      </c>
      <c r="AB677" s="8">
        <f t="shared" si="189"/>
        <v>1</v>
      </c>
      <c r="AC677" s="10">
        <v>6.125</v>
      </c>
      <c r="AD677" s="7">
        <f t="shared" si="190"/>
        <v>1438.6099986543297</v>
      </c>
      <c r="AE677" s="2">
        <f t="shared" si="191"/>
        <v>197.05000134567035</v>
      </c>
      <c r="AF677" s="10">
        <v>3</v>
      </c>
      <c r="AG677" s="3">
        <f t="shared" si="192"/>
        <v>6647.13</v>
      </c>
      <c r="AH677" s="7">
        <v>2185</v>
      </c>
      <c r="AI677">
        <f t="shared" si="193"/>
        <v>360</v>
      </c>
      <c r="AJ677" t="e">
        <f>VLOOKUP(A677,'Borrower Details'!$A$1:$H$1493,8,FALSE)</f>
        <v>#N/A</v>
      </c>
      <c r="AK677" s="4" t="e">
        <f t="shared" si="194"/>
        <v>#N/A</v>
      </c>
      <c r="AL677" s="10">
        <v>6.75</v>
      </c>
      <c r="AM677" s="3">
        <f t="shared" si="195"/>
        <v>221571.06929999997</v>
      </c>
      <c r="AN677">
        <v>6.75</v>
      </c>
      <c r="AO677" s="7">
        <f t="shared" si="196"/>
        <v>1529.4270169006377</v>
      </c>
      <c r="AP677" s="2">
        <f t="shared" si="197"/>
        <v>106.2329830993624</v>
      </c>
    </row>
    <row r="678" spans="1:42" x14ac:dyDescent="0.15">
      <c r="A678" s="8">
        <v>410657977</v>
      </c>
      <c r="B678" t="s">
        <v>36</v>
      </c>
      <c r="C678" t="s">
        <v>16</v>
      </c>
      <c r="D678" s="1">
        <v>39294</v>
      </c>
      <c r="E678" s="2">
        <v>170000</v>
      </c>
      <c r="F678" s="2">
        <v>127500</v>
      </c>
      <c r="G678" t="s">
        <v>17</v>
      </c>
      <c r="H678" s="2">
        <v>926.68</v>
      </c>
      <c r="I678" s="2">
        <v>126693.23</v>
      </c>
      <c r="J678">
        <v>7.9000000000000001E-2</v>
      </c>
      <c r="K678">
        <v>9</v>
      </c>
      <c r="L678">
        <v>351</v>
      </c>
      <c r="M678" t="str">
        <f t="shared" si="183"/>
        <v>30 Year Fixed</v>
      </c>
      <c r="N678" s="2">
        <v>834.06</v>
      </c>
      <c r="O678" t="str">
        <f t="shared" si="180"/>
        <v>Cash Out</v>
      </c>
      <c r="P678" s="3">
        <f t="shared" si="184"/>
        <v>15671.302019704439</v>
      </c>
      <c r="Q678" s="4">
        <v>144500</v>
      </c>
      <c r="R678" s="4" t="s">
        <v>41</v>
      </c>
      <c r="S678" s="6">
        <v>594</v>
      </c>
      <c r="T678">
        <v>7.375</v>
      </c>
      <c r="U678" s="7">
        <f t="shared" si="181"/>
        <v>1058.2339216114865</v>
      </c>
      <c r="V678" s="2">
        <f t="shared" si="185"/>
        <v>-131.55392161148654</v>
      </c>
      <c r="W678" s="9">
        <f t="shared" si="186"/>
        <v>1</v>
      </c>
      <c r="X678" s="3">
        <v>128593</v>
      </c>
      <c r="Y678" s="3">
        <f t="shared" si="187"/>
        <v>-0.61916256156109739</v>
      </c>
      <c r="Z678" s="7">
        <f t="shared" si="188"/>
        <v>941.74030921651126</v>
      </c>
      <c r="AA678" s="2">
        <f t="shared" si="182"/>
        <v>-15.060309216511314</v>
      </c>
      <c r="AB678" s="8">
        <f t="shared" si="189"/>
        <v>1</v>
      </c>
      <c r="AC678" s="10">
        <v>6.625</v>
      </c>
      <c r="AD678" s="7">
        <f t="shared" si="190"/>
        <v>876.97549084199272</v>
      </c>
      <c r="AE678" s="2">
        <f t="shared" si="191"/>
        <v>49.704509158007227</v>
      </c>
      <c r="AF678" s="10">
        <v>1.875</v>
      </c>
      <c r="AG678" s="3">
        <f t="shared" si="192"/>
        <v>2411.1187500000001</v>
      </c>
      <c r="AH678" s="7">
        <v>2550</v>
      </c>
      <c r="AI678">
        <f t="shared" si="193"/>
        <v>360</v>
      </c>
      <c r="AJ678" t="e">
        <f>VLOOKUP(A678,'Borrower Details'!$A$1:$H$1493,8,FALSE)</f>
        <v>#N/A</v>
      </c>
      <c r="AK678" s="4" t="e">
        <f t="shared" si="194"/>
        <v>#N/A</v>
      </c>
      <c r="AL678" s="10">
        <v>7.375</v>
      </c>
      <c r="AM678" s="3">
        <f t="shared" si="195"/>
        <v>128593.62844999999</v>
      </c>
      <c r="AN678">
        <v>7.375</v>
      </c>
      <c r="AO678" s="7">
        <f t="shared" si="196"/>
        <v>941.74491161864296</v>
      </c>
      <c r="AP678" s="2">
        <f t="shared" si="197"/>
        <v>-15.064911618643009</v>
      </c>
    </row>
    <row r="679" spans="1:42" x14ac:dyDescent="0.15">
      <c r="A679" s="8">
        <v>410495717</v>
      </c>
      <c r="B679" t="s">
        <v>35</v>
      </c>
      <c r="C679" t="s">
        <v>16</v>
      </c>
      <c r="D679" s="1">
        <v>39262</v>
      </c>
      <c r="E679" s="2">
        <v>135000</v>
      </c>
      <c r="F679" s="2">
        <v>112500</v>
      </c>
      <c r="G679" t="s">
        <v>20</v>
      </c>
      <c r="H679" s="2">
        <v>877.02</v>
      </c>
      <c r="I679" s="2">
        <v>111817.32</v>
      </c>
      <c r="J679">
        <v>8.6499999999999994E-2</v>
      </c>
      <c r="K679">
        <v>10</v>
      </c>
      <c r="L679">
        <v>350</v>
      </c>
      <c r="M679" t="str">
        <f t="shared" si="183"/>
        <v>30 Year Fixed</v>
      </c>
      <c r="N679" s="2">
        <v>806.02</v>
      </c>
      <c r="O679" t="str">
        <f t="shared" si="180"/>
        <v>Cash Out</v>
      </c>
      <c r="P679" s="3">
        <f t="shared" si="184"/>
        <v>1236.8671921182249</v>
      </c>
      <c r="Q679" s="4">
        <v>114750</v>
      </c>
      <c r="R679" s="4" t="s">
        <v>41</v>
      </c>
      <c r="S679" s="6">
        <v>576</v>
      </c>
      <c r="T679">
        <v>7.625</v>
      </c>
      <c r="U679" s="7">
        <f t="shared" si="181"/>
        <v>860.00582394194521</v>
      </c>
      <c r="V679" s="2">
        <f t="shared" si="185"/>
        <v>17.014176058054773</v>
      </c>
      <c r="W679" s="9">
        <f t="shared" si="186"/>
        <v>0</v>
      </c>
      <c r="X679" s="3">
        <v>114750</v>
      </c>
      <c r="Y679" s="3">
        <f t="shared" si="187"/>
        <v>1236.8671921182249</v>
      </c>
      <c r="Z679" s="7">
        <f t="shared" si="188"/>
        <v>860.00582394194521</v>
      </c>
      <c r="AA679" s="2">
        <f t="shared" si="182"/>
        <v>17.014176058054773</v>
      </c>
      <c r="AB679" s="8">
        <f t="shared" si="189"/>
        <v>1</v>
      </c>
      <c r="AC679" s="10">
        <v>6.875</v>
      </c>
      <c r="AD679" s="7">
        <f t="shared" si="190"/>
        <v>801.63831369265495</v>
      </c>
      <c r="AE679" s="2">
        <f t="shared" si="191"/>
        <v>75.381686307345035</v>
      </c>
      <c r="AF679" s="10">
        <v>1</v>
      </c>
      <c r="AG679" s="3">
        <f t="shared" si="192"/>
        <v>1147.5</v>
      </c>
      <c r="AH679" s="7">
        <v>4865.625</v>
      </c>
      <c r="AI679">
        <f t="shared" si="193"/>
        <v>360</v>
      </c>
      <c r="AJ679" t="e">
        <f>VLOOKUP(A679,'Borrower Details'!$A$1:$H$1493,8,FALSE)</f>
        <v>#N/A</v>
      </c>
      <c r="AK679" s="4" t="e">
        <f t="shared" si="194"/>
        <v>#N/A</v>
      </c>
      <c r="AL679" s="10">
        <v>7.625</v>
      </c>
      <c r="AM679" s="3">
        <f t="shared" si="195"/>
        <v>113494.57979999999</v>
      </c>
      <c r="AN679">
        <v>7.625</v>
      </c>
      <c r="AO679" s="7">
        <f t="shared" si="196"/>
        <v>850.59694652587234</v>
      </c>
      <c r="AP679" s="2">
        <f t="shared" si="197"/>
        <v>26.423053474127641</v>
      </c>
    </row>
    <row r="680" spans="1:42" x14ac:dyDescent="0.15">
      <c r="A680" s="8">
        <v>410267793</v>
      </c>
      <c r="B680" t="s">
        <v>36</v>
      </c>
      <c r="C680" t="s">
        <v>19</v>
      </c>
      <c r="D680" s="1">
        <v>39237</v>
      </c>
      <c r="E680" s="2">
        <v>168000</v>
      </c>
      <c r="F680" s="2">
        <v>134400</v>
      </c>
      <c r="G680" t="s">
        <v>15</v>
      </c>
      <c r="H680" s="2">
        <v>1086.26</v>
      </c>
      <c r="I680" s="2">
        <v>133648.24</v>
      </c>
      <c r="J680">
        <v>9.0499999999999997E-2</v>
      </c>
      <c r="K680">
        <v>10</v>
      </c>
      <c r="L680">
        <v>350</v>
      </c>
      <c r="M680" t="str">
        <f t="shared" si="183"/>
        <v>30 Year Fixed</v>
      </c>
      <c r="N680" s="2">
        <v>1007.93</v>
      </c>
      <c r="O680" t="str">
        <f t="shared" si="180"/>
        <v>Cash Out</v>
      </c>
      <c r="P680" s="3">
        <f t="shared" si="184"/>
        <v>7041.4151724138064</v>
      </c>
      <c r="Q680" s="4">
        <v>142800</v>
      </c>
      <c r="R680" s="4" t="s">
        <v>41</v>
      </c>
      <c r="S680" s="6">
        <v>539</v>
      </c>
      <c r="T680">
        <v>7.625</v>
      </c>
      <c r="U680" s="7">
        <f t="shared" si="181"/>
        <v>1070.2294697944208</v>
      </c>
      <c r="V680" s="2">
        <f t="shared" si="185"/>
        <v>16.030530205579225</v>
      </c>
      <c r="W680" s="9">
        <f t="shared" si="186"/>
        <v>0</v>
      </c>
      <c r="X680" s="3">
        <v>142800</v>
      </c>
      <c r="Y680" s="3">
        <f t="shared" si="187"/>
        <v>7041.4151724138064</v>
      </c>
      <c r="Z680" s="7">
        <f t="shared" si="188"/>
        <v>1070.2294697944208</v>
      </c>
      <c r="AA680" s="2">
        <f t="shared" si="182"/>
        <v>16.030530205579225</v>
      </c>
      <c r="AB680" s="8">
        <f t="shared" si="189"/>
        <v>1</v>
      </c>
      <c r="AC680" s="10">
        <v>6.875</v>
      </c>
      <c r="AD680" s="7">
        <f t="shared" si="190"/>
        <v>997.59434592863727</v>
      </c>
      <c r="AE680" s="2">
        <f t="shared" si="191"/>
        <v>88.665654071362724</v>
      </c>
      <c r="AF680" s="10">
        <v>1</v>
      </c>
      <c r="AG680" s="3">
        <f t="shared" si="192"/>
        <v>1428</v>
      </c>
      <c r="AH680" s="7">
        <v>2688</v>
      </c>
      <c r="AI680">
        <f t="shared" si="193"/>
        <v>360</v>
      </c>
      <c r="AJ680" t="e">
        <f>VLOOKUP(A680,'Borrower Details'!$A$1:$H$1493,8,FALSE)</f>
        <v>#N/A</v>
      </c>
      <c r="AK680" s="4" t="e">
        <f t="shared" si="194"/>
        <v>#N/A</v>
      </c>
      <c r="AL680" s="10">
        <v>7.625</v>
      </c>
      <c r="AM680" s="3">
        <f t="shared" si="195"/>
        <v>135652.96359999999</v>
      </c>
      <c r="AN680">
        <v>7.625</v>
      </c>
      <c r="AO680" s="7">
        <f t="shared" si="196"/>
        <v>1016.6652612721979</v>
      </c>
      <c r="AP680" s="2">
        <f t="shared" si="197"/>
        <v>69.59473872780211</v>
      </c>
    </row>
    <row r="681" spans="1:42" x14ac:dyDescent="0.15">
      <c r="A681" s="8">
        <v>410564561</v>
      </c>
      <c r="B681" t="s">
        <v>36</v>
      </c>
      <c r="C681" t="s">
        <v>18</v>
      </c>
      <c r="D681" s="1">
        <v>39272</v>
      </c>
      <c r="E681" s="2">
        <v>190000</v>
      </c>
      <c r="F681" s="2">
        <v>161500</v>
      </c>
      <c r="G681" t="s">
        <v>15</v>
      </c>
      <c r="H681" s="2">
        <v>1046.53</v>
      </c>
      <c r="I681" s="2">
        <v>161171.67000000001</v>
      </c>
      <c r="J681">
        <v>7.5999999999999998E-2</v>
      </c>
      <c r="K681">
        <v>9</v>
      </c>
      <c r="L681">
        <v>350</v>
      </c>
      <c r="M681" t="str">
        <f t="shared" si="183"/>
        <v>30 Year Fixed</v>
      </c>
      <c r="N681" s="2">
        <v>1020.97</v>
      </c>
      <c r="O681" t="str">
        <f t="shared" si="180"/>
        <v>Refi</v>
      </c>
      <c r="P681" s="3">
        <f t="shared" si="184"/>
        <v>0</v>
      </c>
      <c r="Q681" s="4">
        <v>163589</v>
      </c>
      <c r="R681" s="4" t="s">
        <v>41</v>
      </c>
      <c r="S681" s="6">
        <v>654</v>
      </c>
      <c r="T681">
        <v>6.75</v>
      </c>
      <c r="U681" s="7">
        <f t="shared" si="181"/>
        <v>1129.1972235283088</v>
      </c>
      <c r="V681" s="2">
        <f t="shared" si="185"/>
        <v>-82.667223528308796</v>
      </c>
      <c r="W681" s="9">
        <f t="shared" si="186"/>
        <v>0</v>
      </c>
      <c r="X681" s="3">
        <v>163590</v>
      </c>
      <c r="Y681" s="3">
        <f t="shared" si="187"/>
        <v>0.74379310343647376</v>
      </c>
      <c r="Z681" s="7">
        <f t="shared" si="188"/>
        <v>1129.2041261759409</v>
      </c>
      <c r="AA681" s="2">
        <f t="shared" si="182"/>
        <v>-82.674126175940955</v>
      </c>
      <c r="AB681" s="8">
        <f t="shared" si="189"/>
        <v>1</v>
      </c>
      <c r="AC681" s="10">
        <v>6.125</v>
      </c>
      <c r="AD681" s="7">
        <f t="shared" si="190"/>
        <v>1062.1525817000502</v>
      </c>
      <c r="AE681" s="2">
        <f t="shared" si="191"/>
        <v>-15.622581700050205</v>
      </c>
      <c r="AF681" s="10">
        <v>3</v>
      </c>
      <c r="AG681" s="3">
        <f t="shared" si="192"/>
        <v>4907.7</v>
      </c>
      <c r="AH681" s="7">
        <v>3230</v>
      </c>
      <c r="AI681">
        <f t="shared" si="193"/>
        <v>360</v>
      </c>
      <c r="AJ681" t="e">
        <f>VLOOKUP(A681,'Borrower Details'!$A$1:$H$1493,8,FALSE)</f>
        <v>#N/A</v>
      </c>
      <c r="AK681" s="4" t="e">
        <f t="shared" si="194"/>
        <v>#N/A</v>
      </c>
      <c r="AL681" s="10">
        <v>6.75</v>
      </c>
      <c r="AM681" s="3">
        <f t="shared" si="195"/>
        <v>163589.24505</v>
      </c>
      <c r="AN681">
        <v>6.75</v>
      </c>
      <c r="AO681" s="7">
        <f t="shared" si="196"/>
        <v>1129.1989150221109</v>
      </c>
      <c r="AP681" s="2">
        <f t="shared" si="197"/>
        <v>-82.668915022110923</v>
      </c>
    </row>
    <row r="682" spans="1:42" x14ac:dyDescent="0.15">
      <c r="A682" s="8">
        <v>1134223</v>
      </c>
      <c r="B682" t="s">
        <v>38</v>
      </c>
      <c r="C682" t="s">
        <v>19</v>
      </c>
      <c r="D682" s="1">
        <v>39139</v>
      </c>
      <c r="E682" s="2">
        <v>120000</v>
      </c>
      <c r="F682" s="2">
        <v>93000</v>
      </c>
      <c r="G682" t="s">
        <v>17</v>
      </c>
      <c r="H682" s="2">
        <v>744.96</v>
      </c>
      <c r="I682" s="2">
        <v>92036.59</v>
      </c>
      <c r="J682">
        <v>8.9499999999999996E-2</v>
      </c>
      <c r="K682">
        <v>14</v>
      </c>
      <c r="L682">
        <v>346</v>
      </c>
      <c r="M682" t="str">
        <f t="shared" si="183"/>
        <v>30 Year Fixed</v>
      </c>
      <c r="N682" s="2">
        <v>686.44</v>
      </c>
      <c r="O682" t="str">
        <f t="shared" si="180"/>
        <v>Cash Out</v>
      </c>
      <c r="P682" s="3">
        <f t="shared" si="184"/>
        <v>8456.0208374384383</v>
      </c>
      <c r="Q682" s="4">
        <v>102000</v>
      </c>
      <c r="R682" s="4" t="s">
        <v>41</v>
      </c>
      <c r="S682" s="6">
        <v>582</v>
      </c>
      <c r="T682">
        <v>7.375</v>
      </c>
      <c r="U682" s="7">
        <f t="shared" si="181"/>
        <v>746.98865054928456</v>
      </c>
      <c r="V682" s="2">
        <f t="shared" si="185"/>
        <v>-2.0286505492845208</v>
      </c>
      <c r="W682" s="9">
        <f t="shared" si="186"/>
        <v>1</v>
      </c>
      <c r="X682" s="3">
        <v>101650</v>
      </c>
      <c r="Y682" s="3">
        <f t="shared" si="187"/>
        <v>8111.1932512315398</v>
      </c>
      <c r="Z682" s="7">
        <f t="shared" si="188"/>
        <v>744.4254541993605</v>
      </c>
      <c r="AA682" s="2">
        <f t="shared" si="182"/>
        <v>0.53454580063953472</v>
      </c>
      <c r="AB682" s="8">
        <f t="shared" si="189"/>
        <v>1</v>
      </c>
      <c r="AC682" s="10">
        <v>6.5</v>
      </c>
      <c r="AD682" s="7">
        <f t="shared" si="190"/>
        <v>684.85131254726662</v>
      </c>
      <c r="AE682" s="2">
        <f t="shared" si="191"/>
        <v>60.10868745273342</v>
      </c>
      <c r="AF682" s="10">
        <v>2.375</v>
      </c>
      <c r="AG682" s="3">
        <f t="shared" si="192"/>
        <v>2414.1875</v>
      </c>
      <c r="AH682" s="7">
        <v>0</v>
      </c>
      <c r="AI682">
        <f t="shared" si="193"/>
        <v>360</v>
      </c>
      <c r="AJ682" t="e">
        <f>VLOOKUP(A682,'Borrower Details'!$A$1:$H$1493,8,FALSE)</f>
        <v>#N/A</v>
      </c>
      <c r="AK682" s="4" t="e">
        <f t="shared" si="194"/>
        <v>#N/A</v>
      </c>
      <c r="AL682" s="10">
        <v>7.375</v>
      </c>
      <c r="AM682" s="3">
        <f t="shared" si="195"/>
        <v>93417.138849999988</v>
      </c>
      <c r="AN682">
        <v>7.625</v>
      </c>
      <c r="AO682" s="7">
        <f t="shared" si="196"/>
        <v>700.12447465789398</v>
      </c>
      <c r="AP682" s="2">
        <f t="shared" si="197"/>
        <v>44.835525342106052</v>
      </c>
    </row>
    <row r="683" spans="1:42" x14ac:dyDescent="0.15">
      <c r="A683" s="8">
        <v>410618201</v>
      </c>
      <c r="B683" t="s">
        <v>35</v>
      </c>
      <c r="C683" t="s">
        <v>16</v>
      </c>
      <c r="D683" s="1">
        <v>39307</v>
      </c>
      <c r="E683" s="2">
        <v>89000</v>
      </c>
      <c r="F683" s="2">
        <v>75650</v>
      </c>
      <c r="G683" t="s">
        <v>17</v>
      </c>
      <c r="H683" s="2">
        <v>692.01</v>
      </c>
      <c r="I683" s="2">
        <v>75433.88</v>
      </c>
      <c r="J683">
        <v>0.105</v>
      </c>
      <c r="K683">
        <v>8</v>
      </c>
      <c r="L683">
        <v>353</v>
      </c>
      <c r="M683" t="str">
        <f t="shared" si="183"/>
        <v>30 Year Fixed</v>
      </c>
      <c r="N683" s="2">
        <v>660.05</v>
      </c>
      <c r="O683" t="str">
        <f t="shared" si="180"/>
        <v>Refi</v>
      </c>
      <c r="P683" s="3">
        <f t="shared" si="184"/>
        <v>0</v>
      </c>
      <c r="Q683" s="4">
        <v>76565</v>
      </c>
      <c r="R683" s="4" t="s">
        <v>41</v>
      </c>
      <c r="S683" s="6">
        <v>565</v>
      </c>
      <c r="T683">
        <v>7.625</v>
      </c>
      <c r="U683" s="7">
        <f t="shared" si="181"/>
        <v>573.82436522976059</v>
      </c>
      <c r="V683" s="2">
        <f t="shared" si="185"/>
        <v>118.1856347702394</v>
      </c>
      <c r="W683" s="9">
        <f t="shared" si="186"/>
        <v>0</v>
      </c>
      <c r="X683" s="3">
        <v>76566</v>
      </c>
      <c r="Y683" s="3">
        <f t="shared" si="187"/>
        <v>0.60275862069102004</v>
      </c>
      <c r="Z683" s="7">
        <f t="shared" si="188"/>
        <v>573.83185983389092</v>
      </c>
      <c r="AA683" s="2">
        <f t="shared" si="182"/>
        <v>118.17814016610907</v>
      </c>
      <c r="AB683" s="8">
        <f t="shared" si="189"/>
        <v>0</v>
      </c>
      <c r="AC683" s="10">
        <v>7.625</v>
      </c>
      <c r="AD683" s="7">
        <f t="shared" si="190"/>
        <v>573.83185983389092</v>
      </c>
      <c r="AE683" s="2">
        <f t="shared" si="191"/>
        <v>118.17814016610907</v>
      </c>
      <c r="AF683" s="10">
        <v>0</v>
      </c>
      <c r="AG683" s="3">
        <f t="shared" si="192"/>
        <v>0</v>
      </c>
      <c r="AH683" s="7">
        <v>3971.6249999999995</v>
      </c>
      <c r="AI683">
        <f t="shared" si="193"/>
        <v>360</v>
      </c>
      <c r="AJ683" t="e">
        <f>VLOOKUP(A683,'Borrower Details'!$A$1:$H$1493,8,FALSE)</f>
        <v>#N/A</v>
      </c>
      <c r="AK683" s="4" t="e">
        <f t="shared" si="194"/>
        <v>#N/A</v>
      </c>
      <c r="AL683" s="10">
        <v>7.625</v>
      </c>
      <c r="AM683" s="3">
        <f t="shared" si="195"/>
        <v>76565.388200000001</v>
      </c>
      <c r="AN683">
        <v>7.625</v>
      </c>
      <c r="AO683" s="7">
        <f t="shared" si="196"/>
        <v>573.82727463508411</v>
      </c>
      <c r="AP683" s="2">
        <f t="shared" si="197"/>
        <v>118.18272536491588</v>
      </c>
    </row>
    <row r="684" spans="1:42" x14ac:dyDescent="0.15">
      <c r="A684" s="8">
        <v>1129929</v>
      </c>
      <c r="B684" t="s">
        <v>36</v>
      </c>
      <c r="C684" t="s">
        <v>19</v>
      </c>
      <c r="D684" s="1">
        <v>39141</v>
      </c>
      <c r="E684" s="2">
        <v>220000</v>
      </c>
      <c r="F684" s="2">
        <v>155000</v>
      </c>
      <c r="G684" t="s">
        <v>17</v>
      </c>
      <c r="H684" s="2">
        <v>1099.75</v>
      </c>
      <c r="I684" s="2">
        <v>152104.10999999999</v>
      </c>
      <c r="J684">
        <v>7.6499999999999999E-2</v>
      </c>
      <c r="K684">
        <v>14</v>
      </c>
      <c r="L684">
        <v>346</v>
      </c>
      <c r="M684" t="str">
        <f t="shared" si="183"/>
        <v>30 Year Fixed</v>
      </c>
      <c r="N684" s="2">
        <v>969.66</v>
      </c>
      <c r="O684" t="str">
        <f t="shared" si="180"/>
        <v>Cash Out</v>
      </c>
      <c r="P684" s="3">
        <f t="shared" si="184"/>
        <v>32132.343201970478</v>
      </c>
      <c r="Q684" s="4">
        <v>187000</v>
      </c>
      <c r="R684" s="4" t="s">
        <v>41</v>
      </c>
      <c r="S684" s="6">
        <v>616</v>
      </c>
      <c r="T684">
        <v>6.875</v>
      </c>
      <c r="U684" s="7">
        <f t="shared" si="181"/>
        <v>1306.3735482398822</v>
      </c>
      <c r="V684" s="2">
        <f t="shared" si="185"/>
        <v>-206.62354823988221</v>
      </c>
      <c r="W684" s="9">
        <f t="shared" si="186"/>
        <v>1</v>
      </c>
      <c r="X684" s="3">
        <v>157350</v>
      </c>
      <c r="Y684" s="3">
        <f t="shared" si="187"/>
        <v>2920.5205418719561</v>
      </c>
      <c r="Z684" s="7">
        <f t="shared" si="188"/>
        <v>1099.2399883184248</v>
      </c>
      <c r="AA684" s="2">
        <f t="shared" si="182"/>
        <v>0.51001168157517895</v>
      </c>
      <c r="AB684" s="8">
        <f t="shared" si="189"/>
        <v>1</v>
      </c>
      <c r="AC684" s="10">
        <v>6.25</v>
      </c>
      <c r="AD684" s="7">
        <f t="shared" si="190"/>
        <v>1034.3935148709302</v>
      </c>
      <c r="AE684" s="2">
        <f t="shared" si="191"/>
        <v>65.356485129069824</v>
      </c>
      <c r="AF684" s="10">
        <v>2.5</v>
      </c>
      <c r="AG684" s="3">
        <f t="shared" si="192"/>
        <v>3933.75</v>
      </c>
      <c r="AH684" s="7">
        <v>3100</v>
      </c>
      <c r="AI684">
        <f t="shared" si="193"/>
        <v>360</v>
      </c>
      <c r="AJ684" t="e">
        <f>VLOOKUP(A684,'Borrower Details'!$A$1:$H$1493,8,FALSE)</f>
        <v>#N/A</v>
      </c>
      <c r="AK684" s="4" t="e">
        <f t="shared" si="194"/>
        <v>#N/A</v>
      </c>
      <c r="AL684" s="10">
        <v>6.875</v>
      </c>
      <c r="AM684" s="3">
        <f t="shared" si="195"/>
        <v>154385.67164999997</v>
      </c>
      <c r="AN684">
        <v>6.875</v>
      </c>
      <c r="AO684" s="7">
        <f t="shared" si="196"/>
        <v>1078.5313244428228</v>
      </c>
      <c r="AP684" s="2">
        <f t="shared" si="197"/>
        <v>21.218675557177221</v>
      </c>
    </row>
    <row r="685" spans="1:42" x14ac:dyDescent="0.15">
      <c r="A685" s="8">
        <v>410235857</v>
      </c>
      <c r="B685" t="s">
        <v>38</v>
      </c>
      <c r="C685" t="s">
        <v>19</v>
      </c>
      <c r="D685" s="1">
        <v>39216</v>
      </c>
      <c r="E685" s="2">
        <v>95000</v>
      </c>
      <c r="F685" s="2">
        <v>85500</v>
      </c>
      <c r="G685" t="s">
        <v>17</v>
      </c>
      <c r="H685" s="2">
        <v>697.21</v>
      </c>
      <c r="I685" s="2">
        <v>84982.56</v>
      </c>
      <c r="J685">
        <v>9.1499999999999998E-2</v>
      </c>
      <c r="K685">
        <v>11</v>
      </c>
      <c r="L685">
        <v>349</v>
      </c>
      <c r="M685" t="str">
        <f t="shared" si="183"/>
        <v>30 Year Fixed</v>
      </c>
      <c r="N685" s="2">
        <v>647.99</v>
      </c>
      <c r="O685" t="str">
        <f t="shared" si="180"/>
        <v>Refi</v>
      </c>
      <c r="P685" s="3">
        <f t="shared" si="184"/>
        <v>0</v>
      </c>
      <c r="Q685" s="4">
        <v>86257</v>
      </c>
      <c r="R685" s="4" t="s">
        <v>41</v>
      </c>
      <c r="S685" s="6">
        <v>605</v>
      </c>
      <c r="T685">
        <v>7</v>
      </c>
      <c r="U685" s="7">
        <f t="shared" si="181"/>
        <v>609.81038993337427</v>
      </c>
      <c r="V685" s="2">
        <f t="shared" si="185"/>
        <v>87.399610066625769</v>
      </c>
      <c r="W685" s="9">
        <f t="shared" si="186"/>
        <v>0</v>
      </c>
      <c r="X685" s="3">
        <v>86258</v>
      </c>
      <c r="Y685" s="3">
        <f t="shared" si="187"/>
        <v>0.69123152710380964</v>
      </c>
      <c r="Z685" s="7">
        <f t="shared" si="188"/>
        <v>609.81745962499269</v>
      </c>
      <c r="AA685" s="2">
        <f t="shared" si="182"/>
        <v>87.392540375007343</v>
      </c>
      <c r="AB685" s="8">
        <f t="shared" si="189"/>
        <v>0</v>
      </c>
      <c r="AC685" s="10">
        <v>7</v>
      </c>
      <c r="AD685" s="7">
        <f t="shared" si="190"/>
        <v>609.81745962499269</v>
      </c>
      <c r="AE685" s="2">
        <f t="shared" si="191"/>
        <v>87.392540375007343</v>
      </c>
      <c r="AF685" s="10">
        <v>0</v>
      </c>
      <c r="AG685" s="3">
        <f t="shared" si="192"/>
        <v>0</v>
      </c>
      <c r="AH685" s="7">
        <v>0</v>
      </c>
      <c r="AI685">
        <f t="shared" si="193"/>
        <v>360</v>
      </c>
      <c r="AJ685" t="e">
        <f>VLOOKUP(A685,'Borrower Details'!$A$1:$H$1493,8,FALSE)</f>
        <v>#N/A</v>
      </c>
      <c r="AK685" s="4" t="e">
        <f t="shared" si="194"/>
        <v>#N/A</v>
      </c>
      <c r="AL685" s="10">
        <v>7</v>
      </c>
      <c r="AM685" s="3">
        <f t="shared" si="195"/>
        <v>86257.298399999985</v>
      </c>
      <c r="AN685">
        <v>7</v>
      </c>
      <c r="AO685" s="7">
        <f t="shared" si="196"/>
        <v>609.81249952935309</v>
      </c>
      <c r="AP685" s="2">
        <f t="shared" si="197"/>
        <v>87.397500470646946</v>
      </c>
    </row>
    <row r="686" spans="1:42" x14ac:dyDescent="0.15">
      <c r="A686" s="8">
        <v>410238513</v>
      </c>
      <c r="B686" t="s">
        <v>37</v>
      </c>
      <c r="C686" t="s">
        <v>19</v>
      </c>
      <c r="D686" s="1">
        <v>39216</v>
      </c>
      <c r="E686" s="2">
        <v>105000</v>
      </c>
      <c r="F686" s="2">
        <v>94000</v>
      </c>
      <c r="G686" t="s">
        <v>15</v>
      </c>
      <c r="H686" s="2">
        <v>824.23</v>
      </c>
      <c r="I686" s="2">
        <v>93521.94</v>
      </c>
      <c r="J686">
        <v>9.9900000000000003E-2</v>
      </c>
      <c r="K686">
        <v>11</v>
      </c>
      <c r="L686">
        <v>349</v>
      </c>
      <c r="M686" t="str">
        <f t="shared" si="183"/>
        <v>30 Year Fixed</v>
      </c>
      <c r="N686" s="2">
        <v>778.57</v>
      </c>
      <c r="O686" t="str">
        <f t="shared" si="180"/>
        <v>Refi</v>
      </c>
      <c r="P686" s="3">
        <f t="shared" si="184"/>
        <v>0</v>
      </c>
      <c r="Q686" s="4">
        <v>94925</v>
      </c>
      <c r="R686" s="4" t="s">
        <v>41</v>
      </c>
      <c r="S686" s="6">
        <v>560</v>
      </c>
      <c r="T686">
        <v>7.625</v>
      </c>
      <c r="U686" s="7">
        <f t="shared" si="181"/>
        <v>711.42529706047196</v>
      </c>
      <c r="V686" s="2">
        <f t="shared" si="185"/>
        <v>112.80470293952806</v>
      </c>
      <c r="W686" s="9">
        <f t="shared" si="186"/>
        <v>0</v>
      </c>
      <c r="X686" s="3">
        <v>94925</v>
      </c>
      <c r="Y686" s="3">
        <f t="shared" si="187"/>
        <v>0.22748768473684322</v>
      </c>
      <c r="Z686" s="7">
        <f t="shared" si="188"/>
        <v>711.42529706047196</v>
      </c>
      <c r="AA686" s="2">
        <f t="shared" si="182"/>
        <v>112.80470293952806</v>
      </c>
      <c r="AB686" s="8">
        <f t="shared" si="189"/>
        <v>0</v>
      </c>
      <c r="AC686" s="10">
        <v>7.625</v>
      </c>
      <c r="AD686" s="7">
        <f t="shared" si="190"/>
        <v>711.42529706047196</v>
      </c>
      <c r="AE686" s="2">
        <f t="shared" si="191"/>
        <v>112.80470293952806</v>
      </c>
      <c r="AF686" s="10">
        <v>0</v>
      </c>
      <c r="AG686" s="3">
        <f t="shared" si="192"/>
        <v>0</v>
      </c>
      <c r="AH686" s="7">
        <v>0</v>
      </c>
      <c r="AI686">
        <f t="shared" si="193"/>
        <v>360</v>
      </c>
      <c r="AJ686" t="e">
        <f>VLOOKUP(A686,'Borrower Details'!$A$1:$H$1493,8,FALSE)</f>
        <v>#N/A</v>
      </c>
      <c r="AK686" s="4" t="e">
        <f t="shared" si="194"/>
        <v>#N/A</v>
      </c>
      <c r="AL686" s="10">
        <v>7.625</v>
      </c>
      <c r="AM686" s="3">
        <f t="shared" si="195"/>
        <v>94924.76909999999</v>
      </c>
      <c r="AN686">
        <v>7.625</v>
      </c>
      <c r="AO686" s="7">
        <f t="shared" si="196"/>
        <v>711.4235665563782</v>
      </c>
      <c r="AP686" s="2">
        <f t="shared" si="197"/>
        <v>112.80643344362181</v>
      </c>
    </row>
    <row r="687" spans="1:42" x14ac:dyDescent="0.15">
      <c r="A687" s="8">
        <v>410383285</v>
      </c>
      <c r="B687" t="s">
        <v>36</v>
      </c>
      <c r="C687" t="s">
        <v>18</v>
      </c>
      <c r="D687" s="1">
        <v>39244</v>
      </c>
      <c r="E687" s="2">
        <v>197000</v>
      </c>
      <c r="F687" s="2">
        <v>155000</v>
      </c>
      <c r="G687" t="s">
        <v>17</v>
      </c>
      <c r="H687" s="2">
        <v>978.69</v>
      </c>
      <c r="I687" s="2">
        <v>153413.16</v>
      </c>
      <c r="J687">
        <v>6.4899999999999999E-2</v>
      </c>
      <c r="K687">
        <v>10</v>
      </c>
      <c r="L687">
        <v>349</v>
      </c>
      <c r="M687" t="str">
        <f t="shared" si="183"/>
        <v>30 Year Fixed</v>
      </c>
      <c r="N687" s="2">
        <v>830.51</v>
      </c>
      <c r="O687" t="str">
        <f t="shared" si="180"/>
        <v>Cash Out</v>
      </c>
      <c r="P687" s="3">
        <f t="shared" si="184"/>
        <v>11562.209458128083</v>
      </c>
      <c r="Q687" s="4">
        <v>167450</v>
      </c>
      <c r="R687" s="4" t="s">
        <v>41</v>
      </c>
      <c r="S687" s="6">
        <v>773</v>
      </c>
      <c r="T687">
        <v>6.75</v>
      </c>
      <c r="U687" s="7">
        <f t="shared" si="181"/>
        <v>1155.8483460368072</v>
      </c>
      <c r="V687" s="2">
        <f t="shared" si="185"/>
        <v>-177.15834603680719</v>
      </c>
      <c r="W687" s="9">
        <f t="shared" si="186"/>
        <v>1</v>
      </c>
      <c r="X687" s="3">
        <v>155714</v>
      </c>
      <c r="Y687" s="3">
        <f t="shared" si="187"/>
        <v>-0.35211822658311576</v>
      </c>
      <c r="Z687" s="7">
        <f t="shared" si="188"/>
        <v>1074.8388734235618</v>
      </c>
      <c r="AA687" s="2">
        <f t="shared" si="182"/>
        <v>-96.148873423561781</v>
      </c>
      <c r="AB687" s="8">
        <f t="shared" si="189"/>
        <v>1</v>
      </c>
      <c r="AC687" s="10">
        <v>6.125</v>
      </c>
      <c r="AD687" s="7">
        <f t="shared" si="190"/>
        <v>1011.0155089360084</v>
      </c>
      <c r="AE687" s="2">
        <f t="shared" si="191"/>
        <v>-32.325508936008305</v>
      </c>
      <c r="AF687" s="10">
        <v>3</v>
      </c>
      <c r="AG687" s="3">
        <f t="shared" si="192"/>
        <v>4671.42</v>
      </c>
      <c r="AH687" s="7">
        <v>3100</v>
      </c>
      <c r="AI687">
        <f t="shared" si="193"/>
        <v>360</v>
      </c>
      <c r="AJ687" t="e">
        <f>VLOOKUP(A687,'Borrower Details'!$A$1:$H$1493,8,FALSE)</f>
        <v>#N/A</v>
      </c>
      <c r="AK687" s="4" t="e">
        <f t="shared" si="194"/>
        <v>#N/A</v>
      </c>
      <c r="AL687" s="10">
        <v>6.75</v>
      </c>
      <c r="AM687" s="3">
        <f t="shared" si="195"/>
        <v>155714.35739999998</v>
      </c>
      <c r="AN687">
        <v>6.75</v>
      </c>
      <c r="AO687" s="7">
        <f t="shared" si="196"/>
        <v>1074.8413404298253</v>
      </c>
      <c r="AP687" s="2">
        <f t="shared" si="197"/>
        <v>-96.151340429825268</v>
      </c>
    </row>
    <row r="688" spans="1:42" x14ac:dyDescent="0.15">
      <c r="A688" s="8">
        <v>410460489</v>
      </c>
      <c r="B688" t="s">
        <v>35</v>
      </c>
      <c r="C688" t="s">
        <v>16</v>
      </c>
      <c r="D688" s="1">
        <v>39258</v>
      </c>
      <c r="E688" s="2">
        <v>285000</v>
      </c>
      <c r="F688" s="2">
        <v>213750</v>
      </c>
      <c r="G688" t="s">
        <v>17</v>
      </c>
      <c r="H688" s="2">
        <v>1719.89</v>
      </c>
      <c r="I688" s="2">
        <v>212542.15</v>
      </c>
      <c r="J688">
        <v>0.09</v>
      </c>
      <c r="K688">
        <v>10</v>
      </c>
      <c r="L688">
        <v>350</v>
      </c>
      <c r="M688" t="str">
        <f t="shared" si="183"/>
        <v>30 Year Fixed</v>
      </c>
      <c r="N688" s="2">
        <v>1594.07</v>
      </c>
      <c r="O688" t="str">
        <f t="shared" si="180"/>
        <v>Cash Out</v>
      </c>
      <c r="P688" s="3">
        <f t="shared" si="184"/>
        <v>26127.800738916296</v>
      </c>
      <c r="Q688" s="4">
        <v>242250</v>
      </c>
      <c r="R688" s="4" t="s">
        <v>41</v>
      </c>
      <c r="S688" s="6">
        <v>546</v>
      </c>
      <c r="T688">
        <v>7.625</v>
      </c>
      <c r="U688" s="7">
        <f t="shared" si="181"/>
        <v>1815.5678505441067</v>
      </c>
      <c r="V688" s="2">
        <f t="shared" si="185"/>
        <v>-95.677850544106605</v>
      </c>
      <c r="W688" s="9">
        <f t="shared" si="186"/>
        <v>1</v>
      </c>
      <c r="X688" s="3">
        <v>229410</v>
      </c>
      <c r="Y688" s="3">
        <f t="shared" si="187"/>
        <v>13477.554433497571</v>
      </c>
      <c r="Z688" s="7">
        <f t="shared" si="188"/>
        <v>1719.3371335121715</v>
      </c>
      <c r="AA688" s="2">
        <f t="shared" si="182"/>
        <v>0.55286648782862358</v>
      </c>
      <c r="AB688" s="8">
        <f t="shared" si="189"/>
        <v>1</v>
      </c>
      <c r="AC688" s="10">
        <v>6.875</v>
      </c>
      <c r="AD688" s="7">
        <f t="shared" si="190"/>
        <v>1602.6478914530021</v>
      </c>
      <c r="AE688" s="2">
        <f t="shared" si="191"/>
        <v>117.242108546998</v>
      </c>
      <c r="AF688" s="10">
        <v>1</v>
      </c>
      <c r="AG688" s="3">
        <f t="shared" si="192"/>
        <v>2294.1</v>
      </c>
      <c r="AH688" s="7">
        <v>9618.75</v>
      </c>
      <c r="AI688">
        <f t="shared" si="193"/>
        <v>360</v>
      </c>
      <c r="AJ688" t="e">
        <f>VLOOKUP(A688,'Borrower Details'!$A$1:$H$1493,8,FALSE)</f>
        <v>#N/A</v>
      </c>
      <c r="AK688" s="4" t="e">
        <f t="shared" si="194"/>
        <v>#N/A</v>
      </c>
      <c r="AL688" s="10">
        <v>7.625</v>
      </c>
      <c r="AM688" s="3">
        <f t="shared" si="195"/>
        <v>215730.28224999996</v>
      </c>
      <c r="AN688">
        <v>7.625</v>
      </c>
      <c r="AO688" s="7">
        <f t="shared" si="196"/>
        <v>1616.8130643628726</v>
      </c>
      <c r="AP688" s="2">
        <f t="shared" si="197"/>
        <v>103.07693563712746</v>
      </c>
    </row>
    <row r="689" spans="1:42" x14ac:dyDescent="0.15">
      <c r="A689" s="8">
        <v>410466205</v>
      </c>
      <c r="B689" t="s">
        <v>38</v>
      </c>
      <c r="C689" t="s">
        <v>16</v>
      </c>
      <c r="D689" s="1">
        <v>39309</v>
      </c>
      <c r="E689" s="2">
        <v>250000</v>
      </c>
      <c r="F689" s="2">
        <v>111000</v>
      </c>
      <c r="G689" t="s">
        <v>17</v>
      </c>
      <c r="H689" s="2">
        <v>873.34</v>
      </c>
      <c r="I689" s="2">
        <v>110811.19</v>
      </c>
      <c r="J689">
        <v>9.1999999999999998E-2</v>
      </c>
      <c r="K689">
        <v>8</v>
      </c>
      <c r="L689">
        <v>352</v>
      </c>
      <c r="M689" t="str">
        <f t="shared" si="183"/>
        <v>30 Year Fixed</v>
      </c>
      <c r="N689" s="2">
        <v>849.73</v>
      </c>
      <c r="O689" t="str">
        <f t="shared" si="180"/>
        <v>Cash Out</v>
      </c>
      <c r="P689" s="3">
        <f t="shared" si="184"/>
        <v>98548.415911330056</v>
      </c>
      <c r="Q689" s="4">
        <v>212500</v>
      </c>
      <c r="R689" s="4" t="s">
        <v>41</v>
      </c>
      <c r="S689" s="6">
        <v>535</v>
      </c>
      <c r="T689">
        <v>7.625</v>
      </c>
      <c r="U689" s="7">
        <f t="shared" si="181"/>
        <v>1592.6033776702691</v>
      </c>
      <c r="V689" s="2">
        <f t="shared" si="185"/>
        <v>-719.26337767026905</v>
      </c>
      <c r="W689" s="9">
        <f t="shared" si="186"/>
        <v>1</v>
      </c>
      <c r="X689" s="3">
        <v>116460</v>
      </c>
      <c r="Y689" s="3">
        <f t="shared" si="187"/>
        <v>3927.7262561576499</v>
      </c>
      <c r="Z689" s="7">
        <f t="shared" si="188"/>
        <v>872.82159700460954</v>
      </c>
      <c r="AA689" s="2">
        <f t="shared" si="182"/>
        <v>0.51840299539048829</v>
      </c>
      <c r="AB689" s="8">
        <f t="shared" si="189"/>
        <v>1</v>
      </c>
      <c r="AC689" s="10">
        <v>6.5</v>
      </c>
      <c r="AD689" s="7">
        <f t="shared" si="190"/>
        <v>784.6314201599082</v>
      </c>
      <c r="AE689" s="2">
        <f t="shared" si="191"/>
        <v>88.708579840091829</v>
      </c>
      <c r="AF689" s="10">
        <v>2.375</v>
      </c>
      <c r="AG689" s="3">
        <f t="shared" si="192"/>
        <v>2765.9250000000002</v>
      </c>
      <c r="AH689" s="7">
        <v>0</v>
      </c>
      <c r="AI689">
        <f t="shared" si="193"/>
        <v>360</v>
      </c>
      <c r="AJ689" t="e">
        <f>VLOOKUP(A689,'Borrower Details'!$A$1:$H$1493,8,FALSE)</f>
        <v>#N/A</v>
      </c>
      <c r="AK689" s="4" t="e">
        <f t="shared" si="194"/>
        <v>#N/A</v>
      </c>
      <c r="AL689" s="10">
        <v>7.625</v>
      </c>
      <c r="AM689" s="3">
        <f t="shared" si="195"/>
        <v>112473.35784999999</v>
      </c>
      <c r="AN689">
        <v>7.625</v>
      </c>
      <c r="AO689" s="7">
        <f t="shared" si="196"/>
        <v>842.94329228153811</v>
      </c>
      <c r="AP689" s="2">
        <f t="shared" si="197"/>
        <v>30.396707718461926</v>
      </c>
    </row>
    <row r="690" spans="1:42" x14ac:dyDescent="0.15">
      <c r="A690" s="8">
        <v>410297287</v>
      </c>
      <c r="B690" t="s">
        <v>36</v>
      </c>
      <c r="C690" t="s">
        <v>18</v>
      </c>
      <c r="D690" s="1">
        <v>39231</v>
      </c>
      <c r="E690" s="2">
        <v>310000</v>
      </c>
      <c r="F690" s="2">
        <v>276000</v>
      </c>
      <c r="G690" t="s">
        <v>21</v>
      </c>
      <c r="H690" s="2">
        <v>2218.7800000000002</v>
      </c>
      <c r="I690" s="2">
        <v>274274.45</v>
      </c>
      <c r="J690">
        <v>8.9899999999999994E-2</v>
      </c>
      <c r="K690">
        <v>11</v>
      </c>
      <c r="L690">
        <v>349</v>
      </c>
      <c r="M690" t="str">
        <f t="shared" si="183"/>
        <v>30 Year Fixed</v>
      </c>
      <c r="N690" s="2">
        <v>2054.77</v>
      </c>
      <c r="O690" t="str">
        <f t="shared" si="180"/>
        <v>Refi</v>
      </c>
      <c r="P690" s="3">
        <f t="shared" si="184"/>
        <v>0</v>
      </c>
      <c r="Q690" s="4">
        <v>278389</v>
      </c>
      <c r="R690" s="4" t="s">
        <v>41</v>
      </c>
      <c r="S690" s="6">
        <v>595</v>
      </c>
      <c r="T690">
        <v>7.375</v>
      </c>
      <c r="U690" s="7">
        <f t="shared" si="181"/>
        <v>2038.7590533114194</v>
      </c>
      <c r="V690" s="2">
        <f t="shared" si="185"/>
        <v>180.02094668858081</v>
      </c>
      <c r="W690" s="9">
        <f t="shared" si="186"/>
        <v>0</v>
      </c>
      <c r="X690" s="3">
        <v>278389</v>
      </c>
      <c r="Y690" s="3">
        <f t="shared" si="187"/>
        <v>0.42684729065513238</v>
      </c>
      <c r="Z690" s="7">
        <f t="shared" si="188"/>
        <v>2038.7590533114194</v>
      </c>
      <c r="AA690" s="2">
        <f t="shared" si="182"/>
        <v>180.02094668858081</v>
      </c>
      <c r="AB690" s="8">
        <f t="shared" si="189"/>
        <v>0</v>
      </c>
      <c r="AC690" s="10">
        <v>7.375</v>
      </c>
      <c r="AD690" s="7">
        <f t="shared" si="190"/>
        <v>2038.7590533114194</v>
      </c>
      <c r="AE690" s="2">
        <f t="shared" si="191"/>
        <v>180.02094668858081</v>
      </c>
      <c r="AF690" s="10">
        <v>0</v>
      </c>
      <c r="AG690" s="3">
        <f t="shared" si="192"/>
        <v>0</v>
      </c>
      <c r="AH690" s="7">
        <v>5520</v>
      </c>
      <c r="AI690">
        <f t="shared" si="193"/>
        <v>360</v>
      </c>
      <c r="AJ690" t="e">
        <f>VLOOKUP(A690,'Borrower Details'!$A$1:$H$1493,8,FALSE)</f>
        <v>#N/A</v>
      </c>
      <c r="AK690" s="4" t="e">
        <f t="shared" si="194"/>
        <v>#N/A</v>
      </c>
      <c r="AL690" s="10">
        <v>7.375</v>
      </c>
      <c r="AM690" s="3">
        <f t="shared" si="195"/>
        <v>278388.56675</v>
      </c>
      <c r="AN690">
        <v>7.375</v>
      </c>
      <c r="AO690" s="7">
        <f t="shared" si="196"/>
        <v>2038.7558804405091</v>
      </c>
      <c r="AP690" s="2">
        <f t="shared" si="197"/>
        <v>180.02411955949106</v>
      </c>
    </row>
    <row r="691" spans="1:42" x14ac:dyDescent="0.15">
      <c r="A691" s="8">
        <v>410867881</v>
      </c>
      <c r="B691" t="s">
        <v>36</v>
      </c>
      <c r="C691" t="s">
        <v>16</v>
      </c>
      <c r="D691" s="1">
        <v>39321</v>
      </c>
      <c r="E691" s="2">
        <v>193000</v>
      </c>
      <c r="F691" s="2">
        <v>154400</v>
      </c>
      <c r="G691" t="s">
        <v>17</v>
      </c>
      <c r="H691" s="2">
        <v>1294.33</v>
      </c>
      <c r="I691" s="2">
        <v>154335.76</v>
      </c>
      <c r="J691">
        <v>9.9900000000000003E-2</v>
      </c>
      <c r="K691">
        <v>8</v>
      </c>
      <c r="L691">
        <v>353</v>
      </c>
      <c r="M691" t="str">
        <f t="shared" si="183"/>
        <v>30 Year Fixed</v>
      </c>
      <c r="N691" s="2">
        <v>1284.8499999999999</v>
      </c>
      <c r="O691" t="str">
        <f t="shared" si="180"/>
        <v>Cash Out</v>
      </c>
      <c r="P691" s="3">
        <f t="shared" si="184"/>
        <v>7289.8557635468023</v>
      </c>
      <c r="Q691" s="4">
        <v>164050</v>
      </c>
      <c r="R691" s="4" t="s">
        <v>41</v>
      </c>
      <c r="S691" s="6">
        <v>585</v>
      </c>
      <c r="T691">
        <v>7.375</v>
      </c>
      <c r="U691" s="7">
        <f t="shared" si="181"/>
        <v>1201.4067463000995</v>
      </c>
      <c r="V691" s="2">
        <f t="shared" si="185"/>
        <v>92.923253699900442</v>
      </c>
      <c r="W691" s="9">
        <f t="shared" si="186"/>
        <v>0</v>
      </c>
      <c r="X691" s="3">
        <v>164050</v>
      </c>
      <c r="Y691" s="3">
        <f t="shared" si="187"/>
        <v>7289.8557635468023</v>
      </c>
      <c r="Z691" s="7">
        <f t="shared" si="188"/>
        <v>1201.4067463000995</v>
      </c>
      <c r="AA691" s="2">
        <f t="shared" si="182"/>
        <v>92.923253699900442</v>
      </c>
      <c r="AB691" s="8">
        <f t="shared" si="189"/>
        <v>0</v>
      </c>
      <c r="AC691" s="10">
        <v>7.375</v>
      </c>
      <c r="AD691" s="7">
        <f t="shared" si="190"/>
        <v>1201.4067463000995</v>
      </c>
      <c r="AE691" s="2">
        <f t="shared" si="191"/>
        <v>92.923253699900442</v>
      </c>
      <c r="AF691" s="10">
        <v>0</v>
      </c>
      <c r="AG691" s="3">
        <f t="shared" si="192"/>
        <v>0</v>
      </c>
      <c r="AH691" s="7">
        <v>3088</v>
      </c>
      <c r="AI691">
        <f t="shared" si="193"/>
        <v>360</v>
      </c>
      <c r="AJ691" t="e">
        <f>VLOOKUP(A691,'Borrower Details'!$A$1:$H$1493,8,FALSE)</f>
        <v>#N/A</v>
      </c>
      <c r="AK691" s="4" t="e">
        <f t="shared" si="194"/>
        <v>#N/A</v>
      </c>
      <c r="AL691" s="10">
        <v>7.375</v>
      </c>
      <c r="AM691" s="3">
        <f t="shared" si="195"/>
        <v>156650.79639999999</v>
      </c>
      <c r="AN691">
        <v>7.375</v>
      </c>
      <c r="AO691" s="7">
        <f t="shared" si="196"/>
        <v>1147.2192844147717</v>
      </c>
      <c r="AP691" s="2">
        <f t="shared" si="197"/>
        <v>147.11071558522826</v>
      </c>
    </row>
    <row r="692" spans="1:42" x14ac:dyDescent="0.15">
      <c r="A692" s="8">
        <v>410225445</v>
      </c>
      <c r="B692" t="s">
        <v>37</v>
      </c>
      <c r="C692" t="s">
        <v>19</v>
      </c>
      <c r="D692" s="1">
        <v>39227</v>
      </c>
      <c r="E692" s="2">
        <v>130000</v>
      </c>
      <c r="F692" s="2">
        <v>104000</v>
      </c>
      <c r="G692" t="s">
        <v>17</v>
      </c>
      <c r="H692" s="2">
        <v>978.65</v>
      </c>
      <c r="I692" s="2">
        <v>103515.27</v>
      </c>
      <c r="J692">
        <v>0.1085</v>
      </c>
      <c r="K692">
        <v>11</v>
      </c>
      <c r="L692">
        <v>350</v>
      </c>
      <c r="M692" t="str">
        <f t="shared" si="183"/>
        <v>30 Year Fixed</v>
      </c>
      <c r="N692" s="2">
        <v>935.95</v>
      </c>
      <c r="O692" t="str">
        <f t="shared" si="180"/>
        <v>Cash Out</v>
      </c>
      <c r="P692" s="3">
        <f t="shared" si="184"/>
        <v>5351.7250738916337</v>
      </c>
      <c r="Q692" s="4">
        <v>110500</v>
      </c>
      <c r="R692" s="4" t="s">
        <v>41</v>
      </c>
      <c r="S692" s="6">
        <v>530</v>
      </c>
      <c r="T692">
        <v>7.625</v>
      </c>
      <c r="U692" s="7">
        <f t="shared" si="181"/>
        <v>828.15375638853982</v>
      </c>
      <c r="V692" s="2">
        <f t="shared" si="185"/>
        <v>150.49624361146016</v>
      </c>
      <c r="W692" s="9">
        <f t="shared" si="186"/>
        <v>0</v>
      </c>
      <c r="X692" s="3">
        <v>110500</v>
      </c>
      <c r="Y692" s="3">
        <f t="shared" si="187"/>
        <v>5351.7250738916337</v>
      </c>
      <c r="Z692" s="7">
        <f t="shared" si="188"/>
        <v>828.15375638853982</v>
      </c>
      <c r="AA692" s="2">
        <f t="shared" si="182"/>
        <v>150.49624361146016</v>
      </c>
      <c r="AB692" s="8">
        <f t="shared" si="189"/>
        <v>0</v>
      </c>
      <c r="AC692" s="10">
        <v>7.625</v>
      </c>
      <c r="AD692" s="7">
        <f t="shared" si="190"/>
        <v>828.15375638853982</v>
      </c>
      <c r="AE692" s="2">
        <f t="shared" si="191"/>
        <v>150.49624361146016</v>
      </c>
      <c r="AF692" s="10">
        <v>0</v>
      </c>
      <c r="AG692" s="3">
        <f t="shared" si="192"/>
        <v>0</v>
      </c>
      <c r="AH692" s="7">
        <v>0</v>
      </c>
      <c r="AI692">
        <f t="shared" si="193"/>
        <v>360</v>
      </c>
      <c r="AJ692" t="e">
        <f>VLOOKUP(A692,'Borrower Details'!$A$1:$H$1493,8,FALSE)</f>
        <v>#N/A</v>
      </c>
      <c r="AK692" s="4" t="e">
        <f t="shared" si="194"/>
        <v>#N/A</v>
      </c>
      <c r="AL692" s="10">
        <v>7.625</v>
      </c>
      <c r="AM692" s="3">
        <f t="shared" si="195"/>
        <v>105067.99905</v>
      </c>
      <c r="AN692">
        <v>7.625</v>
      </c>
      <c r="AO692" s="7">
        <f t="shared" si="196"/>
        <v>787.44305963334875</v>
      </c>
      <c r="AP692" s="2">
        <f t="shared" si="197"/>
        <v>191.20694036665122</v>
      </c>
    </row>
    <row r="693" spans="1:42" x14ac:dyDescent="0.15">
      <c r="A693" s="8">
        <v>410509723</v>
      </c>
      <c r="B693" t="s">
        <v>36</v>
      </c>
      <c r="C693" t="s">
        <v>18</v>
      </c>
      <c r="D693" s="1">
        <v>39258</v>
      </c>
      <c r="E693" s="2">
        <v>183300</v>
      </c>
      <c r="F693" s="2">
        <v>163000</v>
      </c>
      <c r="G693" t="s">
        <v>15</v>
      </c>
      <c r="H693" s="2">
        <v>1139.72</v>
      </c>
      <c r="I693" s="2">
        <v>0</v>
      </c>
      <c r="J693">
        <v>7.4999999999999997E-2</v>
      </c>
      <c r="K693">
        <v>10</v>
      </c>
      <c r="L693">
        <v>350</v>
      </c>
      <c r="M693" t="str">
        <f t="shared" si="183"/>
        <v>30 Year Fixed</v>
      </c>
      <c r="N693" s="2">
        <v>0</v>
      </c>
      <c r="O693" t="str">
        <f t="shared" si="180"/>
        <v>Cash Out</v>
      </c>
      <c r="P693" s="3">
        <f t="shared" si="184"/>
        <v>153502.46305418722</v>
      </c>
      <c r="Q693" s="4">
        <v>155805</v>
      </c>
      <c r="R693" s="4" t="s">
        <v>41</v>
      </c>
      <c r="S693" s="6">
        <v>626</v>
      </c>
      <c r="T693">
        <v>6.75</v>
      </c>
      <c r="U693" s="7">
        <f t="shared" si="181"/>
        <v>1075.4670143581054</v>
      </c>
      <c r="V693" s="2">
        <f t="shared" si="185"/>
        <v>64.252985641894611</v>
      </c>
      <c r="W693" s="9">
        <f t="shared" si="186"/>
        <v>0</v>
      </c>
      <c r="X693" s="3">
        <v>155805</v>
      </c>
      <c r="Y693" s="3">
        <f t="shared" si="187"/>
        <v>153502.46305418722</v>
      </c>
      <c r="Z693" s="7">
        <f t="shared" si="188"/>
        <v>1075.4670143581054</v>
      </c>
      <c r="AA693" s="2">
        <f t="shared" si="182"/>
        <v>64.252985641894611</v>
      </c>
      <c r="AB693" s="8">
        <f t="shared" si="189"/>
        <v>0</v>
      </c>
      <c r="AC693" s="10">
        <v>7.125</v>
      </c>
      <c r="AD693" s="7">
        <f t="shared" si="190"/>
        <v>1114.6058952293345</v>
      </c>
      <c r="AE693" s="2">
        <f t="shared" si="191"/>
        <v>25.114104770665563</v>
      </c>
      <c r="AF693" s="10">
        <v>0</v>
      </c>
      <c r="AG693" s="3">
        <f t="shared" si="192"/>
        <v>0</v>
      </c>
      <c r="AH693" s="7">
        <v>3260</v>
      </c>
      <c r="AI693">
        <f t="shared" si="193"/>
        <v>360</v>
      </c>
      <c r="AJ693" t="e">
        <f>VLOOKUP(A693,'Borrower Details'!$A$1:$H$1493,8,FALSE)</f>
        <v>#N/A</v>
      </c>
      <c r="AK693" s="4" t="e">
        <f t="shared" si="194"/>
        <v>#N/A</v>
      </c>
      <c r="AL693" s="10">
        <v>6.75</v>
      </c>
      <c r="AM693" s="3">
        <f t="shared" si="195"/>
        <v>0</v>
      </c>
      <c r="AN693">
        <v>7.125</v>
      </c>
      <c r="AO693" s="7">
        <f t="shared" si="196"/>
        <v>0</v>
      </c>
      <c r="AP693" s="2">
        <f t="shared" si="197"/>
        <v>1139.72</v>
      </c>
    </row>
    <row r="694" spans="1:42" x14ac:dyDescent="0.15">
      <c r="A694" s="8">
        <v>410071617</v>
      </c>
      <c r="B694" t="s">
        <v>36</v>
      </c>
      <c r="C694" t="s">
        <v>18</v>
      </c>
      <c r="D694" s="1">
        <v>39209</v>
      </c>
      <c r="E694" s="2">
        <v>125000</v>
      </c>
      <c r="F694" s="2">
        <v>105000</v>
      </c>
      <c r="G694" t="s">
        <v>15</v>
      </c>
      <c r="H694" s="2">
        <v>769.73</v>
      </c>
      <c r="I694" s="2">
        <v>104196.97</v>
      </c>
      <c r="J694">
        <v>7.9899999999999999E-2</v>
      </c>
      <c r="K694">
        <v>11</v>
      </c>
      <c r="L694">
        <v>349</v>
      </c>
      <c r="M694" t="str">
        <f t="shared" si="183"/>
        <v>30 Year Fixed</v>
      </c>
      <c r="N694" s="2">
        <v>693.78</v>
      </c>
      <c r="O694" t="str">
        <f t="shared" si="180"/>
        <v>Cash Out</v>
      </c>
      <c r="P694" s="3">
        <f t="shared" si="184"/>
        <v>482.83295566502784</v>
      </c>
      <c r="Q694" s="4">
        <v>106250</v>
      </c>
      <c r="R694" s="4" t="s">
        <v>41</v>
      </c>
      <c r="S694" s="6">
        <v>598</v>
      </c>
      <c r="T694">
        <v>7.375</v>
      </c>
      <c r="U694" s="7">
        <f t="shared" si="181"/>
        <v>778.11317765550473</v>
      </c>
      <c r="V694" s="2">
        <f t="shared" si="185"/>
        <v>-8.3831776555047099</v>
      </c>
      <c r="W694" s="9">
        <f t="shared" si="186"/>
        <v>1</v>
      </c>
      <c r="X694" s="3">
        <v>105760</v>
      </c>
      <c r="Y694" s="3">
        <f t="shared" si="187"/>
        <v>7.4334975375677459E-2</v>
      </c>
      <c r="Z694" s="7">
        <f t="shared" si="188"/>
        <v>774.52470276561121</v>
      </c>
      <c r="AA694" s="2">
        <f t="shared" si="182"/>
        <v>-4.7947027656111914</v>
      </c>
      <c r="AB694" s="8">
        <f t="shared" si="189"/>
        <v>1</v>
      </c>
      <c r="AC694" s="10">
        <v>6.625</v>
      </c>
      <c r="AD694" s="7">
        <f t="shared" si="190"/>
        <v>721.25953909971122</v>
      </c>
      <c r="AE694" s="2">
        <f t="shared" si="191"/>
        <v>48.470460900288799</v>
      </c>
      <c r="AF694" s="10">
        <v>1.875</v>
      </c>
      <c r="AG694" s="3">
        <f t="shared" si="192"/>
        <v>1983</v>
      </c>
      <c r="AH694" s="7">
        <v>2100</v>
      </c>
      <c r="AI694">
        <f t="shared" si="193"/>
        <v>360</v>
      </c>
      <c r="AJ694" t="e">
        <f>VLOOKUP(A694,'Borrower Details'!$A$1:$H$1493,8,FALSE)</f>
        <v>#N/A</v>
      </c>
      <c r="AK694" s="4" t="e">
        <f t="shared" si="194"/>
        <v>#N/A</v>
      </c>
      <c r="AL694" s="10">
        <v>7.375</v>
      </c>
      <c r="AM694" s="3">
        <f t="shared" si="195"/>
        <v>105759.92455</v>
      </c>
      <c r="AN694">
        <v>7.375</v>
      </c>
      <c r="AO694" s="7">
        <f t="shared" si="196"/>
        <v>774.52415021371223</v>
      </c>
      <c r="AP694" s="2">
        <f t="shared" si="197"/>
        <v>-4.7941502137122143</v>
      </c>
    </row>
    <row r="695" spans="1:42" x14ac:dyDescent="0.15">
      <c r="A695" s="8">
        <v>410376743</v>
      </c>
      <c r="B695" t="s">
        <v>37</v>
      </c>
      <c r="C695" t="s">
        <v>19</v>
      </c>
      <c r="D695" s="1">
        <v>39252</v>
      </c>
      <c r="E695" s="2">
        <v>136000</v>
      </c>
      <c r="F695" s="2">
        <v>121500</v>
      </c>
      <c r="G695" t="s">
        <v>17</v>
      </c>
      <c r="H695" s="2">
        <v>1030.52</v>
      </c>
      <c r="I695" s="2">
        <v>120267.69</v>
      </c>
      <c r="J695">
        <v>9.6000000000000002E-2</v>
      </c>
      <c r="K695">
        <v>10</v>
      </c>
      <c r="L695">
        <v>350</v>
      </c>
      <c r="M695" t="str">
        <f t="shared" si="183"/>
        <v>30 Year Fixed</v>
      </c>
      <c r="N695" s="2">
        <v>962.14</v>
      </c>
      <c r="O695" t="str">
        <f t="shared" si="180"/>
        <v>Refi</v>
      </c>
      <c r="P695" s="3">
        <f t="shared" si="184"/>
        <v>0</v>
      </c>
      <c r="Q695" s="4">
        <v>122072</v>
      </c>
      <c r="R695" s="4" t="s">
        <v>41</v>
      </c>
      <c r="S695" s="6">
        <v>629</v>
      </c>
      <c r="T695">
        <v>6.75</v>
      </c>
      <c r="U695" s="7">
        <f t="shared" si="181"/>
        <v>842.62000177608331</v>
      </c>
      <c r="V695" s="2">
        <f t="shared" si="185"/>
        <v>187.89999822391667</v>
      </c>
      <c r="W695" s="9">
        <f t="shared" si="186"/>
        <v>0</v>
      </c>
      <c r="X695" s="3">
        <v>122072</v>
      </c>
      <c r="Y695" s="3">
        <f t="shared" si="187"/>
        <v>0.2902955665049376</v>
      </c>
      <c r="Z695" s="7">
        <f t="shared" si="188"/>
        <v>842.62000177608331</v>
      </c>
      <c r="AA695" s="2">
        <f t="shared" si="182"/>
        <v>187.89999822391667</v>
      </c>
      <c r="AB695" s="8">
        <f t="shared" si="189"/>
        <v>0</v>
      </c>
      <c r="AC695" s="10">
        <v>6.75</v>
      </c>
      <c r="AD695" s="7">
        <f t="shared" si="190"/>
        <v>842.62000177608331</v>
      </c>
      <c r="AE695" s="2">
        <f t="shared" si="191"/>
        <v>187.89999822391667</v>
      </c>
      <c r="AF695" s="10">
        <v>0</v>
      </c>
      <c r="AG695" s="3">
        <f t="shared" si="192"/>
        <v>0</v>
      </c>
      <c r="AH695" s="7">
        <v>0</v>
      </c>
      <c r="AI695">
        <f t="shared" si="193"/>
        <v>360</v>
      </c>
      <c r="AJ695" t="e">
        <f>VLOOKUP(A695,'Borrower Details'!$A$1:$H$1493,8,FALSE)</f>
        <v>#N/A</v>
      </c>
      <c r="AK695" s="4" t="e">
        <f t="shared" si="194"/>
        <v>#N/A</v>
      </c>
      <c r="AL695" s="10">
        <v>6.75</v>
      </c>
      <c r="AM695" s="3">
        <f t="shared" si="195"/>
        <v>122071.70534999999</v>
      </c>
      <c r="AN695">
        <v>6.75</v>
      </c>
      <c r="AO695" s="7">
        <f t="shared" si="196"/>
        <v>842.61796791095844</v>
      </c>
      <c r="AP695" s="2">
        <f t="shared" si="197"/>
        <v>187.90203208904154</v>
      </c>
    </row>
    <row r="696" spans="1:42" x14ac:dyDescent="0.15">
      <c r="A696" s="8">
        <v>410267611</v>
      </c>
      <c r="B696" t="s">
        <v>35</v>
      </c>
      <c r="C696" t="s">
        <v>16</v>
      </c>
      <c r="D696" s="1">
        <v>39220</v>
      </c>
      <c r="E696" s="2">
        <v>162000</v>
      </c>
      <c r="F696" s="2">
        <v>136850</v>
      </c>
      <c r="G696" t="s">
        <v>15</v>
      </c>
      <c r="H696" s="2">
        <v>994.45</v>
      </c>
      <c r="I696" s="2">
        <v>135784.15</v>
      </c>
      <c r="J696">
        <v>7.8979999999999995E-2</v>
      </c>
      <c r="K696">
        <v>11</v>
      </c>
      <c r="L696">
        <v>349</v>
      </c>
      <c r="M696" t="str">
        <f t="shared" si="183"/>
        <v>30 Year Fixed</v>
      </c>
      <c r="N696" s="2">
        <v>893.69</v>
      </c>
      <c r="O696" t="str">
        <f t="shared" si="180"/>
        <v>Refi</v>
      </c>
      <c r="P696" s="3">
        <f t="shared" si="184"/>
        <v>0</v>
      </c>
      <c r="Q696" s="4">
        <v>137821</v>
      </c>
      <c r="R696" s="4" t="s">
        <v>41</v>
      </c>
      <c r="S696" s="6">
        <v>598</v>
      </c>
      <c r="T696">
        <v>7.375</v>
      </c>
      <c r="U696" s="7">
        <f t="shared" si="181"/>
        <v>1009.3208118367936</v>
      </c>
      <c r="V696" s="2">
        <f t="shared" si="185"/>
        <v>-14.870811836793564</v>
      </c>
      <c r="W696" s="9">
        <f t="shared" si="186"/>
        <v>0</v>
      </c>
      <c r="X696" s="3">
        <v>137821</v>
      </c>
      <c r="Y696" s="3">
        <f t="shared" si="187"/>
        <v>8.645320197683759E-2</v>
      </c>
      <c r="Z696" s="7">
        <f t="shared" si="188"/>
        <v>1009.3208118367936</v>
      </c>
      <c r="AA696" s="2">
        <f t="shared" si="182"/>
        <v>-14.870811836793564</v>
      </c>
      <c r="AB696" s="8">
        <f t="shared" si="189"/>
        <v>1</v>
      </c>
      <c r="AC696" s="10">
        <v>6.625</v>
      </c>
      <c r="AD696" s="7">
        <f t="shared" si="190"/>
        <v>939.90838633000465</v>
      </c>
      <c r="AE696" s="2">
        <f t="shared" si="191"/>
        <v>54.5416136699954</v>
      </c>
      <c r="AF696" s="10">
        <v>1.875</v>
      </c>
      <c r="AG696" s="3">
        <f t="shared" si="192"/>
        <v>2584.1437500000002</v>
      </c>
      <c r="AH696" s="7">
        <v>5404.2064999999993</v>
      </c>
      <c r="AI696">
        <f t="shared" si="193"/>
        <v>360</v>
      </c>
      <c r="AJ696" t="e">
        <f>VLOOKUP(A696,'Borrower Details'!$A$1:$H$1493,8,FALSE)</f>
        <v>#N/A</v>
      </c>
      <c r="AK696" s="4" t="e">
        <f t="shared" si="194"/>
        <v>#N/A</v>
      </c>
      <c r="AL696" s="10">
        <v>7.375</v>
      </c>
      <c r="AM696" s="3">
        <f t="shared" si="195"/>
        <v>137820.91224999999</v>
      </c>
      <c r="AN696">
        <v>7.375</v>
      </c>
      <c r="AO696" s="7">
        <f t="shared" si="196"/>
        <v>1009.3201692068515</v>
      </c>
      <c r="AP696" s="2">
        <f t="shared" si="197"/>
        <v>-14.870169206851415</v>
      </c>
    </row>
    <row r="697" spans="1:42" x14ac:dyDescent="0.15">
      <c r="A697" s="8">
        <v>1181576</v>
      </c>
      <c r="B697" t="s">
        <v>37</v>
      </c>
      <c r="C697" t="s">
        <v>19</v>
      </c>
      <c r="D697" s="1">
        <v>39206</v>
      </c>
      <c r="E697" s="2">
        <v>270000</v>
      </c>
      <c r="F697" s="2">
        <v>191500</v>
      </c>
      <c r="G697" t="s">
        <v>15</v>
      </c>
      <c r="H697" s="2">
        <v>1302.8699999999999</v>
      </c>
      <c r="I697" s="2">
        <v>190711.99</v>
      </c>
      <c r="J697">
        <v>7.8E-2</v>
      </c>
      <c r="K697">
        <v>11</v>
      </c>
      <c r="L697">
        <v>349</v>
      </c>
      <c r="M697" t="str">
        <f t="shared" si="183"/>
        <v>30 Year Fixed</v>
      </c>
      <c r="N697" s="2">
        <v>1239.6300000000001</v>
      </c>
      <c r="O697" t="str">
        <f t="shared" si="180"/>
        <v>Cash Out</v>
      </c>
      <c r="P697" s="3">
        <f t="shared" si="184"/>
        <v>35396.384384236473</v>
      </c>
      <c r="Q697" s="4">
        <v>229500</v>
      </c>
      <c r="R697" s="4" t="s">
        <v>41</v>
      </c>
      <c r="S697" s="6">
        <v>607</v>
      </c>
      <c r="T697">
        <v>6.875</v>
      </c>
      <c r="U697" s="7">
        <f t="shared" si="181"/>
        <v>1603.2766273853099</v>
      </c>
      <c r="V697" s="2">
        <f t="shared" si="185"/>
        <v>-300.40662738531</v>
      </c>
      <c r="W697" s="9">
        <f t="shared" si="186"/>
        <v>1</v>
      </c>
      <c r="X697" s="3">
        <v>193573</v>
      </c>
      <c r="Y697" s="3">
        <f t="shared" si="187"/>
        <v>0.32527093598037027</v>
      </c>
      <c r="Z697" s="7">
        <f t="shared" si="188"/>
        <v>1352.292229162774</v>
      </c>
      <c r="AA697" s="2">
        <f t="shared" si="182"/>
        <v>-49.422229162774101</v>
      </c>
      <c r="AB697" s="8">
        <f t="shared" si="189"/>
        <v>1</v>
      </c>
      <c r="AC697" s="10">
        <v>6.25</v>
      </c>
      <c r="AD697" s="7">
        <f t="shared" si="190"/>
        <v>1272.5176730480496</v>
      </c>
      <c r="AE697" s="2">
        <f t="shared" si="191"/>
        <v>30.352326951950317</v>
      </c>
      <c r="AF697" s="10">
        <v>2.5</v>
      </c>
      <c r="AG697" s="3">
        <f t="shared" si="192"/>
        <v>4839.3249999999998</v>
      </c>
      <c r="AH697" s="7">
        <v>1915</v>
      </c>
      <c r="AI697">
        <f t="shared" si="193"/>
        <v>360</v>
      </c>
      <c r="AJ697" t="e">
        <f>VLOOKUP(A697,'Borrower Details'!$A$1:$H$1493,8,FALSE)</f>
        <v>#N/A</v>
      </c>
      <c r="AK697" s="4" t="e">
        <f t="shared" si="194"/>
        <v>#N/A</v>
      </c>
      <c r="AL697" s="10">
        <v>6.875</v>
      </c>
      <c r="AM697" s="3">
        <f t="shared" si="195"/>
        <v>193572.66984999998</v>
      </c>
      <c r="AN697">
        <v>6.875</v>
      </c>
      <c r="AO697" s="7">
        <f t="shared" si="196"/>
        <v>1352.2899227497956</v>
      </c>
      <c r="AP697" s="2">
        <f t="shared" si="197"/>
        <v>-49.41992274979566</v>
      </c>
    </row>
    <row r="698" spans="1:42" x14ac:dyDescent="0.15">
      <c r="A698" s="8">
        <v>410564975</v>
      </c>
      <c r="B698" t="s">
        <v>36</v>
      </c>
      <c r="C698" t="s">
        <v>19</v>
      </c>
      <c r="D698" s="1">
        <v>39274</v>
      </c>
      <c r="E698" s="2">
        <v>300200</v>
      </c>
      <c r="F698" s="2">
        <v>285190</v>
      </c>
      <c r="G698" t="s">
        <v>17</v>
      </c>
      <c r="H698" s="2">
        <v>1980.82</v>
      </c>
      <c r="I698" s="2">
        <v>284428.26</v>
      </c>
      <c r="J698">
        <v>7.9899999999999999E-2</v>
      </c>
      <c r="K698">
        <v>9</v>
      </c>
      <c r="L698">
        <v>351</v>
      </c>
      <c r="M698" t="str">
        <f t="shared" si="183"/>
        <v>30 Year Fixed</v>
      </c>
      <c r="N698" s="2">
        <v>1893.82</v>
      </c>
      <c r="O698" t="str">
        <f t="shared" si="180"/>
        <v>Refi</v>
      </c>
      <c r="P698" s="3">
        <f t="shared" si="184"/>
        <v>0</v>
      </c>
      <c r="Q698" s="4">
        <v>288695</v>
      </c>
      <c r="R698" s="4" t="s">
        <v>41</v>
      </c>
      <c r="S698" s="6">
        <v>724</v>
      </c>
      <c r="T698">
        <v>6.75</v>
      </c>
      <c r="U698" s="7">
        <f t="shared" si="181"/>
        <v>1992.7598582209382</v>
      </c>
      <c r="V698" s="2">
        <f t="shared" si="185"/>
        <v>-11.939858220938277</v>
      </c>
      <c r="W698" s="9">
        <f t="shared" si="186"/>
        <v>0</v>
      </c>
      <c r="X698" s="3">
        <v>288694</v>
      </c>
      <c r="Y698" s="3">
        <f t="shared" si="187"/>
        <v>-0.67379310342948884</v>
      </c>
      <c r="Z698" s="7">
        <f t="shared" si="188"/>
        <v>1992.7529555733058</v>
      </c>
      <c r="AA698" s="2">
        <f t="shared" si="182"/>
        <v>-11.93295557330589</v>
      </c>
      <c r="AB698" s="8">
        <f t="shared" si="189"/>
        <v>1</v>
      </c>
      <c r="AC698" s="10">
        <v>6.125</v>
      </c>
      <c r="AD698" s="7">
        <f t="shared" si="190"/>
        <v>1874.4243378037427</v>
      </c>
      <c r="AE698" s="2">
        <f t="shared" si="191"/>
        <v>106.39566219625726</v>
      </c>
      <c r="AF698" s="10">
        <v>3</v>
      </c>
      <c r="AG698" s="3">
        <f t="shared" si="192"/>
        <v>8660.82</v>
      </c>
      <c r="AH698" s="7">
        <v>5703.8</v>
      </c>
      <c r="AI698">
        <f t="shared" si="193"/>
        <v>360</v>
      </c>
      <c r="AJ698" t="e">
        <f>VLOOKUP(A698,'Borrower Details'!$A$1:$H$1493,8,FALSE)</f>
        <v>#N/A</v>
      </c>
      <c r="AK698" s="4" t="e">
        <f t="shared" si="194"/>
        <v>#N/A</v>
      </c>
      <c r="AL698" s="10">
        <v>6.75</v>
      </c>
      <c r="AM698" s="3">
        <f t="shared" si="195"/>
        <v>288694.6839</v>
      </c>
      <c r="AN698">
        <v>6.75</v>
      </c>
      <c r="AO698" s="7">
        <f t="shared" si="196"/>
        <v>1992.7576762940216</v>
      </c>
      <c r="AP698" s="2">
        <f t="shared" si="197"/>
        <v>-11.937676294021685</v>
      </c>
    </row>
    <row r="699" spans="1:42" x14ac:dyDescent="0.15">
      <c r="A699" s="8">
        <v>1170789</v>
      </c>
      <c r="B699" t="s">
        <v>36</v>
      </c>
      <c r="C699" t="s">
        <v>19</v>
      </c>
      <c r="D699" s="1">
        <v>39175</v>
      </c>
      <c r="E699" s="2">
        <v>155000</v>
      </c>
      <c r="F699" s="2">
        <v>131750</v>
      </c>
      <c r="G699" t="s">
        <v>17</v>
      </c>
      <c r="H699" s="2">
        <v>934.79</v>
      </c>
      <c r="I699" s="2">
        <v>130449.92</v>
      </c>
      <c r="J699">
        <v>7.6499999999999999E-2</v>
      </c>
      <c r="K699">
        <v>12</v>
      </c>
      <c r="L699">
        <v>347</v>
      </c>
      <c r="M699" t="str">
        <f t="shared" si="183"/>
        <v>30 Year Fixed</v>
      </c>
      <c r="N699" s="2">
        <v>832.31</v>
      </c>
      <c r="O699" t="str">
        <f t="shared" si="180"/>
        <v>Refi</v>
      </c>
      <c r="P699" s="3">
        <f t="shared" si="184"/>
        <v>0</v>
      </c>
      <c r="Q699" s="4">
        <v>132407</v>
      </c>
      <c r="R699" s="4" t="s">
        <v>41</v>
      </c>
      <c r="S699" s="6">
        <v>651</v>
      </c>
      <c r="T699">
        <v>6.75</v>
      </c>
      <c r="U699" s="7">
        <f t="shared" si="181"/>
        <v>913.95886505640817</v>
      </c>
      <c r="V699" s="2">
        <f t="shared" si="185"/>
        <v>20.831134943591792</v>
      </c>
      <c r="W699" s="9">
        <f t="shared" si="186"/>
        <v>0</v>
      </c>
      <c r="X699" s="3">
        <v>132407</v>
      </c>
      <c r="Y699" s="3">
        <f t="shared" si="187"/>
        <v>0.32630541872640606</v>
      </c>
      <c r="Z699" s="7">
        <f t="shared" si="188"/>
        <v>913.95886505640817</v>
      </c>
      <c r="AA699" s="2">
        <f t="shared" si="182"/>
        <v>20.831134943591792</v>
      </c>
      <c r="AB699" s="8">
        <f t="shared" si="189"/>
        <v>1</v>
      </c>
      <c r="AC699" s="10">
        <v>6.125</v>
      </c>
      <c r="AD699" s="7">
        <f t="shared" si="190"/>
        <v>859.68847047593704</v>
      </c>
      <c r="AE699" s="2">
        <f t="shared" si="191"/>
        <v>75.101529524062926</v>
      </c>
      <c r="AF699" s="10">
        <v>3</v>
      </c>
      <c r="AG699" s="3">
        <f t="shared" si="192"/>
        <v>3972.21</v>
      </c>
      <c r="AH699" s="7">
        <v>2635</v>
      </c>
      <c r="AI699">
        <f t="shared" si="193"/>
        <v>360</v>
      </c>
      <c r="AJ699" t="e">
        <f>VLOOKUP(A699,'Borrower Details'!$A$1:$H$1493,8,FALSE)</f>
        <v>#N/A</v>
      </c>
      <c r="AK699" s="4" t="e">
        <f t="shared" si="194"/>
        <v>#N/A</v>
      </c>
      <c r="AL699" s="10">
        <v>6.75</v>
      </c>
      <c r="AM699" s="3">
        <f t="shared" si="195"/>
        <v>132406.66879999998</v>
      </c>
      <c r="AN699">
        <v>6.75</v>
      </c>
      <c r="AO699" s="7">
        <f t="shared" si="196"/>
        <v>913.95657889951224</v>
      </c>
      <c r="AP699" s="2">
        <f t="shared" si="197"/>
        <v>20.833421100487726</v>
      </c>
    </row>
    <row r="700" spans="1:42" x14ac:dyDescent="0.15">
      <c r="A700" s="8">
        <v>411142532</v>
      </c>
      <c r="B700" t="s">
        <v>36</v>
      </c>
      <c r="C700" t="s">
        <v>16</v>
      </c>
      <c r="D700" s="1">
        <v>39413</v>
      </c>
      <c r="E700" s="2">
        <v>500000</v>
      </c>
      <c r="F700" s="2">
        <v>450000</v>
      </c>
      <c r="G700" t="s">
        <v>17</v>
      </c>
      <c r="H700" s="2">
        <v>3572.34</v>
      </c>
      <c r="I700" s="2">
        <v>448713.22</v>
      </c>
      <c r="J700">
        <v>8.8499999999999995E-2</v>
      </c>
      <c r="K700">
        <v>5</v>
      </c>
      <c r="L700">
        <v>355</v>
      </c>
      <c r="M700" t="str">
        <f t="shared" si="183"/>
        <v>30 Year Fixed</v>
      </c>
      <c r="N700" s="2">
        <v>3309.26</v>
      </c>
      <c r="O700" t="str">
        <f t="shared" si="180"/>
        <v>Refi</v>
      </c>
      <c r="P700" s="3">
        <f t="shared" si="184"/>
        <v>0</v>
      </c>
      <c r="Q700" s="4">
        <v>455444</v>
      </c>
      <c r="R700" s="4" t="s">
        <v>41</v>
      </c>
      <c r="S700" s="6">
        <v>642</v>
      </c>
      <c r="T700">
        <v>7.375</v>
      </c>
      <c r="U700" s="7">
        <f t="shared" si="181"/>
        <v>3335.4068525565526</v>
      </c>
      <c r="V700" s="2">
        <f t="shared" si="185"/>
        <v>236.93314744344752</v>
      </c>
      <c r="W700" s="9">
        <f t="shared" si="186"/>
        <v>0</v>
      </c>
      <c r="X700" s="3">
        <v>455444</v>
      </c>
      <c r="Y700" s="3">
        <f t="shared" si="187"/>
        <v>8.0492610926739872E-2</v>
      </c>
      <c r="Z700" s="7">
        <f t="shared" si="188"/>
        <v>3335.4068525565526</v>
      </c>
      <c r="AA700" s="2">
        <f t="shared" si="182"/>
        <v>236.93314744344752</v>
      </c>
      <c r="AB700" s="8">
        <f t="shared" si="189"/>
        <v>0</v>
      </c>
      <c r="AC700" s="10">
        <v>7.375</v>
      </c>
      <c r="AD700" s="7">
        <f t="shared" si="190"/>
        <v>3335.4068525565526</v>
      </c>
      <c r="AE700" s="2">
        <f t="shared" si="191"/>
        <v>236.93314744344752</v>
      </c>
      <c r="AF700" s="10">
        <v>0</v>
      </c>
      <c r="AG700" s="3">
        <f t="shared" si="192"/>
        <v>0</v>
      </c>
      <c r="AH700" s="7">
        <v>9000</v>
      </c>
      <c r="AI700">
        <f t="shared" si="193"/>
        <v>360</v>
      </c>
      <c r="AJ700" t="e">
        <f>VLOOKUP(A700,'Borrower Details'!$A$1:$H$1493,8,FALSE)</f>
        <v>#N/A</v>
      </c>
      <c r="AK700" s="4" t="e">
        <f t="shared" si="194"/>
        <v>#N/A</v>
      </c>
      <c r="AL700" s="10">
        <v>7.375</v>
      </c>
      <c r="AM700" s="3">
        <f t="shared" si="195"/>
        <v>455443.9182999999</v>
      </c>
      <c r="AN700">
        <v>7.375</v>
      </c>
      <c r="AO700" s="7">
        <f t="shared" si="196"/>
        <v>3335.4062542332895</v>
      </c>
      <c r="AP700" s="2">
        <f t="shared" si="197"/>
        <v>236.93374576671067</v>
      </c>
    </row>
    <row r="701" spans="1:42" x14ac:dyDescent="0.15">
      <c r="A701" s="8">
        <v>410181192</v>
      </c>
      <c r="B701" t="s">
        <v>38</v>
      </c>
      <c r="C701" t="s">
        <v>19</v>
      </c>
      <c r="D701" s="1">
        <v>39211</v>
      </c>
      <c r="E701" s="2">
        <v>135000</v>
      </c>
      <c r="F701" s="2">
        <v>121500</v>
      </c>
      <c r="G701" t="s">
        <v>17</v>
      </c>
      <c r="H701" s="2">
        <v>955.85</v>
      </c>
      <c r="I701" s="2">
        <v>120702.3</v>
      </c>
      <c r="J701">
        <v>8.7499999999999994E-2</v>
      </c>
      <c r="K701">
        <v>11</v>
      </c>
      <c r="L701">
        <v>349</v>
      </c>
      <c r="M701" t="str">
        <f t="shared" si="183"/>
        <v>30 Year Fixed</v>
      </c>
      <c r="N701" s="2">
        <v>880.12</v>
      </c>
      <c r="O701" t="str">
        <f t="shared" si="180"/>
        <v>Refi</v>
      </c>
      <c r="P701" s="3">
        <f t="shared" si="184"/>
        <v>0</v>
      </c>
      <c r="Q701" s="4">
        <v>122513</v>
      </c>
      <c r="R701" s="4" t="s">
        <v>41</v>
      </c>
      <c r="S701" s="6">
        <v>602</v>
      </c>
      <c r="T701">
        <v>6.875</v>
      </c>
      <c r="U701" s="7">
        <f t="shared" si="181"/>
        <v>855.87028083161863</v>
      </c>
      <c r="V701" s="2">
        <f t="shared" si="185"/>
        <v>99.979719168381394</v>
      </c>
      <c r="W701" s="9">
        <f t="shared" si="186"/>
        <v>0</v>
      </c>
      <c r="X701" s="3">
        <v>122513</v>
      </c>
      <c r="Y701" s="3">
        <f t="shared" si="187"/>
        <v>0.16305418720003217</v>
      </c>
      <c r="Z701" s="7">
        <f t="shared" si="188"/>
        <v>855.87028083161863</v>
      </c>
      <c r="AA701" s="2">
        <f t="shared" si="182"/>
        <v>99.979719168381394</v>
      </c>
      <c r="AB701" s="8">
        <f t="shared" si="189"/>
        <v>0</v>
      </c>
      <c r="AC701" s="10">
        <v>6.875</v>
      </c>
      <c r="AD701" s="7">
        <f t="shared" si="190"/>
        <v>855.87028083161863</v>
      </c>
      <c r="AE701" s="2">
        <f t="shared" si="191"/>
        <v>99.979719168381394</v>
      </c>
      <c r="AF701" s="10">
        <v>0</v>
      </c>
      <c r="AG701" s="3">
        <f t="shared" si="192"/>
        <v>0</v>
      </c>
      <c r="AH701" s="7">
        <v>0</v>
      </c>
      <c r="AI701">
        <f t="shared" si="193"/>
        <v>360</v>
      </c>
      <c r="AJ701" t="e">
        <f>VLOOKUP(A701,'Borrower Details'!$A$1:$H$1493,8,FALSE)</f>
        <v>#N/A</v>
      </c>
      <c r="AK701" s="4" t="e">
        <f t="shared" si="194"/>
        <v>#N/A</v>
      </c>
      <c r="AL701" s="10">
        <v>6.875</v>
      </c>
      <c r="AM701" s="3">
        <f t="shared" si="195"/>
        <v>122512.8345</v>
      </c>
      <c r="AN701">
        <v>6.875</v>
      </c>
      <c r="AO701" s="7">
        <f t="shared" si="196"/>
        <v>855.86912465609862</v>
      </c>
      <c r="AP701" s="2">
        <f t="shared" si="197"/>
        <v>99.980875343901403</v>
      </c>
    </row>
    <row r="702" spans="1:42" x14ac:dyDescent="0.15">
      <c r="A702" s="8">
        <v>410673990</v>
      </c>
      <c r="B702" t="s">
        <v>37</v>
      </c>
      <c r="C702" t="s">
        <v>18</v>
      </c>
      <c r="D702" s="1">
        <v>39294</v>
      </c>
      <c r="E702" s="2">
        <v>95000</v>
      </c>
      <c r="F702" s="2">
        <v>90250</v>
      </c>
      <c r="G702" t="s">
        <v>20</v>
      </c>
      <c r="H702" s="2">
        <v>778.54</v>
      </c>
      <c r="I702" s="2">
        <v>90206.71</v>
      </c>
      <c r="J702">
        <v>0.10290000000000001</v>
      </c>
      <c r="K702">
        <v>9</v>
      </c>
      <c r="L702">
        <v>351</v>
      </c>
      <c r="M702" t="str">
        <f t="shared" si="183"/>
        <v>30 Year Fixed</v>
      </c>
      <c r="N702" s="2">
        <v>773.52</v>
      </c>
      <c r="O702" t="str">
        <f t="shared" si="180"/>
        <v>Refi</v>
      </c>
      <c r="P702" s="3">
        <f t="shared" si="184"/>
        <v>0</v>
      </c>
      <c r="Q702" s="4">
        <v>91560</v>
      </c>
      <c r="R702" s="4" t="s">
        <v>41</v>
      </c>
      <c r="S702" s="6">
        <v>619</v>
      </c>
      <c r="T702">
        <v>7</v>
      </c>
      <c r="U702" s="7">
        <f t="shared" si="181"/>
        <v>647.30096458605965</v>
      </c>
      <c r="V702" s="2">
        <f t="shared" si="185"/>
        <v>131.23903541394031</v>
      </c>
      <c r="W702" s="9">
        <f t="shared" si="186"/>
        <v>0</v>
      </c>
      <c r="X702" s="3">
        <v>91560</v>
      </c>
      <c r="Y702" s="3">
        <f t="shared" si="187"/>
        <v>0.18655172413855325</v>
      </c>
      <c r="Z702" s="7">
        <f t="shared" si="188"/>
        <v>647.30096458605965</v>
      </c>
      <c r="AA702" s="2">
        <f t="shared" si="182"/>
        <v>131.23903541394031</v>
      </c>
      <c r="AB702" s="8">
        <f t="shared" si="189"/>
        <v>0</v>
      </c>
      <c r="AC702" s="10">
        <v>7</v>
      </c>
      <c r="AD702" s="7">
        <f t="shared" si="190"/>
        <v>647.30096458605965</v>
      </c>
      <c r="AE702" s="2">
        <f t="shared" si="191"/>
        <v>131.23903541394031</v>
      </c>
      <c r="AF702" s="10">
        <v>0</v>
      </c>
      <c r="AG702" s="3">
        <f t="shared" si="192"/>
        <v>0</v>
      </c>
      <c r="AH702" s="7">
        <v>0</v>
      </c>
      <c r="AI702">
        <f t="shared" si="193"/>
        <v>360</v>
      </c>
      <c r="AJ702" t="e">
        <f>VLOOKUP(A702,'Borrower Details'!$A$1:$H$1493,8,FALSE)</f>
        <v>#N/A</v>
      </c>
      <c r="AK702" s="4" t="e">
        <f t="shared" si="194"/>
        <v>#N/A</v>
      </c>
      <c r="AL702" s="10">
        <v>7</v>
      </c>
      <c r="AM702" s="3">
        <f t="shared" si="195"/>
        <v>91559.810649999999</v>
      </c>
      <c r="AN702">
        <v>7</v>
      </c>
      <c r="AO702" s="7">
        <f t="shared" si="196"/>
        <v>647.29962593995162</v>
      </c>
      <c r="AP702" s="2">
        <f t="shared" si="197"/>
        <v>131.24037406004834</v>
      </c>
    </row>
    <row r="703" spans="1:42" x14ac:dyDescent="0.15">
      <c r="A703" s="8">
        <v>410468102</v>
      </c>
      <c r="B703" t="s">
        <v>36</v>
      </c>
      <c r="C703" t="s">
        <v>19</v>
      </c>
      <c r="D703" s="1">
        <v>39262</v>
      </c>
      <c r="E703" s="2">
        <v>205000</v>
      </c>
      <c r="F703" s="2">
        <v>140000</v>
      </c>
      <c r="G703" t="s">
        <v>17</v>
      </c>
      <c r="H703" s="2">
        <v>883.75</v>
      </c>
      <c r="I703" s="2">
        <v>140000</v>
      </c>
      <c r="J703">
        <v>7.5749999999999998E-2</v>
      </c>
      <c r="K703">
        <v>10</v>
      </c>
      <c r="L703">
        <v>351</v>
      </c>
      <c r="M703" t="str">
        <f t="shared" si="183"/>
        <v>30 Year Fixed</v>
      </c>
      <c r="N703" s="2">
        <v>883.75</v>
      </c>
      <c r="O703" t="str">
        <f t="shared" si="180"/>
        <v>Cash Out</v>
      </c>
      <c r="P703" s="3">
        <f t="shared" si="184"/>
        <v>31674.876847290667</v>
      </c>
      <c r="Q703" s="4">
        <v>174250</v>
      </c>
      <c r="R703" s="4" t="s">
        <v>41</v>
      </c>
      <c r="S703" s="6">
        <v>588</v>
      </c>
      <c r="T703">
        <v>7.375</v>
      </c>
      <c r="U703" s="7">
        <f t="shared" si="181"/>
        <v>1276.1056113550278</v>
      </c>
      <c r="V703" s="2">
        <f t="shared" si="185"/>
        <v>-392.3556113550278</v>
      </c>
      <c r="W703" s="9">
        <f t="shared" si="186"/>
        <v>1</v>
      </c>
      <c r="X703" s="3">
        <v>142100</v>
      </c>
      <c r="Y703" s="3">
        <f t="shared" si="187"/>
        <v>0</v>
      </c>
      <c r="Z703" s="7">
        <f t="shared" si="188"/>
        <v>1040.6577180691504</v>
      </c>
      <c r="AA703" s="2">
        <f t="shared" si="182"/>
        <v>-156.90771806915041</v>
      </c>
      <c r="AB703" s="8">
        <f t="shared" si="189"/>
        <v>1</v>
      </c>
      <c r="AC703" s="10">
        <v>6.625</v>
      </c>
      <c r="AD703" s="7">
        <f t="shared" si="190"/>
        <v>969.09020902107557</v>
      </c>
      <c r="AE703" s="2">
        <f t="shared" si="191"/>
        <v>-85.340209021075566</v>
      </c>
      <c r="AF703" s="10">
        <v>1.875</v>
      </c>
      <c r="AG703" s="3">
        <f t="shared" si="192"/>
        <v>2664.375</v>
      </c>
      <c r="AH703" s="7">
        <v>2800</v>
      </c>
      <c r="AI703">
        <f t="shared" si="193"/>
        <v>360</v>
      </c>
      <c r="AJ703" t="e">
        <f>VLOOKUP(A703,'Borrower Details'!$A$1:$H$1493,8,FALSE)</f>
        <v>#N/A</v>
      </c>
      <c r="AK703" s="4" t="e">
        <f t="shared" si="194"/>
        <v>#N/A</v>
      </c>
      <c r="AL703" s="10">
        <v>7.375</v>
      </c>
      <c r="AM703" s="3">
        <f t="shared" si="195"/>
        <v>142100</v>
      </c>
      <c r="AN703">
        <v>7.375</v>
      </c>
      <c r="AO703" s="7">
        <f t="shared" si="196"/>
        <v>1040.6577180691504</v>
      </c>
      <c r="AP703" s="2">
        <f t="shared" si="197"/>
        <v>-156.90771806915041</v>
      </c>
    </row>
    <row r="704" spans="1:42" x14ac:dyDescent="0.15">
      <c r="A704" s="8">
        <v>410110530</v>
      </c>
      <c r="B704" t="s">
        <v>36</v>
      </c>
      <c r="C704" t="s">
        <v>19</v>
      </c>
      <c r="D704" s="1">
        <v>39203</v>
      </c>
      <c r="E704" s="2">
        <v>163100</v>
      </c>
      <c r="F704" s="2">
        <v>138635</v>
      </c>
      <c r="G704" t="s">
        <v>15</v>
      </c>
      <c r="H704" s="2">
        <v>983.64</v>
      </c>
      <c r="I704" s="2">
        <v>137393.99</v>
      </c>
      <c r="J704">
        <v>7.6499999999999999E-2</v>
      </c>
      <c r="K704">
        <v>12</v>
      </c>
      <c r="L704">
        <v>348</v>
      </c>
      <c r="M704" t="str">
        <f t="shared" si="183"/>
        <v>30 Year Fixed</v>
      </c>
      <c r="N704" s="2">
        <v>875.89</v>
      </c>
      <c r="O704" t="str">
        <f t="shared" si="180"/>
        <v>Refi</v>
      </c>
      <c r="P704" s="3">
        <f t="shared" si="184"/>
        <v>0</v>
      </c>
      <c r="Q704" s="4">
        <v>139455</v>
      </c>
      <c r="R704" s="4" t="s">
        <v>41</v>
      </c>
      <c r="S704" s="6">
        <v>608</v>
      </c>
      <c r="T704">
        <v>6.875</v>
      </c>
      <c r="U704" s="7">
        <f t="shared" si="181"/>
        <v>974.22632711119127</v>
      </c>
      <c r="V704" s="2">
        <f t="shared" si="185"/>
        <v>9.4136728888087191</v>
      </c>
      <c r="W704" s="9">
        <f t="shared" si="186"/>
        <v>0</v>
      </c>
      <c r="X704" s="3">
        <v>139455</v>
      </c>
      <c r="Y704" s="3">
        <f t="shared" si="187"/>
        <v>9.866995076299645E-2</v>
      </c>
      <c r="Z704" s="7">
        <f t="shared" si="188"/>
        <v>974.22632711119127</v>
      </c>
      <c r="AA704" s="2">
        <f t="shared" si="182"/>
        <v>9.4136728888087191</v>
      </c>
      <c r="AB704" s="8">
        <f t="shared" si="189"/>
        <v>1</v>
      </c>
      <c r="AC704" s="10">
        <v>6.25</v>
      </c>
      <c r="AD704" s="7">
        <f t="shared" si="190"/>
        <v>916.75467185462719</v>
      </c>
      <c r="AE704" s="2">
        <f t="shared" si="191"/>
        <v>66.885328145372796</v>
      </c>
      <c r="AF704" s="10">
        <v>2.5</v>
      </c>
      <c r="AG704" s="3">
        <f t="shared" si="192"/>
        <v>3486.375</v>
      </c>
      <c r="AH704" s="7">
        <v>2772.7</v>
      </c>
      <c r="AI704">
        <f t="shared" si="193"/>
        <v>360</v>
      </c>
      <c r="AJ704" t="e">
        <f>VLOOKUP(A704,'Borrower Details'!$A$1:$H$1493,8,FALSE)</f>
        <v>#N/A</v>
      </c>
      <c r="AK704" s="4" t="e">
        <f t="shared" si="194"/>
        <v>#N/A</v>
      </c>
      <c r="AL704" s="10">
        <v>6.875</v>
      </c>
      <c r="AM704" s="3">
        <f t="shared" si="195"/>
        <v>139454.89984999999</v>
      </c>
      <c r="AN704">
        <v>6.875</v>
      </c>
      <c r="AO704" s="7">
        <f t="shared" si="196"/>
        <v>974.22562746781762</v>
      </c>
      <c r="AP704" s="2">
        <f t="shared" si="197"/>
        <v>9.4143725321823695</v>
      </c>
    </row>
    <row r="705" spans="1:42" x14ac:dyDescent="0.15">
      <c r="A705" s="8">
        <v>410012918</v>
      </c>
      <c r="B705" t="s">
        <v>35</v>
      </c>
      <c r="C705" t="s">
        <v>16</v>
      </c>
      <c r="D705" s="1">
        <v>39185</v>
      </c>
      <c r="E705" s="2">
        <v>102000</v>
      </c>
      <c r="F705" s="2">
        <v>91800</v>
      </c>
      <c r="G705" t="s">
        <v>15</v>
      </c>
      <c r="H705" s="2">
        <v>700.04</v>
      </c>
      <c r="I705" s="2">
        <v>91703.5</v>
      </c>
      <c r="J705">
        <v>9.0499999999999997E-2</v>
      </c>
      <c r="K705">
        <v>12</v>
      </c>
      <c r="L705">
        <v>348</v>
      </c>
      <c r="M705" t="str">
        <f t="shared" si="183"/>
        <v>30 Year Fixed</v>
      </c>
      <c r="N705" s="2">
        <v>691.6</v>
      </c>
      <c r="O705" t="str">
        <f t="shared" si="180"/>
        <v>Refi</v>
      </c>
      <c r="P705" s="3">
        <f t="shared" si="184"/>
        <v>0</v>
      </c>
      <c r="Q705" s="4">
        <v>93079</v>
      </c>
      <c r="R705" s="4" t="s">
        <v>41</v>
      </c>
      <c r="S705" s="6">
        <v>597</v>
      </c>
      <c r="T705">
        <v>7.625</v>
      </c>
      <c r="U705" s="7">
        <f t="shared" si="181"/>
        <v>697.59025783609866</v>
      </c>
      <c r="V705" s="2">
        <f t="shared" si="185"/>
        <v>2.4497421639013055</v>
      </c>
      <c r="W705" s="9">
        <f t="shared" si="186"/>
        <v>0</v>
      </c>
      <c r="X705" s="3">
        <v>93080</v>
      </c>
      <c r="Y705" s="3">
        <f t="shared" si="187"/>
        <v>0.93349753695656545</v>
      </c>
      <c r="Z705" s="7">
        <f t="shared" si="188"/>
        <v>697.59775244022887</v>
      </c>
      <c r="AA705" s="2">
        <f t="shared" si="182"/>
        <v>2.44224755977109</v>
      </c>
      <c r="AB705" s="8">
        <f t="shared" si="189"/>
        <v>1</v>
      </c>
      <c r="AC705" s="10">
        <v>6.875</v>
      </c>
      <c r="AD705" s="7">
        <f t="shared" si="190"/>
        <v>650.25267310250388</v>
      </c>
      <c r="AE705" s="2">
        <f t="shared" si="191"/>
        <v>49.787326897496087</v>
      </c>
      <c r="AF705" s="10">
        <v>1</v>
      </c>
      <c r="AG705" s="3">
        <f t="shared" si="192"/>
        <v>930.8</v>
      </c>
      <c r="AH705" s="7">
        <v>4153.95</v>
      </c>
      <c r="AI705">
        <f t="shared" si="193"/>
        <v>360</v>
      </c>
      <c r="AJ705" t="e">
        <f>VLOOKUP(A705,'Borrower Details'!$A$1:$H$1493,8,FALSE)</f>
        <v>#N/A</v>
      </c>
      <c r="AK705" s="4" t="e">
        <f t="shared" si="194"/>
        <v>#N/A</v>
      </c>
      <c r="AL705" s="10">
        <v>7.625</v>
      </c>
      <c r="AM705" s="3">
        <f t="shared" si="195"/>
        <v>93079.052499999991</v>
      </c>
      <c r="AN705">
        <v>7.625</v>
      </c>
      <c r="AO705" s="7">
        <f t="shared" si="196"/>
        <v>697.59065130281544</v>
      </c>
      <c r="AP705" s="2">
        <f t="shared" si="197"/>
        <v>2.4493486971845186</v>
      </c>
    </row>
    <row r="706" spans="1:42" x14ac:dyDescent="0.15">
      <c r="A706" s="8">
        <v>1183723</v>
      </c>
      <c r="B706" t="s">
        <v>37</v>
      </c>
      <c r="C706" t="s">
        <v>19</v>
      </c>
      <c r="D706" s="1">
        <v>39181</v>
      </c>
      <c r="E706" s="2">
        <v>122000</v>
      </c>
      <c r="F706" s="2">
        <v>83500</v>
      </c>
      <c r="G706" t="s">
        <v>17</v>
      </c>
      <c r="H706" s="2">
        <v>636.14</v>
      </c>
      <c r="I706" s="2">
        <v>82911.66</v>
      </c>
      <c r="J706">
        <v>8.4000000000000005E-2</v>
      </c>
      <c r="K706">
        <v>12</v>
      </c>
      <c r="L706">
        <v>349</v>
      </c>
      <c r="M706" t="str">
        <f t="shared" si="183"/>
        <v>30 Year Fixed</v>
      </c>
      <c r="N706" s="2">
        <v>580.38</v>
      </c>
      <c r="O706" t="str">
        <f t="shared" ref="O706:O769" si="198">IF((0.85*E706)&gt;(I706*1.015),"Cash Out","Refi")</f>
        <v>Cash Out</v>
      </c>
      <c r="P706" s="3">
        <f t="shared" si="184"/>
        <v>19255.827684729069</v>
      </c>
      <c r="Q706" s="4">
        <v>103700</v>
      </c>
      <c r="R706" s="4" t="s">
        <v>41</v>
      </c>
      <c r="S706" s="6">
        <v>560</v>
      </c>
      <c r="T706">
        <v>7.625</v>
      </c>
      <c r="U706" s="7">
        <f t="shared" ref="U706:U769" si="199">(Q706*((T706/1200)/(1-(1+(T706/1200))^-AI706)))+((Q706*0.005)/12)</f>
        <v>777.19044830309133</v>
      </c>
      <c r="V706" s="2">
        <f t="shared" si="185"/>
        <v>-141.05044830309134</v>
      </c>
      <c r="W706" s="9">
        <f t="shared" si="186"/>
        <v>1</v>
      </c>
      <c r="X706" s="3">
        <v>84810</v>
      </c>
      <c r="Y706" s="3">
        <f t="shared" si="187"/>
        <v>644.9902463054168</v>
      </c>
      <c r="Z706" s="7">
        <f t="shared" si="188"/>
        <v>635.61737628336709</v>
      </c>
      <c r="AA706" s="2">
        <f t="shared" ref="AA706:AA769" si="200">H706-Z706</f>
        <v>0.52262371663289287</v>
      </c>
      <c r="AB706" s="8">
        <f t="shared" si="189"/>
        <v>1</v>
      </c>
      <c r="AC706" s="10">
        <v>6.5</v>
      </c>
      <c r="AD706" s="7">
        <f t="shared" si="190"/>
        <v>571.39439072438449</v>
      </c>
      <c r="AE706" s="2">
        <f t="shared" si="191"/>
        <v>64.745609275615493</v>
      </c>
      <c r="AF706" s="10">
        <v>2.625</v>
      </c>
      <c r="AG706" s="3">
        <f t="shared" si="192"/>
        <v>2226.2624999999998</v>
      </c>
      <c r="AH706" s="7">
        <v>0</v>
      </c>
      <c r="AI706">
        <f t="shared" si="193"/>
        <v>360</v>
      </c>
      <c r="AJ706" t="e">
        <f>VLOOKUP(A706,'Borrower Details'!$A$1:$H$1493,8,FALSE)</f>
        <v>#N/A</v>
      </c>
      <c r="AK706" s="4" t="e">
        <f t="shared" si="194"/>
        <v>#N/A</v>
      </c>
      <c r="AL706" s="10">
        <v>7.625</v>
      </c>
      <c r="AM706" s="3">
        <f t="shared" si="195"/>
        <v>84155.334900000002</v>
      </c>
      <c r="AN706">
        <v>7.625</v>
      </c>
      <c r="AO706" s="7">
        <f t="shared" si="196"/>
        <v>630.71092052100084</v>
      </c>
      <c r="AP706" s="2">
        <f t="shared" si="197"/>
        <v>5.4290794789991423</v>
      </c>
    </row>
    <row r="707" spans="1:42" x14ac:dyDescent="0.15">
      <c r="A707" s="8">
        <v>410268064</v>
      </c>
      <c r="B707" t="s">
        <v>36</v>
      </c>
      <c r="C707" t="s">
        <v>19</v>
      </c>
      <c r="D707" s="1">
        <v>39227</v>
      </c>
      <c r="E707" s="2">
        <v>252000</v>
      </c>
      <c r="F707" s="2">
        <v>206300</v>
      </c>
      <c r="G707" t="s">
        <v>15</v>
      </c>
      <c r="H707" s="2">
        <v>1448.47</v>
      </c>
      <c r="I707" s="2">
        <v>206084.59</v>
      </c>
      <c r="J707">
        <v>8.2900000000000001E-2</v>
      </c>
      <c r="K707">
        <v>11</v>
      </c>
      <c r="L707">
        <v>351</v>
      </c>
      <c r="M707" t="str">
        <f t="shared" ref="M707:M770" si="201">(IF((L707+K707)&lt;180,"15 Year Fixed","30 Year Fixed"))</f>
        <v>30 Year Fixed</v>
      </c>
      <c r="N707" s="2">
        <v>1423.7</v>
      </c>
      <c r="O707" t="str">
        <f t="shared" si="198"/>
        <v>Cash Out</v>
      </c>
      <c r="P707" s="3">
        <f t="shared" ref="P707:P770" si="202">IF((0.85*E707)&gt;(I707*1.015),((0.85*E707)/1.015)-(I707),0)</f>
        <v>4949.8927586206992</v>
      </c>
      <c r="Q707" s="4">
        <v>214200</v>
      </c>
      <c r="R707" s="4" t="s">
        <v>41</v>
      </c>
      <c r="S707" s="6">
        <v>568</v>
      </c>
      <c r="T707">
        <v>7.625</v>
      </c>
      <c r="U707" s="7">
        <f t="shared" si="199"/>
        <v>1605.3442046916311</v>
      </c>
      <c r="V707" s="2">
        <f t="shared" ref="V707:V770" si="203">H707-U707</f>
        <v>-156.87420469163112</v>
      </c>
      <c r="W707" s="9">
        <f t="shared" ref="W707:W770" si="204">IF(AND(O707="Cash Out",V707&lt;0),1,0)</f>
        <v>1</v>
      </c>
      <c r="X707" s="3">
        <v>209176</v>
      </c>
      <c r="Y707" s="3">
        <f t="shared" ref="Y707:Y770" si="205">(X707/1.015)-(I707)</f>
        <v>0.13906403942382894</v>
      </c>
      <c r="Z707" s="7">
        <f t="shared" ref="Z707:Z770" si="206">(X707*((AL707/1200)/(1-(1+(AL707/1200))^-AI707)))+((X707*0.005)/12)</f>
        <v>1567.6913135414409</v>
      </c>
      <c r="AA707" s="2">
        <f t="shared" si="200"/>
        <v>-119.22131354144085</v>
      </c>
      <c r="AB707" s="8">
        <f t="shared" ref="AB707:AB770" si="207">IF(I707=0,0,IF(AND(AH707&gt;0,(AP707/AO707)&lt;0.07),1,IF(AND(AH707=0,(AP707/AO707)&lt;0.1),1,0)))</f>
        <v>1</v>
      </c>
      <c r="AC707" s="10">
        <v>6.875</v>
      </c>
      <c r="AD707" s="7">
        <f t="shared" ref="AD707:AD770" si="208">(X707*((AC707/1200)/(1-(1+(AC707/1200))^-AI707)))+((X707*0.005)/12)</f>
        <v>1461.2940819605647</v>
      </c>
      <c r="AE707" s="2">
        <f t="shared" ref="AE707:AE770" si="209">H707-AD707</f>
        <v>-12.824081960564627</v>
      </c>
      <c r="AF707" s="10">
        <v>1</v>
      </c>
      <c r="AG707" s="3">
        <f t="shared" ref="AG707:AG770" si="210">AF707*X707/100</f>
        <v>2091.7600000000002</v>
      </c>
      <c r="AH707" s="7">
        <v>4126</v>
      </c>
      <c r="AI707">
        <f t="shared" ref="AI707:AI770" si="211">IF(M707="30 Year Fixed",360,180)</f>
        <v>360</v>
      </c>
      <c r="AJ707" t="e">
        <f>VLOOKUP(A707,'Borrower Details'!$A$1:$H$1493,8,FALSE)</f>
        <v>#N/A</v>
      </c>
      <c r="AK707" s="4" t="e">
        <f t="shared" ref="AK707:AK770" si="212">IF(AJ707&gt;360,PV((J707/12),AJ707-AI707,-H707),"NA")</f>
        <v>#N/A</v>
      </c>
      <c r="AL707" s="10">
        <v>7.625</v>
      </c>
      <c r="AM707" s="3">
        <f t="shared" ref="AM707:AM770" si="213">I707*1.015</f>
        <v>209175.85884999999</v>
      </c>
      <c r="AN707">
        <v>7.625</v>
      </c>
      <c r="AO707" s="7">
        <f t="shared" ref="AO707:AO770" si="214">(AM707*((AN707/1200)/(1-(1+(AN707/1200))^-AI707)))+((AM707*0.005)/12)</f>
        <v>1567.6902556780678</v>
      </c>
      <c r="AP707" s="2">
        <f t="shared" ref="AP707:AP770" si="215">H707-AO707</f>
        <v>-119.22025567806782</v>
      </c>
    </row>
    <row r="708" spans="1:42" x14ac:dyDescent="0.15">
      <c r="A708" s="8">
        <v>1171543</v>
      </c>
      <c r="B708" t="s">
        <v>35</v>
      </c>
      <c r="C708" t="s">
        <v>16</v>
      </c>
      <c r="D708" s="1">
        <v>39188</v>
      </c>
      <c r="E708" s="2">
        <v>162000</v>
      </c>
      <c r="F708" s="2">
        <v>121500</v>
      </c>
      <c r="G708" t="s">
        <v>15</v>
      </c>
      <c r="H708" s="2">
        <v>938.54</v>
      </c>
      <c r="I708" s="2">
        <v>120590.7</v>
      </c>
      <c r="J708">
        <v>8.5500000000000007E-2</v>
      </c>
      <c r="K708">
        <v>12</v>
      </c>
      <c r="L708">
        <v>348</v>
      </c>
      <c r="M708" t="str">
        <f t="shared" si="201"/>
        <v>30 Year Fixed</v>
      </c>
      <c r="N708" s="2">
        <v>859.21</v>
      </c>
      <c r="O708" t="str">
        <f t="shared" si="198"/>
        <v>Cash Out</v>
      </c>
      <c r="P708" s="3">
        <f t="shared" si="202"/>
        <v>15074.324630541887</v>
      </c>
      <c r="Q708" s="4">
        <v>137700</v>
      </c>
      <c r="R708" s="4" t="s">
        <v>41</v>
      </c>
      <c r="S708" s="6">
        <v>634</v>
      </c>
      <c r="T708">
        <v>6.75</v>
      </c>
      <c r="U708" s="7">
        <f t="shared" si="199"/>
        <v>950.4945789744304</v>
      </c>
      <c r="V708" s="2">
        <f t="shared" si="203"/>
        <v>-11.954578974430433</v>
      </c>
      <c r="W708" s="9">
        <f t="shared" si="204"/>
        <v>1</v>
      </c>
      <c r="X708" s="3">
        <v>135890</v>
      </c>
      <c r="Y708" s="3">
        <f t="shared" si="205"/>
        <v>13291.073399014786</v>
      </c>
      <c r="Z708" s="7">
        <f t="shared" si="206"/>
        <v>938.00078675987902</v>
      </c>
      <c r="AA708" s="2">
        <f t="shared" si="200"/>
        <v>0.53921324012094374</v>
      </c>
      <c r="AB708" s="8">
        <f t="shared" si="207"/>
        <v>0</v>
      </c>
      <c r="AC708" s="10">
        <v>6.75</v>
      </c>
      <c r="AD708" s="7">
        <f t="shared" si="208"/>
        <v>938.00078675987902</v>
      </c>
      <c r="AE708" s="2">
        <f t="shared" si="209"/>
        <v>0.53921324012094374</v>
      </c>
      <c r="AF708" s="10">
        <v>0</v>
      </c>
      <c r="AG708" s="3">
        <f t="shared" si="210"/>
        <v>0</v>
      </c>
      <c r="AH708" s="7">
        <v>5194.125</v>
      </c>
      <c r="AI708">
        <f t="shared" si="211"/>
        <v>360</v>
      </c>
      <c r="AJ708" t="e">
        <f>VLOOKUP(A708,'Borrower Details'!$A$1:$H$1493,8,FALSE)</f>
        <v>#N/A</v>
      </c>
      <c r="AK708" s="4" t="e">
        <f t="shared" si="212"/>
        <v>#N/A</v>
      </c>
      <c r="AL708" s="10">
        <v>6.75</v>
      </c>
      <c r="AM708" s="3">
        <f t="shared" si="213"/>
        <v>122399.56049999999</v>
      </c>
      <c r="AN708">
        <v>6.75</v>
      </c>
      <c r="AO708" s="7">
        <f t="shared" si="214"/>
        <v>844.88103648585923</v>
      </c>
      <c r="AP708" s="2">
        <f t="shared" si="215"/>
        <v>93.658963514140737</v>
      </c>
    </row>
    <row r="709" spans="1:42" x14ac:dyDescent="0.15">
      <c r="A709" s="8">
        <v>1175164</v>
      </c>
      <c r="B709" t="s">
        <v>36</v>
      </c>
      <c r="C709" t="s">
        <v>19</v>
      </c>
      <c r="D709" s="1">
        <v>39188</v>
      </c>
      <c r="E709" s="2">
        <v>175000</v>
      </c>
      <c r="F709" s="2">
        <v>120000</v>
      </c>
      <c r="G709" t="s">
        <v>17</v>
      </c>
      <c r="H709" s="2">
        <v>919.89</v>
      </c>
      <c r="I709" s="2">
        <v>119811.05</v>
      </c>
      <c r="J709">
        <v>9.0999999999999998E-2</v>
      </c>
      <c r="K709">
        <v>12</v>
      </c>
      <c r="L709">
        <v>348</v>
      </c>
      <c r="M709" t="str">
        <f t="shared" si="201"/>
        <v>30 Year Fixed</v>
      </c>
      <c r="N709" s="2">
        <v>908.57</v>
      </c>
      <c r="O709" t="str">
        <f t="shared" si="198"/>
        <v>Cash Out</v>
      </c>
      <c r="P709" s="3">
        <f t="shared" si="202"/>
        <v>26740.674137931041</v>
      </c>
      <c r="Q709" s="4">
        <v>148750</v>
      </c>
      <c r="R709" s="4" t="s">
        <v>41</v>
      </c>
      <c r="S709" s="6">
        <v>503</v>
      </c>
      <c r="T709">
        <v>7.625</v>
      </c>
      <c r="U709" s="7">
        <f t="shared" si="199"/>
        <v>1114.8223643691883</v>
      </c>
      <c r="V709" s="2">
        <f t="shared" si="203"/>
        <v>-194.93236436918835</v>
      </c>
      <c r="W709" s="9">
        <f t="shared" si="204"/>
        <v>1</v>
      </c>
      <c r="X709" s="3">
        <v>122670</v>
      </c>
      <c r="Y709" s="3">
        <f t="shared" si="205"/>
        <v>1046.0928571428667</v>
      </c>
      <c r="Z709" s="7">
        <f t="shared" si="206"/>
        <v>919.36308865323247</v>
      </c>
      <c r="AA709" s="2">
        <f t="shared" si="200"/>
        <v>0.52691134676751972</v>
      </c>
      <c r="AB709" s="8">
        <f t="shared" si="207"/>
        <v>1</v>
      </c>
      <c r="AC709" s="10">
        <v>6.875</v>
      </c>
      <c r="AD709" s="7">
        <f t="shared" si="208"/>
        <v>856.96707573575577</v>
      </c>
      <c r="AE709" s="2">
        <f t="shared" si="209"/>
        <v>62.922924264244216</v>
      </c>
      <c r="AF709" s="10">
        <v>1.75</v>
      </c>
      <c r="AG709" s="3">
        <f t="shared" si="210"/>
        <v>2146.7249999999999</v>
      </c>
      <c r="AH709" s="7">
        <v>2400</v>
      </c>
      <c r="AI709">
        <f t="shared" si="211"/>
        <v>360</v>
      </c>
      <c r="AJ709" t="e">
        <f>VLOOKUP(A709,'Borrower Details'!$A$1:$H$1493,8,FALSE)</f>
        <v>#N/A</v>
      </c>
      <c r="AK709" s="4" t="e">
        <f t="shared" si="212"/>
        <v>#N/A</v>
      </c>
      <c r="AL709" s="10">
        <v>7.625</v>
      </c>
      <c r="AM709" s="3">
        <f t="shared" si="213"/>
        <v>121608.21574999999</v>
      </c>
      <c r="AN709">
        <v>7.625</v>
      </c>
      <c r="AO709" s="7">
        <f t="shared" si="214"/>
        <v>911.40543602778723</v>
      </c>
      <c r="AP709" s="2">
        <f t="shared" si="215"/>
        <v>8.4845639722127544</v>
      </c>
    </row>
    <row r="710" spans="1:42" x14ac:dyDescent="0.15">
      <c r="A710" s="8">
        <v>410556104</v>
      </c>
      <c r="B710" t="s">
        <v>36</v>
      </c>
      <c r="C710" t="s">
        <v>19</v>
      </c>
      <c r="D710" s="1">
        <v>39268</v>
      </c>
      <c r="E710" s="2">
        <v>205000</v>
      </c>
      <c r="F710" s="2">
        <v>174250</v>
      </c>
      <c r="G710" t="s">
        <v>17</v>
      </c>
      <c r="H710" s="2">
        <v>1147.6199999999999</v>
      </c>
      <c r="I710" s="2">
        <v>171194.09</v>
      </c>
      <c r="J710">
        <v>6.9000000000000006E-2</v>
      </c>
      <c r="K710">
        <v>10</v>
      </c>
      <c r="L710">
        <v>349</v>
      </c>
      <c r="M710" t="str">
        <f t="shared" si="201"/>
        <v>30 Year Fixed</v>
      </c>
      <c r="N710" s="2">
        <v>984.37</v>
      </c>
      <c r="O710" t="str">
        <f t="shared" si="198"/>
        <v>Cash Out</v>
      </c>
      <c r="P710" s="3">
        <f t="shared" si="202"/>
        <v>480.78684729067027</v>
      </c>
      <c r="Q710" s="4">
        <v>174250</v>
      </c>
      <c r="R710" s="4" t="s">
        <v>41</v>
      </c>
      <c r="S710" s="6">
        <v>721</v>
      </c>
      <c r="T710">
        <v>6.75</v>
      </c>
      <c r="U710" s="7">
        <f t="shared" si="199"/>
        <v>1202.7863499367793</v>
      </c>
      <c r="V710" s="2">
        <f t="shared" si="203"/>
        <v>-55.166349936779397</v>
      </c>
      <c r="W710" s="9">
        <f t="shared" si="204"/>
        <v>1</v>
      </c>
      <c r="X710" s="3">
        <v>173762</v>
      </c>
      <c r="Y710" s="3">
        <f t="shared" si="205"/>
        <v>-1.330049242824316E-3</v>
      </c>
      <c r="Z710" s="7">
        <f t="shared" si="206"/>
        <v>1199.4178578921931</v>
      </c>
      <c r="AA710" s="2">
        <f t="shared" si="200"/>
        <v>-51.797857892193178</v>
      </c>
      <c r="AB710" s="8">
        <f t="shared" si="207"/>
        <v>1</v>
      </c>
      <c r="AC710" s="10">
        <v>6.125</v>
      </c>
      <c r="AD710" s="7">
        <f t="shared" si="208"/>
        <v>1128.1970591195313</v>
      </c>
      <c r="AE710" s="2">
        <f t="shared" si="209"/>
        <v>19.422940880468559</v>
      </c>
      <c r="AF710" s="10">
        <v>3</v>
      </c>
      <c r="AG710" s="3">
        <f t="shared" si="210"/>
        <v>5212.8599999999997</v>
      </c>
      <c r="AH710" s="7">
        <v>3485</v>
      </c>
      <c r="AI710">
        <f t="shared" si="211"/>
        <v>360</v>
      </c>
      <c r="AJ710" t="e">
        <f>VLOOKUP(A710,'Borrower Details'!$A$1:$H$1493,8,FALSE)</f>
        <v>#N/A</v>
      </c>
      <c r="AK710" s="4" t="e">
        <f t="shared" si="212"/>
        <v>#N/A</v>
      </c>
      <c r="AL710" s="10">
        <v>6.75</v>
      </c>
      <c r="AM710" s="3">
        <f t="shared" si="213"/>
        <v>173762.00134999998</v>
      </c>
      <c r="AN710">
        <v>6.75</v>
      </c>
      <c r="AO710" s="7">
        <f t="shared" si="214"/>
        <v>1199.4178672107671</v>
      </c>
      <c r="AP710" s="2">
        <f t="shared" si="215"/>
        <v>-51.797867210767208</v>
      </c>
    </row>
    <row r="711" spans="1:42" x14ac:dyDescent="0.15">
      <c r="A711" s="8">
        <v>410415046</v>
      </c>
      <c r="B711" t="s">
        <v>36</v>
      </c>
      <c r="C711" t="s">
        <v>19</v>
      </c>
      <c r="D711" s="1">
        <v>39246</v>
      </c>
      <c r="E711" s="2">
        <v>337900</v>
      </c>
      <c r="F711" s="2">
        <v>270320</v>
      </c>
      <c r="G711" t="s">
        <v>20</v>
      </c>
      <c r="H711" s="2">
        <v>1624.42</v>
      </c>
      <c r="I711" s="2">
        <v>269755.90000000002</v>
      </c>
      <c r="J711">
        <v>6.9900000000000004E-2</v>
      </c>
      <c r="K711">
        <v>10</v>
      </c>
      <c r="L711">
        <v>349</v>
      </c>
      <c r="M711" t="str">
        <f t="shared" si="201"/>
        <v>30 Year Fixed</v>
      </c>
      <c r="N711" s="2">
        <v>1571.64</v>
      </c>
      <c r="O711" t="str">
        <f t="shared" si="198"/>
        <v>Cash Out</v>
      </c>
      <c r="P711" s="3">
        <f t="shared" si="202"/>
        <v>13214.543349753716</v>
      </c>
      <c r="Q711" s="4">
        <v>287215</v>
      </c>
      <c r="R711" s="4" t="s">
        <v>41</v>
      </c>
      <c r="S711" s="6">
        <v>707</v>
      </c>
      <c r="T711">
        <v>6.75</v>
      </c>
      <c r="U711" s="7">
        <f t="shared" si="199"/>
        <v>1982.543939725062</v>
      </c>
      <c r="V711" s="2">
        <f t="shared" si="203"/>
        <v>-358.12393972506197</v>
      </c>
      <c r="W711" s="9">
        <f t="shared" si="204"/>
        <v>1</v>
      </c>
      <c r="X711" s="3">
        <v>273802</v>
      </c>
      <c r="Y711" s="3">
        <f t="shared" si="205"/>
        <v>-0.23497536947252229</v>
      </c>
      <c r="Z711" s="7">
        <f t="shared" si="206"/>
        <v>1889.9587270323675</v>
      </c>
      <c r="AA711" s="2">
        <f t="shared" si="200"/>
        <v>-265.53872703236743</v>
      </c>
      <c r="AB711" s="8">
        <f t="shared" si="207"/>
        <v>1</v>
      </c>
      <c r="AC711" s="10">
        <v>6.125</v>
      </c>
      <c r="AD711" s="7">
        <f t="shared" si="208"/>
        <v>1777.7339762493864</v>
      </c>
      <c r="AE711" s="2">
        <f t="shared" si="209"/>
        <v>-153.31397624938631</v>
      </c>
      <c r="AF711" s="10">
        <v>3</v>
      </c>
      <c r="AG711" s="3">
        <f t="shared" si="210"/>
        <v>8214.06</v>
      </c>
      <c r="AH711" s="7">
        <v>5406.4</v>
      </c>
      <c r="AI711">
        <f t="shared" si="211"/>
        <v>360</v>
      </c>
      <c r="AJ711" t="e">
        <f>VLOOKUP(A711,'Borrower Details'!$A$1:$H$1493,8,FALSE)</f>
        <v>#N/A</v>
      </c>
      <c r="AK711" s="4" t="e">
        <f t="shared" si="212"/>
        <v>#N/A</v>
      </c>
      <c r="AL711" s="10">
        <v>6.75</v>
      </c>
      <c r="AM711" s="3">
        <f t="shared" si="213"/>
        <v>273802.23849999998</v>
      </c>
      <c r="AN711">
        <v>6.75</v>
      </c>
      <c r="AO711" s="7">
        <f t="shared" si="214"/>
        <v>1889.9603733138276</v>
      </c>
      <c r="AP711" s="2">
        <f t="shared" si="215"/>
        <v>-265.54037331382756</v>
      </c>
    </row>
    <row r="712" spans="1:42" x14ac:dyDescent="0.15">
      <c r="A712" s="8">
        <v>1152430</v>
      </c>
      <c r="B712" t="s">
        <v>36</v>
      </c>
      <c r="C712" t="s">
        <v>19</v>
      </c>
      <c r="D712" s="1">
        <v>39139</v>
      </c>
      <c r="E712" s="2">
        <v>167000</v>
      </c>
      <c r="F712" s="2">
        <v>80000</v>
      </c>
      <c r="G712" t="s">
        <v>17</v>
      </c>
      <c r="H712" s="2">
        <v>601.02</v>
      </c>
      <c r="I712" s="2">
        <v>79220.87</v>
      </c>
      <c r="J712">
        <v>8.2500000000000004E-2</v>
      </c>
      <c r="K712">
        <v>14</v>
      </c>
      <c r="L712">
        <v>346</v>
      </c>
      <c r="M712" t="str">
        <f t="shared" si="201"/>
        <v>30 Year Fixed</v>
      </c>
      <c r="N712" s="2">
        <v>544.64</v>
      </c>
      <c r="O712" t="str">
        <f t="shared" si="198"/>
        <v>Cash Out</v>
      </c>
      <c r="P712" s="3">
        <f t="shared" si="202"/>
        <v>60631.346748768497</v>
      </c>
      <c r="Q712" s="4">
        <v>141950</v>
      </c>
      <c r="R712" s="4" t="s">
        <v>41</v>
      </c>
      <c r="S712" s="6">
        <v>536</v>
      </c>
      <c r="T712">
        <v>7.625</v>
      </c>
      <c r="U712" s="7">
        <f t="shared" si="199"/>
        <v>1063.8590562837396</v>
      </c>
      <c r="V712" s="2">
        <f t="shared" si="203"/>
        <v>-462.83905628373964</v>
      </c>
      <c r="W712" s="9">
        <f t="shared" si="204"/>
        <v>1</v>
      </c>
      <c r="X712" s="3">
        <v>80409</v>
      </c>
      <c r="Y712" s="3">
        <f t="shared" si="205"/>
        <v>-0.18034482757502701</v>
      </c>
      <c r="Z712" s="7">
        <f t="shared" si="206"/>
        <v>602.6336235062995</v>
      </c>
      <c r="AA712" s="2">
        <f t="shared" si="200"/>
        <v>-1.6136235062995183</v>
      </c>
      <c r="AB712" s="8">
        <f t="shared" si="207"/>
        <v>1</v>
      </c>
      <c r="AC712" s="10">
        <v>6.875</v>
      </c>
      <c r="AD712" s="7">
        <f t="shared" si="208"/>
        <v>561.73363978834584</v>
      </c>
      <c r="AE712" s="2">
        <f t="shared" si="209"/>
        <v>39.286360211654141</v>
      </c>
      <c r="AF712" s="10">
        <v>1.25</v>
      </c>
      <c r="AG712" s="3">
        <f t="shared" si="210"/>
        <v>1005.1125</v>
      </c>
      <c r="AH712" s="7">
        <v>1600</v>
      </c>
      <c r="AI712">
        <f t="shared" si="211"/>
        <v>360</v>
      </c>
      <c r="AJ712" t="e">
        <f>VLOOKUP(A712,'Borrower Details'!$A$1:$H$1493,8,FALSE)</f>
        <v>#N/A</v>
      </c>
      <c r="AK712" s="4" t="e">
        <f t="shared" si="212"/>
        <v>#N/A</v>
      </c>
      <c r="AL712" s="10">
        <v>7.625</v>
      </c>
      <c r="AM712" s="3">
        <f t="shared" si="213"/>
        <v>80409.183049999992</v>
      </c>
      <c r="AN712">
        <v>7.625</v>
      </c>
      <c r="AO712" s="7">
        <f t="shared" si="214"/>
        <v>602.63499539358554</v>
      </c>
      <c r="AP712" s="2">
        <f t="shared" si="215"/>
        <v>-1.6149953935855592</v>
      </c>
    </row>
    <row r="713" spans="1:42" x14ac:dyDescent="0.15">
      <c r="A713" s="8">
        <v>410688022</v>
      </c>
      <c r="B713" t="s">
        <v>35</v>
      </c>
      <c r="C713" t="s">
        <v>16</v>
      </c>
      <c r="D713" s="1">
        <v>39290</v>
      </c>
      <c r="E713" s="2">
        <v>126000</v>
      </c>
      <c r="F713" s="2">
        <v>119700</v>
      </c>
      <c r="G713" t="s">
        <v>15</v>
      </c>
      <c r="H713" s="2">
        <v>963.29</v>
      </c>
      <c r="I713" s="2">
        <v>119622.39999999999</v>
      </c>
      <c r="J713">
        <v>9.5750000000000002E-2</v>
      </c>
      <c r="K713">
        <v>9</v>
      </c>
      <c r="L713">
        <v>351</v>
      </c>
      <c r="M713" t="str">
        <f t="shared" si="201"/>
        <v>30 Year Fixed</v>
      </c>
      <c r="N713" s="2">
        <v>954.49</v>
      </c>
      <c r="O713" t="str">
        <f t="shared" si="198"/>
        <v>Refi</v>
      </c>
      <c r="P713" s="3">
        <f t="shared" si="202"/>
        <v>0</v>
      </c>
      <c r="Q713" s="4">
        <v>121417</v>
      </c>
      <c r="R713" s="4" t="s">
        <v>41</v>
      </c>
      <c r="S713" s="6">
        <v>616</v>
      </c>
      <c r="T713">
        <v>6.875</v>
      </c>
      <c r="U713" s="7">
        <f t="shared" si="199"/>
        <v>848.21367436706828</v>
      </c>
      <c r="V713" s="2">
        <f t="shared" si="203"/>
        <v>115.07632563293168</v>
      </c>
      <c r="W713" s="9">
        <f t="shared" si="204"/>
        <v>0</v>
      </c>
      <c r="X713" s="3">
        <v>121417</v>
      </c>
      <c r="Y713" s="3">
        <f t="shared" si="205"/>
        <v>0.26009852217976004</v>
      </c>
      <c r="Z713" s="7">
        <f t="shared" si="206"/>
        <v>848.21367436706828</v>
      </c>
      <c r="AA713" s="2">
        <f t="shared" si="200"/>
        <v>115.07632563293168</v>
      </c>
      <c r="AB713" s="8">
        <f t="shared" si="207"/>
        <v>0</v>
      </c>
      <c r="AC713" s="10">
        <v>6.875</v>
      </c>
      <c r="AD713" s="7">
        <f t="shared" si="208"/>
        <v>848.21367436706828</v>
      </c>
      <c r="AE713" s="2">
        <f t="shared" si="209"/>
        <v>115.07632563293168</v>
      </c>
      <c r="AF713" s="10">
        <v>0</v>
      </c>
      <c r="AG713" s="3">
        <f t="shared" si="210"/>
        <v>0</v>
      </c>
      <c r="AH713" s="7">
        <v>5730.6374999999998</v>
      </c>
      <c r="AI713">
        <f t="shared" si="211"/>
        <v>360</v>
      </c>
      <c r="AJ713" t="e">
        <f>VLOOKUP(A713,'Borrower Details'!$A$1:$H$1493,8,FALSE)</f>
        <v>#N/A</v>
      </c>
      <c r="AK713" s="4" t="e">
        <f t="shared" si="212"/>
        <v>#N/A</v>
      </c>
      <c r="AL713" s="10">
        <v>6.875</v>
      </c>
      <c r="AM713" s="3">
        <f t="shared" si="213"/>
        <v>121416.73599999998</v>
      </c>
      <c r="AN713">
        <v>6.875</v>
      </c>
      <c r="AO713" s="7">
        <f t="shared" si="214"/>
        <v>848.21183007499997</v>
      </c>
      <c r="AP713" s="2">
        <f t="shared" si="215"/>
        <v>115.078169925</v>
      </c>
    </row>
    <row r="714" spans="1:42" x14ac:dyDescent="0.15">
      <c r="A714" s="8">
        <v>1170209</v>
      </c>
      <c r="B714" t="s">
        <v>36</v>
      </c>
      <c r="C714" t="s">
        <v>18</v>
      </c>
      <c r="D714" s="1">
        <v>39160</v>
      </c>
      <c r="E714" s="2">
        <v>240000</v>
      </c>
      <c r="F714" s="2">
        <v>192000</v>
      </c>
      <c r="G714" t="s">
        <v>17</v>
      </c>
      <c r="H714" s="2">
        <v>1388.81</v>
      </c>
      <c r="I714" s="2">
        <v>188336.43</v>
      </c>
      <c r="J714">
        <v>7.85E-2</v>
      </c>
      <c r="K714">
        <v>13</v>
      </c>
      <c r="L714">
        <v>347</v>
      </c>
      <c r="M714" t="str">
        <f t="shared" si="201"/>
        <v>30 Year Fixed</v>
      </c>
      <c r="N714" s="2">
        <v>1232.03</v>
      </c>
      <c r="O714" t="str">
        <f t="shared" si="198"/>
        <v>Cash Out</v>
      </c>
      <c r="P714" s="3">
        <f t="shared" si="202"/>
        <v>12648.791674876877</v>
      </c>
      <c r="Q714" s="4">
        <v>204000</v>
      </c>
      <c r="R714" s="4" t="s">
        <v>41</v>
      </c>
      <c r="S714" s="6">
        <v>701</v>
      </c>
      <c r="T714">
        <v>6.75</v>
      </c>
      <c r="U714" s="7">
        <f t="shared" si="199"/>
        <v>1408.1401169991561</v>
      </c>
      <c r="V714" s="2">
        <f t="shared" si="203"/>
        <v>-19.330116999156189</v>
      </c>
      <c r="W714" s="9">
        <f t="shared" si="204"/>
        <v>1</v>
      </c>
      <c r="X714" s="3">
        <v>201120</v>
      </c>
      <c r="Y714" s="3">
        <f t="shared" si="205"/>
        <v>9811.3532512315433</v>
      </c>
      <c r="Z714" s="7">
        <f t="shared" si="206"/>
        <v>1388.2604918179916</v>
      </c>
      <c r="AA714" s="2">
        <f t="shared" si="200"/>
        <v>0.54950818200836693</v>
      </c>
      <c r="AB714" s="8">
        <f t="shared" si="207"/>
        <v>1</v>
      </c>
      <c r="AC714" s="10">
        <v>6.125</v>
      </c>
      <c r="AD714" s="7">
        <f t="shared" si="208"/>
        <v>1305.8263172046829</v>
      </c>
      <c r="AE714" s="2">
        <f t="shared" si="209"/>
        <v>82.983682795317009</v>
      </c>
      <c r="AF714" s="10">
        <v>3</v>
      </c>
      <c r="AG714" s="3">
        <f t="shared" si="210"/>
        <v>6033.6</v>
      </c>
      <c r="AH714" s="7">
        <v>3840</v>
      </c>
      <c r="AI714">
        <f t="shared" si="211"/>
        <v>360</v>
      </c>
      <c r="AJ714" t="e">
        <f>VLOOKUP(A714,'Borrower Details'!$A$1:$H$1493,8,FALSE)</f>
        <v>#N/A</v>
      </c>
      <c r="AK714" s="4" t="e">
        <f t="shared" si="212"/>
        <v>#N/A</v>
      </c>
      <c r="AL714" s="10">
        <v>6.75</v>
      </c>
      <c r="AM714" s="3">
        <f t="shared" si="213"/>
        <v>191161.47644999999</v>
      </c>
      <c r="AN714">
        <v>6.75</v>
      </c>
      <c r="AO714" s="7">
        <f t="shared" si="214"/>
        <v>1319.5203128138944</v>
      </c>
      <c r="AP714" s="2">
        <f t="shared" si="215"/>
        <v>69.289687186105539</v>
      </c>
    </row>
    <row r="715" spans="1:42" x14ac:dyDescent="0.15">
      <c r="A715" s="8">
        <v>410048474</v>
      </c>
      <c r="B715" t="s">
        <v>38</v>
      </c>
      <c r="C715" t="s">
        <v>19</v>
      </c>
      <c r="D715" s="1">
        <v>39211</v>
      </c>
      <c r="E715" s="2">
        <v>90000</v>
      </c>
      <c r="F715" s="2">
        <v>80100</v>
      </c>
      <c r="G715" t="s">
        <v>17</v>
      </c>
      <c r="H715" s="2">
        <v>604.59</v>
      </c>
      <c r="I715" s="2">
        <v>79444.03</v>
      </c>
      <c r="J715">
        <v>8.3000000000000004E-2</v>
      </c>
      <c r="K715">
        <v>11</v>
      </c>
      <c r="L715">
        <v>348</v>
      </c>
      <c r="M715" t="str">
        <f t="shared" si="201"/>
        <v>30 Year Fixed</v>
      </c>
      <c r="N715" s="2">
        <v>549.87</v>
      </c>
      <c r="O715" t="str">
        <f t="shared" si="198"/>
        <v>Refi</v>
      </c>
      <c r="P715" s="3">
        <f t="shared" si="202"/>
        <v>0</v>
      </c>
      <c r="Q715" s="4">
        <v>80636</v>
      </c>
      <c r="R715" s="4" t="s">
        <v>41</v>
      </c>
      <c r="S715" s="6">
        <v>655</v>
      </c>
      <c r="T715">
        <v>6.875</v>
      </c>
      <c r="U715" s="7">
        <f t="shared" si="199"/>
        <v>563.31945152872265</v>
      </c>
      <c r="V715" s="2">
        <f t="shared" si="203"/>
        <v>41.27054847127738</v>
      </c>
      <c r="W715" s="9">
        <f t="shared" si="204"/>
        <v>0</v>
      </c>
      <c r="X715" s="3">
        <v>80636</v>
      </c>
      <c r="Y715" s="3">
        <f t="shared" si="205"/>
        <v>0.30497536946495529</v>
      </c>
      <c r="Z715" s="7">
        <f t="shared" si="206"/>
        <v>563.31945152872265</v>
      </c>
      <c r="AA715" s="2">
        <f t="shared" si="200"/>
        <v>41.27054847127738</v>
      </c>
      <c r="AB715" s="8">
        <f t="shared" si="207"/>
        <v>1</v>
      </c>
      <c r="AC715" s="10">
        <v>6.25</v>
      </c>
      <c r="AD715" s="7">
        <f t="shared" si="208"/>
        <v>530.08805506916008</v>
      </c>
      <c r="AE715" s="2">
        <f t="shared" si="209"/>
        <v>74.501944930839954</v>
      </c>
      <c r="AF715" s="10">
        <v>2.5</v>
      </c>
      <c r="AG715" s="3">
        <f t="shared" si="210"/>
        <v>2015.9</v>
      </c>
      <c r="AH715" s="7">
        <v>0</v>
      </c>
      <c r="AI715">
        <f t="shared" si="211"/>
        <v>360</v>
      </c>
      <c r="AJ715" t="e">
        <f>VLOOKUP(A715,'Borrower Details'!$A$1:$H$1493,8,FALSE)</f>
        <v>#N/A</v>
      </c>
      <c r="AK715" s="4" t="e">
        <f t="shared" si="212"/>
        <v>#N/A</v>
      </c>
      <c r="AL715" s="10">
        <v>6.875</v>
      </c>
      <c r="AM715" s="3">
        <f t="shared" si="213"/>
        <v>80635.690449999995</v>
      </c>
      <c r="AN715">
        <v>6.875</v>
      </c>
      <c r="AO715" s="7">
        <f t="shared" si="214"/>
        <v>563.31728902641328</v>
      </c>
      <c r="AP715" s="2">
        <f t="shared" si="215"/>
        <v>41.272710973586754</v>
      </c>
    </row>
    <row r="716" spans="1:42" x14ac:dyDescent="0.15">
      <c r="A716" s="8">
        <v>410745186</v>
      </c>
      <c r="B716" t="s">
        <v>36</v>
      </c>
      <c r="C716" t="s">
        <v>16</v>
      </c>
      <c r="D716" s="1">
        <v>39314</v>
      </c>
      <c r="E716" s="2">
        <v>297000</v>
      </c>
      <c r="F716" s="2">
        <v>160000</v>
      </c>
      <c r="G716" t="s">
        <v>17</v>
      </c>
      <c r="H716" s="2">
        <v>1076.6400000000001</v>
      </c>
      <c r="I716" s="2">
        <v>159588.76</v>
      </c>
      <c r="J716">
        <v>7.6999999999999999E-2</v>
      </c>
      <c r="K716">
        <v>8</v>
      </c>
      <c r="L716">
        <v>352</v>
      </c>
      <c r="M716" t="str">
        <f t="shared" si="201"/>
        <v>30 Year Fixed</v>
      </c>
      <c r="N716" s="2">
        <v>1024.3599999999999</v>
      </c>
      <c r="O716" t="str">
        <f t="shared" si="198"/>
        <v>Cash Out</v>
      </c>
      <c r="P716" s="3">
        <f t="shared" si="202"/>
        <v>89130.451822660107</v>
      </c>
      <c r="Q716" s="4">
        <v>252450</v>
      </c>
      <c r="R716" s="4" t="s">
        <v>41</v>
      </c>
      <c r="S716" s="6">
        <v>598</v>
      </c>
      <c r="T716">
        <v>7.375</v>
      </c>
      <c r="U716" s="7">
        <f t="shared" si="199"/>
        <v>1848.7969101094793</v>
      </c>
      <c r="V716" s="2">
        <f t="shared" si="203"/>
        <v>-772.15691010947921</v>
      </c>
      <c r="W716" s="9">
        <f t="shared" si="204"/>
        <v>1</v>
      </c>
      <c r="X716" s="3">
        <v>161983</v>
      </c>
      <c r="Y716" s="3">
        <f t="shared" si="205"/>
        <v>0.40256157636758871</v>
      </c>
      <c r="Z716" s="7">
        <f t="shared" si="206"/>
        <v>1186.2692409992624</v>
      </c>
      <c r="AA716" s="2">
        <f t="shared" si="200"/>
        <v>-109.62924099926227</v>
      </c>
      <c r="AB716" s="8">
        <f t="shared" si="207"/>
        <v>1</v>
      </c>
      <c r="AC716" s="10">
        <v>6.625</v>
      </c>
      <c r="AD716" s="7">
        <f t="shared" si="208"/>
        <v>1104.6878207449745</v>
      </c>
      <c r="AE716" s="2">
        <f t="shared" si="209"/>
        <v>-28.047820744974388</v>
      </c>
      <c r="AF716" s="10">
        <v>1.875</v>
      </c>
      <c r="AG716" s="3">
        <f t="shared" si="210"/>
        <v>3037.1812500000001</v>
      </c>
      <c r="AH716" s="7">
        <v>3200</v>
      </c>
      <c r="AI716">
        <f t="shared" si="211"/>
        <v>360</v>
      </c>
      <c r="AJ716" t="e">
        <f>VLOOKUP(A716,'Borrower Details'!$A$1:$H$1493,8,FALSE)</f>
        <v>#N/A</v>
      </c>
      <c r="AK716" s="4" t="e">
        <f t="shared" si="212"/>
        <v>#N/A</v>
      </c>
      <c r="AL716" s="10">
        <v>7.375</v>
      </c>
      <c r="AM716" s="3">
        <f t="shared" si="213"/>
        <v>161982.5914</v>
      </c>
      <c r="AN716">
        <v>7.375</v>
      </c>
      <c r="AO716" s="7">
        <f t="shared" si="214"/>
        <v>1186.2662486506094</v>
      </c>
      <c r="AP716" s="2">
        <f t="shared" si="215"/>
        <v>-109.62624865060934</v>
      </c>
    </row>
    <row r="717" spans="1:42" x14ac:dyDescent="0.15">
      <c r="A717" s="8">
        <v>410310452</v>
      </c>
      <c r="B717" t="s">
        <v>36</v>
      </c>
      <c r="C717" t="s">
        <v>19</v>
      </c>
      <c r="D717" s="1">
        <v>39233</v>
      </c>
      <c r="E717" s="2">
        <v>120500</v>
      </c>
      <c r="F717" s="2">
        <v>108450</v>
      </c>
      <c r="G717" t="s">
        <v>15</v>
      </c>
      <c r="H717" s="2">
        <v>833.89</v>
      </c>
      <c r="I717" s="2">
        <v>0</v>
      </c>
      <c r="J717">
        <v>8.5000000000000006E-2</v>
      </c>
      <c r="K717">
        <v>11</v>
      </c>
      <c r="L717">
        <v>350</v>
      </c>
      <c r="M717" t="str">
        <f t="shared" si="201"/>
        <v>30 Year Fixed</v>
      </c>
      <c r="N717" s="2">
        <v>0</v>
      </c>
      <c r="O717" t="str">
        <f t="shared" si="198"/>
        <v>Cash Out</v>
      </c>
      <c r="P717" s="3">
        <f t="shared" si="202"/>
        <v>100911.33004926109</v>
      </c>
      <c r="Q717" s="4">
        <v>102425</v>
      </c>
      <c r="R717" s="4" t="s">
        <v>41</v>
      </c>
      <c r="S717" s="6">
        <v>637</v>
      </c>
      <c r="T717">
        <v>6.75</v>
      </c>
      <c r="U717" s="7">
        <f t="shared" si="199"/>
        <v>707.00368374332641</v>
      </c>
      <c r="V717" s="2">
        <f t="shared" si="203"/>
        <v>126.88631625667358</v>
      </c>
      <c r="W717" s="9">
        <f t="shared" si="204"/>
        <v>0</v>
      </c>
      <c r="X717" s="3">
        <v>102425</v>
      </c>
      <c r="Y717" s="3">
        <f t="shared" si="205"/>
        <v>100911.33004926109</v>
      </c>
      <c r="Z717" s="7">
        <f t="shared" si="206"/>
        <v>707.00368374332641</v>
      </c>
      <c r="AA717" s="2">
        <f t="shared" si="200"/>
        <v>126.88631625667358</v>
      </c>
      <c r="AB717" s="8">
        <f t="shared" si="207"/>
        <v>0</v>
      </c>
      <c r="AC717" s="10">
        <v>7.125</v>
      </c>
      <c r="AD717" s="7">
        <f t="shared" si="208"/>
        <v>732.73328082452167</v>
      </c>
      <c r="AE717" s="2">
        <f t="shared" si="209"/>
        <v>101.15671917547832</v>
      </c>
      <c r="AF717" s="10">
        <v>0</v>
      </c>
      <c r="AG717" s="3">
        <f t="shared" si="210"/>
        <v>0</v>
      </c>
      <c r="AH717" s="7">
        <v>2169</v>
      </c>
      <c r="AI717">
        <f t="shared" si="211"/>
        <v>360</v>
      </c>
      <c r="AJ717" t="e">
        <f>VLOOKUP(A717,'Borrower Details'!$A$1:$H$1493,8,FALSE)</f>
        <v>#N/A</v>
      </c>
      <c r="AK717" s="4" t="e">
        <f t="shared" si="212"/>
        <v>#N/A</v>
      </c>
      <c r="AL717" s="10">
        <v>6.75</v>
      </c>
      <c r="AM717" s="3">
        <f t="shared" si="213"/>
        <v>0</v>
      </c>
      <c r="AN717">
        <v>7.125</v>
      </c>
      <c r="AO717" s="7">
        <f t="shared" si="214"/>
        <v>0</v>
      </c>
      <c r="AP717" s="2">
        <f t="shared" si="215"/>
        <v>833.89</v>
      </c>
    </row>
    <row r="718" spans="1:42" x14ac:dyDescent="0.15">
      <c r="A718" s="8">
        <v>410563704</v>
      </c>
      <c r="B718" t="s">
        <v>36</v>
      </c>
      <c r="C718" t="s">
        <v>18</v>
      </c>
      <c r="D718" s="1">
        <v>39279</v>
      </c>
      <c r="E718" s="2">
        <v>184000</v>
      </c>
      <c r="F718" s="2">
        <v>132000</v>
      </c>
      <c r="G718" t="s">
        <v>17</v>
      </c>
      <c r="H718" s="2">
        <v>922.97</v>
      </c>
      <c r="I718" s="2">
        <v>131095.9</v>
      </c>
      <c r="J718">
        <v>7.4999999999999997E-2</v>
      </c>
      <c r="K718">
        <v>9</v>
      </c>
      <c r="L718">
        <v>351</v>
      </c>
      <c r="M718" t="str">
        <f t="shared" si="201"/>
        <v>30 Year Fixed</v>
      </c>
      <c r="N718" s="2">
        <v>819.35</v>
      </c>
      <c r="O718" t="str">
        <f t="shared" si="198"/>
        <v>Cash Out</v>
      </c>
      <c r="P718" s="3">
        <f t="shared" si="202"/>
        <v>22992.769950738933</v>
      </c>
      <c r="Q718" s="4">
        <v>156400</v>
      </c>
      <c r="R718" s="4" t="s">
        <v>41</v>
      </c>
      <c r="S718" s="6">
        <v>620</v>
      </c>
      <c r="T718">
        <v>6.75</v>
      </c>
      <c r="U718" s="7">
        <f t="shared" si="199"/>
        <v>1079.5740896993532</v>
      </c>
      <c r="V718" s="2">
        <f t="shared" si="203"/>
        <v>-156.60408969935315</v>
      </c>
      <c r="W718" s="9">
        <f t="shared" si="204"/>
        <v>1</v>
      </c>
      <c r="X718" s="3">
        <v>133640</v>
      </c>
      <c r="Y718" s="3">
        <f t="shared" si="205"/>
        <v>569.12463054188993</v>
      </c>
      <c r="Z718" s="7">
        <f t="shared" si="206"/>
        <v>922.46982958709418</v>
      </c>
      <c r="AA718" s="2">
        <f t="shared" si="200"/>
        <v>0.5001704129058453</v>
      </c>
      <c r="AB718" s="8">
        <f t="shared" si="207"/>
        <v>1</v>
      </c>
      <c r="AC718" s="10">
        <v>6.125</v>
      </c>
      <c r="AD718" s="7">
        <f t="shared" si="208"/>
        <v>867.69405842896685</v>
      </c>
      <c r="AE718" s="2">
        <f t="shared" si="209"/>
        <v>55.275941571033172</v>
      </c>
      <c r="AF718" s="10">
        <v>3</v>
      </c>
      <c r="AG718" s="3">
        <f t="shared" si="210"/>
        <v>4009.2</v>
      </c>
      <c r="AH718" s="7">
        <v>2640</v>
      </c>
      <c r="AI718">
        <f t="shared" si="211"/>
        <v>360</v>
      </c>
      <c r="AJ718" t="e">
        <f>VLOOKUP(A718,'Borrower Details'!$A$1:$H$1493,8,FALSE)</f>
        <v>#N/A</v>
      </c>
      <c r="AK718" s="4" t="e">
        <f t="shared" si="212"/>
        <v>#N/A</v>
      </c>
      <c r="AL718" s="10">
        <v>6.75</v>
      </c>
      <c r="AM718" s="3">
        <f t="shared" si="213"/>
        <v>133062.33849999998</v>
      </c>
      <c r="AN718">
        <v>6.75</v>
      </c>
      <c r="AO718" s="7">
        <f t="shared" si="214"/>
        <v>918.48243580182009</v>
      </c>
      <c r="AP718" s="2">
        <f t="shared" si="215"/>
        <v>4.487564198179939</v>
      </c>
    </row>
    <row r="719" spans="1:42" x14ac:dyDescent="0.15">
      <c r="A719" s="8">
        <v>410283642</v>
      </c>
      <c r="B719" t="s">
        <v>36</v>
      </c>
      <c r="C719" t="s">
        <v>19</v>
      </c>
      <c r="D719" s="1">
        <v>39232</v>
      </c>
      <c r="E719" s="2">
        <v>210000</v>
      </c>
      <c r="F719" s="2">
        <v>147000</v>
      </c>
      <c r="G719" t="s">
        <v>17</v>
      </c>
      <c r="H719" s="2">
        <v>1156.45</v>
      </c>
      <c r="I719" s="2">
        <v>145238.95000000001</v>
      </c>
      <c r="J719">
        <v>8.7499999999999994E-2</v>
      </c>
      <c r="K719">
        <v>11</v>
      </c>
      <c r="L719">
        <v>348</v>
      </c>
      <c r="M719" t="str">
        <f t="shared" si="201"/>
        <v>30 Year Fixed</v>
      </c>
      <c r="N719" s="2">
        <v>1059.74</v>
      </c>
      <c r="O719" t="str">
        <f t="shared" si="198"/>
        <v>Cash Out</v>
      </c>
      <c r="P719" s="3">
        <f t="shared" si="202"/>
        <v>30623.118965517235</v>
      </c>
      <c r="Q719" s="4">
        <v>178500</v>
      </c>
      <c r="R719" s="4" t="s">
        <v>41</v>
      </c>
      <c r="S719" s="6">
        <v>526</v>
      </c>
      <c r="T719">
        <v>7.625</v>
      </c>
      <c r="U719" s="7">
        <f t="shared" si="199"/>
        <v>1337.786837243026</v>
      </c>
      <c r="V719" s="2">
        <f t="shared" si="203"/>
        <v>-181.33683724302591</v>
      </c>
      <c r="W719" s="9">
        <f t="shared" si="204"/>
        <v>1</v>
      </c>
      <c r="X719" s="3">
        <v>154230</v>
      </c>
      <c r="Y719" s="3">
        <f t="shared" si="205"/>
        <v>6711.7889162561623</v>
      </c>
      <c r="Z719" s="7">
        <f t="shared" si="206"/>
        <v>1155.8927950027557</v>
      </c>
      <c r="AA719" s="2">
        <f t="shared" si="200"/>
        <v>0.55720499724429828</v>
      </c>
      <c r="AB719" s="8">
        <f t="shared" si="207"/>
        <v>1</v>
      </c>
      <c r="AC719" s="10">
        <v>6.875</v>
      </c>
      <c r="AD719" s="7">
        <f t="shared" si="208"/>
        <v>1077.4438093317488</v>
      </c>
      <c r="AE719" s="2">
        <f t="shared" si="209"/>
        <v>79.006190668251293</v>
      </c>
      <c r="AF719" s="10">
        <v>1.75</v>
      </c>
      <c r="AG719" s="3">
        <f t="shared" si="210"/>
        <v>2699.0250000000001</v>
      </c>
      <c r="AH719" s="7">
        <v>2940</v>
      </c>
      <c r="AI719">
        <f t="shared" si="211"/>
        <v>360</v>
      </c>
      <c r="AJ719" t="e">
        <f>VLOOKUP(A719,'Borrower Details'!$A$1:$H$1493,8,FALSE)</f>
        <v>#N/A</v>
      </c>
      <c r="AK719" s="4" t="e">
        <f t="shared" si="212"/>
        <v>#N/A</v>
      </c>
      <c r="AL719" s="10">
        <v>7.625</v>
      </c>
      <c r="AM719" s="3">
        <f t="shared" si="213"/>
        <v>147417.53425</v>
      </c>
      <c r="AN719">
        <v>7.625</v>
      </c>
      <c r="AO719" s="7">
        <f t="shared" si="214"/>
        <v>1104.8360610558709</v>
      </c>
      <c r="AP719" s="2">
        <f t="shared" si="215"/>
        <v>51.613938944129131</v>
      </c>
    </row>
    <row r="720" spans="1:42" x14ac:dyDescent="0.15">
      <c r="A720" s="8">
        <v>410091458</v>
      </c>
      <c r="B720" t="s">
        <v>36</v>
      </c>
      <c r="C720" t="s">
        <v>19</v>
      </c>
      <c r="D720" s="1">
        <v>39206</v>
      </c>
      <c r="E720" s="2">
        <v>88000</v>
      </c>
      <c r="F720" s="2">
        <v>57000</v>
      </c>
      <c r="G720" t="s">
        <v>17</v>
      </c>
      <c r="H720" s="2">
        <v>494.3</v>
      </c>
      <c r="I720" s="2">
        <v>55962.54</v>
      </c>
      <c r="J720">
        <v>8.4900000000000003E-2</v>
      </c>
      <c r="K720">
        <v>11</v>
      </c>
      <c r="L720">
        <v>229</v>
      </c>
      <c r="M720" t="str">
        <f t="shared" si="201"/>
        <v>30 Year Fixed</v>
      </c>
      <c r="N720" s="2">
        <v>395.93</v>
      </c>
      <c r="O720" t="str">
        <f t="shared" si="198"/>
        <v>Cash Out</v>
      </c>
      <c r="P720" s="3">
        <f t="shared" si="202"/>
        <v>17732.041280788188</v>
      </c>
      <c r="Q720" s="4">
        <v>74800</v>
      </c>
      <c r="R720" s="4" t="s">
        <v>41</v>
      </c>
      <c r="S720" s="6">
        <v>573</v>
      </c>
      <c r="T720">
        <v>7.625</v>
      </c>
      <c r="U720" s="7">
        <f t="shared" si="199"/>
        <v>560.59638893993463</v>
      </c>
      <c r="V720" s="2">
        <f t="shared" si="203"/>
        <v>-66.296388939934616</v>
      </c>
      <c r="W720" s="9">
        <f t="shared" si="204"/>
        <v>1</v>
      </c>
      <c r="X720" s="3">
        <v>65880</v>
      </c>
      <c r="Y720" s="3">
        <f t="shared" si="205"/>
        <v>8943.863940886702</v>
      </c>
      <c r="Z720" s="7">
        <f t="shared" si="206"/>
        <v>493.74452009843446</v>
      </c>
      <c r="AA720" s="2">
        <f t="shared" si="200"/>
        <v>0.55547990156554761</v>
      </c>
      <c r="AB720" s="8">
        <f t="shared" si="207"/>
        <v>0</v>
      </c>
      <c r="AC720" s="10">
        <v>7.625</v>
      </c>
      <c r="AD720" s="7">
        <f t="shared" si="208"/>
        <v>493.74452009843446</v>
      </c>
      <c r="AE720" s="2">
        <f t="shared" si="209"/>
        <v>0.55547990156554761</v>
      </c>
      <c r="AF720" s="10">
        <v>0</v>
      </c>
      <c r="AG720" s="3">
        <f t="shared" si="210"/>
        <v>0</v>
      </c>
      <c r="AH720" s="7">
        <v>1140</v>
      </c>
      <c r="AI720">
        <f t="shared" si="211"/>
        <v>360</v>
      </c>
      <c r="AJ720" t="e">
        <f>VLOOKUP(A720,'Borrower Details'!$A$1:$H$1493,8,FALSE)</f>
        <v>#N/A</v>
      </c>
      <c r="AK720" s="4" t="e">
        <f t="shared" si="212"/>
        <v>#N/A</v>
      </c>
      <c r="AL720" s="10">
        <v>7.625</v>
      </c>
      <c r="AM720" s="3">
        <f t="shared" si="213"/>
        <v>56801.978099999993</v>
      </c>
      <c r="AN720">
        <v>7.625</v>
      </c>
      <c r="AO720" s="7">
        <f t="shared" si="214"/>
        <v>425.70833967253009</v>
      </c>
      <c r="AP720" s="2">
        <f t="shared" si="215"/>
        <v>68.591660327469924</v>
      </c>
    </row>
    <row r="721" spans="1:42" x14ac:dyDescent="0.15">
      <c r="A721" s="8">
        <v>410572226</v>
      </c>
      <c r="B721" t="s">
        <v>37</v>
      </c>
      <c r="C721" t="s">
        <v>19</v>
      </c>
      <c r="D721" s="1">
        <v>39272</v>
      </c>
      <c r="E721" s="2">
        <v>115000</v>
      </c>
      <c r="F721" s="2">
        <v>92000</v>
      </c>
      <c r="G721" t="s">
        <v>17</v>
      </c>
      <c r="H721" s="2">
        <v>746.89</v>
      </c>
      <c r="I721" s="2">
        <v>91541.94</v>
      </c>
      <c r="J721">
        <v>9.0999999999999998E-2</v>
      </c>
      <c r="K721">
        <v>9</v>
      </c>
      <c r="L721">
        <v>351</v>
      </c>
      <c r="M721" t="str">
        <f t="shared" si="201"/>
        <v>30 Year Fixed</v>
      </c>
      <c r="N721" s="2">
        <v>694.19</v>
      </c>
      <c r="O721" t="str">
        <f t="shared" si="198"/>
        <v>Cash Out</v>
      </c>
      <c r="P721" s="3">
        <f t="shared" si="202"/>
        <v>4763.4787192118238</v>
      </c>
      <c r="Q721" s="4">
        <v>97750</v>
      </c>
      <c r="R721" s="4" t="s">
        <v>41</v>
      </c>
      <c r="S721" s="6">
        <v>549</v>
      </c>
      <c r="T721">
        <v>7.625</v>
      </c>
      <c r="U721" s="7">
        <f t="shared" si="199"/>
        <v>732.59755372832365</v>
      </c>
      <c r="V721" s="2">
        <f t="shared" si="203"/>
        <v>14.29244627167634</v>
      </c>
      <c r="W721" s="9">
        <f t="shared" si="204"/>
        <v>0</v>
      </c>
      <c r="X721" s="3">
        <v>97750</v>
      </c>
      <c r="Y721" s="3">
        <f t="shared" si="205"/>
        <v>4763.4787192118238</v>
      </c>
      <c r="Z721" s="7">
        <f t="shared" si="206"/>
        <v>732.59755372832365</v>
      </c>
      <c r="AA721" s="2">
        <f t="shared" si="200"/>
        <v>14.29244627167634</v>
      </c>
      <c r="AB721" s="8">
        <f t="shared" si="207"/>
        <v>1</v>
      </c>
      <c r="AC721" s="10">
        <v>6.5</v>
      </c>
      <c r="AD721" s="7">
        <f t="shared" si="208"/>
        <v>658.57565963104093</v>
      </c>
      <c r="AE721" s="2">
        <f t="shared" si="209"/>
        <v>88.314340368959051</v>
      </c>
      <c r="AF721" s="10">
        <v>2.625</v>
      </c>
      <c r="AG721" s="3">
        <f t="shared" si="210"/>
        <v>2565.9375</v>
      </c>
      <c r="AH721" s="7">
        <v>0</v>
      </c>
      <c r="AI721">
        <f t="shared" si="211"/>
        <v>360</v>
      </c>
      <c r="AJ721" t="e">
        <f>VLOOKUP(A721,'Borrower Details'!$A$1:$H$1493,8,FALSE)</f>
        <v>#N/A</v>
      </c>
      <c r="AK721" s="4" t="e">
        <f t="shared" si="212"/>
        <v>#N/A</v>
      </c>
      <c r="AL721" s="10">
        <v>7.625</v>
      </c>
      <c r="AM721" s="3">
        <f t="shared" si="213"/>
        <v>92915.069099999993</v>
      </c>
      <c r="AN721">
        <v>7.625</v>
      </c>
      <c r="AO721" s="7">
        <f t="shared" si="214"/>
        <v>696.36166063588917</v>
      </c>
      <c r="AP721" s="2">
        <f t="shared" si="215"/>
        <v>50.52833936411082</v>
      </c>
    </row>
    <row r="722" spans="1:42" x14ac:dyDescent="0.15">
      <c r="A722" s="8">
        <v>410440390</v>
      </c>
      <c r="B722" t="s">
        <v>36</v>
      </c>
      <c r="C722" t="s">
        <v>18</v>
      </c>
      <c r="D722" s="1">
        <v>39269</v>
      </c>
      <c r="E722" s="2">
        <v>311000</v>
      </c>
      <c r="F722" s="2">
        <v>276555</v>
      </c>
      <c r="G722" t="s">
        <v>15</v>
      </c>
      <c r="H722" s="2">
        <v>2205.36</v>
      </c>
      <c r="I722" s="2">
        <v>274951.84999999998</v>
      </c>
      <c r="J722">
        <v>8.8999999999999996E-2</v>
      </c>
      <c r="K722">
        <v>9</v>
      </c>
      <c r="L722">
        <v>351</v>
      </c>
      <c r="M722" t="str">
        <f t="shared" si="201"/>
        <v>30 Year Fixed</v>
      </c>
      <c r="N722" s="2">
        <v>2039.23</v>
      </c>
      <c r="O722" t="str">
        <f t="shared" si="198"/>
        <v>Refi</v>
      </c>
      <c r="P722" s="3">
        <f t="shared" si="202"/>
        <v>0</v>
      </c>
      <c r="Q722" s="4">
        <v>279076</v>
      </c>
      <c r="R722" s="4" t="s">
        <v>41</v>
      </c>
      <c r="S722" s="6">
        <v>650</v>
      </c>
      <c r="T722">
        <v>6.75</v>
      </c>
      <c r="U722" s="7">
        <f t="shared" si="199"/>
        <v>1926.3632906453752</v>
      </c>
      <c r="V722" s="2">
        <f t="shared" si="203"/>
        <v>278.99670935462495</v>
      </c>
      <c r="W722" s="9">
        <f t="shared" si="204"/>
        <v>0</v>
      </c>
      <c r="X722" s="3">
        <v>279076</v>
      </c>
      <c r="Y722" s="3">
        <f t="shared" si="205"/>
        <v>-0.12586206890409812</v>
      </c>
      <c r="Z722" s="7">
        <f t="shared" si="206"/>
        <v>1926.3632906453752</v>
      </c>
      <c r="AA722" s="2">
        <f t="shared" si="200"/>
        <v>278.99670935462495</v>
      </c>
      <c r="AB722" s="8">
        <f t="shared" si="207"/>
        <v>0</v>
      </c>
      <c r="AC722" s="10">
        <v>6.75</v>
      </c>
      <c r="AD722" s="7">
        <f t="shared" si="208"/>
        <v>1926.3632906453752</v>
      </c>
      <c r="AE722" s="2">
        <f t="shared" si="209"/>
        <v>278.99670935462495</v>
      </c>
      <c r="AF722" s="10">
        <v>0</v>
      </c>
      <c r="AG722" s="3">
        <f t="shared" si="210"/>
        <v>0</v>
      </c>
      <c r="AH722" s="7">
        <v>5531.1</v>
      </c>
      <c r="AI722">
        <f t="shared" si="211"/>
        <v>360</v>
      </c>
      <c r="AJ722" t="e">
        <f>VLOOKUP(A722,'Borrower Details'!$A$1:$H$1493,8,FALSE)</f>
        <v>#N/A</v>
      </c>
      <c r="AK722" s="4" t="e">
        <f t="shared" si="212"/>
        <v>#N/A</v>
      </c>
      <c r="AL722" s="10">
        <v>6.75</v>
      </c>
      <c r="AM722" s="3">
        <f t="shared" si="213"/>
        <v>279076.12774999993</v>
      </c>
      <c r="AN722">
        <v>6.75</v>
      </c>
      <c r="AO722" s="7">
        <f t="shared" si="214"/>
        <v>1926.3641724586096</v>
      </c>
      <c r="AP722" s="2">
        <f t="shared" si="215"/>
        <v>278.99582754139055</v>
      </c>
    </row>
    <row r="723" spans="1:42" x14ac:dyDescent="0.15">
      <c r="A723" s="8">
        <v>410748610</v>
      </c>
      <c r="B723" t="s">
        <v>37</v>
      </c>
      <c r="C723" t="s">
        <v>16</v>
      </c>
      <c r="D723" s="1">
        <v>39323</v>
      </c>
      <c r="E723" s="2">
        <v>111000</v>
      </c>
      <c r="F723" s="2">
        <v>105450</v>
      </c>
      <c r="G723" t="s">
        <v>17</v>
      </c>
      <c r="H723" s="2">
        <v>1068.47</v>
      </c>
      <c r="I723" s="2">
        <v>105289.14</v>
      </c>
      <c r="J723">
        <v>0.11799999999999999</v>
      </c>
      <c r="K723">
        <v>8</v>
      </c>
      <c r="L723">
        <v>355</v>
      </c>
      <c r="M723" t="str">
        <f t="shared" si="201"/>
        <v>30 Year Fixed</v>
      </c>
      <c r="N723" s="2">
        <v>1035.3399999999999</v>
      </c>
      <c r="O723" t="str">
        <f t="shared" si="198"/>
        <v>Refi</v>
      </c>
      <c r="P723" s="3">
        <f t="shared" si="202"/>
        <v>0</v>
      </c>
      <c r="Q723" s="4">
        <v>106868</v>
      </c>
      <c r="R723" s="4" t="s">
        <v>41</v>
      </c>
      <c r="S723" s="6">
        <v>588</v>
      </c>
      <c r="T723">
        <v>7.375</v>
      </c>
      <c r="U723" s="7">
        <f t="shared" si="199"/>
        <v>782.63905006765629</v>
      </c>
      <c r="V723" s="2">
        <f t="shared" si="203"/>
        <v>285.83094993234374</v>
      </c>
      <c r="W723" s="9">
        <f t="shared" si="204"/>
        <v>0</v>
      </c>
      <c r="X723" s="3">
        <v>106868</v>
      </c>
      <c r="Y723" s="3">
        <f t="shared" si="205"/>
        <v>-0.47004926107183564</v>
      </c>
      <c r="Z723" s="7">
        <f t="shared" si="206"/>
        <v>782.63905006765629</v>
      </c>
      <c r="AA723" s="2">
        <f t="shared" si="200"/>
        <v>285.83094993234374</v>
      </c>
      <c r="AB723" s="8">
        <f t="shared" si="207"/>
        <v>0</v>
      </c>
      <c r="AC723" s="10">
        <v>7.375</v>
      </c>
      <c r="AD723" s="7">
        <f t="shared" si="208"/>
        <v>782.63905006765629</v>
      </c>
      <c r="AE723" s="2">
        <f t="shared" si="209"/>
        <v>285.83094993234374</v>
      </c>
      <c r="AF723" s="10">
        <v>0</v>
      </c>
      <c r="AG723" s="3">
        <f t="shared" si="210"/>
        <v>0</v>
      </c>
      <c r="AH723" s="7">
        <v>0</v>
      </c>
      <c r="AI723">
        <f t="shared" si="211"/>
        <v>360</v>
      </c>
      <c r="AJ723" t="e">
        <f>VLOOKUP(A723,'Borrower Details'!$A$1:$H$1493,8,FALSE)</f>
        <v>#N/A</v>
      </c>
      <c r="AK723" s="4" t="e">
        <f t="shared" si="212"/>
        <v>#N/A</v>
      </c>
      <c r="AL723" s="10">
        <v>7.375</v>
      </c>
      <c r="AM723" s="3">
        <f t="shared" si="213"/>
        <v>106868.47709999999</v>
      </c>
      <c r="AN723">
        <v>7.375</v>
      </c>
      <c r="AO723" s="7">
        <f t="shared" si="214"/>
        <v>782.642544070452</v>
      </c>
      <c r="AP723" s="2">
        <f t="shared" si="215"/>
        <v>285.82745592954802</v>
      </c>
    </row>
    <row r="724" spans="1:42" x14ac:dyDescent="0.15">
      <c r="A724" s="8">
        <v>410625628</v>
      </c>
      <c r="B724" t="s">
        <v>36</v>
      </c>
      <c r="C724" t="s">
        <v>18</v>
      </c>
      <c r="D724" s="1">
        <v>39281</v>
      </c>
      <c r="E724" s="2">
        <v>405500</v>
      </c>
      <c r="F724" s="2">
        <v>283500</v>
      </c>
      <c r="G724" t="s">
        <v>17</v>
      </c>
      <c r="H724" s="2">
        <v>1960.97</v>
      </c>
      <c r="I724" s="2">
        <v>281515.88</v>
      </c>
      <c r="J724">
        <v>7.3899999999999993E-2</v>
      </c>
      <c r="K724">
        <v>9</v>
      </c>
      <c r="L724">
        <v>351</v>
      </c>
      <c r="M724" t="str">
        <f t="shared" si="201"/>
        <v>30 Year Fixed</v>
      </c>
      <c r="N724" s="2">
        <v>1733.67</v>
      </c>
      <c r="O724" t="str">
        <f t="shared" si="198"/>
        <v>Cash Out</v>
      </c>
      <c r="P724" s="3">
        <f t="shared" si="202"/>
        <v>58065.400788177387</v>
      </c>
      <c r="Q724" s="4">
        <v>344675</v>
      </c>
      <c r="R724" s="4" t="s">
        <v>41</v>
      </c>
      <c r="S724" s="6">
        <v>618</v>
      </c>
      <c r="T724">
        <v>6.875</v>
      </c>
      <c r="U724" s="7">
        <f t="shared" si="199"/>
        <v>2407.8839718694194</v>
      </c>
      <c r="V724" s="2">
        <f t="shared" si="203"/>
        <v>-446.91397186941936</v>
      </c>
      <c r="W724" s="9">
        <f t="shared" si="204"/>
        <v>1</v>
      </c>
      <c r="X724" s="3">
        <v>285739</v>
      </c>
      <c r="Y724" s="3">
        <f t="shared" si="205"/>
        <v>0.37615763547364622</v>
      </c>
      <c r="Z724" s="7">
        <f t="shared" si="206"/>
        <v>1996.1597395749502</v>
      </c>
      <c r="AA724" s="2">
        <f t="shared" si="200"/>
        <v>-35.189739574950181</v>
      </c>
      <c r="AB724" s="8">
        <f t="shared" si="207"/>
        <v>1</v>
      </c>
      <c r="AC724" s="10">
        <v>6.25</v>
      </c>
      <c r="AD724" s="7">
        <f t="shared" si="208"/>
        <v>1878.4020879930392</v>
      </c>
      <c r="AE724" s="2">
        <f t="shared" si="209"/>
        <v>82.567912006960796</v>
      </c>
      <c r="AF724" s="10">
        <v>2.5</v>
      </c>
      <c r="AG724" s="3">
        <f t="shared" si="210"/>
        <v>7143.4750000000004</v>
      </c>
      <c r="AH724" s="7">
        <v>5670</v>
      </c>
      <c r="AI724">
        <f t="shared" si="211"/>
        <v>360</v>
      </c>
      <c r="AJ724" t="e">
        <f>VLOOKUP(A724,'Borrower Details'!$A$1:$H$1493,8,FALSE)</f>
        <v>#N/A</v>
      </c>
      <c r="AK724" s="4" t="e">
        <f t="shared" si="212"/>
        <v>#N/A</v>
      </c>
      <c r="AL724" s="10">
        <v>6.875</v>
      </c>
      <c r="AM724" s="3">
        <f t="shared" si="213"/>
        <v>285738.61819999997</v>
      </c>
      <c r="AN724">
        <v>6.875</v>
      </c>
      <c r="AO724" s="7">
        <f t="shared" si="214"/>
        <v>1996.1570723374061</v>
      </c>
      <c r="AP724" s="2">
        <f t="shared" si="215"/>
        <v>-35.187072337406107</v>
      </c>
    </row>
    <row r="725" spans="1:42" x14ac:dyDescent="0.15">
      <c r="A725" s="8">
        <v>1172778</v>
      </c>
      <c r="B725" t="s">
        <v>36</v>
      </c>
      <c r="C725" t="s">
        <v>19</v>
      </c>
      <c r="D725" s="1">
        <v>39176</v>
      </c>
      <c r="E725" s="2">
        <v>93500</v>
      </c>
      <c r="F725" s="2">
        <v>65000</v>
      </c>
      <c r="G725" t="s">
        <v>15</v>
      </c>
      <c r="H725" s="2">
        <v>492.45</v>
      </c>
      <c r="I725" s="2">
        <v>64536.42</v>
      </c>
      <c r="J725">
        <v>8.3400000000000002E-2</v>
      </c>
      <c r="K725">
        <v>12</v>
      </c>
      <c r="L725">
        <v>349</v>
      </c>
      <c r="M725" t="str">
        <f t="shared" si="201"/>
        <v>30 Year Fixed</v>
      </c>
      <c r="N725" s="2">
        <v>448.53</v>
      </c>
      <c r="O725" t="str">
        <f t="shared" si="198"/>
        <v>Cash Out</v>
      </c>
      <c r="P725" s="3">
        <f t="shared" si="202"/>
        <v>13764.072610837451</v>
      </c>
      <c r="Q725" s="4">
        <v>79475</v>
      </c>
      <c r="R725" s="4" t="s">
        <v>41</v>
      </c>
      <c r="S725" s="6">
        <v>541</v>
      </c>
      <c r="T725">
        <v>7.625</v>
      </c>
      <c r="U725" s="7">
        <f t="shared" si="199"/>
        <v>595.63366324868059</v>
      </c>
      <c r="V725" s="2">
        <f t="shared" si="203"/>
        <v>-103.1836632486806</v>
      </c>
      <c r="W725" s="9">
        <f t="shared" si="204"/>
        <v>1</v>
      </c>
      <c r="X725" s="3">
        <v>65635</v>
      </c>
      <c r="Y725" s="3">
        <f t="shared" si="205"/>
        <v>128.60463054187858</v>
      </c>
      <c r="Z725" s="7">
        <f t="shared" si="206"/>
        <v>491.90834208653229</v>
      </c>
      <c r="AA725" s="2">
        <f t="shared" si="200"/>
        <v>0.5416579134677022</v>
      </c>
      <c r="AB725" s="8">
        <f t="shared" si="207"/>
        <v>1</v>
      </c>
      <c r="AC725" s="10">
        <v>6.875</v>
      </c>
      <c r="AD725" s="7">
        <f t="shared" si="208"/>
        <v>458.52314352259179</v>
      </c>
      <c r="AE725" s="2">
        <f t="shared" si="209"/>
        <v>33.926856477408194</v>
      </c>
      <c r="AF725" s="10">
        <v>1.25</v>
      </c>
      <c r="AG725" s="3">
        <f t="shared" si="210"/>
        <v>820.4375</v>
      </c>
      <c r="AH725" s="7">
        <v>1300</v>
      </c>
      <c r="AI725">
        <f t="shared" si="211"/>
        <v>360</v>
      </c>
      <c r="AJ725" t="e">
        <f>VLOOKUP(A725,'Borrower Details'!$A$1:$H$1493,8,FALSE)</f>
        <v>#N/A</v>
      </c>
      <c r="AK725" s="4" t="e">
        <f t="shared" si="212"/>
        <v>#N/A</v>
      </c>
      <c r="AL725" s="10">
        <v>7.625</v>
      </c>
      <c r="AM725" s="3">
        <f t="shared" si="213"/>
        <v>65504.466299999993</v>
      </c>
      <c r="AN725">
        <v>7.625</v>
      </c>
      <c r="AO725" s="7">
        <f t="shared" si="214"/>
        <v>490.93004367938022</v>
      </c>
      <c r="AP725" s="2">
        <f t="shared" si="215"/>
        <v>1.5199563206197695</v>
      </c>
    </row>
    <row r="726" spans="1:42" x14ac:dyDescent="0.15">
      <c r="A726" s="8">
        <v>1167007</v>
      </c>
      <c r="B726" t="s">
        <v>37</v>
      </c>
      <c r="C726" t="s">
        <v>18</v>
      </c>
      <c r="D726" s="1">
        <v>39161</v>
      </c>
      <c r="E726" s="2">
        <v>166000</v>
      </c>
      <c r="F726" s="2">
        <v>125150</v>
      </c>
      <c r="G726" t="s">
        <v>15</v>
      </c>
      <c r="H726" s="2">
        <v>1002.49</v>
      </c>
      <c r="I726" s="2">
        <v>124210.67</v>
      </c>
      <c r="J726">
        <v>8.9499999999999996E-2</v>
      </c>
      <c r="K726">
        <v>13</v>
      </c>
      <c r="L726">
        <v>347</v>
      </c>
      <c r="M726" t="str">
        <f t="shared" si="201"/>
        <v>30 Year Fixed</v>
      </c>
      <c r="N726" s="2">
        <v>926.4</v>
      </c>
      <c r="O726" t="str">
        <f t="shared" si="198"/>
        <v>Cash Out</v>
      </c>
      <c r="P726" s="3">
        <f t="shared" si="202"/>
        <v>14804.108325123161</v>
      </c>
      <c r="Q726" s="4">
        <v>141100</v>
      </c>
      <c r="R726" s="4" t="s">
        <v>41</v>
      </c>
      <c r="S726" s="6">
        <v>537</v>
      </c>
      <c r="T726">
        <v>7.625</v>
      </c>
      <c r="U726" s="7">
        <f t="shared" si="199"/>
        <v>1057.4886427730587</v>
      </c>
      <c r="V726" s="2">
        <f t="shared" si="203"/>
        <v>-54.998642773058691</v>
      </c>
      <c r="W726" s="9">
        <f t="shared" si="204"/>
        <v>1</v>
      </c>
      <c r="X726" s="3">
        <v>133690</v>
      </c>
      <c r="Y726" s="3">
        <f t="shared" si="205"/>
        <v>7503.615714285741</v>
      </c>
      <c r="Z726" s="7">
        <f t="shared" si="206"/>
        <v>1001.95362616818</v>
      </c>
      <c r="AA726" s="2">
        <f t="shared" si="200"/>
        <v>0.53637383182001486</v>
      </c>
      <c r="AB726" s="8">
        <f t="shared" si="207"/>
        <v>1</v>
      </c>
      <c r="AC726" s="10">
        <v>6.5</v>
      </c>
      <c r="AD726" s="7">
        <f t="shared" si="208"/>
        <v>900.71590727441298</v>
      </c>
      <c r="AE726" s="2">
        <f t="shared" si="209"/>
        <v>101.77409272558702</v>
      </c>
      <c r="AF726" s="10">
        <v>2.375</v>
      </c>
      <c r="AG726" s="3">
        <f t="shared" si="210"/>
        <v>3175.1374999999998</v>
      </c>
      <c r="AH726" s="7">
        <v>0</v>
      </c>
      <c r="AI726">
        <f t="shared" si="211"/>
        <v>360</v>
      </c>
      <c r="AJ726" t="e">
        <f>VLOOKUP(A726,'Borrower Details'!$A$1:$H$1493,8,FALSE)</f>
        <v>#N/A</v>
      </c>
      <c r="AK726" s="4" t="e">
        <f t="shared" si="212"/>
        <v>#N/A</v>
      </c>
      <c r="AL726" s="10">
        <v>7.625</v>
      </c>
      <c r="AM726" s="3">
        <f t="shared" si="213"/>
        <v>126073.83004999999</v>
      </c>
      <c r="AN726">
        <v>7.625</v>
      </c>
      <c r="AO726" s="7">
        <f t="shared" si="214"/>
        <v>944.87344740450567</v>
      </c>
      <c r="AP726" s="2">
        <f t="shared" si="215"/>
        <v>57.61655259549434</v>
      </c>
    </row>
    <row r="727" spans="1:42" x14ac:dyDescent="0.15">
      <c r="A727" s="8">
        <v>1018918</v>
      </c>
      <c r="B727" t="s">
        <v>35</v>
      </c>
      <c r="C727" t="s">
        <v>16</v>
      </c>
      <c r="D727" s="1">
        <v>39022</v>
      </c>
      <c r="E727" s="2">
        <v>81000</v>
      </c>
      <c r="F727" s="2">
        <v>68500</v>
      </c>
      <c r="G727" t="s">
        <v>17</v>
      </c>
      <c r="H727" s="2">
        <v>573.49</v>
      </c>
      <c r="I727" s="2">
        <v>67921.8</v>
      </c>
      <c r="J727">
        <v>9.4500000000000001E-2</v>
      </c>
      <c r="K727">
        <v>18</v>
      </c>
      <c r="L727">
        <v>344</v>
      </c>
      <c r="M727" t="str">
        <f t="shared" si="201"/>
        <v>30 Year Fixed</v>
      </c>
      <c r="N727" s="2">
        <v>534.88</v>
      </c>
      <c r="O727" t="str">
        <f t="shared" si="198"/>
        <v>Refi</v>
      </c>
      <c r="P727" s="3">
        <f t="shared" si="202"/>
        <v>0</v>
      </c>
      <c r="Q727" s="4">
        <v>68941</v>
      </c>
      <c r="R727" s="4" t="s">
        <v>41</v>
      </c>
      <c r="S727" s="6">
        <v>602</v>
      </c>
      <c r="T727">
        <v>7</v>
      </c>
      <c r="U727" s="7">
        <f t="shared" si="199"/>
        <v>487.39160986814699</v>
      </c>
      <c r="V727" s="2">
        <f t="shared" si="203"/>
        <v>86.098390131853023</v>
      </c>
      <c r="W727" s="9">
        <f t="shared" si="204"/>
        <v>0</v>
      </c>
      <c r="X727" s="3">
        <v>68941</v>
      </c>
      <c r="Y727" s="3">
        <f t="shared" si="205"/>
        <v>0.36748768473626114</v>
      </c>
      <c r="Z727" s="7">
        <f t="shared" si="206"/>
        <v>487.39160986814699</v>
      </c>
      <c r="AA727" s="2">
        <f t="shared" si="200"/>
        <v>86.098390131853023</v>
      </c>
      <c r="AB727" s="8">
        <f t="shared" si="207"/>
        <v>0</v>
      </c>
      <c r="AC727" s="10">
        <v>7</v>
      </c>
      <c r="AD727" s="7">
        <f t="shared" si="208"/>
        <v>487.39160986814699</v>
      </c>
      <c r="AE727" s="2">
        <f t="shared" si="209"/>
        <v>86.098390131853023</v>
      </c>
      <c r="AF727" s="10">
        <v>0</v>
      </c>
      <c r="AG727" s="3">
        <f t="shared" si="210"/>
        <v>0</v>
      </c>
      <c r="AH727" s="7">
        <v>3236.625</v>
      </c>
      <c r="AI727">
        <f t="shared" si="211"/>
        <v>360</v>
      </c>
      <c r="AJ727">
        <f>VLOOKUP(A727,'Borrower Details'!$A$1:$H$1493,8,FALSE)</f>
        <v>360</v>
      </c>
      <c r="AK727" s="4" t="str">
        <f t="shared" si="212"/>
        <v>NA</v>
      </c>
      <c r="AL727" s="10">
        <v>7</v>
      </c>
      <c r="AM727" s="3">
        <f t="shared" si="213"/>
        <v>68940.626999999993</v>
      </c>
      <c r="AN727">
        <v>7</v>
      </c>
      <c r="AO727" s="7">
        <f t="shared" si="214"/>
        <v>487.38897287317326</v>
      </c>
      <c r="AP727" s="2">
        <f t="shared" si="215"/>
        <v>86.10102712682675</v>
      </c>
    </row>
    <row r="728" spans="1:42" x14ac:dyDescent="0.15">
      <c r="A728" s="8">
        <v>410420574</v>
      </c>
      <c r="B728" t="s">
        <v>35</v>
      </c>
      <c r="C728" t="s">
        <v>16</v>
      </c>
      <c r="D728" s="1">
        <v>39273</v>
      </c>
      <c r="E728" s="2">
        <v>220000</v>
      </c>
      <c r="F728" s="2">
        <v>176000</v>
      </c>
      <c r="G728" t="s">
        <v>17</v>
      </c>
      <c r="H728" s="2">
        <v>1254.81</v>
      </c>
      <c r="I728" s="2">
        <v>174634.78</v>
      </c>
      <c r="J728">
        <v>7.6999999999999999E-2</v>
      </c>
      <c r="K728">
        <v>9</v>
      </c>
      <c r="L728">
        <v>351</v>
      </c>
      <c r="M728" t="str">
        <f t="shared" si="201"/>
        <v>30 Year Fixed</v>
      </c>
      <c r="N728" s="2">
        <v>1120.57</v>
      </c>
      <c r="O728" t="str">
        <f t="shared" si="198"/>
        <v>Cash Out</v>
      </c>
      <c r="P728" s="3">
        <f t="shared" si="202"/>
        <v>9601.673201970465</v>
      </c>
      <c r="Q728" s="4">
        <v>187000</v>
      </c>
      <c r="R728" s="4" t="s">
        <v>41</v>
      </c>
      <c r="S728" s="6">
        <v>657</v>
      </c>
      <c r="T728">
        <v>6.75</v>
      </c>
      <c r="U728" s="7">
        <f t="shared" si="199"/>
        <v>1290.7951072492265</v>
      </c>
      <c r="V728" s="2">
        <f t="shared" si="203"/>
        <v>-35.98510724922653</v>
      </c>
      <c r="W728" s="9">
        <f t="shared" si="204"/>
        <v>1</v>
      </c>
      <c r="X728" s="3">
        <v>181710</v>
      </c>
      <c r="Y728" s="3">
        <f t="shared" si="205"/>
        <v>4389.8505418719433</v>
      </c>
      <c r="Z728" s="7">
        <f t="shared" si="206"/>
        <v>1254.2801012741013</v>
      </c>
      <c r="AA728" s="2">
        <f t="shared" si="200"/>
        <v>0.52989872589864717</v>
      </c>
      <c r="AB728" s="8">
        <f t="shared" si="207"/>
        <v>1</v>
      </c>
      <c r="AC728" s="10">
        <v>6.125</v>
      </c>
      <c r="AD728" s="7">
        <f t="shared" si="208"/>
        <v>1179.8016114720713</v>
      </c>
      <c r="AE728" s="2">
        <f t="shared" si="209"/>
        <v>75.008388527928673</v>
      </c>
      <c r="AF728" s="10">
        <v>3</v>
      </c>
      <c r="AG728" s="3">
        <f t="shared" si="210"/>
        <v>5451.3</v>
      </c>
      <c r="AH728" s="7">
        <v>6776</v>
      </c>
      <c r="AI728">
        <f t="shared" si="211"/>
        <v>360</v>
      </c>
      <c r="AJ728" t="e">
        <f>VLOOKUP(A728,'Borrower Details'!$A$1:$H$1493,8,FALSE)</f>
        <v>#N/A</v>
      </c>
      <c r="AK728" s="4" t="e">
        <f t="shared" si="212"/>
        <v>#N/A</v>
      </c>
      <c r="AL728" s="10">
        <v>6.75</v>
      </c>
      <c r="AM728" s="3">
        <f t="shared" si="213"/>
        <v>177254.30169999998</v>
      </c>
      <c r="AN728">
        <v>6.75</v>
      </c>
      <c r="AO728" s="7">
        <f t="shared" si="214"/>
        <v>1223.5239859531457</v>
      </c>
      <c r="AP728" s="2">
        <f t="shared" si="215"/>
        <v>31.286014046854234</v>
      </c>
    </row>
    <row r="729" spans="1:42" x14ac:dyDescent="0.15">
      <c r="A729" s="8">
        <v>410896500</v>
      </c>
      <c r="B729" t="s">
        <v>36</v>
      </c>
      <c r="C729" t="s">
        <v>16</v>
      </c>
      <c r="D729" s="1">
        <v>39337</v>
      </c>
      <c r="E729" s="2">
        <v>380000</v>
      </c>
      <c r="F729" s="2">
        <v>323000</v>
      </c>
      <c r="G729" t="s">
        <v>20</v>
      </c>
      <c r="H729" s="2">
        <v>2930.49</v>
      </c>
      <c r="I729" s="2">
        <v>322057.68</v>
      </c>
      <c r="J729">
        <v>0.104</v>
      </c>
      <c r="K729">
        <v>7</v>
      </c>
      <c r="L729">
        <v>353</v>
      </c>
      <c r="M729" t="str">
        <f t="shared" si="201"/>
        <v>30 Year Fixed</v>
      </c>
      <c r="N729" s="2">
        <v>2791.17</v>
      </c>
      <c r="O729" t="str">
        <f t="shared" si="198"/>
        <v>Refi</v>
      </c>
      <c r="P729" s="3">
        <f t="shared" si="202"/>
        <v>0</v>
      </c>
      <c r="Q729" s="4">
        <v>326889</v>
      </c>
      <c r="R729" s="4" t="s">
        <v>41</v>
      </c>
      <c r="S729" s="6">
        <v>569</v>
      </c>
      <c r="T729">
        <v>7.625</v>
      </c>
      <c r="U729" s="7">
        <f t="shared" si="199"/>
        <v>2449.9036495212076</v>
      </c>
      <c r="V729" s="2">
        <f t="shared" si="203"/>
        <v>480.58635047879216</v>
      </c>
      <c r="W729" s="9">
        <f t="shared" si="204"/>
        <v>0</v>
      </c>
      <c r="X729" s="3">
        <v>326889</v>
      </c>
      <c r="Y729" s="3">
        <f t="shared" si="205"/>
        <v>0.44807881774613634</v>
      </c>
      <c r="Z729" s="7">
        <f t="shared" si="206"/>
        <v>2449.9036495212076</v>
      </c>
      <c r="AA729" s="2">
        <f t="shared" si="200"/>
        <v>480.58635047879216</v>
      </c>
      <c r="AB729" s="8">
        <f t="shared" si="207"/>
        <v>0</v>
      </c>
      <c r="AC729" s="10">
        <v>7.625</v>
      </c>
      <c r="AD729" s="7">
        <f t="shared" si="208"/>
        <v>2449.9036495212076</v>
      </c>
      <c r="AE729" s="2">
        <f t="shared" si="209"/>
        <v>480.58635047879216</v>
      </c>
      <c r="AF729" s="10">
        <v>0</v>
      </c>
      <c r="AG729" s="3">
        <f t="shared" si="210"/>
        <v>0</v>
      </c>
      <c r="AH729" s="7">
        <v>6460</v>
      </c>
      <c r="AI729">
        <f t="shared" si="211"/>
        <v>360</v>
      </c>
      <c r="AJ729" t="e">
        <f>VLOOKUP(A729,'Borrower Details'!$A$1:$H$1493,8,FALSE)</f>
        <v>#N/A</v>
      </c>
      <c r="AK729" s="4" t="e">
        <f t="shared" si="212"/>
        <v>#N/A</v>
      </c>
      <c r="AL729" s="10">
        <v>7.625</v>
      </c>
      <c r="AM729" s="3">
        <f t="shared" si="213"/>
        <v>326888.54519999993</v>
      </c>
      <c r="AN729">
        <v>7.625</v>
      </c>
      <c r="AO729" s="7">
        <f t="shared" si="214"/>
        <v>2449.9002409752484</v>
      </c>
      <c r="AP729" s="2">
        <f t="shared" si="215"/>
        <v>480.5897590247514</v>
      </c>
    </row>
    <row r="730" spans="1:42" x14ac:dyDescent="0.15">
      <c r="A730" s="8">
        <v>411059082</v>
      </c>
      <c r="B730" t="s">
        <v>36</v>
      </c>
      <c r="C730" t="s">
        <v>18</v>
      </c>
      <c r="D730" s="1">
        <v>39384</v>
      </c>
      <c r="E730" s="2">
        <v>243000</v>
      </c>
      <c r="F730" s="2">
        <v>218700</v>
      </c>
      <c r="G730" t="s">
        <v>17</v>
      </c>
      <c r="H730" s="2">
        <v>1830.98</v>
      </c>
      <c r="I730" s="2">
        <v>217920.75</v>
      </c>
      <c r="J730">
        <v>9.4500000000000001E-2</v>
      </c>
      <c r="K730">
        <v>6</v>
      </c>
      <c r="L730">
        <v>353</v>
      </c>
      <c r="M730" t="str">
        <f t="shared" si="201"/>
        <v>30 Year Fixed</v>
      </c>
      <c r="N730" s="2">
        <v>1717.02</v>
      </c>
      <c r="O730" t="str">
        <f t="shared" si="198"/>
        <v>Refi</v>
      </c>
      <c r="P730" s="3">
        <f t="shared" si="202"/>
        <v>0</v>
      </c>
      <c r="Q730" s="4">
        <v>221190</v>
      </c>
      <c r="R730" s="4" t="s">
        <v>41</v>
      </c>
      <c r="S730" s="6">
        <v>600</v>
      </c>
      <c r="T730">
        <v>6.875</v>
      </c>
      <c r="U730" s="7">
        <f t="shared" si="199"/>
        <v>1545.2233429688745</v>
      </c>
      <c r="V730" s="2">
        <f t="shared" si="203"/>
        <v>285.75665703112554</v>
      </c>
      <c r="W730" s="9">
        <f t="shared" si="204"/>
        <v>0</v>
      </c>
      <c r="X730" s="3">
        <v>221190</v>
      </c>
      <c r="Y730" s="3">
        <f t="shared" si="205"/>
        <v>0.43226600988418795</v>
      </c>
      <c r="Z730" s="7">
        <f t="shared" si="206"/>
        <v>1545.2233429688745</v>
      </c>
      <c r="AA730" s="2">
        <f t="shared" si="200"/>
        <v>285.75665703112554</v>
      </c>
      <c r="AB730" s="8">
        <f t="shared" si="207"/>
        <v>0</v>
      </c>
      <c r="AC730" s="10">
        <v>6.875</v>
      </c>
      <c r="AD730" s="7">
        <f t="shared" si="208"/>
        <v>1545.2233429688745</v>
      </c>
      <c r="AE730" s="2">
        <f t="shared" si="209"/>
        <v>285.75665703112554</v>
      </c>
      <c r="AF730" s="10">
        <v>0</v>
      </c>
      <c r="AG730" s="3">
        <f t="shared" si="210"/>
        <v>0</v>
      </c>
      <c r="AH730" s="7">
        <v>4374</v>
      </c>
      <c r="AI730">
        <f t="shared" si="211"/>
        <v>360</v>
      </c>
      <c r="AJ730" t="e">
        <f>VLOOKUP(A730,'Borrower Details'!$A$1:$H$1493,8,FALSE)</f>
        <v>#N/A</v>
      </c>
      <c r="AK730" s="4" t="e">
        <f t="shared" si="212"/>
        <v>#N/A</v>
      </c>
      <c r="AL730" s="10">
        <v>6.875</v>
      </c>
      <c r="AM730" s="3">
        <f t="shared" si="213"/>
        <v>221189.56124999997</v>
      </c>
      <c r="AN730">
        <v>6.875</v>
      </c>
      <c r="AO730" s="7">
        <f t="shared" si="214"/>
        <v>1545.2202778812045</v>
      </c>
      <c r="AP730" s="2">
        <f t="shared" si="215"/>
        <v>285.75972211879548</v>
      </c>
    </row>
    <row r="731" spans="1:42" x14ac:dyDescent="0.15">
      <c r="A731" s="8">
        <v>411016702</v>
      </c>
      <c r="B731" t="s">
        <v>35</v>
      </c>
      <c r="C731" t="s">
        <v>16</v>
      </c>
      <c r="D731" s="1">
        <v>39365</v>
      </c>
      <c r="E731" s="2">
        <v>250000</v>
      </c>
      <c r="F731" s="2">
        <v>212500</v>
      </c>
      <c r="G731" t="s">
        <v>20</v>
      </c>
      <c r="H731" s="2">
        <v>2022.09</v>
      </c>
      <c r="I731" s="2">
        <v>211392.98</v>
      </c>
      <c r="J731">
        <v>0.1099</v>
      </c>
      <c r="K731">
        <v>6</v>
      </c>
      <c r="L731">
        <v>353</v>
      </c>
      <c r="M731" t="str">
        <f t="shared" si="201"/>
        <v>30 Year Fixed</v>
      </c>
      <c r="N731" s="2">
        <v>1936.01</v>
      </c>
      <c r="O731" t="str">
        <f t="shared" si="198"/>
        <v>Refi</v>
      </c>
      <c r="P731" s="3">
        <f t="shared" si="202"/>
        <v>0</v>
      </c>
      <c r="Q731" s="4">
        <v>214564</v>
      </c>
      <c r="R731" s="4" t="s">
        <v>41</v>
      </c>
      <c r="S731" s="6">
        <v>545</v>
      </c>
      <c r="T731">
        <v>7.625</v>
      </c>
      <c r="U731" s="7">
        <f t="shared" si="199"/>
        <v>1608.0722405950287</v>
      </c>
      <c r="V731" s="2">
        <f t="shared" si="203"/>
        <v>414.01775940497123</v>
      </c>
      <c r="W731" s="9">
        <f t="shared" si="204"/>
        <v>0</v>
      </c>
      <c r="X731" s="3">
        <v>214564</v>
      </c>
      <c r="Y731" s="3">
        <f t="shared" si="205"/>
        <v>0.12344827587367035</v>
      </c>
      <c r="Z731" s="7">
        <f t="shared" si="206"/>
        <v>1608.0722405950287</v>
      </c>
      <c r="AA731" s="2">
        <f t="shared" si="200"/>
        <v>414.01775940497123</v>
      </c>
      <c r="AB731" s="8">
        <f t="shared" si="207"/>
        <v>0</v>
      </c>
      <c r="AC731" s="10">
        <v>7.625</v>
      </c>
      <c r="AD731" s="7">
        <f t="shared" si="208"/>
        <v>1608.0722405950287</v>
      </c>
      <c r="AE731" s="2">
        <f t="shared" si="209"/>
        <v>414.01775940497123</v>
      </c>
      <c r="AF731" s="10">
        <v>0</v>
      </c>
      <c r="AG731" s="3">
        <f t="shared" si="210"/>
        <v>0</v>
      </c>
      <c r="AH731" s="7">
        <v>11676.875</v>
      </c>
      <c r="AI731">
        <f t="shared" si="211"/>
        <v>360</v>
      </c>
      <c r="AJ731" t="e">
        <f>VLOOKUP(A731,'Borrower Details'!$A$1:$H$1493,8,FALSE)</f>
        <v>#N/A</v>
      </c>
      <c r="AK731" s="4" t="e">
        <f t="shared" si="212"/>
        <v>#N/A</v>
      </c>
      <c r="AL731" s="10">
        <v>7.625</v>
      </c>
      <c r="AM731" s="3">
        <f t="shared" si="213"/>
        <v>214563.87469999999</v>
      </c>
      <c r="AN731">
        <v>7.625</v>
      </c>
      <c r="AO731" s="7">
        <f t="shared" si="214"/>
        <v>1608.0713015211311</v>
      </c>
      <c r="AP731" s="2">
        <f t="shared" si="215"/>
        <v>414.01869847886883</v>
      </c>
    </row>
    <row r="732" spans="1:42" x14ac:dyDescent="0.15">
      <c r="A732" s="8">
        <v>411075716</v>
      </c>
      <c r="B732" t="s">
        <v>36</v>
      </c>
      <c r="C732" t="s">
        <v>16</v>
      </c>
      <c r="D732" s="1">
        <v>39401</v>
      </c>
      <c r="E732" s="2">
        <v>322000</v>
      </c>
      <c r="F732" s="2">
        <v>289800</v>
      </c>
      <c r="G732" t="s">
        <v>17</v>
      </c>
      <c r="H732" s="2">
        <v>2361.0500000000002</v>
      </c>
      <c r="I732" s="2">
        <v>289491.34999999998</v>
      </c>
      <c r="J732">
        <v>9.1399999999999995E-2</v>
      </c>
      <c r="K732">
        <v>5</v>
      </c>
      <c r="L732">
        <v>358</v>
      </c>
      <c r="M732" t="str">
        <f t="shared" si="201"/>
        <v>30 Year Fixed</v>
      </c>
      <c r="N732" s="2">
        <v>2204.96</v>
      </c>
      <c r="O732" t="str">
        <f t="shared" si="198"/>
        <v>Refi</v>
      </c>
      <c r="P732" s="3">
        <f t="shared" si="202"/>
        <v>0</v>
      </c>
      <c r="Q732" s="4">
        <v>293834</v>
      </c>
      <c r="R732" s="4" t="s">
        <v>41</v>
      </c>
      <c r="S732" s="6">
        <v>645</v>
      </c>
      <c r="T732">
        <v>6.75</v>
      </c>
      <c r="U732" s="7">
        <f t="shared" si="199"/>
        <v>2028.2325644035786</v>
      </c>
      <c r="V732" s="2">
        <f t="shared" si="203"/>
        <v>332.81743559642155</v>
      </c>
      <c r="W732" s="9">
        <f t="shared" si="204"/>
        <v>0</v>
      </c>
      <c r="X732" s="3">
        <v>293834</v>
      </c>
      <c r="Y732" s="3">
        <f t="shared" si="205"/>
        <v>0.27561576361767948</v>
      </c>
      <c r="Z732" s="7">
        <f t="shared" si="206"/>
        <v>2028.2325644035786</v>
      </c>
      <c r="AA732" s="2">
        <f t="shared" si="200"/>
        <v>332.81743559642155</v>
      </c>
      <c r="AB732" s="8">
        <f t="shared" si="207"/>
        <v>0</v>
      </c>
      <c r="AC732" s="10">
        <v>6.75</v>
      </c>
      <c r="AD732" s="7">
        <f t="shared" si="208"/>
        <v>2028.2325644035786</v>
      </c>
      <c r="AE732" s="2">
        <f t="shared" si="209"/>
        <v>332.81743559642155</v>
      </c>
      <c r="AF732" s="10">
        <v>0</v>
      </c>
      <c r="AG732" s="3">
        <f t="shared" si="210"/>
        <v>0</v>
      </c>
      <c r="AH732" s="7">
        <v>5796</v>
      </c>
      <c r="AI732">
        <f t="shared" si="211"/>
        <v>360</v>
      </c>
      <c r="AJ732" t="e">
        <f>VLOOKUP(A732,'Borrower Details'!$A$1:$H$1493,8,FALSE)</f>
        <v>#N/A</v>
      </c>
      <c r="AK732" s="4" t="e">
        <f t="shared" si="212"/>
        <v>#N/A</v>
      </c>
      <c r="AL732" s="10">
        <v>6.75</v>
      </c>
      <c r="AM732" s="3">
        <f t="shared" si="213"/>
        <v>293833.72024999995</v>
      </c>
      <c r="AN732">
        <v>6.75</v>
      </c>
      <c r="AO732" s="7">
        <f t="shared" si="214"/>
        <v>2028.2306333879033</v>
      </c>
      <c r="AP732" s="2">
        <f t="shared" si="215"/>
        <v>332.81936661209693</v>
      </c>
    </row>
    <row r="733" spans="1:42" x14ac:dyDescent="0.15">
      <c r="A733" s="8">
        <v>410948384</v>
      </c>
      <c r="B733" t="s">
        <v>35</v>
      </c>
      <c r="C733" t="s">
        <v>16</v>
      </c>
      <c r="D733" s="1">
        <v>39343</v>
      </c>
      <c r="E733" s="2">
        <v>190000</v>
      </c>
      <c r="F733" s="2">
        <v>171000</v>
      </c>
      <c r="G733" t="s">
        <v>17</v>
      </c>
      <c r="H733" s="2">
        <v>1551.44</v>
      </c>
      <c r="I733" s="2">
        <v>170501.1</v>
      </c>
      <c r="J733">
        <v>0.104</v>
      </c>
      <c r="K733">
        <v>7</v>
      </c>
      <c r="L733">
        <v>353</v>
      </c>
      <c r="M733" t="str">
        <f t="shared" si="201"/>
        <v>30 Year Fixed</v>
      </c>
      <c r="N733" s="2">
        <v>1477.68</v>
      </c>
      <c r="O733" t="str">
        <f t="shared" si="198"/>
        <v>Refi</v>
      </c>
      <c r="P733" s="3">
        <f t="shared" si="202"/>
        <v>0</v>
      </c>
      <c r="Q733" s="4">
        <v>173059</v>
      </c>
      <c r="R733" s="4" t="s">
        <v>41</v>
      </c>
      <c r="S733" s="6">
        <v>618</v>
      </c>
      <c r="T733">
        <v>6.875</v>
      </c>
      <c r="U733" s="7">
        <f t="shared" si="199"/>
        <v>1208.9823523253783</v>
      </c>
      <c r="V733" s="2">
        <f t="shared" si="203"/>
        <v>342.45764767462174</v>
      </c>
      <c r="W733" s="9">
        <f t="shared" si="204"/>
        <v>0</v>
      </c>
      <c r="X733" s="3">
        <v>173059</v>
      </c>
      <c r="Y733" s="3">
        <f t="shared" si="205"/>
        <v>0.37783251231303439</v>
      </c>
      <c r="Z733" s="7">
        <f t="shared" si="206"/>
        <v>1208.9823523253783</v>
      </c>
      <c r="AA733" s="2">
        <f t="shared" si="200"/>
        <v>342.45764767462174</v>
      </c>
      <c r="AB733" s="8">
        <f t="shared" si="207"/>
        <v>0</v>
      </c>
      <c r="AC733" s="10">
        <v>6.875</v>
      </c>
      <c r="AD733" s="7">
        <f t="shared" si="208"/>
        <v>1208.9823523253783</v>
      </c>
      <c r="AE733" s="2">
        <f t="shared" si="209"/>
        <v>342.45764767462174</v>
      </c>
      <c r="AF733" s="10">
        <v>0</v>
      </c>
      <c r="AG733" s="3">
        <f t="shared" si="210"/>
        <v>0</v>
      </c>
      <c r="AH733" s="7">
        <v>8892</v>
      </c>
      <c r="AI733">
        <f t="shared" si="211"/>
        <v>360</v>
      </c>
      <c r="AJ733" t="e">
        <f>VLOOKUP(A733,'Borrower Details'!$A$1:$H$1493,8,FALSE)</f>
        <v>#N/A</v>
      </c>
      <c r="AK733" s="4" t="e">
        <f t="shared" si="212"/>
        <v>#N/A</v>
      </c>
      <c r="AL733" s="10">
        <v>6.875</v>
      </c>
      <c r="AM733" s="3">
        <f t="shared" si="213"/>
        <v>173058.6165</v>
      </c>
      <c r="AN733">
        <v>6.875</v>
      </c>
      <c r="AO733" s="7">
        <f t="shared" si="214"/>
        <v>1208.9796732117113</v>
      </c>
      <c r="AP733" s="2">
        <f t="shared" si="215"/>
        <v>342.46032678828874</v>
      </c>
    </row>
    <row r="734" spans="1:42" x14ac:dyDescent="0.15">
      <c r="A734" s="8">
        <v>410704340</v>
      </c>
      <c r="B734" t="s">
        <v>37</v>
      </c>
      <c r="C734" t="s">
        <v>18</v>
      </c>
      <c r="D734" s="1">
        <v>39311</v>
      </c>
      <c r="E734" s="2">
        <v>150000</v>
      </c>
      <c r="F734" s="2">
        <v>135000</v>
      </c>
      <c r="G734" t="s">
        <v>20</v>
      </c>
      <c r="H734" s="2">
        <v>1265.28</v>
      </c>
      <c r="I734" s="2">
        <v>134584.87</v>
      </c>
      <c r="J734">
        <v>0.108</v>
      </c>
      <c r="K734">
        <v>8</v>
      </c>
      <c r="L734">
        <v>352</v>
      </c>
      <c r="M734" t="str">
        <f t="shared" si="201"/>
        <v>30 Year Fixed</v>
      </c>
      <c r="N734" s="2">
        <v>1211.26</v>
      </c>
      <c r="O734" t="str">
        <f t="shared" si="198"/>
        <v>Refi</v>
      </c>
      <c r="P734" s="3">
        <f t="shared" si="202"/>
        <v>0</v>
      </c>
      <c r="Q734" s="4">
        <v>136604</v>
      </c>
      <c r="R734" s="4" t="s">
        <v>41</v>
      </c>
      <c r="S734" s="6">
        <v>569</v>
      </c>
      <c r="T734">
        <v>7.625</v>
      </c>
      <c r="U734" s="7">
        <f t="shared" si="199"/>
        <v>1023.7929026036207</v>
      </c>
      <c r="V734" s="2">
        <f t="shared" si="203"/>
        <v>241.48709739637923</v>
      </c>
      <c r="W734" s="9">
        <f t="shared" si="204"/>
        <v>0</v>
      </c>
      <c r="X734" s="3">
        <v>136604</v>
      </c>
      <c r="Y734" s="3">
        <f t="shared" si="205"/>
        <v>0.35167487687431276</v>
      </c>
      <c r="Z734" s="7">
        <f t="shared" si="206"/>
        <v>1023.7929026036207</v>
      </c>
      <c r="AA734" s="2">
        <f t="shared" si="200"/>
        <v>241.48709739637923</v>
      </c>
      <c r="AB734" s="8">
        <f t="shared" si="207"/>
        <v>0</v>
      </c>
      <c r="AC734" s="10">
        <v>7.625</v>
      </c>
      <c r="AD734" s="7">
        <f t="shared" si="208"/>
        <v>1023.7929026036207</v>
      </c>
      <c r="AE734" s="2">
        <f t="shared" si="209"/>
        <v>241.48709739637923</v>
      </c>
      <c r="AF734" s="10">
        <v>0</v>
      </c>
      <c r="AG734" s="3">
        <f t="shared" si="210"/>
        <v>0</v>
      </c>
      <c r="AH734" s="7">
        <v>0</v>
      </c>
      <c r="AI734">
        <f t="shared" si="211"/>
        <v>360</v>
      </c>
      <c r="AJ734" t="e">
        <f>VLOOKUP(A734,'Borrower Details'!$A$1:$H$1493,8,FALSE)</f>
        <v>#N/A</v>
      </c>
      <c r="AK734" s="4" t="e">
        <f t="shared" si="212"/>
        <v>#N/A</v>
      </c>
      <c r="AL734" s="10">
        <v>7.625</v>
      </c>
      <c r="AM734" s="3">
        <f t="shared" si="213"/>
        <v>136603.64304999998</v>
      </c>
      <c r="AN734">
        <v>7.625</v>
      </c>
      <c r="AO734" s="7">
        <f t="shared" si="214"/>
        <v>1023.7902274046764</v>
      </c>
      <c r="AP734" s="2">
        <f t="shared" si="215"/>
        <v>241.48977259532353</v>
      </c>
    </row>
    <row r="735" spans="1:42" x14ac:dyDescent="0.15">
      <c r="A735" s="8">
        <v>410730352</v>
      </c>
      <c r="B735" t="s">
        <v>36</v>
      </c>
      <c r="C735" t="s">
        <v>19</v>
      </c>
      <c r="D735" s="1">
        <v>39290</v>
      </c>
      <c r="E735" s="2">
        <v>360000</v>
      </c>
      <c r="F735" s="2">
        <v>342000</v>
      </c>
      <c r="G735" t="s">
        <v>20</v>
      </c>
      <c r="H735" s="2">
        <v>3380.21</v>
      </c>
      <c r="I735" s="2">
        <v>341705.52</v>
      </c>
      <c r="J735">
        <v>0.11749999999999999</v>
      </c>
      <c r="K735">
        <v>9</v>
      </c>
      <c r="L735">
        <v>351</v>
      </c>
      <c r="M735" t="str">
        <f t="shared" si="201"/>
        <v>30 Year Fixed</v>
      </c>
      <c r="N735" s="2">
        <v>3345.87</v>
      </c>
      <c r="O735" t="str">
        <f t="shared" si="198"/>
        <v>Refi</v>
      </c>
      <c r="P735" s="3">
        <f t="shared" si="202"/>
        <v>0</v>
      </c>
      <c r="Q735" s="4">
        <v>346831</v>
      </c>
      <c r="R735" s="4" t="s">
        <v>41</v>
      </c>
      <c r="S735" s="6">
        <v>597</v>
      </c>
      <c r="T735">
        <v>7.375</v>
      </c>
      <c r="U735" s="7">
        <f t="shared" si="199"/>
        <v>2539.9884378299894</v>
      </c>
      <c r="V735" s="2">
        <f t="shared" si="203"/>
        <v>840.22156217001066</v>
      </c>
      <c r="W735" s="9">
        <f t="shared" si="204"/>
        <v>0</v>
      </c>
      <c r="X735" s="3">
        <v>346832</v>
      </c>
      <c r="Y735" s="3">
        <f t="shared" si="205"/>
        <v>0.88394088670611382</v>
      </c>
      <c r="Z735" s="7">
        <f t="shared" si="206"/>
        <v>2539.9957612481321</v>
      </c>
      <c r="AA735" s="2">
        <f t="shared" si="200"/>
        <v>840.21423875186792</v>
      </c>
      <c r="AB735" s="8">
        <f t="shared" si="207"/>
        <v>0</v>
      </c>
      <c r="AC735" s="10">
        <v>7.375</v>
      </c>
      <c r="AD735" s="7">
        <f t="shared" si="208"/>
        <v>2539.9957612481321</v>
      </c>
      <c r="AE735" s="2">
        <f t="shared" si="209"/>
        <v>840.21423875186792</v>
      </c>
      <c r="AF735" s="10">
        <v>0</v>
      </c>
      <c r="AG735" s="3">
        <f t="shared" si="210"/>
        <v>0</v>
      </c>
      <c r="AH735" s="7">
        <v>6840</v>
      </c>
      <c r="AI735">
        <f t="shared" si="211"/>
        <v>360</v>
      </c>
      <c r="AJ735" t="e">
        <f>VLOOKUP(A735,'Borrower Details'!$A$1:$H$1493,8,FALSE)</f>
        <v>#N/A</v>
      </c>
      <c r="AK735" s="4" t="e">
        <f t="shared" si="212"/>
        <v>#N/A</v>
      </c>
      <c r="AL735" s="10">
        <v>7.375</v>
      </c>
      <c r="AM735" s="3">
        <f t="shared" si="213"/>
        <v>346831.10279999999</v>
      </c>
      <c r="AN735">
        <v>7.375</v>
      </c>
      <c r="AO735" s="7">
        <f t="shared" si="214"/>
        <v>2539.9891906773742</v>
      </c>
      <c r="AP735" s="2">
        <f t="shared" si="215"/>
        <v>840.22080932262588</v>
      </c>
    </row>
    <row r="736" spans="1:42" x14ac:dyDescent="0.15">
      <c r="A736" s="8">
        <v>410055818</v>
      </c>
      <c r="B736" t="s">
        <v>36</v>
      </c>
      <c r="C736" t="s">
        <v>18</v>
      </c>
      <c r="D736" s="1">
        <v>39190</v>
      </c>
      <c r="E736" s="2">
        <v>135000</v>
      </c>
      <c r="F736" s="2">
        <v>94500</v>
      </c>
      <c r="G736" t="s">
        <v>17</v>
      </c>
      <c r="H736" s="2">
        <v>728.94</v>
      </c>
      <c r="I736" s="2">
        <v>94244.85</v>
      </c>
      <c r="J736">
        <v>0.09</v>
      </c>
      <c r="K736">
        <v>12</v>
      </c>
      <c r="L736">
        <v>348</v>
      </c>
      <c r="M736" t="str">
        <f t="shared" si="201"/>
        <v>30 Year Fixed</v>
      </c>
      <c r="N736" s="2">
        <v>706.84</v>
      </c>
      <c r="O736" t="str">
        <f t="shared" si="198"/>
        <v>Cash Out</v>
      </c>
      <c r="P736" s="3">
        <f t="shared" si="202"/>
        <v>18809.337192118226</v>
      </c>
      <c r="Q736" s="4">
        <v>114750</v>
      </c>
      <c r="R736" s="4" t="s">
        <v>41</v>
      </c>
      <c r="S736" s="6">
        <v>526</v>
      </c>
      <c r="T736">
        <v>7.625</v>
      </c>
      <c r="U736" s="7">
        <f t="shared" si="199"/>
        <v>860.00582394194521</v>
      </c>
      <c r="V736" s="2">
        <f t="shared" si="203"/>
        <v>-131.06582394194515</v>
      </c>
      <c r="W736" s="9">
        <f t="shared" si="204"/>
        <v>1</v>
      </c>
      <c r="X736" s="3">
        <v>97190</v>
      </c>
      <c r="Y736" s="3">
        <f t="shared" si="205"/>
        <v>1508.8445812807913</v>
      </c>
      <c r="Z736" s="7">
        <f t="shared" si="206"/>
        <v>728.40057541540443</v>
      </c>
      <c r="AA736" s="2">
        <f t="shared" si="200"/>
        <v>0.53942458459562204</v>
      </c>
      <c r="AB736" s="8">
        <f t="shared" si="207"/>
        <v>1</v>
      </c>
      <c r="AC736" s="10">
        <v>6.875</v>
      </c>
      <c r="AD736" s="7">
        <f t="shared" si="208"/>
        <v>678.96494734456758</v>
      </c>
      <c r="AE736" s="2">
        <f t="shared" si="209"/>
        <v>49.975052655432478</v>
      </c>
      <c r="AF736" s="10">
        <v>2</v>
      </c>
      <c r="AG736" s="3">
        <f t="shared" si="210"/>
        <v>1943.8</v>
      </c>
      <c r="AH736" s="7">
        <v>1890</v>
      </c>
      <c r="AI736">
        <f t="shared" si="211"/>
        <v>360</v>
      </c>
      <c r="AJ736" t="e">
        <f>VLOOKUP(A736,'Borrower Details'!$A$1:$H$1493,8,FALSE)</f>
        <v>#N/A</v>
      </c>
      <c r="AK736" s="4" t="e">
        <f t="shared" si="212"/>
        <v>#N/A</v>
      </c>
      <c r="AL736" s="10">
        <v>7.625</v>
      </c>
      <c r="AM736" s="3">
        <f t="shared" si="213"/>
        <v>95658.522750000004</v>
      </c>
      <c r="AN736">
        <v>7.625</v>
      </c>
      <c r="AO736" s="7">
        <f t="shared" si="214"/>
        <v>716.92275969222715</v>
      </c>
      <c r="AP736" s="2">
        <f t="shared" si="215"/>
        <v>12.017240307772909</v>
      </c>
    </row>
    <row r="737" spans="1:42" x14ac:dyDescent="0.15">
      <c r="A737" s="8">
        <v>410683460</v>
      </c>
      <c r="B737" t="s">
        <v>36</v>
      </c>
      <c r="C737" t="s">
        <v>19</v>
      </c>
      <c r="D737" s="1">
        <v>39293</v>
      </c>
      <c r="E737" s="2">
        <v>375000</v>
      </c>
      <c r="F737" s="2">
        <v>318750</v>
      </c>
      <c r="G737" t="s">
        <v>15</v>
      </c>
      <c r="H737" s="2">
        <v>2507.91</v>
      </c>
      <c r="I737" s="2">
        <v>318154.53000000003</v>
      </c>
      <c r="J737">
        <v>9.1999999999999998E-2</v>
      </c>
      <c r="K737">
        <v>9</v>
      </c>
      <c r="L737">
        <v>351</v>
      </c>
      <c r="M737" t="str">
        <f t="shared" si="201"/>
        <v>30 Year Fixed</v>
      </c>
      <c r="N737" s="2">
        <v>2439.1799999999998</v>
      </c>
      <c r="O737" t="str">
        <f t="shared" si="198"/>
        <v>Refi</v>
      </c>
      <c r="P737" s="3">
        <f t="shared" si="202"/>
        <v>0</v>
      </c>
      <c r="Q737" s="4">
        <v>322927</v>
      </c>
      <c r="R737" s="4" t="s">
        <v>41</v>
      </c>
      <c r="S737" s="6">
        <v>575</v>
      </c>
      <c r="T737">
        <v>7.625</v>
      </c>
      <c r="U737" s="7">
        <f t="shared" si="199"/>
        <v>2420.2100279573033</v>
      </c>
      <c r="V737" s="2">
        <f t="shared" si="203"/>
        <v>87.699972042696572</v>
      </c>
      <c r="W737" s="9">
        <f t="shared" si="204"/>
        <v>0</v>
      </c>
      <c r="X737" s="3">
        <v>322927</v>
      </c>
      <c r="Y737" s="3">
        <f t="shared" si="205"/>
        <v>0.14980295568238944</v>
      </c>
      <c r="Z737" s="7">
        <f t="shared" si="206"/>
        <v>2420.2100279573033</v>
      </c>
      <c r="AA737" s="2">
        <f t="shared" si="200"/>
        <v>87.699972042696572</v>
      </c>
      <c r="AB737" s="8">
        <f t="shared" si="207"/>
        <v>1</v>
      </c>
      <c r="AC737" s="10">
        <v>6.875</v>
      </c>
      <c r="AD737" s="7">
        <f t="shared" si="208"/>
        <v>2255.9534268046009</v>
      </c>
      <c r="AE737" s="2">
        <f t="shared" si="209"/>
        <v>251.95657319539896</v>
      </c>
      <c r="AF737" s="10">
        <v>1</v>
      </c>
      <c r="AG737" s="3">
        <f t="shared" si="210"/>
        <v>3229.27</v>
      </c>
      <c r="AH737" s="7">
        <v>6375</v>
      </c>
      <c r="AI737">
        <f t="shared" si="211"/>
        <v>360</v>
      </c>
      <c r="AJ737" t="e">
        <f>VLOOKUP(A737,'Borrower Details'!$A$1:$H$1493,8,FALSE)</f>
        <v>#N/A</v>
      </c>
      <c r="AK737" s="4" t="e">
        <f t="shared" si="212"/>
        <v>#N/A</v>
      </c>
      <c r="AL737" s="10">
        <v>7.625</v>
      </c>
      <c r="AM737" s="3">
        <f t="shared" si="213"/>
        <v>322926.84795000002</v>
      </c>
      <c r="AN737">
        <v>7.625</v>
      </c>
      <c r="AO737" s="7">
        <f t="shared" si="214"/>
        <v>2420.2088884027453</v>
      </c>
      <c r="AP737" s="2">
        <f t="shared" si="215"/>
        <v>87.701111597254567</v>
      </c>
    </row>
    <row r="738" spans="1:42" x14ac:dyDescent="0.15">
      <c r="A738" s="8">
        <v>410621270</v>
      </c>
      <c r="B738" t="s">
        <v>36</v>
      </c>
      <c r="C738" t="s">
        <v>18</v>
      </c>
      <c r="D738" s="1">
        <v>39342</v>
      </c>
      <c r="E738" s="2">
        <v>95000</v>
      </c>
      <c r="F738" s="2">
        <v>68000</v>
      </c>
      <c r="G738" t="s">
        <v>20</v>
      </c>
      <c r="H738" s="2">
        <v>532.19000000000005</v>
      </c>
      <c r="I738" s="2">
        <v>67962.820000000007</v>
      </c>
      <c r="J738">
        <v>9.2999999999999999E-2</v>
      </c>
      <c r="K738">
        <v>7</v>
      </c>
      <c r="L738">
        <v>353</v>
      </c>
      <c r="M738" t="str">
        <f t="shared" si="201"/>
        <v>30 Year Fixed</v>
      </c>
      <c r="N738" s="2">
        <v>526.71</v>
      </c>
      <c r="O738" t="str">
        <f t="shared" si="198"/>
        <v>Cash Out</v>
      </c>
      <c r="P738" s="3">
        <f t="shared" si="202"/>
        <v>11593.830246305413</v>
      </c>
      <c r="Q738" s="4">
        <v>80750</v>
      </c>
      <c r="R738" s="4" t="s">
        <v>41</v>
      </c>
      <c r="S738" s="6">
        <v>567</v>
      </c>
      <c r="T738">
        <v>7.625</v>
      </c>
      <c r="U738" s="7">
        <f t="shared" si="199"/>
        <v>605.18928351470231</v>
      </c>
      <c r="V738" s="2">
        <f t="shared" si="203"/>
        <v>-72.999283514702256</v>
      </c>
      <c r="W738" s="9">
        <f t="shared" si="204"/>
        <v>1</v>
      </c>
      <c r="X738" s="3">
        <v>70940</v>
      </c>
      <c r="Y738" s="3">
        <f t="shared" si="205"/>
        <v>1928.8056157635438</v>
      </c>
      <c r="Z738" s="7">
        <f t="shared" si="206"/>
        <v>531.66721699731238</v>
      </c>
      <c r="AA738" s="2">
        <f t="shared" si="200"/>
        <v>0.52278300268767453</v>
      </c>
      <c r="AB738" s="8">
        <f t="shared" si="207"/>
        <v>1</v>
      </c>
      <c r="AC738" s="10">
        <v>6.875</v>
      </c>
      <c r="AD738" s="7">
        <f t="shared" si="208"/>
        <v>495.5836337547446</v>
      </c>
      <c r="AE738" s="2">
        <f t="shared" si="209"/>
        <v>36.606366245255458</v>
      </c>
      <c r="AF738" s="10">
        <v>1.25</v>
      </c>
      <c r="AG738" s="3">
        <f t="shared" si="210"/>
        <v>886.75</v>
      </c>
      <c r="AH738" s="7">
        <v>1360</v>
      </c>
      <c r="AI738">
        <f t="shared" si="211"/>
        <v>360</v>
      </c>
      <c r="AJ738" t="e">
        <f>VLOOKUP(A738,'Borrower Details'!$A$1:$H$1493,8,FALSE)</f>
        <v>#N/A</v>
      </c>
      <c r="AK738" s="4" t="e">
        <f t="shared" si="212"/>
        <v>#N/A</v>
      </c>
      <c r="AL738" s="10">
        <v>7.625</v>
      </c>
      <c r="AM738" s="3">
        <f t="shared" si="213"/>
        <v>68982.262300000002</v>
      </c>
      <c r="AN738">
        <v>7.625</v>
      </c>
      <c r="AO738" s="7">
        <f t="shared" si="214"/>
        <v>516.99474794501862</v>
      </c>
      <c r="AP738" s="2">
        <f t="shared" si="215"/>
        <v>15.195252054981438</v>
      </c>
    </row>
    <row r="739" spans="1:42" x14ac:dyDescent="0.15">
      <c r="A739" s="8">
        <v>410093108</v>
      </c>
      <c r="B739" t="s">
        <v>36</v>
      </c>
      <c r="C739" t="s">
        <v>18</v>
      </c>
      <c r="D739" s="1">
        <v>39197</v>
      </c>
      <c r="E739" s="2">
        <v>181000</v>
      </c>
      <c r="F739" s="2">
        <v>125000</v>
      </c>
      <c r="G739" t="s">
        <v>17</v>
      </c>
      <c r="H739" s="2">
        <v>785.98</v>
      </c>
      <c r="I739" s="2">
        <v>123467.86</v>
      </c>
      <c r="J739">
        <v>6.4500000000000002E-2</v>
      </c>
      <c r="K739">
        <v>12</v>
      </c>
      <c r="L739">
        <v>347</v>
      </c>
      <c r="M739" t="str">
        <f t="shared" si="201"/>
        <v>30 Year Fixed</v>
      </c>
      <c r="N739" s="2">
        <v>663.64</v>
      </c>
      <c r="O739" t="str">
        <f t="shared" si="198"/>
        <v>Cash Out</v>
      </c>
      <c r="P739" s="3">
        <f t="shared" si="202"/>
        <v>28108.494679802956</v>
      </c>
      <c r="Q739" s="4">
        <v>153850</v>
      </c>
      <c r="R739" s="4" t="s">
        <v>41</v>
      </c>
      <c r="S739" s="6">
        <v>625</v>
      </c>
      <c r="T739">
        <v>6.75</v>
      </c>
      <c r="U739" s="7">
        <f t="shared" si="199"/>
        <v>1061.9723382368636</v>
      </c>
      <c r="V739" s="2">
        <f t="shared" si="203"/>
        <v>-275.99233823686359</v>
      </c>
      <c r="W739" s="9">
        <f t="shared" si="204"/>
        <v>1</v>
      </c>
      <c r="X739" s="3">
        <v>125320</v>
      </c>
      <c r="Y739" s="3">
        <f t="shared" si="205"/>
        <v>0.12029556650668383</v>
      </c>
      <c r="Z739" s="7">
        <f t="shared" si="206"/>
        <v>865.03980128595219</v>
      </c>
      <c r="AA739" s="2">
        <f t="shared" si="200"/>
        <v>-79.059801285952176</v>
      </c>
      <c r="AB739" s="8">
        <f t="shared" si="207"/>
        <v>1</v>
      </c>
      <c r="AC739" s="10">
        <v>6.125</v>
      </c>
      <c r="AD739" s="7">
        <f t="shared" si="208"/>
        <v>813.67419486918686</v>
      </c>
      <c r="AE739" s="2">
        <f t="shared" si="209"/>
        <v>-27.694194869186845</v>
      </c>
      <c r="AF739" s="10">
        <v>3</v>
      </c>
      <c r="AG739" s="3">
        <f t="shared" si="210"/>
        <v>3759.6</v>
      </c>
      <c r="AH739" s="7">
        <v>2500</v>
      </c>
      <c r="AI739">
        <f t="shared" si="211"/>
        <v>360</v>
      </c>
      <c r="AJ739" t="e">
        <f>VLOOKUP(A739,'Borrower Details'!$A$1:$H$1493,8,FALSE)</f>
        <v>#N/A</v>
      </c>
      <c r="AK739" s="4" t="e">
        <f t="shared" si="212"/>
        <v>#N/A</v>
      </c>
      <c r="AL739" s="10">
        <v>6.75</v>
      </c>
      <c r="AM739" s="3">
        <f t="shared" si="213"/>
        <v>125319.87789999999</v>
      </c>
      <c r="AN739">
        <v>6.75</v>
      </c>
      <c r="AO739" s="7">
        <f t="shared" si="214"/>
        <v>865.0389584726762</v>
      </c>
      <c r="AP739" s="2">
        <f t="shared" si="215"/>
        <v>-79.058958472676181</v>
      </c>
    </row>
    <row r="740" spans="1:42" x14ac:dyDescent="0.15">
      <c r="A740" s="8">
        <v>1167725</v>
      </c>
      <c r="B740" t="s">
        <v>37</v>
      </c>
      <c r="C740" t="s">
        <v>19</v>
      </c>
      <c r="D740" s="1">
        <v>39161</v>
      </c>
      <c r="E740" s="2">
        <v>215000</v>
      </c>
      <c r="F740" s="2">
        <v>157500</v>
      </c>
      <c r="G740" t="s">
        <v>17</v>
      </c>
      <c r="H740" s="2">
        <v>1255.97</v>
      </c>
      <c r="I740" s="2">
        <v>156302.04999999999</v>
      </c>
      <c r="J740">
        <v>8.8999999999999996E-2</v>
      </c>
      <c r="K740">
        <v>13</v>
      </c>
      <c r="L740">
        <v>347</v>
      </c>
      <c r="M740" t="str">
        <f t="shared" si="201"/>
        <v>30 Year Fixed</v>
      </c>
      <c r="N740" s="2">
        <v>1159.24</v>
      </c>
      <c r="O740" t="str">
        <f t="shared" si="198"/>
        <v>Cash Out</v>
      </c>
      <c r="P740" s="3">
        <f t="shared" si="202"/>
        <v>23747.211083743867</v>
      </c>
      <c r="Q740" s="4">
        <v>182750</v>
      </c>
      <c r="R740" s="4" t="s">
        <v>41</v>
      </c>
      <c r="S740" s="6">
        <v>574</v>
      </c>
      <c r="T740">
        <v>7.625</v>
      </c>
      <c r="U740" s="7">
        <f t="shared" si="199"/>
        <v>1369.6389047964312</v>
      </c>
      <c r="V740" s="2">
        <f t="shared" si="203"/>
        <v>-113.66890479643121</v>
      </c>
      <c r="W740" s="9">
        <f t="shared" si="204"/>
        <v>1</v>
      </c>
      <c r="X740" s="3">
        <v>167510</v>
      </c>
      <c r="Y740" s="3">
        <f t="shared" si="205"/>
        <v>8732.4327586207073</v>
      </c>
      <c r="Z740" s="7">
        <f t="shared" si="206"/>
        <v>1255.4211378519847</v>
      </c>
      <c r="AA740" s="2">
        <f t="shared" si="200"/>
        <v>0.54886214801535971</v>
      </c>
      <c r="AB740" s="8">
        <f t="shared" si="207"/>
        <v>1</v>
      </c>
      <c r="AC740" s="10">
        <v>6.875</v>
      </c>
      <c r="AD740" s="7">
        <f t="shared" si="208"/>
        <v>1170.2172891211908</v>
      </c>
      <c r="AE740" s="2">
        <f t="shared" si="209"/>
        <v>85.752710878809239</v>
      </c>
      <c r="AF740" s="10">
        <v>1</v>
      </c>
      <c r="AG740" s="3">
        <f t="shared" si="210"/>
        <v>1675.1</v>
      </c>
      <c r="AH740" s="7">
        <v>1575</v>
      </c>
      <c r="AI740">
        <f t="shared" si="211"/>
        <v>360</v>
      </c>
      <c r="AJ740" t="e">
        <f>VLOOKUP(A740,'Borrower Details'!$A$1:$H$1493,8,FALSE)</f>
        <v>#N/A</v>
      </c>
      <c r="AK740" s="4" t="e">
        <f t="shared" si="212"/>
        <v>#N/A</v>
      </c>
      <c r="AL740" s="10">
        <v>7.625</v>
      </c>
      <c r="AM740" s="3">
        <f t="shared" si="213"/>
        <v>158646.58074999996</v>
      </c>
      <c r="AN740">
        <v>7.625</v>
      </c>
      <c r="AO740" s="7">
        <f t="shared" si="214"/>
        <v>1188.9933193331249</v>
      </c>
      <c r="AP740" s="2">
        <f t="shared" si="215"/>
        <v>66.976680666875154</v>
      </c>
    </row>
    <row r="741" spans="1:42" x14ac:dyDescent="0.15">
      <c r="A741" s="8">
        <v>410329122</v>
      </c>
      <c r="B741" t="s">
        <v>36</v>
      </c>
      <c r="C741" t="s">
        <v>19</v>
      </c>
      <c r="D741" s="1">
        <v>39225</v>
      </c>
      <c r="E741" s="2">
        <v>202000</v>
      </c>
      <c r="F741" s="2">
        <v>171700</v>
      </c>
      <c r="G741" t="s">
        <v>15</v>
      </c>
      <c r="H741" s="2">
        <v>1295.97</v>
      </c>
      <c r="I741" s="2">
        <v>170454.59</v>
      </c>
      <c r="J741">
        <v>8.3000000000000004E-2</v>
      </c>
      <c r="K741">
        <v>11</v>
      </c>
      <c r="L741">
        <v>350</v>
      </c>
      <c r="M741" t="str">
        <f t="shared" si="201"/>
        <v>30 Year Fixed</v>
      </c>
      <c r="N741" s="2">
        <v>1178.98</v>
      </c>
      <c r="O741" t="str">
        <f t="shared" si="198"/>
        <v>Refi</v>
      </c>
      <c r="P741" s="3">
        <f t="shared" si="202"/>
        <v>0</v>
      </c>
      <c r="Q741" s="4">
        <v>173011</v>
      </c>
      <c r="R741" s="4" t="s">
        <v>41</v>
      </c>
      <c r="S741" s="6">
        <v>582</v>
      </c>
      <c r="T741">
        <v>7.375</v>
      </c>
      <c r="U741" s="7">
        <f t="shared" si="199"/>
        <v>1267.0318962762967</v>
      </c>
      <c r="V741" s="2">
        <f t="shared" si="203"/>
        <v>28.938103723703307</v>
      </c>
      <c r="W741" s="9">
        <f t="shared" si="204"/>
        <v>0</v>
      </c>
      <c r="X741" s="3">
        <v>173012</v>
      </c>
      <c r="Y741" s="3">
        <f t="shared" si="205"/>
        <v>0.58241379313403741</v>
      </c>
      <c r="Z741" s="7">
        <f t="shared" si="206"/>
        <v>1267.0392196944395</v>
      </c>
      <c r="AA741" s="2">
        <f t="shared" si="200"/>
        <v>28.930780305560575</v>
      </c>
      <c r="AB741" s="8">
        <f t="shared" si="207"/>
        <v>1</v>
      </c>
      <c r="AC741" s="10">
        <v>6.625</v>
      </c>
      <c r="AD741" s="7">
        <f t="shared" si="208"/>
        <v>1179.9031333086159</v>
      </c>
      <c r="AE741" s="2">
        <f t="shared" si="209"/>
        <v>116.06686669138412</v>
      </c>
      <c r="AF741" s="10">
        <v>1.875</v>
      </c>
      <c r="AG741" s="3">
        <f t="shared" si="210"/>
        <v>3243.9749999999999</v>
      </c>
      <c r="AH741" s="7">
        <v>3434</v>
      </c>
      <c r="AI741">
        <f t="shared" si="211"/>
        <v>360</v>
      </c>
      <c r="AJ741" t="e">
        <f>VLOOKUP(A741,'Borrower Details'!$A$1:$H$1493,8,FALSE)</f>
        <v>#N/A</v>
      </c>
      <c r="AK741" s="4" t="e">
        <f t="shared" si="212"/>
        <v>#N/A</v>
      </c>
      <c r="AL741" s="10">
        <v>7.375</v>
      </c>
      <c r="AM741" s="3">
        <f t="shared" si="213"/>
        <v>173011.40884999998</v>
      </c>
      <c r="AN741">
        <v>7.375</v>
      </c>
      <c r="AO741" s="7">
        <f t="shared" si="214"/>
        <v>1267.0348904558043</v>
      </c>
      <c r="AP741" s="2">
        <f t="shared" si="215"/>
        <v>28.935109544195711</v>
      </c>
    </row>
    <row r="742" spans="1:42" x14ac:dyDescent="0.15">
      <c r="A742" s="8">
        <v>410343008</v>
      </c>
      <c r="B742" t="s">
        <v>37</v>
      </c>
      <c r="C742" t="s">
        <v>19</v>
      </c>
      <c r="D742" s="1">
        <v>39233</v>
      </c>
      <c r="E742" s="2">
        <v>132000</v>
      </c>
      <c r="F742" s="2">
        <v>118800</v>
      </c>
      <c r="G742" t="s">
        <v>17</v>
      </c>
      <c r="H742" s="2">
        <v>934.61</v>
      </c>
      <c r="I742" s="2">
        <v>118020</v>
      </c>
      <c r="J742">
        <v>8.7499999999999994E-2</v>
      </c>
      <c r="K742">
        <v>11</v>
      </c>
      <c r="L742">
        <v>349</v>
      </c>
      <c r="M742" t="str">
        <f t="shared" si="201"/>
        <v>30 Year Fixed</v>
      </c>
      <c r="N742" s="2">
        <v>860.56</v>
      </c>
      <c r="O742" t="str">
        <f t="shared" si="198"/>
        <v>Refi</v>
      </c>
      <c r="P742" s="3">
        <f t="shared" si="202"/>
        <v>0</v>
      </c>
      <c r="Q742" s="4">
        <v>119790</v>
      </c>
      <c r="R742" s="4" t="s">
        <v>41</v>
      </c>
      <c r="S742" s="6">
        <v>629</v>
      </c>
      <c r="T742">
        <v>6.75</v>
      </c>
      <c r="U742" s="7">
        <f t="shared" si="199"/>
        <v>826.86815987906334</v>
      </c>
      <c r="V742" s="2">
        <f t="shared" si="203"/>
        <v>107.74184012093667</v>
      </c>
      <c r="W742" s="9">
        <f t="shared" si="204"/>
        <v>0</v>
      </c>
      <c r="X742" s="3">
        <v>119790</v>
      </c>
      <c r="Y742" s="3">
        <f t="shared" si="205"/>
        <v>-0.29556650244921912</v>
      </c>
      <c r="Z742" s="7">
        <f t="shared" si="206"/>
        <v>826.86815987906334</v>
      </c>
      <c r="AA742" s="2">
        <f t="shared" si="200"/>
        <v>107.74184012093667</v>
      </c>
      <c r="AB742" s="8">
        <f t="shared" si="207"/>
        <v>0</v>
      </c>
      <c r="AC742" s="10">
        <v>6.75</v>
      </c>
      <c r="AD742" s="7">
        <f t="shared" si="208"/>
        <v>826.86815987906334</v>
      </c>
      <c r="AE742" s="2">
        <f t="shared" si="209"/>
        <v>107.74184012093667</v>
      </c>
      <c r="AF742" s="10">
        <v>0</v>
      </c>
      <c r="AG742" s="3">
        <f t="shared" si="210"/>
        <v>0</v>
      </c>
      <c r="AH742" s="7">
        <v>0</v>
      </c>
      <c r="AI742">
        <f t="shared" si="211"/>
        <v>360</v>
      </c>
      <c r="AJ742" t="e">
        <f>VLOOKUP(A742,'Borrower Details'!$A$1:$H$1493,8,FALSE)</f>
        <v>#N/A</v>
      </c>
      <c r="AK742" s="4" t="e">
        <f t="shared" si="212"/>
        <v>#N/A</v>
      </c>
      <c r="AL742" s="10">
        <v>6.75</v>
      </c>
      <c r="AM742" s="3">
        <f t="shared" si="213"/>
        <v>119790.29999999999</v>
      </c>
      <c r="AN742">
        <v>6.75</v>
      </c>
      <c r="AO742" s="7">
        <f t="shared" si="214"/>
        <v>826.87023067335303</v>
      </c>
      <c r="AP742" s="2">
        <f t="shared" si="215"/>
        <v>107.73976932664698</v>
      </c>
    </row>
    <row r="743" spans="1:42" x14ac:dyDescent="0.15">
      <c r="A743" s="8">
        <v>1161396</v>
      </c>
      <c r="B743" t="s">
        <v>37</v>
      </c>
      <c r="C743" t="s">
        <v>18</v>
      </c>
      <c r="D743" s="1">
        <v>39150</v>
      </c>
      <c r="E743" s="2">
        <v>138500</v>
      </c>
      <c r="F743" s="2">
        <v>110800</v>
      </c>
      <c r="G743" t="s">
        <v>15</v>
      </c>
      <c r="H743" s="2">
        <v>770.94</v>
      </c>
      <c r="I743" s="2">
        <v>109679.12</v>
      </c>
      <c r="J743">
        <v>7.4499999999999997E-2</v>
      </c>
      <c r="K743">
        <v>13</v>
      </c>
      <c r="L743">
        <v>347</v>
      </c>
      <c r="M743" t="str">
        <f t="shared" si="201"/>
        <v>30 Year Fixed</v>
      </c>
      <c r="N743" s="2">
        <v>680.92</v>
      </c>
      <c r="O743" t="str">
        <f t="shared" si="198"/>
        <v>Cash Out</v>
      </c>
      <c r="P743" s="3">
        <f t="shared" si="202"/>
        <v>6306.1016748768598</v>
      </c>
      <c r="Q743" s="4">
        <v>117725</v>
      </c>
      <c r="R743" s="4" t="s">
        <v>41</v>
      </c>
      <c r="S743" s="6">
        <v>638</v>
      </c>
      <c r="T743">
        <v>6.75</v>
      </c>
      <c r="U743" s="7">
        <f t="shared" si="199"/>
        <v>812.61419251826305</v>
      </c>
      <c r="V743" s="2">
        <f t="shared" si="203"/>
        <v>-41.674192518262998</v>
      </c>
      <c r="W743" s="9">
        <f t="shared" si="204"/>
        <v>1</v>
      </c>
      <c r="X743" s="3">
        <v>111615</v>
      </c>
      <c r="Y743" s="3">
        <f t="shared" si="205"/>
        <v>286.39724137932353</v>
      </c>
      <c r="Z743" s="7">
        <f t="shared" si="206"/>
        <v>770.4390154846119</v>
      </c>
      <c r="AA743" s="2">
        <f t="shared" si="200"/>
        <v>0.50098451538815425</v>
      </c>
      <c r="AB743" s="8">
        <f t="shared" si="207"/>
        <v>1</v>
      </c>
      <c r="AC743" s="10">
        <v>6.125</v>
      </c>
      <c r="AD743" s="7">
        <f t="shared" si="208"/>
        <v>724.69075375298667</v>
      </c>
      <c r="AE743" s="2">
        <f t="shared" si="209"/>
        <v>46.249246247013389</v>
      </c>
      <c r="AF743" s="10">
        <v>3</v>
      </c>
      <c r="AG743" s="3">
        <f t="shared" si="210"/>
        <v>3348.45</v>
      </c>
      <c r="AH743" s="7">
        <v>0</v>
      </c>
      <c r="AI743">
        <f t="shared" si="211"/>
        <v>360</v>
      </c>
      <c r="AJ743" t="e">
        <f>VLOOKUP(A743,'Borrower Details'!$A$1:$H$1493,8,FALSE)</f>
        <v>#N/A</v>
      </c>
      <c r="AK743" s="4" t="e">
        <f t="shared" si="212"/>
        <v>#N/A</v>
      </c>
      <c r="AL743" s="10">
        <v>6.75</v>
      </c>
      <c r="AM743" s="3">
        <f t="shared" si="213"/>
        <v>111324.30679999999</v>
      </c>
      <c r="AN743">
        <v>6.75</v>
      </c>
      <c r="AO743" s="7">
        <f t="shared" si="214"/>
        <v>768.43246275589183</v>
      </c>
      <c r="AP743" s="2">
        <f t="shared" si="215"/>
        <v>2.5075372441082209</v>
      </c>
    </row>
    <row r="744" spans="1:42" x14ac:dyDescent="0.15">
      <c r="A744" s="8">
        <v>1161403</v>
      </c>
      <c r="B744" t="s">
        <v>38</v>
      </c>
      <c r="C744" t="s">
        <v>19</v>
      </c>
      <c r="D744" s="1">
        <v>39162</v>
      </c>
      <c r="E744" s="2">
        <v>131000</v>
      </c>
      <c r="F744" s="2">
        <v>117500</v>
      </c>
      <c r="G744" t="s">
        <v>17</v>
      </c>
      <c r="H744" s="2">
        <v>882.74</v>
      </c>
      <c r="I744" s="2">
        <v>116402.83</v>
      </c>
      <c r="J744">
        <v>8.2500000000000004E-2</v>
      </c>
      <c r="K744">
        <v>13</v>
      </c>
      <c r="L744">
        <v>346</v>
      </c>
      <c r="M744" t="str">
        <f t="shared" si="201"/>
        <v>30 Year Fixed</v>
      </c>
      <c r="N744" s="2">
        <v>800.83</v>
      </c>
      <c r="O744" t="str">
        <f t="shared" si="198"/>
        <v>Refi</v>
      </c>
      <c r="P744" s="3">
        <f t="shared" si="202"/>
        <v>0</v>
      </c>
      <c r="Q744" s="4">
        <v>118149</v>
      </c>
      <c r="R744" s="4" t="s">
        <v>41</v>
      </c>
      <c r="S744" s="6">
        <v>612</v>
      </c>
      <c r="T744">
        <v>6.875</v>
      </c>
      <c r="U744" s="7">
        <f t="shared" si="199"/>
        <v>825.3835740694858</v>
      </c>
      <c r="V744" s="2">
        <f t="shared" si="203"/>
        <v>57.356425930514206</v>
      </c>
      <c r="W744" s="9">
        <f t="shared" si="204"/>
        <v>0</v>
      </c>
      <c r="X744" s="3">
        <v>118149</v>
      </c>
      <c r="Y744" s="3">
        <f t="shared" si="205"/>
        <v>0.12566502463596407</v>
      </c>
      <c r="Z744" s="7">
        <f t="shared" si="206"/>
        <v>825.3835740694858</v>
      </c>
      <c r="AA744" s="2">
        <f t="shared" si="200"/>
        <v>57.356425930514206</v>
      </c>
      <c r="AB744" s="8">
        <f t="shared" si="207"/>
        <v>1</v>
      </c>
      <c r="AC744" s="10">
        <v>6.25</v>
      </c>
      <c r="AD744" s="7">
        <f t="shared" si="208"/>
        <v>776.69246513177973</v>
      </c>
      <c r="AE744" s="2">
        <f t="shared" si="209"/>
        <v>106.04753486822028</v>
      </c>
      <c r="AF744" s="10">
        <v>2.5</v>
      </c>
      <c r="AG744" s="3">
        <f t="shared" si="210"/>
        <v>2953.7249999999999</v>
      </c>
      <c r="AH744" s="7">
        <v>0</v>
      </c>
      <c r="AI744">
        <f t="shared" si="211"/>
        <v>360</v>
      </c>
      <c r="AJ744" t="e">
        <f>VLOOKUP(A744,'Borrower Details'!$A$1:$H$1493,8,FALSE)</f>
        <v>#N/A</v>
      </c>
      <c r="AK744" s="4" t="e">
        <f t="shared" si="212"/>
        <v>#N/A</v>
      </c>
      <c r="AL744" s="10">
        <v>6.875</v>
      </c>
      <c r="AM744" s="3">
        <f t="shared" si="213"/>
        <v>118148.87245</v>
      </c>
      <c r="AN744">
        <v>6.875</v>
      </c>
      <c r="AO744" s="7">
        <f t="shared" si="214"/>
        <v>825.38268301095047</v>
      </c>
      <c r="AP744" s="2">
        <f t="shared" si="215"/>
        <v>57.357316989049536</v>
      </c>
    </row>
    <row r="745" spans="1:42" x14ac:dyDescent="0.15">
      <c r="A745" s="8">
        <v>1177297</v>
      </c>
      <c r="B745" t="s">
        <v>38</v>
      </c>
      <c r="C745" t="s">
        <v>19</v>
      </c>
      <c r="D745" s="1">
        <v>39202</v>
      </c>
      <c r="E745" s="2">
        <v>105000</v>
      </c>
      <c r="F745" s="2">
        <v>89250</v>
      </c>
      <c r="G745" t="s">
        <v>17</v>
      </c>
      <c r="H745" s="2">
        <v>833.14</v>
      </c>
      <c r="I745" s="2">
        <v>88826.23</v>
      </c>
      <c r="J745">
        <v>0.1075</v>
      </c>
      <c r="K745">
        <v>12</v>
      </c>
      <c r="L745">
        <v>348</v>
      </c>
      <c r="M745" t="str">
        <f t="shared" si="201"/>
        <v>30 Year Fixed</v>
      </c>
      <c r="N745" s="2">
        <v>795.73</v>
      </c>
      <c r="O745" t="str">
        <f t="shared" si="198"/>
        <v>Refi</v>
      </c>
      <c r="P745" s="3">
        <f t="shared" si="202"/>
        <v>0</v>
      </c>
      <c r="Q745" s="4">
        <v>90159</v>
      </c>
      <c r="R745" s="4" t="s">
        <v>41</v>
      </c>
      <c r="S745" s="6">
        <v>542</v>
      </c>
      <c r="T745">
        <v>7.625</v>
      </c>
      <c r="U745" s="7">
        <f t="shared" si="199"/>
        <v>675.70601377587661</v>
      </c>
      <c r="V745" s="2">
        <f t="shared" si="203"/>
        <v>157.43398622412337</v>
      </c>
      <c r="W745" s="9">
        <f t="shared" si="204"/>
        <v>0</v>
      </c>
      <c r="X745" s="3">
        <v>90159</v>
      </c>
      <c r="Y745" s="3">
        <f t="shared" si="205"/>
        <v>0.3709852216852596</v>
      </c>
      <c r="Z745" s="7">
        <f t="shared" si="206"/>
        <v>675.70601377587661</v>
      </c>
      <c r="AA745" s="2">
        <f t="shared" si="200"/>
        <v>157.43398622412337</v>
      </c>
      <c r="AB745" s="8">
        <f t="shared" si="207"/>
        <v>0</v>
      </c>
      <c r="AC745" s="10">
        <v>7.625</v>
      </c>
      <c r="AD745" s="7">
        <f t="shared" si="208"/>
        <v>675.70601377587661</v>
      </c>
      <c r="AE745" s="2">
        <f t="shared" si="209"/>
        <v>157.43398622412337</v>
      </c>
      <c r="AF745" s="10">
        <v>0</v>
      </c>
      <c r="AG745" s="3">
        <f t="shared" si="210"/>
        <v>0</v>
      </c>
      <c r="AH745" s="7">
        <v>0</v>
      </c>
      <c r="AI745">
        <f t="shared" si="211"/>
        <v>360</v>
      </c>
      <c r="AJ745" t="e">
        <f>VLOOKUP(A745,'Borrower Details'!$A$1:$H$1493,8,FALSE)</f>
        <v>#N/A</v>
      </c>
      <c r="AK745" s="4" t="e">
        <f t="shared" si="212"/>
        <v>#N/A</v>
      </c>
      <c r="AL745" s="10">
        <v>7.625</v>
      </c>
      <c r="AM745" s="3">
        <f t="shared" si="213"/>
        <v>90158.623449999985</v>
      </c>
      <c r="AN745">
        <v>7.625</v>
      </c>
      <c r="AO745" s="7">
        <f t="shared" si="214"/>
        <v>675.70319168269123</v>
      </c>
      <c r="AP745" s="2">
        <f t="shared" si="215"/>
        <v>157.43680831730876</v>
      </c>
    </row>
    <row r="746" spans="1:42" x14ac:dyDescent="0.15">
      <c r="A746" s="8">
        <v>1184800</v>
      </c>
      <c r="B746" t="s">
        <v>37</v>
      </c>
      <c r="C746" t="s">
        <v>19</v>
      </c>
      <c r="D746" s="1">
        <v>39181</v>
      </c>
      <c r="E746" s="2">
        <v>95000</v>
      </c>
      <c r="F746" s="2">
        <v>90250</v>
      </c>
      <c r="G746" t="s">
        <v>17</v>
      </c>
      <c r="H746" s="2">
        <v>862.89</v>
      </c>
      <c r="I746" s="2">
        <v>89847.97</v>
      </c>
      <c r="J746">
        <v>0.1105</v>
      </c>
      <c r="K746">
        <v>12</v>
      </c>
      <c r="L746">
        <v>348</v>
      </c>
      <c r="M746" t="str">
        <f t="shared" si="201"/>
        <v>30 Year Fixed</v>
      </c>
      <c r="N746" s="2">
        <v>827.35</v>
      </c>
      <c r="O746" t="str">
        <f t="shared" si="198"/>
        <v>Refi</v>
      </c>
      <c r="P746" s="3">
        <f t="shared" si="202"/>
        <v>0</v>
      </c>
      <c r="Q746" s="4">
        <v>91196</v>
      </c>
      <c r="R746" s="4" t="s">
        <v>41</v>
      </c>
      <c r="S746" s="6">
        <v>590</v>
      </c>
      <c r="T746">
        <v>7.625</v>
      </c>
      <c r="U746" s="7">
        <f t="shared" si="199"/>
        <v>683.47791825890749</v>
      </c>
      <c r="V746" s="2">
        <f t="shared" si="203"/>
        <v>179.41208174109249</v>
      </c>
      <c r="W746" s="9">
        <f t="shared" si="204"/>
        <v>0</v>
      </c>
      <c r="X746" s="3">
        <v>91196</v>
      </c>
      <c r="Y746" s="3">
        <f t="shared" si="205"/>
        <v>0.30586206896987278</v>
      </c>
      <c r="Z746" s="7">
        <f t="shared" si="206"/>
        <v>683.47791825890749</v>
      </c>
      <c r="AA746" s="2">
        <f t="shared" si="200"/>
        <v>179.41208174109249</v>
      </c>
      <c r="AB746" s="8">
        <f t="shared" si="207"/>
        <v>0</v>
      </c>
      <c r="AC746" s="10">
        <v>7.625</v>
      </c>
      <c r="AD746" s="7">
        <f t="shared" si="208"/>
        <v>683.47791825890749</v>
      </c>
      <c r="AE746" s="2">
        <f t="shared" si="209"/>
        <v>179.41208174109249</v>
      </c>
      <c r="AF746" s="10">
        <v>0</v>
      </c>
      <c r="AG746" s="3">
        <f t="shared" si="210"/>
        <v>0</v>
      </c>
      <c r="AH746" s="7">
        <v>0</v>
      </c>
      <c r="AI746">
        <f t="shared" si="211"/>
        <v>360</v>
      </c>
      <c r="AJ746" t="e">
        <f>VLOOKUP(A746,'Borrower Details'!$A$1:$H$1493,8,FALSE)</f>
        <v>#N/A</v>
      </c>
      <c r="AK746" s="4" t="e">
        <f t="shared" si="212"/>
        <v>#N/A</v>
      </c>
      <c r="AL746" s="10">
        <v>7.625</v>
      </c>
      <c r="AM746" s="3">
        <f t="shared" si="213"/>
        <v>91195.689549999996</v>
      </c>
      <c r="AN746">
        <v>7.625</v>
      </c>
      <c r="AO746" s="7">
        <f t="shared" si="214"/>
        <v>683.47559155905526</v>
      </c>
      <c r="AP746" s="2">
        <f t="shared" si="215"/>
        <v>179.41440844094473</v>
      </c>
    </row>
    <row r="747" spans="1:42" x14ac:dyDescent="0.15">
      <c r="A747" s="8">
        <v>410025126</v>
      </c>
      <c r="B747" t="s">
        <v>35</v>
      </c>
      <c r="C747" t="s">
        <v>16</v>
      </c>
      <c r="D747" s="1">
        <v>39195</v>
      </c>
      <c r="E747" s="2">
        <v>90000</v>
      </c>
      <c r="F747" s="2">
        <v>81000</v>
      </c>
      <c r="G747" t="s">
        <v>17</v>
      </c>
      <c r="H747" s="2">
        <v>694.43</v>
      </c>
      <c r="I747" s="2">
        <v>80467.009999999995</v>
      </c>
      <c r="J747">
        <v>9.7250000000000003E-2</v>
      </c>
      <c r="K747">
        <v>12</v>
      </c>
      <c r="L747">
        <v>347</v>
      </c>
      <c r="M747" t="str">
        <f t="shared" si="201"/>
        <v>30 Year Fixed</v>
      </c>
      <c r="N747" s="2">
        <v>652.46</v>
      </c>
      <c r="O747" t="str">
        <f t="shared" si="198"/>
        <v>Refi</v>
      </c>
      <c r="P747" s="3">
        <f t="shared" si="202"/>
        <v>0</v>
      </c>
      <c r="Q747" s="4">
        <v>81674</v>
      </c>
      <c r="R747" s="4" t="s">
        <v>41</v>
      </c>
      <c r="S747" s="6">
        <v>600</v>
      </c>
      <c r="T747">
        <v>7</v>
      </c>
      <c r="U747" s="7">
        <f t="shared" si="199"/>
        <v>577.40999324597897</v>
      </c>
      <c r="V747" s="2">
        <f t="shared" si="203"/>
        <v>117.02000675402098</v>
      </c>
      <c r="W747" s="9">
        <f t="shared" si="204"/>
        <v>0</v>
      </c>
      <c r="X747" s="3">
        <v>81674</v>
      </c>
      <c r="Y747" s="3">
        <f t="shared" si="205"/>
        <v>-1.4926108357030898E-2</v>
      </c>
      <c r="Z747" s="7">
        <f t="shared" si="206"/>
        <v>577.40999324597897</v>
      </c>
      <c r="AA747" s="2">
        <f t="shared" si="200"/>
        <v>117.02000675402098</v>
      </c>
      <c r="AB747" s="8">
        <f t="shared" si="207"/>
        <v>0</v>
      </c>
      <c r="AC747" s="10">
        <v>7</v>
      </c>
      <c r="AD747" s="7">
        <f t="shared" si="208"/>
        <v>577.40999324597897</v>
      </c>
      <c r="AE747" s="2">
        <f t="shared" si="209"/>
        <v>117.02000675402098</v>
      </c>
      <c r="AF747" s="10">
        <v>0</v>
      </c>
      <c r="AG747" s="3">
        <f t="shared" si="210"/>
        <v>0</v>
      </c>
      <c r="AH747" s="7">
        <v>3938.625</v>
      </c>
      <c r="AI747">
        <f t="shared" si="211"/>
        <v>360</v>
      </c>
      <c r="AJ747" t="e">
        <f>VLOOKUP(A747,'Borrower Details'!$A$1:$H$1493,8,FALSE)</f>
        <v>#N/A</v>
      </c>
      <c r="AK747" s="4" t="e">
        <f t="shared" si="212"/>
        <v>#N/A</v>
      </c>
      <c r="AL747" s="10">
        <v>7</v>
      </c>
      <c r="AM747" s="3">
        <f t="shared" si="213"/>
        <v>81674.015149999992</v>
      </c>
      <c r="AN747">
        <v>7</v>
      </c>
      <c r="AO747" s="7">
        <f t="shared" si="214"/>
        <v>577.41010035180693</v>
      </c>
      <c r="AP747" s="2">
        <f t="shared" si="215"/>
        <v>117.01989964819302</v>
      </c>
    </row>
    <row r="748" spans="1:42" x14ac:dyDescent="0.15">
      <c r="A748" s="8">
        <v>410641062</v>
      </c>
      <c r="B748" t="s">
        <v>36</v>
      </c>
      <c r="C748" t="s">
        <v>19</v>
      </c>
      <c r="D748" s="1">
        <v>39280</v>
      </c>
      <c r="E748" s="2">
        <v>230000</v>
      </c>
      <c r="F748" s="2">
        <v>184000</v>
      </c>
      <c r="G748" t="s">
        <v>15</v>
      </c>
      <c r="H748" s="2">
        <v>1264.33</v>
      </c>
      <c r="I748" s="2">
        <v>183703.16</v>
      </c>
      <c r="J748">
        <v>8.1000000000000003E-2</v>
      </c>
      <c r="K748">
        <v>9</v>
      </c>
      <c r="L748">
        <v>351</v>
      </c>
      <c r="M748" t="str">
        <f t="shared" si="201"/>
        <v>30 Year Fixed</v>
      </c>
      <c r="N748" s="2">
        <v>1240</v>
      </c>
      <c r="O748" t="str">
        <f t="shared" si="198"/>
        <v>Cash Out</v>
      </c>
      <c r="P748" s="3">
        <f t="shared" si="202"/>
        <v>8907.6774384236487</v>
      </c>
      <c r="Q748" s="4">
        <v>195500</v>
      </c>
      <c r="R748" s="4" t="s">
        <v>41</v>
      </c>
      <c r="S748" s="6">
        <v>600</v>
      </c>
      <c r="T748">
        <v>6.875</v>
      </c>
      <c r="U748" s="7">
        <f t="shared" si="199"/>
        <v>1365.7541640689676</v>
      </c>
      <c r="V748" s="2">
        <f t="shared" si="203"/>
        <v>-101.42416406896768</v>
      </c>
      <c r="W748" s="9">
        <f t="shared" si="204"/>
        <v>1</v>
      </c>
      <c r="X748" s="3">
        <v>186459</v>
      </c>
      <c r="Y748" s="3">
        <f t="shared" si="205"/>
        <v>0.2882758620835375</v>
      </c>
      <c r="Z748" s="7">
        <f t="shared" si="206"/>
        <v>1302.5941466912311</v>
      </c>
      <c r="AA748" s="2">
        <f t="shared" si="200"/>
        <v>-38.26414669123119</v>
      </c>
      <c r="AB748" s="8">
        <f t="shared" si="207"/>
        <v>1</v>
      </c>
      <c r="AC748" s="10">
        <v>6.25</v>
      </c>
      <c r="AD748" s="7">
        <f t="shared" si="208"/>
        <v>1225.7513847430491</v>
      </c>
      <c r="AE748" s="2">
        <f t="shared" si="209"/>
        <v>38.578615256950798</v>
      </c>
      <c r="AF748" s="10">
        <v>2.5</v>
      </c>
      <c r="AG748" s="3">
        <f t="shared" si="210"/>
        <v>4661.4750000000004</v>
      </c>
      <c r="AH748" s="7">
        <v>3680</v>
      </c>
      <c r="AI748">
        <f t="shared" si="211"/>
        <v>360</v>
      </c>
      <c r="AJ748" t="e">
        <f>VLOOKUP(A748,'Borrower Details'!$A$1:$H$1493,8,FALSE)</f>
        <v>#N/A</v>
      </c>
      <c r="AK748" s="4" t="e">
        <f t="shared" si="212"/>
        <v>#N/A</v>
      </c>
      <c r="AL748" s="10">
        <v>6.875</v>
      </c>
      <c r="AM748" s="3">
        <f t="shared" si="213"/>
        <v>186458.70739999998</v>
      </c>
      <c r="AN748">
        <v>6.875</v>
      </c>
      <c r="AO748" s="7">
        <f t="shared" si="214"/>
        <v>1302.5921026008552</v>
      </c>
      <c r="AP748" s="2">
        <f t="shared" si="215"/>
        <v>-38.262102600855314</v>
      </c>
    </row>
    <row r="749" spans="1:42" x14ac:dyDescent="0.15">
      <c r="A749" s="8">
        <v>410278626</v>
      </c>
      <c r="B749" t="s">
        <v>35</v>
      </c>
      <c r="C749" t="s">
        <v>16</v>
      </c>
      <c r="D749" s="1">
        <v>39232</v>
      </c>
      <c r="E749" s="2">
        <v>225000</v>
      </c>
      <c r="F749" s="2">
        <v>184250</v>
      </c>
      <c r="G749" t="s">
        <v>17</v>
      </c>
      <c r="H749" s="2">
        <v>1628.24</v>
      </c>
      <c r="I749" s="2">
        <v>180692.57</v>
      </c>
      <c r="J749">
        <v>8.7499999999999994E-2</v>
      </c>
      <c r="K749">
        <v>11</v>
      </c>
      <c r="L749">
        <v>228</v>
      </c>
      <c r="M749" t="str">
        <f t="shared" si="201"/>
        <v>30 Year Fixed</v>
      </c>
      <c r="N749" s="2">
        <v>1319.8</v>
      </c>
      <c r="O749" t="str">
        <f t="shared" si="198"/>
        <v>Cash Out</v>
      </c>
      <c r="P749" s="3">
        <f t="shared" si="202"/>
        <v>7731.0753201970656</v>
      </c>
      <c r="Q749" s="4">
        <v>191250</v>
      </c>
      <c r="R749" s="4" t="s">
        <v>41</v>
      </c>
      <c r="S749" s="6">
        <v>579</v>
      </c>
      <c r="T749">
        <v>7.625</v>
      </c>
      <c r="U749" s="7">
        <f t="shared" si="199"/>
        <v>1433.343039903242</v>
      </c>
      <c r="V749" s="2">
        <f t="shared" si="203"/>
        <v>194.89696009675799</v>
      </c>
      <c r="W749" s="9">
        <f t="shared" si="204"/>
        <v>0</v>
      </c>
      <c r="X749" s="3">
        <v>191250</v>
      </c>
      <c r="Y749" s="3">
        <f t="shared" si="205"/>
        <v>7731.0753201970656</v>
      </c>
      <c r="Z749" s="7">
        <f t="shared" si="206"/>
        <v>1433.343039903242</v>
      </c>
      <c r="AA749" s="2">
        <f t="shared" si="200"/>
        <v>194.89696009675799</v>
      </c>
      <c r="AB749" s="8">
        <f t="shared" si="207"/>
        <v>0</v>
      </c>
      <c r="AC749" s="10">
        <v>7.625</v>
      </c>
      <c r="AD749" s="7">
        <f t="shared" si="208"/>
        <v>1433.343039903242</v>
      </c>
      <c r="AE749" s="2">
        <f t="shared" si="209"/>
        <v>194.89696009675799</v>
      </c>
      <c r="AF749" s="10">
        <v>0</v>
      </c>
      <c r="AG749" s="3">
        <f t="shared" si="210"/>
        <v>0</v>
      </c>
      <c r="AH749" s="7">
        <v>8060.9374999999991</v>
      </c>
      <c r="AI749">
        <f t="shared" si="211"/>
        <v>360</v>
      </c>
      <c r="AJ749" t="e">
        <f>VLOOKUP(A749,'Borrower Details'!$A$1:$H$1493,8,FALSE)</f>
        <v>#N/A</v>
      </c>
      <c r="AK749" s="4" t="e">
        <f t="shared" si="212"/>
        <v>#N/A</v>
      </c>
      <c r="AL749" s="10">
        <v>7.625</v>
      </c>
      <c r="AM749" s="3">
        <f t="shared" si="213"/>
        <v>183402.95854999998</v>
      </c>
      <c r="AN749">
        <v>7.625</v>
      </c>
      <c r="AO749" s="7">
        <f t="shared" si="214"/>
        <v>1374.532570642119</v>
      </c>
      <c r="AP749" s="2">
        <f t="shared" si="215"/>
        <v>253.70742935788098</v>
      </c>
    </row>
    <row r="750" spans="1:42" x14ac:dyDescent="0.15">
      <c r="A750" s="8">
        <v>411153810</v>
      </c>
      <c r="B750" t="s">
        <v>37</v>
      </c>
      <c r="C750" t="s">
        <v>16</v>
      </c>
      <c r="D750" s="1">
        <v>39449</v>
      </c>
      <c r="E750" s="2">
        <v>114000</v>
      </c>
      <c r="F750" s="2">
        <v>85500</v>
      </c>
      <c r="G750" t="s">
        <v>17</v>
      </c>
      <c r="H750" s="2">
        <v>747.17</v>
      </c>
      <c r="I750" s="2">
        <v>85384.35</v>
      </c>
      <c r="J750">
        <v>9.9500000000000005E-2</v>
      </c>
      <c r="K750">
        <v>3</v>
      </c>
      <c r="L750">
        <v>357</v>
      </c>
      <c r="M750" t="str">
        <f t="shared" si="201"/>
        <v>30 Year Fixed</v>
      </c>
      <c r="N750" s="2">
        <v>707.98</v>
      </c>
      <c r="O750" t="str">
        <f t="shared" si="198"/>
        <v>Cash Out</v>
      </c>
      <c r="P750" s="3">
        <f t="shared" si="202"/>
        <v>10083.630295566501</v>
      </c>
      <c r="Q750" s="4">
        <v>96900</v>
      </c>
      <c r="R750" s="4" t="s">
        <v>41</v>
      </c>
      <c r="S750" s="6">
        <v>539</v>
      </c>
      <c r="T750">
        <v>7.625</v>
      </c>
      <c r="U750" s="7">
        <f t="shared" si="199"/>
        <v>726.22714021764261</v>
      </c>
      <c r="V750" s="2">
        <f t="shared" si="203"/>
        <v>20.942859782357345</v>
      </c>
      <c r="W750" s="9">
        <f t="shared" si="204"/>
        <v>0</v>
      </c>
      <c r="X750" s="3">
        <v>96900</v>
      </c>
      <c r="Y750" s="3">
        <f t="shared" si="205"/>
        <v>10083.630295566501</v>
      </c>
      <c r="Z750" s="7">
        <f t="shared" si="206"/>
        <v>726.22714021764261</v>
      </c>
      <c r="AA750" s="2">
        <f t="shared" si="200"/>
        <v>20.942859782357345</v>
      </c>
      <c r="AB750" s="8">
        <f t="shared" si="207"/>
        <v>0</v>
      </c>
      <c r="AC750" s="10">
        <v>7.625</v>
      </c>
      <c r="AD750" s="7">
        <f t="shared" si="208"/>
        <v>726.22714021764261</v>
      </c>
      <c r="AE750" s="2">
        <f t="shared" si="209"/>
        <v>20.942859782357345</v>
      </c>
      <c r="AF750" s="10">
        <v>0</v>
      </c>
      <c r="AG750" s="3">
        <f t="shared" si="210"/>
        <v>0</v>
      </c>
      <c r="AH750" s="7">
        <v>0</v>
      </c>
      <c r="AI750">
        <f t="shared" si="211"/>
        <v>360</v>
      </c>
      <c r="AJ750" t="e">
        <f>VLOOKUP(A750,'Borrower Details'!$A$1:$H$1493,8,FALSE)</f>
        <v>#N/A</v>
      </c>
      <c r="AK750" s="4" t="e">
        <f t="shared" si="212"/>
        <v>#N/A</v>
      </c>
      <c r="AL750" s="10">
        <v>7.625</v>
      </c>
      <c r="AM750" s="3">
        <f t="shared" si="213"/>
        <v>86665.115250000003</v>
      </c>
      <c r="AN750">
        <v>7.625</v>
      </c>
      <c r="AO750" s="7">
        <f t="shared" si="214"/>
        <v>649.52073069803828</v>
      </c>
      <c r="AP750" s="2">
        <f t="shared" si="215"/>
        <v>97.649269301961681</v>
      </c>
    </row>
    <row r="751" spans="1:42" x14ac:dyDescent="0.15">
      <c r="A751" s="8">
        <v>410063432</v>
      </c>
      <c r="B751" t="s">
        <v>37</v>
      </c>
      <c r="C751" t="s">
        <v>19</v>
      </c>
      <c r="D751" s="1">
        <v>39210</v>
      </c>
      <c r="E751" s="2">
        <v>101000</v>
      </c>
      <c r="F751" s="2">
        <v>95950</v>
      </c>
      <c r="G751" t="s">
        <v>17</v>
      </c>
      <c r="H751" s="2">
        <v>788.47</v>
      </c>
      <c r="I751" s="2">
        <v>95757.69</v>
      </c>
      <c r="J751">
        <v>9.6500000000000002E-2</v>
      </c>
      <c r="K751">
        <v>11</v>
      </c>
      <c r="L751">
        <v>350</v>
      </c>
      <c r="M751" t="str">
        <f t="shared" si="201"/>
        <v>30 Year Fixed</v>
      </c>
      <c r="N751" s="2">
        <v>770.05</v>
      </c>
      <c r="O751" t="str">
        <f t="shared" si="198"/>
        <v>Refi</v>
      </c>
      <c r="P751" s="3">
        <f t="shared" si="202"/>
        <v>0</v>
      </c>
      <c r="Q751" s="4">
        <v>97194</v>
      </c>
      <c r="R751" s="4" t="s">
        <v>41</v>
      </c>
      <c r="S751" s="6">
        <v>602</v>
      </c>
      <c r="T751">
        <v>7</v>
      </c>
      <c r="U751" s="7">
        <f t="shared" si="199"/>
        <v>687.13160716445486</v>
      </c>
      <c r="V751" s="2">
        <f t="shared" si="203"/>
        <v>101.33839283554516</v>
      </c>
      <c r="W751" s="9">
        <f t="shared" si="204"/>
        <v>0</v>
      </c>
      <c r="X751" s="3">
        <v>97194</v>
      </c>
      <c r="Y751" s="3">
        <f t="shared" si="205"/>
        <v>-5.4532019697944634E-2</v>
      </c>
      <c r="Z751" s="7">
        <f t="shared" si="206"/>
        <v>687.13160716445486</v>
      </c>
      <c r="AA751" s="2">
        <f t="shared" si="200"/>
        <v>101.33839283554516</v>
      </c>
      <c r="AB751" s="8">
        <f t="shared" si="207"/>
        <v>0</v>
      </c>
      <c r="AC751" s="10">
        <v>7</v>
      </c>
      <c r="AD751" s="7">
        <f t="shared" si="208"/>
        <v>687.13160716445486</v>
      </c>
      <c r="AE751" s="2">
        <f t="shared" si="209"/>
        <v>101.33839283554516</v>
      </c>
      <c r="AF751" s="10">
        <v>0</v>
      </c>
      <c r="AG751" s="3">
        <f t="shared" si="210"/>
        <v>0</v>
      </c>
      <c r="AH751" s="7">
        <v>0</v>
      </c>
      <c r="AI751">
        <f t="shared" si="211"/>
        <v>360</v>
      </c>
      <c r="AJ751" t="e">
        <f>VLOOKUP(A751,'Borrower Details'!$A$1:$H$1493,8,FALSE)</f>
        <v>#N/A</v>
      </c>
      <c r="AK751" s="4" t="e">
        <f t="shared" si="212"/>
        <v>#N/A</v>
      </c>
      <c r="AL751" s="10">
        <v>7</v>
      </c>
      <c r="AM751" s="3">
        <f t="shared" si="213"/>
        <v>97194.055349999995</v>
      </c>
      <c r="AN751">
        <v>7</v>
      </c>
      <c r="AO751" s="7">
        <f t="shared" si="214"/>
        <v>687.13199847188582</v>
      </c>
      <c r="AP751" s="2">
        <f t="shared" si="215"/>
        <v>101.33800152811421</v>
      </c>
    </row>
    <row r="752" spans="1:42" x14ac:dyDescent="0.15">
      <c r="A752" s="8">
        <v>410841514</v>
      </c>
      <c r="B752" t="s">
        <v>36</v>
      </c>
      <c r="C752" t="s">
        <v>16</v>
      </c>
      <c r="D752" s="1">
        <v>39316</v>
      </c>
      <c r="E752" s="2">
        <v>430000</v>
      </c>
      <c r="F752" s="2">
        <v>408500</v>
      </c>
      <c r="G752" t="s">
        <v>17</v>
      </c>
      <c r="H752" s="2">
        <v>3521.66</v>
      </c>
      <c r="I752" s="2">
        <v>406944.28</v>
      </c>
      <c r="J752">
        <v>9.7900000000000001E-2</v>
      </c>
      <c r="K752">
        <v>8</v>
      </c>
      <c r="L752">
        <v>352</v>
      </c>
      <c r="M752" t="str">
        <f t="shared" si="201"/>
        <v>30 Year Fixed</v>
      </c>
      <c r="N752" s="2">
        <v>3319.99</v>
      </c>
      <c r="O752" t="str">
        <f t="shared" si="198"/>
        <v>Refi</v>
      </c>
      <c r="P752" s="3">
        <f t="shared" si="202"/>
        <v>0</v>
      </c>
      <c r="Q752" s="4">
        <v>413048</v>
      </c>
      <c r="R752" s="4" t="s">
        <v>41</v>
      </c>
      <c r="S752" s="6">
        <v>658</v>
      </c>
      <c r="T752">
        <v>7.375</v>
      </c>
      <c r="U752" s="7">
        <f t="shared" si="199"/>
        <v>3024.9232169811853</v>
      </c>
      <c r="V752" s="2">
        <f t="shared" si="203"/>
        <v>496.73678301881455</v>
      </c>
      <c r="W752" s="9">
        <f t="shared" si="204"/>
        <v>0</v>
      </c>
      <c r="X752" s="3">
        <v>413048</v>
      </c>
      <c r="Y752" s="3">
        <f t="shared" si="205"/>
        <v>-0.43763546796981245</v>
      </c>
      <c r="Z752" s="7">
        <f t="shared" si="206"/>
        <v>3024.9232169811853</v>
      </c>
      <c r="AA752" s="2">
        <f t="shared" si="200"/>
        <v>496.73678301881455</v>
      </c>
      <c r="AB752" s="8">
        <f t="shared" si="207"/>
        <v>0</v>
      </c>
      <c r="AC752" s="10">
        <v>7.375</v>
      </c>
      <c r="AD752" s="7">
        <f t="shared" si="208"/>
        <v>3024.9232169811853</v>
      </c>
      <c r="AE752" s="2">
        <f t="shared" si="209"/>
        <v>496.73678301881455</v>
      </c>
      <c r="AF752" s="10">
        <v>0</v>
      </c>
      <c r="AG752" s="3">
        <f t="shared" si="210"/>
        <v>0</v>
      </c>
      <c r="AH752" s="7">
        <v>8170</v>
      </c>
      <c r="AI752">
        <f t="shared" si="211"/>
        <v>360</v>
      </c>
      <c r="AJ752" t="e">
        <f>VLOOKUP(A752,'Borrower Details'!$A$1:$H$1493,8,FALSE)</f>
        <v>#N/A</v>
      </c>
      <c r="AK752" s="4" t="e">
        <f t="shared" si="212"/>
        <v>#N/A</v>
      </c>
      <c r="AL752" s="10">
        <v>7.375</v>
      </c>
      <c r="AM752" s="3">
        <f t="shared" si="213"/>
        <v>413048.44419999997</v>
      </c>
      <c r="AN752">
        <v>7.375</v>
      </c>
      <c r="AO752" s="7">
        <f t="shared" si="214"/>
        <v>3024.9264700435238</v>
      </c>
      <c r="AP752" s="2">
        <f t="shared" si="215"/>
        <v>496.7335299564761</v>
      </c>
    </row>
    <row r="753" spans="1:42" x14ac:dyDescent="0.15">
      <c r="A753" s="8">
        <v>410725188</v>
      </c>
      <c r="B753" t="s">
        <v>37</v>
      </c>
      <c r="C753" t="s">
        <v>16</v>
      </c>
      <c r="D753" s="1">
        <v>39300</v>
      </c>
      <c r="E753" s="2">
        <v>147000</v>
      </c>
      <c r="F753" s="2">
        <v>110250</v>
      </c>
      <c r="G753" t="s">
        <v>17</v>
      </c>
      <c r="H753" s="2">
        <v>1076.01</v>
      </c>
      <c r="I753" s="2">
        <v>107391.67999999999</v>
      </c>
      <c r="J753">
        <v>8.3500000000000005E-2</v>
      </c>
      <c r="K753">
        <v>8</v>
      </c>
      <c r="L753">
        <v>171</v>
      </c>
      <c r="M753" t="str">
        <f t="shared" si="201"/>
        <v>15 Year Fixed</v>
      </c>
      <c r="N753" s="2">
        <v>747.27</v>
      </c>
      <c r="O753" t="str">
        <f t="shared" si="198"/>
        <v>Cash Out</v>
      </c>
      <c r="P753" s="3">
        <f t="shared" si="202"/>
        <v>15711.768275862094</v>
      </c>
      <c r="Q753" s="4">
        <v>124950</v>
      </c>
      <c r="R753" s="4" t="s">
        <v>41</v>
      </c>
      <c r="S753" s="6">
        <v>552</v>
      </c>
      <c r="T753">
        <v>7.5</v>
      </c>
      <c r="U753" s="7">
        <f t="shared" si="199"/>
        <v>1210.3644438234157</v>
      </c>
      <c r="V753" s="2">
        <f t="shared" si="203"/>
        <v>-134.35444382341575</v>
      </c>
      <c r="W753" s="9">
        <f t="shared" si="204"/>
        <v>1</v>
      </c>
      <c r="X753" s="3">
        <v>111020</v>
      </c>
      <c r="Y753" s="3">
        <f t="shared" si="205"/>
        <v>1987.6303448276012</v>
      </c>
      <c r="Z753" s="7">
        <f t="shared" si="206"/>
        <v>1075.4274554083684</v>
      </c>
      <c r="AA753" s="2">
        <f t="shared" si="200"/>
        <v>0.58254459163163119</v>
      </c>
      <c r="AB753" s="8">
        <f t="shared" si="207"/>
        <v>1</v>
      </c>
      <c r="AC753" s="10">
        <v>6.5</v>
      </c>
      <c r="AD753" s="7">
        <f t="shared" si="208"/>
        <v>1013.3617302864703</v>
      </c>
      <c r="AE753" s="2">
        <f t="shared" si="209"/>
        <v>62.648269713529658</v>
      </c>
      <c r="AF753" s="10">
        <v>1.5</v>
      </c>
      <c r="AG753" s="3">
        <f t="shared" si="210"/>
        <v>1665.3</v>
      </c>
      <c r="AH753" s="7">
        <v>0</v>
      </c>
      <c r="AI753">
        <f t="shared" si="211"/>
        <v>180</v>
      </c>
      <c r="AJ753" t="e">
        <f>VLOOKUP(A753,'Borrower Details'!$A$1:$H$1493,8,FALSE)</f>
        <v>#N/A</v>
      </c>
      <c r="AK753" s="4" t="e">
        <f t="shared" si="212"/>
        <v>#N/A</v>
      </c>
      <c r="AL753" s="10">
        <v>7.5</v>
      </c>
      <c r="AM753" s="3">
        <f t="shared" si="213"/>
        <v>109002.55519999999</v>
      </c>
      <c r="AN753">
        <v>7.5</v>
      </c>
      <c r="AO753" s="7">
        <f t="shared" si="214"/>
        <v>1055.8848907561357</v>
      </c>
      <c r="AP753" s="2">
        <f t="shared" si="215"/>
        <v>20.125109243864244</v>
      </c>
    </row>
    <row r="754" spans="1:42" x14ac:dyDescent="0.15">
      <c r="A754" s="8">
        <v>1159608</v>
      </c>
      <c r="B754" t="s">
        <v>36</v>
      </c>
      <c r="C754" t="s">
        <v>18</v>
      </c>
      <c r="D754" s="1">
        <v>39146</v>
      </c>
      <c r="E754" s="2">
        <v>150000</v>
      </c>
      <c r="F754" s="2">
        <v>119000</v>
      </c>
      <c r="G754" t="s">
        <v>15</v>
      </c>
      <c r="H754" s="2">
        <v>893.19</v>
      </c>
      <c r="I754" s="2">
        <v>118855.81</v>
      </c>
      <c r="J754">
        <v>8.8999999999999996E-2</v>
      </c>
      <c r="K754">
        <v>13</v>
      </c>
      <c r="L754">
        <v>347</v>
      </c>
      <c r="M754" t="str">
        <f t="shared" si="201"/>
        <v>30 Year Fixed</v>
      </c>
      <c r="N754" s="2">
        <v>881.51</v>
      </c>
      <c r="O754" t="str">
        <f t="shared" si="198"/>
        <v>Cash Out</v>
      </c>
      <c r="P754" s="3">
        <f t="shared" si="202"/>
        <v>6759.9535467980459</v>
      </c>
      <c r="Q754" s="4">
        <v>127500</v>
      </c>
      <c r="R754" s="4" t="s">
        <v>41</v>
      </c>
      <c r="S754" s="6">
        <v>529</v>
      </c>
      <c r="T754">
        <v>7.625</v>
      </c>
      <c r="U754" s="7">
        <f t="shared" si="199"/>
        <v>955.56202660216138</v>
      </c>
      <c r="V754" s="2">
        <f t="shared" si="203"/>
        <v>-62.372026602161327</v>
      </c>
      <c r="W754" s="9">
        <f t="shared" si="204"/>
        <v>1</v>
      </c>
      <c r="X754" s="3">
        <v>120639</v>
      </c>
      <c r="Y754" s="3">
        <f t="shared" si="205"/>
        <v>0.34763546798785683</v>
      </c>
      <c r="Z754" s="7">
        <f t="shared" si="206"/>
        <v>904.14154766476986</v>
      </c>
      <c r="AA754" s="2">
        <f t="shared" si="200"/>
        <v>-10.951547664769805</v>
      </c>
      <c r="AB754" s="8">
        <f t="shared" si="207"/>
        <v>1</v>
      </c>
      <c r="AC754" s="10">
        <v>6.875</v>
      </c>
      <c r="AD754" s="7">
        <f t="shared" si="208"/>
        <v>842.77860153000609</v>
      </c>
      <c r="AE754" s="2">
        <f t="shared" si="209"/>
        <v>50.411398469993969</v>
      </c>
      <c r="AF754" s="10">
        <v>1.75</v>
      </c>
      <c r="AG754" s="3">
        <f t="shared" si="210"/>
        <v>2111.1824999999999</v>
      </c>
      <c r="AH754" s="7">
        <v>2380</v>
      </c>
      <c r="AI754">
        <f t="shared" si="211"/>
        <v>360</v>
      </c>
      <c r="AJ754" t="e">
        <f>VLOOKUP(A754,'Borrower Details'!$A$1:$H$1493,8,FALSE)</f>
        <v>#N/A</v>
      </c>
      <c r="AK754" s="4" t="e">
        <f t="shared" si="212"/>
        <v>#N/A</v>
      </c>
      <c r="AL754" s="10">
        <v>7.625</v>
      </c>
      <c r="AM754" s="3">
        <f t="shared" si="213"/>
        <v>120638.64714999999</v>
      </c>
      <c r="AN754">
        <v>7.625</v>
      </c>
      <c r="AO754" s="7">
        <f t="shared" si="214"/>
        <v>904.13890319370239</v>
      </c>
      <c r="AP754" s="2">
        <f t="shared" si="215"/>
        <v>-10.948903193702336</v>
      </c>
    </row>
    <row r="755" spans="1:42" x14ac:dyDescent="0.15">
      <c r="A755" s="8">
        <v>410596878</v>
      </c>
      <c r="B755" t="s">
        <v>36</v>
      </c>
      <c r="C755" t="s">
        <v>19</v>
      </c>
      <c r="D755" s="1">
        <v>39274</v>
      </c>
      <c r="E755" s="2">
        <v>281000</v>
      </c>
      <c r="F755" s="2">
        <v>165000</v>
      </c>
      <c r="G755" t="s">
        <v>17</v>
      </c>
      <c r="H755" s="2">
        <v>1103.3</v>
      </c>
      <c r="I755" s="2">
        <v>163765.96</v>
      </c>
      <c r="J755">
        <v>7.0499999999999993E-2</v>
      </c>
      <c r="K755">
        <v>9</v>
      </c>
      <c r="L755">
        <v>351</v>
      </c>
      <c r="M755" t="str">
        <f t="shared" si="201"/>
        <v>30 Year Fixed</v>
      </c>
      <c r="N755" s="2">
        <v>962.13</v>
      </c>
      <c r="O755" t="str">
        <f t="shared" si="198"/>
        <v>Cash Out</v>
      </c>
      <c r="P755" s="3">
        <f t="shared" si="202"/>
        <v>71554.237044334994</v>
      </c>
      <c r="Q755" s="4">
        <v>238850</v>
      </c>
      <c r="R755" s="4" t="s">
        <v>41</v>
      </c>
      <c r="S755" s="6">
        <v>642</v>
      </c>
      <c r="T755">
        <v>6.75</v>
      </c>
      <c r="U755" s="7">
        <f t="shared" si="199"/>
        <v>1648.6973869865119</v>
      </c>
      <c r="V755" s="2">
        <f t="shared" si="203"/>
        <v>-545.39738698651195</v>
      </c>
      <c r="W755" s="9">
        <f t="shared" si="204"/>
        <v>1</v>
      </c>
      <c r="X755" s="3">
        <v>166222</v>
      </c>
      <c r="Y755" s="3">
        <f t="shared" si="205"/>
        <v>-0.44275862065842375</v>
      </c>
      <c r="Z755" s="7">
        <f t="shared" si="206"/>
        <v>1147.3718947442831</v>
      </c>
      <c r="AA755" s="2">
        <f t="shared" si="200"/>
        <v>-44.071894744283099</v>
      </c>
      <c r="AB755" s="8">
        <f t="shared" si="207"/>
        <v>1</v>
      </c>
      <c r="AC755" s="10">
        <v>6.125</v>
      </c>
      <c r="AD755" s="7">
        <f t="shared" si="208"/>
        <v>1079.2415577684806</v>
      </c>
      <c r="AE755" s="2">
        <f t="shared" si="209"/>
        <v>24.058442231519393</v>
      </c>
      <c r="AF755" s="10">
        <v>3</v>
      </c>
      <c r="AG755" s="3">
        <f t="shared" si="210"/>
        <v>4986.66</v>
      </c>
      <c r="AH755" s="7">
        <v>3300</v>
      </c>
      <c r="AI755">
        <f t="shared" si="211"/>
        <v>360</v>
      </c>
      <c r="AJ755" t="e">
        <f>VLOOKUP(A755,'Borrower Details'!$A$1:$H$1493,8,FALSE)</f>
        <v>#N/A</v>
      </c>
      <c r="AK755" s="4" t="e">
        <f t="shared" si="212"/>
        <v>#N/A</v>
      </c>
      <c r="AL755" s="10">
        <v>6.75</v>
      </c>
      <c r="AM755" s="3">
        <f t="shared" si="213"/>
        <v>166222.44939999998</v>
      </c>
      <c r="AN755">
        <v>6.75</v>
      </c>
      <c r="AO755" s="7">
        <f t="shared" si="214"/>
        <v>1147.3749967941289</v>
      </c>
      <c r="AP755" s="2">
        <f t="shared" si="215"/>
        <v>-44.074996794128992</v>
      </c>
    </row>
    <row r="756" spans="1:42" x14ac:dyDescent="0.15">
      <c r="A756" s="8">
        <v>1139649</v>
      </c>
      <c r="B756" t="s">
        <v>35</v>
      </c>
      <c r="C756" t="s">
        <v>16</v>
      </c>
      <c r="D756" s="1">
        <v>39136</v>
      </c>
      <c r="E756" s="2">
        <v>162000</v>
      </c>
      <c r="F756" s="2">
        <v>59900</v>
      </c>
      <c r="G756" t="s">
        <v>17</v>
      </c>
      <c r="H756" s="2">
        <v>566.41</v>
      </c>
      <c r="I756" s="2">
        <v>57331.55</v>
      </c>
      <c r="J756">
        <v>7.825E-2</v>
      </c>
      <c r="K756">
        <v>14</v>
      </c>
      <c r="L756">
        <v>166</v>
      </c>
      <c r="M756" t="str">
        <f t="shared" si="201"/>
        <v>30 Year Fixed</v>
      </c>
      <c r="N756" s="2">
        <v>373.85</v>
      </c>
      <c r="O756" t="str">
        <f t="shared" si="198"/>
        <v>Cash Out</v>
      </c>
      <c r="P756" s="3">
        <f t="shared" si="202"/>
        <v>78333.474630541881</v>
      </c>
      <c r="Q756" s="4">
        <v>137700</v>
      </c>
      <c r="R756" s="4" t="s">
        <v>41</v>
      </c>
      <c r="S756" s="6">
        <v>634</v>
      </c>
      <c r="T756">
        <v>6.75</v>
      </c>
      <c r="U756" s="7">
        <f t="shared" si="199"/>
        <v>950.4945789744304</v>
      </c>
      <c r="V756" s="2">
        <f t="shared" si="203"/>
        <v>-384.08457897443043</v>
      </c>
      <c r="W756" s="9">
        <f t="shared" si="204"/>
        <v>1</v>
      </c>
      <c r="X756" s="3">
        <v>81980</v>
      </c>
      <c r="Y756" s="3">
        <f t="shared" si="205"/>
        <v>23436.922906403939</v>
      </c>
      <c r="Z756" s="7">
        <f t="shared" si="206"/>
        <v>572.7085747845216</v>
      </c>
      <c r="AA756" s="2">
        <f t="shared" si="200"/>
        <v>-6.2985747845216338</v>
      </c>
      <c r="AB756" s="8">
        <f t="shared" si="207"/>
        <v>0</v>
      </c>
      <c r="AC756" s="10">
        <v>6.875</v>
      </c>
      <c r="AD756" s="7">
        <f t="shared" si="208"/>
        <v>572.7085747845216</v>
      </c>
      <c r="AE756" s="2">
        <f t="shared" si="209"/>
        <v>-6.2985747845216338</v>
      </c>
      <c r="AF756" s="10">
        <v>0</v>
      </c>
      <c r="AG756" s="3">
        <f t="shared" si="210"/>
        <v>0</v>
      </c>
      <c r="AH756" s="7">
        <v>2343.5875000000001</v>
      </c>
      <c r="AI756">
        <f t="shared" si="211"/>
        <v>360</v>
      </c>
      <c r="AJ756" t="e">
        <f>VLOOKUP(A756,'Borrower Details'!$A$1:$H$1493,8,FALSE)</f>
        <v>#N/A</v>
      </c>
      <c r="AK756" s="4" t="e">
        <f t="shared" si="212"/>
        <v>#N/A</v>
      </c>
      <c r="AL756" s="10">
        <v>6.875</v>
      </c>
      <c r="AM756" s="3">
        <f t="shared" si="213"/>
        <v>58191.523249999998</v>
      </c>
      <c r="AN756">
        <v>6.875</v>
      </c>
      <c r="AO756" s="7">
        <f t="shared" si="214"/>
        <v>406.52335136677056</v>
      </c>
      <c r="AP756" s="2">
        <f t="shared" si="215"/>
        <v>159.88664863322941</v>
      </c>
    </row>
    <row r="757" spans="1:42" x14ac:dyDescent="0.15">
      <c r="A757" s="8">
        <v>411012404</v>
      </c>
      <c r="B757" t="s">
        <v>38</v>
      </c>
      <c r="C757" t="s">
        <v>16</v>
      </c>
      <c r="D757" s="1">
        <v>39423</v>
      </c>
      <c r="E757" s="2">
        <v>235000</v>
      </c>
      <c r="F757" s="2">
        <v>199750</v>
      </c>
      <c r="G757" t="s">
        <v>17</v>
      </c>
      <c r="H757" s="2">
        <v>1451.55</v>
      </c>
      <c r="I757" s="2">
        <v>199625.69</v>
      </c>
      <c r="J757">
        <v>8.5999999999999993E-2</v>
      </c>
      <c r="K757">
        <v>4</v>
      </c>
      <c r="L757">
        <v>356</v>
      </c>
      <c r="M757" t="str">
        <f t="shared" si="201"/>
        <v>30 Year Fixed</v>
      </c>
      <c r="N757" s="2">
        <v>1430.65</v>
      </c>
      <c r="O757" t="str">
        <f t="shared" si="198"/>
        <v>Refi</v>
      </c>
      <c r="P757" s="3">
        <f t="shared" si="202"/>
        <v>0</v>
      </c>
      <c r="Q757" s="4">
        <v>202620</v>
      </c>
      <c r="R757" s="4" t="s">
        <v>41</v>
      </c>
      <c r="S757" s="6">
        <v>627</v>
      </c>
      <c r="T757">
        <v>6.75</v>
      </c>
      <c r="U757" s="7">
        <f t="shared" si="199"/>
        <v>1398.6144632665148</v>
      </c>
      <c r="V757" s="2">
        <f t="shared" si="203"/>
        <v>52.935536733485151</v>
      </c>
      <c r="W757" s="9">
        <f t="shared" si="204"/>
        <v>0</v>
      </c>
      <c r="X757" s="3">
        <v>202620</v>
      </c>
      <c r="Y757" s="3">
        <f t="shared" si="205"/>
        <v>-7.4236453190678731E-2</v>
      </c>
      <c r="Z757" s="7">
        <f t="shared" si="206"/>
        <v>1398.6144632665148</v>
      </c>
      <c r="AA757" s="2">
        <f t="shared" si="200"/>
        <v>52.935536733485151</v>
      </c>
      <c r="AB757" s="8">
        <f t="shared" si="207"/>
        <v>1</v>
      </c>
      <c r="AC757" s="10">
        <v>6.125</v>
      </c>
      <c r="AD757" s="7">
        <f t="shared" si="208"/>
        <v>1315.5654752983933</v>
      </c>
      <c r="AE757" s="2">
        <f t="shared" si="209"/>
        <v>135.98452470160669</v>
      </c>
      <c r="AF757" s="10">
        <v>3</v>
      </c>
      <c r="AG757" s="3">
        <f t="shared" si="210"/>
        <v>6078.6</v>
      </c>
      <c r="AH757" s="7">
        <v>1997.5</v>
      </c>
      <c r="AI757">
        <f t="shared" si="211"/>
        <v>360</v>
      </c>
      <c r="AJ757" t="e">
        <f>VLOOKUP(A757,'Borrower Details'!$A$1:$H$1493,8,FALSE)</f>
        <v>#N/A</v>
      </c>
      <c r="AK757" s="4" t="e">
        <f t="shared" si="212"/>
        <v>#N/A</v>
      </c>
      <c r="AL757" s="10">
        <v>6.75</v>
      </c>
      <c r="AM757" s="3">
        <f t="shared" si="213"/>
        <v>202620.07534999997</v>
      </c>
      <c r="AN757">
        <v>6.75</v>
      </c>
      <c r="AO757" s="7">
        <f t="shared" si="214"/>
        <v>1398.6149833810136</v>
      </c>
      <c r="AP757" s="2">
        <f t="shared" si="215"/>
        <v>52.93501661898631</v>
      </c>
    </row>
    <row r="758" spans="1:42" x14ac:dyDescent="0.15">
      <c r="A758" s="8">
        <v>410605240</v>
      </c>
      <c r="B758" t="s">
        <v>36</v>
      </c>
      <c r="C758" t="s">
        <v>19</v>
      </c>
      <c r="D758" s="1">
        <v>39280</v>
      </c>
      <c r="E758" s="2">
        <v>169000</v>
      </c>
      <c r="F758" s="2">
        <v>108000</v>
      </c>
      <c r="G758" t="s">
        <v>17</v>
      </c>
      <c r="H758" s="2">
        <v>791.72</v>
      </c>
      <c r="I758" s="2">
        <v>107404.19</v>
      </c>
      <c r="J758">
        <v>7.9899999999999999E-2</v>
      </c>
      <c r="K758">
        <v>9</v>
      </c>
      <c r="L758">
        <v>352</v>
      </c>
      <c r="M758" t="str">
        <f t="shared" si="201"/>
        <v>30 Year Fixed</v>
      </c>
      <c r="N758" s="2">
        <v>715.13</v>
      </c>
      <c r="O758" t="str">
        <f t="shared" si="198"/>
        <v>Cash Out</v>
      </c>
      <c r="P758" s="3">
        <f t="shared" si="202"/>
        <v>34122.903596059128</v>
      </c>
      <c r="Q758" s="4">
        <v>143650</v>
      </c>
      <c r="R758" s="4" t="s">
        <v>41</v>
      </c>
      <c r="S758" s="6">
        <v>569</v>
      </c>
      <c r="T758">
        <v>7.625</v>
      </c>
      <c r="U758" s="7">
        <f t="shared" si="199"/>
        <v>1076.5998833051019</v>
      </c>
      <c r="V758" s="2">
        <f t="shared" si="203"/>
        <v>-284.87988330510188</v>
      </c>
      <c r="W758" s="9">
        <f t="shared" si="204"/>
        <v>1</v>
      </c>
      <c r="X758" s="3">
        <v>109015</v>
      </c>
      <c r="Y758" s="3">
        <f t="shared" si="205"/>
        <v>-0.2491133004805306</v>
      </c>
      <c r="Z758" s="7">
        <f t="shared" si="206"/>
        <v>817.02426925517352</v>
      </c>
      <c r="AA758" s="2">
        <f t="shared" si="200"/>
        <v>-25.304269255173494</v>
      </c>
      <c r="AB758" s="8">
        <f t="shared" si="207"/>
        <v>1</v>
      </c>
      <c r="AC758" s="10">
        <v>6.875</v>
      </c>
      <c r="AD758" s="7">
        <f t="shared" si="208"/>
        <v>761.57386289503074</v>
      </c>
      <c r="AE758" s="2">
        <f t="shared" si="209"/>
        <v>30.146137104969284</v>
      </c>
      <c r="AF758" s="10">
        <v>1</v>
      </c>
      <c r="AG758" s="3">
        <f t="shared" si="210"/>
        <v>1090.1500000000001</v>
      </c>
      <c r="AH758" s="7">
        <v>2160</v>
      </c>
      <c r="AI758">
        <f t="shared" si="211"/>
        <v>360</v>
      </c>
      <c r="AJ758" t="e">
        <f>VLOOKUP(A758,'Borrower Details'!$A$1:$H$1493,8,FALSE)</f>
        <v>#N/A</v>
      </c>
      <c r="AK758" s="4" t="e">
        <f t="shared" si="212"/>
        <v>#N/A</v>
      </c>
      <c r="AL758" s="10">
        <v>7.625</v>
      </c>
      <c r="AM758" s="3">
        <f t="shared" si="213"/>
        <v>109015.25284999999</v>
      </c>
      <c r="AN758">
        <v>7.625</v>
      </c>
      <c r="AO758" s="7">
        <f t="shared" si="214"/>
        <v>817.02616426582779</v>
      </c>
      <c r="AP758" s="2">
        <f t="shared" si="215"/>
        <v>-25.306164265827761</v>
      </c>
    </row>
    <row r="759" spans="1:42" x14ac:dyDescent="0.15">
      <c r="A759" s="8">
        <v>410542260</v>
      </c>
      <c r="B759" t="s">
        <v>36</v>
      </c>
      <c r="C759" t="s">
        <v>19</v>
      </c>
      <c r="D759" s="1">
        <v>39262</v>
      </c>
      <c r="E759" s="2">
        <v>193000</v>
      </c>
      <c r="F759" s="2">
        <v>173700</v>
      </c>
      <c r="G759" t="s">
        <v>17</v>
      </c>
      <c r="H759" s="2">
        <v>1138.19</v>
      </c>
      <c r="I759" s="2">
        <v>172039.98</v>
      </c>
      <c r="J759">
        <v>6.8500000000000005E-2</v>
      </c>
      <c r="K759">
        <v>10</v>
      </c>
      <c r="L759">
        <v>349</v>
      </c>
      <c r="M759" t="str">
        <f t="shared" si="201"/>
        <v>30 Year Fixed</v>
      </c>
      <c r="N759" s="2">
        <v>982.95</v>
      </c>
      <c r="O759" t="str">
        <f t="shared" si="198"/>
        <v>Refi</v>
      </c>
      <c r="P759" s="3">
        <f t="shared" si="202"/>
        <v>0</v>
      </c>
      <c r="Q759" s="4">
        <v>174621</v>
      </c>
      <c r="R759" s="4" t="s">
        <v>41</v>
      </c>
      <c r="S759" s="6">
        <v>708</v>
      </c>
      <c r="T759">
        <v>6.75</v>
      </c>
      <c r="U759" s="7">
        <f t="shared" si="199"/>
        <v>1205.3472322083805</v>
      </c>
      <c r="V759" s="2">
        <f t="shared" si="203"/>
        <v>-67.157232208380492</v>
      </c>
      <c r="W759" s="9">
        <f t="shared" si="204"/>
        <v>0</v>
      </c>
      <c r="X759" s="3">
        <v>174621</v>
      </c>
      <c r="Y759" s="3">
        <f t="shared" si="205"/>
        <v>0.41408866996061988</v>
      </c>
      <c r="Z759" s="7">
        <f t="shared" si="206"/>
        <v>1205.3472322083805</v>
      </c>
      <c r="AA759" s="2">
        <f t="shared" si="200"/>
        <v>-67.157232208380492</v>
      </c>
      <c r="AB759" s="8">
        <f t="shared" si="207"/>
        <v>1</v>
      </c>
      <c r="AC759" s="10">
        <v>6.125</v>
      </c>
      <c r="AD759" s="7">
        <f t="shared" si="208"/>
        <v>1133.7743503211959</v>
      </c>
      <c r="AE759" s="2">
        <f t="shared" si="209"/>
        <v>4.4156496788041295</v>
      </c>
      <c r="AF759" s="10">
        <v>3</v>
      </c>
      <c r="AG759" s="3">
        <f t="shared" si="210"/>
        <v>5238.63</v>
      </c>
      <c r="AH759" s="7">
        <v>3474</v>
      </c>
      <c r="AI759">
        <f t="shared" si="211"/>
        <v>360</v>
      </c>
      <c r="AJ759" t="e">
        <f>VLOOKUP(A759,'Borrower Details'!$A$1:$H$1493,8,FALSE)</f>
        <v>#N/A</v>
      </c>
      <c r="AK759" s="4" t="e">
        <f t="shared" si="212"/>
        <v>#N/A</v>
      </c>
      <c r="AL759" s="10">
        <v>6.75</v>
      </c>
      <c r="AM759" s="3">
        <f t="shared" si="213"/>
        <v>174620.5797</v>
      </c>
      <c r="AN759">
        <v>6.75</v>
      </c>
      <c r="AO759" s="7">
        <f t="shared" si="214"/>
        <v>1205.3443310255807</v>
      </c>
      <c r="AP759" s="2">
        <f t="shared" si="215"/>
        <v>-67.154331025580632</v>
      </c>
    </row>
    <row r="760" spans="1:42" x14ac:dyDescent="0.15">
      <c r="A760" s="8">
        <v>410564520</v>
      </c>
      <c r="B760" t="s">
        <v>36</v>
      </c>
      <c r="C760" t="s">
        <v>18</v>
      </c>
      <c r="D760" s="1">
        <v>39262</v>
      </c>
      <c r="E760" s="2">
        <v>300085</v>
      </c>
      <c r="F760" s="2">
        <v>285080</v>
      </c>
      <c r="G760" t="s">
        <v>20</v>
      </c>
      <c r="H760" s="2">
        <v>2220.9699999999998</v>
      </c>
      <c r="I760" s="2">
        <v>284468.28999999998</v>
      </c>
      <c r="J760">
        <v>9.0999999999999998E-2</v>
      </c>
      <c r="K760">
        <v>10</v>
      </c>
      <c r="L760">
        <v>350</v>
      </c>
      <c r="M760" t="str">
        <f t="shared" si="201"/>
        <v>30 Year Fixed</v>
      </c>
      <c r="N760" s="2">
        <v>2157.2199999999998</v>
      </c>
      <c r="O760" t="str">
        <f t="shared" si="198"/>
        <v>Refi</v>
      </c>
      <c r="P760" s="3">
        <f t="shared" si="202"/>
        <v>0</v>
      </c>
      <c r="Q760" s="4">
        <v>288735</v>
      </c>
      <c r="R760" s="4" t="s">
        <v>41</v>
      </c>
      <c r="S760" s="6">
        <v>661</v>
      </c>
      <c r="T760">
        <v>6.75</v>
      </c>
      <c r="U760" s="7">
        <f t="shared" si="199"/>
        <v>1993.0359641262323</v>
      </c>
      <c r="V760" s="2">
        <f t="shared" si="203"/>
        <v>227.93403587376747</v>
      </c>
      <c r="W760" s="9">
        <f t="shared" si="204"/>
        <v>0</v>
      </c>
      <c r="X760" s="3">
        <v>288735</v>
      </c>
      <c r="Y760" s="3">
        <f t="shared" si="205"/>
        <v>-0.30970443342812359</v>
      </c>
      <c r="Z760" s="7">
        <f t="shared" si="206"/>
        <v>1993.0359641262323</v>
      </c>
      <c r="AA760" s="2">
        <f t="shared" si="200"/>
        <v>227.93403587376747</v>
      </c>
      <c r="AB760" s="8">
        <f t="shared" si="207"/>
        <v>0</v>
      </c>
      <c r="AC760" s="10">
        <v>6.75</v>
      </c>
      <c r="AD760" s="7">
        <f t="shared" si="208"/>
        <v>1993.0359641262323</v>
      </c>
      <c r="AE760" s="2">
        <f t="shared" si="209"/>
        <v>227.93403587376747</v>
      </c>
      <c r="AF760" s="10">
        <v>0</v>
      </c>
      <c r="AG760" s="3">
        <f t="shared" si="210"/>
        <v>0</v>
      </c>
      <c r="AH760" s="7">
        <v>5701.6</v>
      </c>
      <c r="AI760">
        <f t="shared" si="211"/>
        <v>360</v>
      </c>
      <c r="AJ760" t="e">
        <f>VLOOKUP(A760,'Borrower Details'!$A$1:$H$1493,8,FALSE)</f>
        <v>#N/A</v>
      </c>
      <c r="AK760" s="4" t="e">
        <f t="shared" si="212"/>
        <v>#N/A</v>
      </c>
      <c r="AL760" s="10">
        <v>6.75</v>
      </c>
      <c r="AM760" s="3">
        <f t="shared" si="213"/>
        <v>288735.31434999994</v>
      </c>
      <c r="AN760">
        <v>6.75</v>
      </c>
      <c r="AO760" s="7">
        <f t="shared" si="214"/>
        <v>1993.038133973515</v>
      </c>
      <c r="AP760" s="2">
        <f t="shared" si="215"/>
        <v>227.93186602648484</v>
      </c>
    </row>
    <row r="761" spans="1:42" x14ac:dyDescent="0.15">
      <c r="A761" s="8">
        <v>411062060</v>
      </c>
      <c r="B761" t="s">
        <v>36</v>
      </c>
      <c r="C761" t="s">
        <v>18</v>
      </c>
      <c r="D761" s="1">
        <v>39393</v>
      </c>
      <c r="E761" s="2">
        <v>268000</v>
      </c>
      <c r="F761" s="2">
        <v>201000</v>
      </c>
      <c r="G761" t="s">
        <v>20</v>
      </c>
      <c r="H761" s="2">
        <v>1922.09</v>
      </c>
      <c r="I761" s="2">
        <v>200893.17</v>
      </c>
      <c r="J761">
        <v>0.1135</v>
      </c>
      <c r="K761">
        <v>5</v>
      </c>
      <c r="L761">
        <v>355</v>
      </c>
      <c r="M761" t="str">
        <f t="shared" si="201"/>
        <v>30 Year Fixed</v>
      </c>
      <c r="N761" s="2">
        <v>1900.11</v>
      </c>
      <c r="O761" t="str">
        <f t="shared" si="198"/>
        <v>Cash Out</v>
      </c>
      <c r="P761" s="3">
        <f t="shared" si="202"/>
        <v>23540.327536945813</v>
      </c>
      <c r="Q761" s="4">
        <v>227800</v>
      </c>
      <c r="R761" s="4" t="s">
        <v>41</v>
      </c>
      <c r="S761" s="6">
        <v>536</v>
      </c>
      <c r="T761">
        <v>7.625</v>
      </c>
      <c r="U761" s="7">
        <f t="shared" si="199"/>
        <v>1707.2708208625284</v>
      </c>
      <c r="V761" s="2">
        <f t="shared" si="203"/>
        <v>214.81917913747156</v>
      </c>
      <c r="W761" s="9">
        <f t="shared" si="204"/>
        <v>0</v>
      </c>
      <c r="X761" s="3">
        <v>227800</v>
      </c>
      <c r="Y761" s="3">
        <f t="shared" si="205"/>
        <v>23540.327536945813</v>
      </c>
      <c r="Z761" s="7">
        <f t="shared" si="206"/>
        <v>1707.2708208625284</v>
      </c>
      <c r="AA761" s="2">
        <f t="shared" si="200"/>
        <v>214.81917913747156</v>
      </c>
      <c r="AB761" s="8">
        <f t="shared" si="207"/>
        <v>0</v>
      </c>
      <c r="AC761" s="10">
        <v>7.625</v>
      </c>
      <c r="AD761" s="7">
        <f t="shared" si="208"/>
        <v>1707.2708208625284</v>
      </c>
      <c r="AE761" s="2">
        <f t="shared" si="209"/>
        <v>214.81917913747156</v>
      </c>
      <c r="AF761" s="10">
        <v>0</v>
      </c>
      <c r="AG761" s="3">
        <f t="shared" si="210"/>
        <v>0</v>
      </c>
      <c r="AH761" s="7">
        <v>4020</v>
      </c>
      <c r="AI761">
        <f t="shared" si="211"/>
        <v>360</v>
      </c>
      <c r="AJ761" t="e">
        <f>VLOOKUP(A761,'Borrower Details'!$A$1:$H$1493,8,FALSE)</f>
        <v>#N/A</v>
      </c>
      <c r="AK761" s="4" t="e">
        <f t="shared" si="212"/>
        <v>#N/A</v>
      </c>
      <c r="AL761" s="10">
        <v>7.625</v>
      </c>
      <c r="AM761" s="3">
        <f t="shared" si="213"/>
        <v>203906.56755000001</v>
      </c>
      <c r="AN761">
        <v>7.625</v>
      </c>
      <c r="AO761" s="7">
        <f t="shared" si="214"/>
        <v>1528.1990033377924</v>
      </c>
      <c r="AP761" s="2">
        <f t="shared" si="215"/>
        <v>393.8909966622075</v>
      </c>
    </row>
    <row r="762" spans="1:42" x14ac:dyDescent="0.15">
      <c r="A762" s="8">
        <v>411212020</v>
      </c>
      <c r="B762" t="s">
        <v>36</v>
      </c>
      <c r="C762" t="s">
        <v>16</v>
      </c>
      <c r="D762" s="1">
        <v>39458</v>
      </c>
      <c r="E762" s="2">
        <v>190000</v>
      </c>
      <c r="F762" s="2">
        <v>132500</v>
      </c>
      <c r="G762" t="s">
        <v>17</v>
      </c>
      <c r="H762" s="2">
        <v>995.43</v>
      </c>
      <c r="I762" s="2">
        <v>132244.78</v>
      </c>
      <c r="J762">
        <v>8.2500000000000004E-2</v>
      </c>
      <c r="K762">
        <v>3</v>
      </c>
      <c r="L762">
        <v>357</v>
      </c>
      <c r="M762" t="str">
        <f t="shared" si="201"/>
        <v>30 Year Fixed</v>
      </c>
      <c r="N762" s="2">
        <v>909.18</v>
      </c>
      <c r="O762" t="str">
        <f t="shared" si="198"/>
        <v>Cash Out</v>
      </c>
      <c r="P762" s="3">
        <f t="shared" si="202"/>
        <v>26868.520492610842</v>
      </c>
      <c r="Q762" s="4">
        <v>161500</v>
      </c>
      <c r="R762" s="4" t="s">
        <v>41</v>
      </c>
      <c r="S762" s="6">
        <v>614</v>
      </c>
      <c r="T762">
        <v>6.875</v>
      </c>
      <c r="U762" s="7">
        <f t="shared" si="199"/>
        <v>1128.2317007526256</v>
      </c>
      <c r="V762" s="2">
        <f t="shared" si="203"/>
        <v>-132.80170075262561</v>
      </c>
      <c r="W762" s="9">
        <f t="shared" si="204"/>
        <v>1</v>
      </c>
      <c r="X762" s="3">
        <v>142410</v>
      </c>
      <c r="Y762" s="3">
        <f t="shared" si="205"/>
        <v>8060.6387192118273</v>
      </c>
      <c r="Z762" s="7">
        <f t="shared" si="206"/>
        <v>994.86982355530279</v>
      </c>
      <c r="AA762" s="2">
        <f t="shared" si="200"/>
        <v>0.56017644469716288</v>
      </c>
      <c r="AB762" s="8">
        <f t="shared" si="207"/>
        <v>1</v>
      </c>
      <c r="AC762" s="10">
        <v>6.25</v>
      </c>
      <c r="AD762" s="7">
        <f t="shared" si="208"/>
        <v>936.18036512722699</v>
      </c>
      <c r="AE762" s="2">
        <f t="shared" si="209"/>
        <v>59.249634872772958</v>
      </c>
      <c r="AF762" s="10">
        <v>2.5</v>
      </c>
      <c r="AG762" s="3">
        <f t="shared" si="210"/>
        <v>3560.25</v>
      </c>
      <c r="AH762" s="7">
        <v>2650</v>
      </c>
      <c r="AI762">
        <f t="shared" si="211"/>
        <v>360</v>
      </c>
      <c r="AJ762" t="e">
        <f>VLOOKUP(A762,'Borrower Details'!$A$1:$H$1493,8,FALSE)</f>
        <v>#N/A</v>
      </c>
      <c r="AK762" s="4" t="e">
        <f t="shared" si="212"/>
        <v>#N/A</v>
      </c>
      <c r="AL762" s="10">
        <v>6.875</v>
      </c>
      <c r="AM762" s="3">
        <f t="shared" si="213"/>
        <v>134228.45169999998</v>
      </c>
      <c r="AN762">
        <v>6.875</v>
      </c>
      <c r="AO762" s="7">
        <f t="shared" si="214"/>
        <v>937.7138969094899</v>
      </c>
      <c r="AP762" s="2">
        <f t="shared" si="215"/>
        <v>57.716103090510046</v>
      </c>
    </row>
    <row r="763" spans="1:42" x14ac:dyDescent="0.15">
      <c r="A763" s="8">
        <v>410804298</v>
      </c>
      <c r="B763" t="s">
        <v>35</v>
      </c>
      <c r="C763" t="s">
        <v>16</v>
      </c>
      <c r="D763" s="1">
        <v>39307</v>
      </c>
      <c r="E763" s="2">
        <v>126000</v>
      </c>
      <c r="F763" s="2">
        <v>113400</v>
      </c>
      <c r="G763" t="s">
        <v>21</v>
      </c>
      <c r="H763" s="2">
        <v>927.45</v>
      </c>
      <c r="I763" s="2">
        <v>113232.8</v>
      </c>
      <c r="J763">
        <v>9.6000000000000002E-2</v>
      </c>
      <c r="K763">
        <v>8</v>
      </c>
      <c r="L763">
        <v>352</v>
      </c>
      <c r="M763" t="str">
        <f t="shared" si="201"/>
        <v>30 Year Fixed</v>
      </c>
      <c r="N763" s="2">
        <v>905.86</v>
      </c>
      <c r="O763" t="str">
        <f t="shared" si="198"/>
        <v>Refi</v>
      </c>
      <c r="P763" s="3">
        <f t="shared" si="202"/>
        <v>0</v>
      </c>
      <c r="Q763" s="4">
        <v>114931</v>
      </c>
      <c r="R763" s="4" t="s">
        <v>41</v>
      </c>
      <c r="S763" s="6">
        <v>633</v>
      </c>
      <c r="T763">
        <v>6.75</v>
      </c>
      <c r="U763" s="7">
        <f t="shared" si="199"/>
        <v>793.32819503348048</v>
      </c>
      <c r="V763" s="2">
        <f t="shared" si="203"/>
        <v>134.12180496651956</v>
      </c>
      <c r="W763" s="9">
        <f t="shared" si="204"/>
        <v>0</v>
      </c>
      <c r="X763" s="3">
        <v>114931</v>
      </c>
      <c r="Y763" s="3">
        <f t="shared" si="205"/>
        <v>-0.28768472906085663</v>
      </c>
      <c r="Z763" s="7">
        <f t="shared" si="206"/>
        <v>793.32819503348048</v>
      </c>
      <c r="AA763" s="2">
        <f t="shared" si="200"/>
        <v>134.12180496651956</v>
      </c>
      <c r="AB763" s="8">
        <f t="shared" si="207"/>
        <v>0</v>
      </c>
      <c r="AC763" s="10">
        <v>6.75</v>
      </c>
      <c r="AD763" s="7">
        <f t="shared" si="208"/>
        <v>793.32819503348048</v>
      </c>
      <c r="AE763" s="2">
        <f t="shared" si="209"/>
        <v>134.12180496651956</v>
      </c>
      <c r="AF763" s="10">
        <v>0</v>
      </c>
      <c r="AG763" s="3">
        <f t="shared" si="210"/>
        <v>0</v>
      </c>
      <c r="AH763" s="7">
        <v>5443.2</v>
      </c>
      <c r="AI763">
        <f t="shared" si="211"/>
        <v>360</v>
      </c>
      <c r="AJ763" t="e">
        <f>VLOOKUP(A763,'Borrower Details'!$A$1:$H$1493,8,FALSE)</f>
        <v>#N/A</v>
      </c>
      <c r="AK763" s="4" t="e">
        <f t="shared" si="212"/>
        <v>#N/A</v>
      </c>
      <c r="AL763" s="10">
        <v>6.75</v>
      </c>
      <c r="AM763" s="3">
        <f t="shared" si="213"/>
        <v>114931.29199999999</v>
      </c>
      <c r="AN763">
        <v>6.75</v>
      </c>
      <c r="AO763" s="7">
        <f t="shared" si="214"/>
        <v>793.33021060658893</v>
      </c>
      <c r="AP763" s="2">
        <f t="shared" si="215"/>
        <v>134.11978939341111</v>
      </c>
    </row>
    <row r="764" spans="1:42" x14ac:dyDescent="0.15">
      <c r="A764" s="8">
        <v>1154664</v>
      </c>
      <c r="B764" t="s">
        <v>36</v>
      </c>
      <c r="C764" t="s">
        <v>19</v>
      </c>
      <c r="D764" s="1">
        <v>39155</v>
      </c>
      <c r="E764" s="2">
        <v>145000</v>
      </c>
      <c r="F764" s="2">
        <v>101500</v>
      </c>
      <c r="G764" t="s">
        <v>15</v>
      </c>
      <c r="H764" s="2">
        <v>658.33</v>
      </c>
      <c r="I764" s="2">
        <v>100324.76</v>
      </c>
      <c r="J764">
        <v>6.7500000000000004E-2</v>
      </c>
      <c r="K764">
        <v>13</v>
      </c>
      <c r="L764">
        <v>347</v>
      </c>
      <c r="M764" t="str">
        <f t="shared" si="201"/>
        <v>30 Year Fixed</v>
      </c>
      <c r="N764" s="2">
        <v>564.33000000000004</v>
      </c>
      <c r="O764" t="str">
        <f t="shared" si="198"/>
        <v>Cash Out</v>
      </c>
      <c r="P764" s="3">
        <f t="shared" si="202"/>
        <v>21103.81142857144</v>
      </c>
      <c r="Q764" s="4">
        <v>123250</v>
      </c>
      <c r="R764" s="4" t="s">
        <v>41</v>
      </c>
      <c r="S764" s="6">
        <v>621</v>
      </c>
      <c r="T764">
        <v>6.75</v>
      </c>
      <c r="U764" s="7">
        <f t="shared" si="199"/>
        <v>850.7513206869902</v>
      </c>
      <c r="V764" s="2">
        <f t="shared" si="203"/>
        <v>-192.42132068699016</v>
      </c>
      <c r="W764" s="9">
        <f t="shared" si="204"/>
        <v>1</v>
      </c>
      <c r="X764" s="3">
        <v>101830</v>
      </c>
      <c r="Y764" s="3">
        <f t="shared" si="205"/>
        <v>0.3631527093675686</v>
      </c>
      <c r="Z764" s="7">
        <f t="shared" si="206"/>
        <v>702.89660840207875</v>
      </c>
      <c r="AA764" s="2">
        <f t="shared" si="200"/>
        <v>-44.566608402078714</v>
      </c>
      <c r="AB764" s="8">
        <f t="shared" si="207"/>
        <v>1</v>
      </c>
      <c r="AC764" s="10">
        <v>6.125</v>
      </c>
      <c r="AD764" s="7">
        <f t="shared" si="208"/>
        <v>661.15897912168293</v>
      </c>
      <c r="AE764" s="2">
        <f t="shared" si="209"/>
        <v>-2.8289791216828917</v>
      </c>
      <c r="AF764" s="10">
        <v>3</v>
      </c>
      <c r="AG764" s="3">
        <f t="shared" si="210"/>
        <v>3054.9</v>
      </c>
      <c r="AH764" s="7">
        <v>2030</v>
      </c>
      <c r="AI764">
        <f t="shared" si="211"/>
        <v>360</v>
      </c>
      <c r="AJ764" t="e">
        <f>VLOOKUP(A764,'Borrower Details'!$A$1:$H$1493,8,FALSE)</f>
        <v>#N/A</v>
      </c>
      <c r="AK764" s="4" t="e">
        <f t="shared" si="212"/>
        <v>#N/A</v>
      </c>
      <c r="AL764" s="10">
        <v>6.75</v>
      </c>
      <c r="AM764" s="3">
        <f t="shared" si="213"/>
        <v>101829.63139999998</v>
      </c>
      <c r="AN764">
        <v>6.75</v>
      </c>
      <c r="AO764" s="7">
        <f t="shared" si="214"/>
        <v>702.89406408616139</v>
      </c>
      <c r="AP764" s="2">
        <f t="shared" si="215"/>
        <v>-44.564064086161352</v>
      </c>
    </row>
    <row r="765" spans="1:42" x14ac:dyDescent="0.15">
      <c r="A765" s="8">
        <v>410208144</v>
      </c>
      <c r="B765" t="s">
        <v>38</v>
      </c>
      <c r="C765" t="s">
        <v>19</v>
      </c>
      <c r="D765" s="1">
        <v>39253</v>
      </c>
      <c r="E765" s="2">
        <v>105000</v>
      </c>
      <c r="F765" s="2">
        <v>94500</v>
      </c>
      <c r="G765" t="s">
        <v>21</v>
      </c>
      <c r="H765" s="2">
        <v>809.13</v>
      </c>
      <c r="I765" s="2">
        <v>94084.91</v>
      </c>
      <c r="J765">
        <v>9.7100000000000006E-2</v>
      </c>
      <c r="K765">
        <v>10</v>
      </c>
      <c r="L765">
        <v>351</v>
      </c>
      <c r="M765" t="str">
        <f t="shared" si="201"/>
        <v>30 Year Fixed</v>
      </c>
      <c r="N765" s="2">
        <v>761.3</v>
      </c>
      <c r="O765" t="str">
        <f t="shared" si="198"/>
        <v>Refi</v>
      </c>
      <c r="P765" s="3">
        <f t="shared" si="202"/>
        <v>0</v>
      </c>
      <c r="Q765" s="4">
        <v>95496</v>
      </c>
      <c r="R765" s="4" t="s">
        <v>41</v>
      </c>
      <c r="S765" s="6">
        <v>580</v>
      </c>
      <c r="T765">
        <v>7.625</v>
      </c>
      <c r="U765" s="7">
        <f t="shared" si="199"/>
        <v>715.70471601882355</v>
      </c>
      <c r="V765" s="2">
        <f t="shared" si="203"/>
        <v>93.425283981176449</v>
      </c>
      <c r="W765" s="9">
        <f t="shared" si="204"/>
        <v>0</v>
      </c>
      <c r="X765" s="3">
        <v>95496</v>
      </c>
      <c r="Y765" s="3">
        <f t="shared" si="205"/>
        <v>-0.18093596058315597</v>
      </c>
      <c r="Z765" s="7">
        <f t="shared" si="206"/>
        <v>715.70471601882355</v>
      </c>
      <c r="AA765" s="2">
        <f t="shared" si="200"/>
        <v>93.425283981176449</v>
      </c>
      <c r="AB765" s="8">
        <f t="shared" si="207"/>
        <v>0</v>
      </c>
      <c r="AC765" s="10">
        <v>7.625</v>
      </c>
      <c r="AD765" s="7">
        <f t="shared" si="208"/>
        <v>715.70471601882355</v>
      </c>
      <c r="AE765" s="2">
        <f t="shared" si="209"/>
        <v>93.425283981176449</v>
      </c>
      <c r="AF765" s="10">
        <v>0</v>
      </c>
      <c r="AG765" s="3">
        <f t="shared" si="210"/>
        <v>0</v>
      </c>
      <c r="AH765" s="7">
        <v>0</v>
      </c>
      <c r="AI765">
        <f t="shared" si="211"/>
        <v>360</v>
      </c>
      <c r="AJ765" t="e">
        <f>VLOOKUP(A765,'Borrower Details'!$A$1:$H$1493,8,FALSE)</f>
        <v>#N/A</v>
      </c>
      <c r="AK765" s="4" t="e">
        <f t="shared" si="212"/>
        <v>#N/A</v>
      </c>
      <c r="AL765" s="10">
        <v>7.625</v>
      </c>
      <c r="AM765" s="3">
        <f t="shared" si="213"/>
        <v>95496.183649999992</v>
      </c>
      <c r="AN765">
        <v>7.625</v>
      </c>
      <c r="AO765" s="7">
        <f t="shared" si="214"/>
        <v>715.70609240287195</v>
      </c>
      <c r="AP765" s="2">
        <f t="shared" si="215"/>
        <v>93.42390759712805</v>
      </c>
    </row>
    <row r="766" spans="1:42" x14ac:dyDescent="0.15">
      <c r="A766" s="8">
        <v>1161416</v>
      </c>
      <c r="B766" t="s">
        <v>35</v>
      </c>
      <c r="C766" t="s">
        <v>16</v>
      </c>
      <c r="D766" s="1">
        <v>39157</v>
      </c>
      <c r="E766" s="2">
        <v>145000</v>
      </c>
      <c r="F766" s="2">
        <v>136800</v>
      </c>
      <c r="G766" t="s">
        <v>15</v>
      </c>
      <c r="H766" s="2">
        <v>1210.6400000000001</v>
      </c>
      <c r="I766" s="2">
        <v>136054.9</v>
      </c>
      <c r="J766">
        <v>0.10100000000000001</v>
      </c>
      <c r="K766">
        <v>13</v>
      </c>
      <c r="L766">
        <v>348</v>
      </c>
      <c r="M766" t="str">
        <f t="shared" si="201"/>
        <v>30 Year Fixed</v>
      </c>
      <c r="N766" s="2">
        <v>1145.1300000000001</v>
      </c>
      <c r="O766" t="str">
        <f t="shared" si="198"/>
        <v>Refi</v>
      </c>
      <c r="P766" s="3">
        <f t="shared" si="202"/>
        <v>0</v>
      </c>
      <c r="Q766" s="4">
        <v>138096</v>
      </c>
      <c r="R766" s="4" t="s">
        <v>41</v>
      </c>
      <c r="S766" s="6">
        <v>560</v>
      </c>
      <c r="T766">
        <v>7.625</v>
      </c>
      <c r="U766" s="7">
        <f t="shared" si="199"/>
        <v>1034.9748519658988</v>
      </c>
      <c r="V766" s="2">
        <f t="shared" si="203"/>
        <v>175.66514803410132</v>
      </c>
      <c r="W766" s="9">
        <f t="shared" si="204"/>
        <v>0</v>
      </c>
      <c r="X766" s="3">
        <v>138096</v>
      </c>
      <c r="Y766" s="3">
        <f t="shared" si="205"/>
        <v>0.27241379313636571</v>
      </c>
      <c r="Z766" s="7">
        <f t="shared" si="206"/>
        <v>1034.9748519658988</v>
      </c>
      <c r="AA766" s="2">
        <f t="shared" si="200"/>
        <v>175.66514803410132</v>
      </c>
      <c r="AB766" s="8">
        <f t="shared" si="207"/>
        <v>0</v>
      </c>
      <c r="AC766" s="10">
        <v>7.625</v>
      </c>
      <c r="AD766" s="7">
        <f t="shared" si="208"/>
        <v>1034.9748519658988</v>
      </c>
      <c r="AE766" s="2">
        <f t="shared" si="209"/>
        <v>175.66514803410132</v>
      </c>
      <c r="AF766" s="10">
        <v>0</v>
      </c>
      <c r="AG766" s="3">
        <f t="shared" si="210"/>
        <v>0</v>
      </c>
      <c r="AH766" s="7">
        <v>6908.4</v>
      </c>
      <c r="AI766">
        <f t="shared" si="211"/>
        <v>360</v>
      </c>
      <c r="AJ766" t="e">
        <f>VLOOKUP(A766,'Borrower Details'!$A$1:$H$1493,8,FALSE)</f>
        <v>#N/A</v>
      </c>
      <c r="AK766" s="4" t="e">
        <f t="shared" si="212"/>
        <v>#N/A</v>
      </c>
      <c r="AL766" s="10">
        <v>7.625</v>
      </c>
      <c r="AM766" s="3">
        <f t="shared" si="213"/>
        <v>138095.72349999999</v>
      </c>
      <c r="AN766">
        <v>7.625</v>
      </c>
      <c r="AO766" s="7">
        <f t="shared" si="214"/>
        <v>1034.9727797078567</v>
      </c>
      <c r="AP766" s="2">
        <f t="shared" si="215"/>
        <v>175.66722029214338</v>
      </c>
    </row>
    <row r="767" spans="1:42" x14ac:dyDescent="0.15">
      <c r="A767" s="8">
        <v>1135726</v>
      </c>
      <c r="B767" t="s">
        <v>37</v>
      </c>
      <c r="C767" t="s">
        <v>18</v>
      </c>
      <c r="D767" s="1">
        <v>39148</v>
      </c>
      <c r="E767" s="2">
        <v>100000</v>
      </c>
      <c r="F767" s="2">
        <v>90000</v>
      </c>
      <c r="G767" t="s">
        <v>15</v>
      </c>
      <c r="H767" s="2">
        <v>645.45000000000005</v>
      </c>
      <c r="I767" s="2">
        <v>89678.82</v>
      </c>
      <c r="J767">
        <v>8.2900000000000001E-2</v>
      </c>
      <c r="K767">
        <v>13</v>
      </c>
      <c r="L767">
        <v>347</v>
      </c>
      <c r="M767" t="str">
        <f t="shared" si="201"/>
        <v>30 Year Fixed</v>
      </c>
      <c r="N767" s="2">
        <v>619.53</v>
      </c>
      <c r="O767" t="str">
        <f t="shared" si="198"/>
        <v>Refi</v>
      </c>
      <c r="P767" s="3">
        <f t="shared" si="202"/>
        <v>0</v>
      </c>
      <c r="Q767" s="4">
        <v>91024</v>
      </c>
      <c r="R767" s="4" t="s">
        <v>41</v>
      </c>
      <c r="S767" s="6">
        <v>623</v>
      </c>
      <c r="T767">
        <v>6.875</v>
      </c>
      <c r="U767" s="7">
        <f t="shared" si="199"/>
        <v>635.88955002666864</v>
      </c>
      <c r="V767" s="2">
        <f t="shared" si="203"/>
        <v>9.5604499733314015</v>
      </c>
      <c r="W767" s="9">
        <f t="shared" si="204"/>
        <v>0</v>
      </c>
      <c r="X767" s="3">
        <v>91024</v>
      </c>
      <c r="Y767" s="3">
        <f t="shared" si="205"/>
        <v>-2.2660098475171253E-3</v>
      </c>
      <c r="Z767" s="7">
        <f t="shared" si="206"/>
        <v>635.88955002666864</v>
      </c>
      <c r="AA767" s="2">
        <f t="shared" si="200"/>
        <v>9.5604499733314015</v>
      </c>
      <c r="AB767" s="8">
        <f t="shared" si="207"/>
        <v>1</v>
      </c>
      <c r="AC767" s="10">
        <v>6.25</v>
      </c>
      <c r="AD767" s="7">
        <f t="shared" si="208"/>
        <v>598.37709118278713</v>
      </c>
      <c r="AE767" s="2">
        <f t="shared" si="209"/>
        <v>47.07290881721292</v>
      </c>
      <c r="AF767" s="10">
        <v>2.5</v>
      </c>
      <c r="AG767" s="3">
        <f t="shared" si="210"/>
        <v>2275.6</v>
      </c>
      <c r="AH767" s="7">
        <v>0</v>
      </c>
      <c r="AI767">
        <f t="shared" si="211"/>
        <v>360</v>
      </c>
      <c r="AJ767" t="e">
        <f>VLOOKUP(A767,'Borrower Details'!$A$1:$H$1493,8,FALSE)</f>
        <v>#N/A</v>
      </c>
      <c r="AK767" s="4" t="e">
        <f t="shared" si="212"/>
        <v>#N/A</v>
      </c>
      <c r="AL767" s="10">
        <v>6.875</v>
      </c>
      <c r="AM767" s="3">
        <f t="shared" si="213"/>
        <v>91024.002299999993</v>
      </c>
      <c r="AN767">
        <v>6.875</v>
      </c>
      <c r="AO767" s="7">
        <f t="shared" si="214"/>
        <v>635.88956609436468</v>
      </c>
      <c r="AP767" s="2">
        <f t="shared" si="215"/>
        <v>9.5604339056353638</v>
      </c>
    </row>
    <row r="768" spans="1:42" x14ac:dyDescent="0.15">
      <c r="A768" s="8">
        <v>411086648</v>
      </c>
      <c r="B768" t="s">
        <v>35</v>
      </c>
      <c r="C768" t="s">
        <v>16</v>
      </c>
      <c r="D768" s="1">
        <v>39420</v>
      </c>
      <c r="E768" s="2">
        <v>270000</v>
      </c>
      <c r="F768" s="2">
        <v>194000</v>
      </c>
      <c r="G768" t="s">
        <v>17</v>
      </c>
      <c r="H768" s="2">
        <v>1688.18</v>
      </c>
      <c r="I768" s="2">
        <v>193494.23</v>
      </c>
      <c r="J768">
        <v>9.9000000000000005E-2</v>
      </c>
      <c r="K768">
        <v>5</v>
      </c>
      <c r="L768">
        <v>355</v>
      </c>
      <c r="M768" t="str">
        <f t="shared" si="201"/>
        <v>30 Year Fixed</v>
      </c>
      <c r="N768" s="2">
        <v>1596.33</v>
      </c>
      <c r="O768" t="str">
        <f t="shared" si="198"/>
        <v>Cash Out</v>
      </c>
      <c r="P768" s="3">
        <f t="shared" si="202"/>
        <v>32614.144384236453</v>
      </c>
      <c r="Q768" s="4">
        <v>229500</v>
      </c>
      <c r="R768" s="4" t="s">
        <v>41</v>
      </c>
      <c r="S768" s="6">
        <v>566</v>
      </c>
      <c r="T768">
        <v>7.625</v>
      </c>
      <c r="U768" s="7">
        <f t="shared" si="199"/>
        <v>1720.0116478838904</v>
      </c>
      <c r="V768" s="2">
        <f t="shared" si="203"/>
        <v>-31.831647883890355</v>
      </c>
      <c r="W768" s="9">
        <f t="shared" si="204"/>
        <v>1</v>
      </c>
      <c r="X768" s="3">
        <v>225180</v>
      </c>
      <c r="Y768" s="3">
        <f t="shared" si="205"/>
        <v>28357.986748768482</v>
      </c>
      <c r="Z768" s="7">
        <f t="shared" si="206"/>
        <v>1687.6349580413703</v>
      </c>
      <c r="AA768" s="2">
        <f t="shared" si="200"/>
        <v>0.54504195862978122</v>
      </c>
      <c r="AB768" s="8">
        <f t="shared" si="207"/>
        <v>0</v>
      </c>
      <c r="AC768" s="10">
        <v>7.625</v>
      </c>
      <c r="AD768" s="7">
        <f t="shared" si="208"/>
        <v>1687.6349580413703</v>
      </c>
      <c r="AE768" s="2">
        <f t="shared" si="209"/>
        <v>0.54504195862978122</v>
      </c>
      <c r="AF768" s="10">
        <v>0</v>
      </c>
      <c r="AG768" s="3">
        <f t="shared" si="210"/>
        <v>0</v>
      </c>
      <c r="AH768" s="7">
        <v>9603</v>
      </c>
      <c r="AI768">
        <f t="shared" si="211"/>
        <v>360</v>
      </c>
      <c r="AJ768" t="e">
        <f>VLOOKUP(A768,'Borrower Details'!$A$1:$H$1493,8,FALSE)</f>
        <v>#N/A</v>
      </c>
      <c r="AK768" s="4" t="e">
        <f t="shared" si="212"/>
        <v>#N/A</v>
      </c>
      <c r="AL768" s="10">
        <v>7.625</v>
      </c>
      <c r="AM768" s="3">
        <f t="shared" si="213"/>
        <v>196396.64345</v>
      </c>
      <c r="AN768">
        <v>7.625</v>
      </c>
      <c r="AO768" s="7">
        <f t="shared" si="214"/>
        <v>1471.915095160346</v>
      </c>
      <c r="AP768" s="2">
        <f t="shared" si="215"/>
        <v>216.26490483965404</v>
      </c>
    </row>
    <row r="769" spans="1:42" x14ac:dyDescent="0.15">
      <c r="A769" s="8">
        <v>1154036</v>
      </c>
      <c r="B769" t="s">
        <v>37</v>
      </c>
      <c r="C769" t="s">
        <v>19</v>
      </c>
      <c r="D769" s="1">
        <v>39157</v>
      </c>
      <c r="E769" s="2">
        <v>100000</v>
      </c>
      <c r="F769" s="2">
        <v>68000</v>
      </c>
      <c r="G769" t="s">
        <v>15</v>
      </c>
      <c r="H769" s="2">
        <v>507.68</v>
      </c>
      <c r="I769" s="2">
        <v>67916.009999999995</v>
      </c>
      <c r="J769">
        <v>8.8499999999999995E-2</v>
      </c>
      <c r="K769">
        <v>13</v>
      </c>
      <c r="L769">
        <v>347</v>
      </c>
      <c r="M769" t="str">
        <f t="shared" si="201"/>
        <v>30 Year Fixed</v>
      </c>
      <c r="N769" s="2">
        <v>500.88</v>
      </c>
      <c r="O769" t="str">
        <f t="shared" si="198"/>
        <v>Cash Out</v>
      </c>
      <c r="P769" s="3">
        <f t="shared" si="202"/>
        <v>15827.832364532034</v>
      </c>
      <c r="Q769" s="4">
        <v>85000</v>
      </c>
      <c r="R769" s="4" t="s">
        <v>41</v>
      </c>
      <c r="S769" s="6">
        <v>590</v>
      </c>
      <c r="T769">
        <v>7.625</v>
      </c>
      <c r="U769" s="7">
        <f t="shared" si="199"/>
        <v>637.04135106810759</v>
      </c>
      <c r="V769" s="2">
        <f t="shared" si="203"/>
        <v>-129.36135106810758</v>
      </c>
      <c r="W769" s="9">
        <f t="shared" si="204"/>
        <v>1</v>
      </c>
      <c r="X769" s="3">
        <v>68935</v>
      </c>
      <c r="Y769" s="3">
        <f t="shared" si="205"/>
        <v>0.24615763548354153</v>
      </c>
      <c r="Z769" s="7">
        <f t="shared" si="206"/>
        <v>516.64053571623526</v>
      </c>
      <c r="AA769" s="2">
        <f t="shared" si="200"/>
        <v>-8.9605357162352561</v>
      </c>
      <c r="AB769" s="8">
        <f t="shared" si="207"/>
        <v>1</v>
      </c>
      <c r="AC769" s="10">
        <v>6.5</v>
      </c>
      <c r="AD769" s="7">
        <f t="shared" si="208"/>
        <v>464.4390086615428</v>
      </c>
      <c r="AE769" s="2">
        <f t="shared" si="209"/>
        <v>43.240991338457206</v>
      </c>
      <c r="AF769" s="10">
        <v>2.375</v>
      </c>
      <c r="AG769" s="3">
        <f t="shared" si="210"/>
        <v>1637.20625</v>
      </c>
      <c r="AH769" s="7">
        <v>0</v>
      </c>
      <c r="AI769">
        <f t="shared" si="211"/>
        <v>360</v>
      </c>
      <c r="AJ769" t="e">
        <f>VLOOKUP(A769,'Borrower Details'!$A$1:$H$1493,8,FALSE)</f>
        <v>#N/A</v>
      </c>
      <c r="AK769" s="4" t="e">
        <f t="shared" si="212"/>
        <v>#N/A</v>
      </c>
      <c r="AL769" s="10">
        <v>7.625</v>
      </c>
      <c r="AM769" s="3">
        <f t="shared" si="213"/>
        <v>68934.750149999993</v>
      </c>
      <c r="AN769">
        <v>7.625</v>
      </c>
      <c r="AO769" s="7">
        <f t="shared" si="214"/>
        <v>516.63866318939336</v>
      </c>
      <c r="AP769" s="2">
        <f t="shared" si="215"/>
        <v>-8.9586631893933486</v>
      </c>
    </row>
    <row r="770" spans="1:42" x14ac:dyDescent="0.15">
      <c r="A770" s="8">
        <v>1181608</v>
      </c>
      <c r="B770" t="s">
        <v>36</v>
      </c>
      <c r="C770" t="s">
        <v>19</v>
      </c>
      <c r="D770" s="1">
        <v>39181</v>
      </c>
      <c r="E770" s="2">
        <v>150000</v>
      </c>
      <c r="F770" s="2">
        <v>110000</v>
      </c>
      <c r="G770" t="s">
        <v>17</v>
      </c>
      <c r="H770" s="2">
        <v>701.8</v>
      </c>
      <c r="I770" s="2">
        <v>108791.33</v>
      </c>
      <c r="J770">
        <v>6.59E-2</v>
      </c>
      <c r="K770">
        <v>12</v>
      </c>
      <c r="L770">
        <v>348</v>
      </c>
      <c r="M770" t="str">
        <f t="shared" si="201"/>
        <v>30 Year Fixed</v>
      </c>
      <c r="N770" s="2">
        <v>597.45000000000005</v>
      </c>
      <c r="O770" t="str">
        <f t="shared" ref="O770:O833" si="216">IF((0.85*E770)&gt;(I770*1.015),"Cash Out","Refi")</f>
        <v>Cash Out</v>
      </c>
      <c r="P770" s="3">
        <f t="shared" si="202"/>
        <v>16824.433546798042</v>
      </c>
      <c r="Q770" s="4">
        <v>127500</v>
      </c>
      <c r="R770" s="4" t="s">
        <v>41</v>
      </c>
      <c r="S770" s="6">
        <v>669</v>
      </c>
      <c r="T770">
        <v>6.75</v>
      </c>
      <c r="U770" s="7">
        <f t="shared" ref="U770:U833" si="217">(Q770*((T770/1200)/(1-(1+(T770/1200))^-AI770)))+((Q770*0.005)/12)</f>
        <v>880.08757312447256</v>
      </c>
      <c r="V770" s="2">
        <f t="shared" si="203"/>
        <v>-178.2875731244726</v>
      </c>
      <c r="W770" s="9">
        <f t="shared" si="204"/>
        <v>1</v>
      </c>
      <c r="X770" s="3">
        <v>110423</v>
      </c>
      <c r="Y770" s="3">
        <f t="shared" si="205"/>
        <v>-0.19699507388577331</v>
      </c>
      <c r="Z770" s="7">
        <f t="shared" si="206"/>
        <v>762.21105950685205</v>
      </c>
      <c r="AA770" s="2">
        <f t="shared" ref="AA770:AA833" si="218">H770-Z770</f>
        <v>-60.411059506852098</v>
      </c>
      <c r="AB770" s="8">
        <f t="shared" si="207"/>
        <v>1</v>
      </c>
      <c r="AC770" s="10">
        <v>6.125</v>
      </c>
      <c r="AD770" s="7">
        <f t="shared" si="208"/>
        <v>716.95136945451827</v>
      </c>
      <c r="AE770" s="2">
        <f t="shared" si="209"/>
        <v>-15.151369454518317</v>
      </c>
      <c r="AF770" s="10">
        <v>3</v>
      </c>
      <c r="AG770" s="3">
        <f t="shared" si="210"/>
        <v>3312.69</v>
      </c>
      <c r="AH770" s="7">
        <v>2200</v>
      </c>
      <c r="AI770">
        <f t="shared" si="211"/>
        <v>360</v>
      </c>
      <c r="AJ770" t="e">
        <f>VLOOKUP(A770,'Borrower Details'!$A$1:$H$1493,8,FALSE)</f>
        <v>#N/A</v>
      </c>
      <c r="AK770" s="4" t="e">
        <f t="shared" si="212"/>
        <v>#N/A</v>
      </c>
      <c r="AL770" s="10">
        <v>6.75</v>
      </c>
      <c r="AM770" s="3">
        <f t="shared" si="213"/>
        <v>110423.19994999999</v>
      </c>
      <c r="AN770">
        <v>6.75</v>
      </c>
      <c r="AO770" s="7">
        <f t="shared" si="214"/>
        <v>762.21243969124612</v>
      </c>
      <c r="AP770" s="2">
        <f t="shared" si="215"/>
        <v>-60.412439691246163</v>
      </c>
    </row>
    <row r="771" spans="1:42" x14ac:dyDescent="0.15">
      <c r="A771" s="8">
        <v>411160492</v>
      </c>
      <c r="B771" t="s">
        <v>35</v>
      </c>
      <c r="C771" t="s">
        <v>16</v>
      </c>
      <c r="D771" s="1">
        <v>39440</v>
      </c>
      <c r="E771" s="2">
        <v>110000</v>
      </c>
      <c r="F771" s="2">
        <v>85700</v>
      </c>
      <c r="G771" t="s">
        <v>17</v>
      </c>
      <c r="H771" s="2">
        <v>726.88</v>
      </c>
      <c r="I771" s="2">
        <v>85532.89</v>
      </c>
      <c r="J771">
        <v>9.6000000000000002E-2</v>
      </c>
      <c r="K771">
        <v>4</v>
      </c>
      <c r="L771">
        <v>356</v>
      </c>
      <c r="M771" t="str">
        <f t="shared" ref="M771:M834" si="219">(IF((L771+K771)&lt;180,"15 Year Fixed","30 Year Fixed"))</f>
        <v>30 Year Fixed</v>
      </c>
      <c r="N771" s="2">
        <v>684.26</v>
      </c>
      <c r="O771" t="str">
        <f t="shared" si="216"/>
        <v>Cash Out</v>
      </c>
      <c r="P771" s="3">
        <f t="shared" ref="P771:P834" si="220">IF((0.85*E771)&gt;(I771*1.015),((0.85*E771)/1.015)-(I771),0)</f>
        <v>6585.3366009852325</v>
      </c>
      <c r="Q771" s="4">
        <v>93500</v>
      </c>
      <c r="R771" s="4" t="s">
        <v>41</v>
      </c>
      <c r="S771" s="6">
        <v>625</v>
      </c>
      <c r="T771">
        <v>6.875</v>
      </c>
      <c r="U771" s="7">
        <f t="shared" si="217"/>
        <v>653.18677411994111</v>
      </c>
      <c r="V771" s="2">
        <f t="shared" ref="V771:V834" si="221">H771-U771</f>
        <v>73.69322588005889</v>
      </c>
      <c r="W771" s="9">
        <f t="shared" ref="W771:W834" si="222">IF(AND(O771="Cash Out",V771&lt;0),1,0)</f>
        <v>0</v>
      </c>
      <c r="X771" s="3">
        <v>93500</v>
      </c>
      <c r="Y771" s="3">
        <f t="shared" ref="Y771:Y834" si="223">(X771/1.015)-(I771)</f>
        <v>6585.3366009852325</v>
      </c>
      <c r="Z771" s="7">
        <f t="shared" ref="Z771:Z834" si="224">(X771*((AL771/1200)/(1-(1+(AL771/1200))^-AI771)))+((X771*0.005)/12)</f>
        <v>653.18677411994111</v>
      </c>
      <c r="AA771" s="2">
        <f t="shared" si="218"/>
        <v>73.69322588005889</v>
      </c>
      <c r="AB771" s="8">
        <f t="shared" ref="AB771:AB834" si="225">IF(I771=0,0,IF(AND(AH771&gt;0,(AP771/AO771)&lt;0.07),1,IF(AND(AH771=0,(AP771/AO771)&lt;0.1),1,0)))</f>
        <v>0</v>
      </c>
      <c r="AC771" s="10">
        <v>6.875</v>
      </c>
      <c r="AD771" s="7">
        <f t="shared" ref="AD771:AD834" si="226">(X771*((AC771/1200)/(1-(1+(AC771/1200))^-AI771)))+((X771*0.005)/12)</f>
        <v>653.18677411994111</v>
      </c>
      <c r="AE771" s="2">
        <f t="shared" ref="AE771:AE834" si="227">H771-AD771</f>
        <v>73.69322588005889</v>
      </c>
      <c r="AF771" s="10">
        <v>0</v>
      </c>
      <c r="AG771" s="3">
        <f t="shared" ref="AG771:AG834" si="228">AF771*X771/100</f>
        <v>0</v>
      </c>
      <c r="AH771" s="7">
        <v>4113.6000000000004</v>
      </c>
      <c r="AI771">
        <f t="shared" ref="AI771:AI834" si="229">IF(M771="30 Year Fixed",360,180)</f>
        <v>360</v>
      </c>
      <c r="AJ771" t="e">
        <f>VLOOKUP(A771,'Borrower Details'!$A$1:$H$1493,8,FALSE)</f>
        <v>#N/A</v>
      </c>
      <c r="AK771" s="4" t="e">
        <f t="shared" ref="AK771:AK834" si="230">IF(AJ771&gt;360,PV((J771/12),AJ771-AI771,-H771),"NA")</f>
        <v>#N/A</v>
      </c>
      <c r="AL771" s="10">
        <v>6.875</v>
      </c>
      <c r="AM771" s="3">
        <f t="shared" ref="AM771:AM834" si="231">I771*1.015</f>
        <v>86815.883349999989</v>
      </c>
      <c r="AN771">
        <v>6.875</v>
      </c>
      <c r="AO771" s="7">
        <f t="shared" ref="AO771:AO834" si="232">(AM771*((AN771/1200)/(1-(1+(AN771/1200))^-AI771)))+((AM771*0.005)/12)</f>
        <v>606.49183730224172</v>
      </c>
      <c r="AP771" s="2">
        <f t="shared" ref="AP771:AP834" si="233">H771-AO771</f>
        <v>120.38816269775828</v>
      </c>
    </row>
    <row r="772" spans="1:42" x14ac:dyDescent="0.15">
      <c r="A772" s="8">
        <v>411030018</v>
      </c>
      <c r="B772" t="s">
        <v>36</v>
      </c>
      <c r="C772" t="s">
        <v>18</v>
      </c>
      <c r="D772" s="1">
        <v>39379</v>
      </c>
      <c r="E772" s="2">
        <v>275000</v>
      </c>
      <c r="F772" s="2">
        <v>140000</v>
      </c>
      <c r="G772" t="s">
        <v>17</v>
      </c>
      <c r="H772" s="2">
        <v>1066.58</v>
      </c>
      <c r="I772" s="2">
        <v>139471.34</v>
      </c>
      <c r="J772">
        <v>8.4000000000000005E-2</v>
      </c>
      <c r="K772">
        <v>6</v>
      </c>
      <c r="L772">
        <v>354</v>
      </c>
      <c r="M772" t="str">
        <f t="shared" si="219"/>
        <v>30 Year Fixed</v>
      </c>
      <c r="N772" s="2">
        <v>976.3</v>
      </c>
      <c r="O772" t="str">
        <f t="shared" si="216"/>
        <v>Cash Out</v>
      </c>
      <c r="P772" s="3">
        <f t="shared" si="220"/>
        <v>90824.226502463076</v>
      </c>
      <c r="Q772" s="4">
        <v>233750</v>
      </c>
      <c r="R772" s="4" t="s">
        <v>41</v>
      </c>
      <c r="S772" s="6">
        <v>540</v>
      </c>
      <c r="T772">
        <v>7.625</v>
      </c>
      <c r="U772" s="7">
        <f t="shared" si="217"/>
        <v>1751.8637154372959</v>
      </c>
      <c r="V772" s="2">
        <f t="shared" si="221"/>
        <v>-685.283715437296</v>
      </c>
      <c r="W772" s="9">
        <f t="shared" si="222"/>
        <v>1</v>
      </c>
      <c r="X772" s="3">
        <v>142240</v>
      </c>
      <c r="Y772" s="3">
        <f t="shared" si="223"/>
        <v>666.5910344827862</v>
      </c>
      <c r="Z772" s="7">
        <f t="shared" si="224"/>
        <v>1066.0324914815014</v>
      </c>
      <c r="AA772" s="2">
        <f t="shared" si="218"/>
        <v>0.54750851849848914</v>
      </c>
      <c r="AB772" s="8">
        <f t="shared" si="225"/>
        <v>1</v>
      </c>
      <c r="AC772" s="10">
        <v>6.875</v>
      </c>
      <c r="AD772" s="7">
        <f t="shared" si="226"/>
        <v>993.68221123872104</v>
      </c>
      <c r="AE772" s="2">
        <f t="shared" si="227"/>
        <v>72.897788761278889</v>
      </c>
      <c r="AF772" s="10">
        <v>1</v>
      </c>
      <c r="AG772" s="3">
        <f t="shared" si="228"/>
        <v>1422.4</v>
      </c>
      <c r="AH772" s="7">
        <v>2800</v>
      </c>
      <c r="AI772">
        <f t="shared" si="229"/>
        <v>360</v>
      </c>
      <c r="AJ772" t="e">
        <f>VLOOKUP(A772,'Borrower Details'!$A$1:$H$1493,8,FALSE)</f>
        <v>#N/A</v>
      </c>
      <c r="AK772" s="4" t="e">
        <f t="shared" si="230"/>
        <v>#N/A</v>
      </c>
      <c r="AL772" s="10">
        <v>7.625</v>
      </c>
      <c r="AM772" s="3">
        <f t="shared" si="231"/>
        <v>141563.41009999998</v>
      </c>
      <c r="AN772">
        <v>7.625</v>
      </c>
      <c r="AO772" s="7">
        <f t="shared" si="232"/>
        <v>1060.9617180225009</v>
      </c>
      <c r="AP772" s="2">
        <f t="shared" si="233"/>
        <v>5.6182819774990094</v>
      </c>
    </row>
    <row r="773" spans="1:42" x14ac:dyDescent="0.15">
      <c r="A773" s="8">
        <v>410998884</v>
      </c>
      <c r="B773" t="s">
        <v>37</v>
      </c>
      <c r="C773" t="s">
        <v>16</v>
      </c>
      <c r="D773" s="1">
        <v>39384</v>
      </c>
      <c r="E773" s="2">
        <v>240000</v>
      </c>
      <c r="F773" s="2">
        <v>180000</v>
      </c>
      <c r="G773" t="s">
        <v>17</v>
      </c>
      <c r="H773" s="2">
        <v>1487.35</v>
      </c>
      <c r="I773" s="2">
        <v>179435.05</v>
      </c>
      <c r="J773">
        <v>9.2999999999999999E-2</v>
      </c>
      <c r="K773">
        <v>6</v>
      </c>
      <c r="L773">
        <v>354</v>
      </c>
      <c r="M773" t="str">
        <f t="shared" si="219"/>
        <v>30 Year Fixed</v>
      </c>
      <c r="N773" s="2">
        <v>1390.62</v>
      </c>
      <c r="O773" t="str">
        <f t="shared" si="216"/>
        <v>Cash Out</v>
      </c>
      <c r="P773" s="3">
        <f t="shared" si="220"/>
        <v>21550.171674876881</v>
      </c>
      <c r="Q773" s="4">
        <v>204000</v>
      </c>
      <c r="R773" s="4" t="s">
        <v>41</v>
      </c>
      <c r="S773" s="6">
        <v>581</v>
      </c>
      <c r="T773">
        <v>7.375</v>
      </c>
      <c r="U773" s="7">
        <f t="shared" si="217"/>
        <v>1493.9773010985691</v>
      </c>
      <c r="V773" s="2">
        <f t="shared" si="221"/>
        <v>-6.6273010985692054</v>
      </c>
      <c r="W773" s="9">
        <f t="shared" si="222"/>
        <v>1</v>
      </c>
      <c r="X773" s="3">
        <v>203020</v>
      </c>
      <c r="Y773" s="3">
        <f t="shared" si="223"/>
        <v>20584.654433497577</v>
      </c>
      <c r="Z773" s="7">
        <f t="shared" si="224"/>
        <v>1486.8003513187818</v>
      </c>
      <c r="AA773" s="2">
        <f t="shared" si="218"/>
        <v>0.54964868121805921</v>
      </c>
      <c r="AB773" s="8">
        <f t="shared" si="225"/>
        <v>0</v>
      </c>
      <c r="AC773" s="10">
        <v>7.375</v>
      </c>
      <c r="AD773" s="7">
        <f t="shared" si="226"/>
        <v>1486.8003513187818</v>
      </c>
      <c r="AE773" s="2">
        <f t="shared" si="227"/>
        <v>0.54964868121805921</v>
      </c>
      <c r="AF773" s="10">
        <v>0</v>
      </c>
      <c r="AG773" s="3">
        <f t="shared" si="228"/>
        <v>0</v>
      </c>
      <c r="AH773" s="7">
        <v>1800</v>
      </c>
      <c r="AI773">
        <f t="shared" si="229"/>
        <v>360</v>
      </c>
      <c r="AJ773" t="e">
        <f>VLOOKUP(A773,'Borrower Details'!$A$1:$H$1493,8,FALSE)</f>
        <v>#N/A</v>
      </c>
      <c r="AK773" s="4" t="e">
        <f t="shared" si="230"/>
        <v>#N/A</v>
      </c>
      <c r="AL773" s="10">
        <v>7.375</v>
      </c>
      <c r="AM773" s="3">
        <f t="shared" si="231"/>
        <v>182126.57574999996</v>
      </c>
      <c r="AN773">
        <v>7.375</v>
      </c>
      <c r="AO773" s="7">
        <f t="shared" si="232"/>
        <v>1333.7890691044561</v>
      </c>
      <c r="AP773" s="2">
        <f t="shared" si="233"/>
        <v>153.56093089554383</v>
      </c>
    </row>
    <row r="774" spans="1:42" x14ac:dyDescent="0.15">
      <c r="A774" s="8">
        <v>1184605</v>
      </c>
      <c r="B774" t="s">
        <v>37</v>
      </c>
      <c r="C774" t="s">
        <v>19</v>
      </c>
      <c r="D774" s="1">
        <v>39188</v>
      </c>
      <c r="E774" s="2">
        <v>208000</v>
      </c>
      <c r="F774" s="2">
        <v>168000</v>
      </c>
      <c r="G774" t="s">
        <v>15</v>
      </c>
      <c r="H774" s="2">
        <v>1086.99</v>
      </c>
      <c r="I774" s="2">
        <v>167280.20000000001</v>
      </c>
      <c r="J774">
        <v>7.3499999999999996E-2</v>
      </c>
      <c r="K774">
        <v>12</v>
      </c>
      <c r="L774">
        <v>348</v>
      </c>
      <c r="M774" t="str">
        <f t="shared" si="219"/>
        <v>30 Year Fixed</v>
      </c>
      <c r="N774" s="2">
        <v>1024.5899999999999</v>
      </c>
      <c r="O774" t="str">
        <f t="shared" si="216"/>
        <v>Cash Out</v>
      </c>
      <c r="P774" s="3">
        <f t="shared" si="220"/>
        <v>6906.9921182265971</v>
      </c>
      <c r="Q774" s="4">
        <v>176800</v>
      </c>
      <c r="R774" s="4" t="s">
        <v>41</v>
      </c>
      <c r="S774" s="6">
        <v>693</v>
      </c>
      <c r="T774">
        <v>6.75</v>
      </c>
      <c r="U774" s="7">
        <f t="shared" si="217"/>
        <v>1220.3881013992689</v>
      </c>
      <c r="V774" s="2">
        <f t="shared" si="221"/>
        <v>-133.39810139926885</v>
      </c>
      <c r="W774" s="9">
        <f t="shared" si="222"/>
        <v>1</v>
      </c>
      <c r="X774" s="3">
        <v>169789</v>
      </c>
      <c r="Y774" s="3">
        <f t="shared" si="223"/>
        <v>-0.39704433496808633</v>
      </c>
      <c r="Z774" s="7">
        <f t="shared" si="224"/>
        <v>1171.9936388488711</v>
      </c>
      <c r="AA774" s="2">
        <f t="shared" si="218"/>
        <v>-85.003638848871105</v>
      </c>
      <c r="AB774" s="8">
        <f t="shared" si="225"/>
        <v>1</v>
      </c>
      <c r="AC774" s="10">
        <v>6.125</v>
      </c>
      <c r="AD774" s="7">
        <f t="shared" si="226"/>
        <v>1102.4012757153237</v>
      </c>
      <c r="AE774" s="2">
        <f t="shared" si="227"/>
        <v>-15.411275715323654</v>
      </c>
      <c r="AF774" s="10">
        <v>3</v>
      </c>
      <c r="AG774" s="3">
        <f t="shared" si="228"/>
        <v>5093.67</v>
      </c>
      <c r="AH774" s="7">
        <v>1680</v>
      </c>
      <c r="AI774">
        <f t="shared" si="229"/>
        <v>360</v>
      </c>
      <c r="AJ774" t="e">
        <f>VLOOKUP(A774,'Borrower Details'!$A$1:$H$1493,8,FALSE)</f>
        <v>#N/A</v>
      </c>
      <c r="AK774" s="4" t="e">
        <f t="shared" si="230"/>
        <v>#N/A</v>
      </c>
      <c r="AL774" s="10">
        <v>6.75</v>
      </c>
      <c r="AM774" s="3">
        <f t="shared" si="231"/>
        <v>169789.40299999999</v>
      </c>
      <c r="AN774">
        <v>6.75</v>
      </c>
      <c r="AO774" s="7">
        <f t="shared" si="232"/>
        <v>1171.996420615867</v>
      </c>
      <c r="AP774" s="2">
        <f t="shared" si="233"/>
        <v>-85.006420615867</v>
      </c>
    </row>
    <row r="775" spans="1:42" x14ac:dyDescent="0.15">
      <c r="A775" s="8">
        <v>1177309</v>
      </c>
      <c r="B775" t="s">
        <v>36</v>
      </c>
      <c r="C775" t="s">
        <v>19</v>
      </c>
      <c r="D775" s="1">
        <v>39169</v>
      </c>
      <c r="E775" s="2">
        <v>171000</v>
      </c>
      <c r="F775" s="2">
        <v>136800</v>
      </c>
      <c r="G775" t="s">
        <v>17</v>
      </c>
      <c r="H775" s="2">
        <v>909.22</v>
      </c>
      <c r="I775" s="2">
        <v>135407.66</v>
      </c>
      <c r="J775">
        <v>6.9900000000000004E-2</v>
      </c>
      <c r="K775">
        <v>13</v>
      </c>
      <c r="L775">
        <v>348</v>
      </c>
      <c r="M775" t="str">
        <f t="shared" si="219"/>
        <v>30 Year Fixed</v>
      </c>
      <c r="N775" s="2">
        <v>788.75</v>
      </c>
      <c r="O775" t="str">
        <f t="shared" si="216"/>
        <v>Cash Out</v>
      </c>
      <c r="P775" s="3">
        <f t="shared" si="220"/>
        <v>7794.3104433497647</v>
      </c>
      <c r="Q775" s="4">
        <v>145350</v>
      </c>
      <c r="R775" s="4" t="s">
        <v>41</v>
      </c>
      <c r="S775" s="6">
        <v>650</v>
      </c>
      <c r="T775">
        <v>6.75</v>
      </c>
      <c r="U775" s="7">
        <f t="shared" si="217"/>
        <v>1003.2998333618988</v>
      </c>
      <c r="V775" s="2">
        <f t="shared" si="221"/>
        <v>-94.07983336189875</v>
      </c>
      <c r="W775" s="9">
        <f t="shared" si="222"/>
        <v>1</v>
      </c>
      <c r="X775" s="3">
        <v>137439</v>
      </c>
      <c r="Y775" s="3">
        <f t="shared" si="223"/>
        <v>0.22177339901099913</v>
      </c>
      <c r="Z775" s="7">
        <f t="shared" si="224"/>
        <v>948.69298794238739</v>
      </c>
      <c r="AA775" s="2">
        <f t="shared" si="218"/>
        <v>-39.472987942387363</v>
      </c>
      <c r="AB775" s="8">
        <f t="shared" si="225"/>
        <v>1</v>
      </c>
      <c r="AC775" s="10">
        <v>6.125</v>
      </c>
      <c r="AD775" s="7">
        <f t="shared" si="226"/>
        <v>892.360099494304</v>
      </c>
      <c r="AE775" s="2">
        <f t="shared" si="227"/>
        <v>16.859900505696032</v>
      </c>
      <c r="AF775" s="10">
        <v>3</v>
      </c>
      <c r="AG775" s="3">
        <f t="shared" si="228"/>
        <v>4123.17</v>
      </c>
      <c r="AH775" s="7">
        <v>2736</v>
      </c>
      <c r="AI775">
        <f t="shared" si="229"/>
        <v>360</v>
      </c>
      <c r="AJ775" t="e">
        <f>VLOOKUP(A775,'Borrower Details'!$A$1:$H$1493,8,FALSE)</f>
        <v>#N/A</v>
      </c>
      <c r="AK775" s="4" t="e">
        <f t="shared" si="230"/>
        <v>#N/A</v>
      </c>
      <c r="AL775" s="10">
        <v>6.75</v>
      </c>
      <c r="AM775" s="3">
        <f t="shared" si="231"/>
        <v>137438.77489999999</v>
      </c>
      <c r="AN775">
        <v>6.75</v>
      </c>
      <c r="AO775" s="7">
        <f t="shared" si="232"/>
        <v>948.69143415640531</v>
      </c>
      <c r="AP775" s="2">
        <f t="shared" si="233"/>
        <v>-39.47143415640528</v>
      </c>
    </row>
    <row r="776" spans="1:42" x14ac:dyDescent="0.15">
      <c r="A776" s="8">
        <v>410215826</v>
      </c>
      <c r="B776" t="s">
        <v>36</v>
      </c>
      <c r="C776" t="s">
        <v>19</v>
      </c>
      <c r="D776" s="1">
        <v>39216</v>
      </c>
      <c r="E776" s="2">
        <v>233000</v>
      </c>
      <c r="F776" s="2">
        <v>186400</v>
      </c>
      <c r="G776" t="s">
        <v>15</v>
      </c>
      <c r="H776" s="2">
        <v>1215.1400000000001</v>
      </c>
      <c r="I776" s="2">
        <v>186095.17</v>
      </c>
      <c r="J776">
        <v>7.6499999999999999E-2</v>
      </c>
      <c r="K776">
        <v>11</v>
      </c>
      <c r="L776">
        <v>349</v>
      </c>
      <c r="M776" t="str">
        <f t="shared" si="219"/>
        <v>30 Year Fixed</v>
      </c>
      <c r="N776" s="2">
        <v>1186.3599999999999</v>
      </c>
      <c r="O776" t="str">
        <f t="shared" si="216"/>
        <v>Cash Out</v>
      </c>
      <c r="P776" s="3">
        <f t="shared" si="220"/>
        <v>9027.9827093596105</v>
      </c>
      <c r="Q776" s="4">
        <v>198050</v>
      </c>
      <c r="R776" s="4" t="s">
        <v>41</v>
      </c>
      <c r="S776" s="6">
        <v>602</v>
      </c>
      <c r="T776">
        <v>6.875</v>
      </c>
      <c r="U776" s="7">
        <f t="shared" si="217"/>
        <v>1383.5683488176933</v>
      </c>
      <c r="V776" s="2">
        <f t="shared" si="221"/>
        <v>-168.42834881769318</v>
      </c>
      <c r="W776" s="9">
        <f t="shared" si="222"/>
        <v>1</v>
      </c>
      <c r="X776" s="3">
        <v>188886</v>
      </c>
      <c r="Y776" s="3">
        <f t="shared" si="223"/>
        <v>-0.5887192118098028</v>
      </c>
      <c r="Z776" s="7">
        <f t="shared" si="224"/>
        <v>1319.5490589991359</v>
      </c>
      <c r="AA776" s="2">
        <f t="shared" si="218"/>
        <v>-104.40905899913582</v>
      </c>
      <c r="AB776" s="8">
        <f t="shared" si="225"/>
        <v>1</v>
      </c>
      <c r="AC776" s="10">
        <v>6.25</v>
      </c>
      <c r="AD776" s="7">
        <f t="shared" si="226"/>
        <v>1241.7060911973979</v>
      </c>
      <c r="AE776" s="2">
        <f t="shared" si="227"/>
        <v>-26.566091197397782</v>
      </c>
      <c r="AF776" s="10">
        <v>2.5</v>
      </c>
      <c r="AG776" s="3">
        <f t="shared" si="228"/>
        <v>4722.1499999999996</v>
      </c>
      <c r="AH776" s="7">
        <v>3728</v>
      </c>
      <c r="AI776">
        <f t="shared" si="229"/>
        <v>360</v>
      </c>
      <c r="AJ776" t="e">
        <f>VLOOKUP(A776,'Borrower Details'!$A$1:$H$1493,8,FALSE)</f>
        <v>#N/A</v>
      </c>
      <c r="AK776" s="4" t="e">
        <f t="shared" si="230"/>
        <v>#N/A</v>
      </c>
      <c r="AL776" s="10">
        <v>6.875</v>
      </c>
      <c r="AM776" s="3">
        <f t="shared" si="231"/>
        <v>188886.59755000001</v>
      </c>
      <c r="AN776">
        <v>6.875</v>
      </c>
      <c r="AO776" s="7">
        <f t="shared" si="232"/>
        <v>1319.5532334564286</v>
      </c>
      <c r="AP776" s="2">
        <f t="shared" si="233"/>
        <v>-104.41323345642854</v>
      </c>
    </row>
    <row r="777" spans="1:42" x14ac:dyDescent="0.15">
      <c r="A777" s="8">
        <v>410046650</v>
      </c>
      <c r="B777" t="s">
        <v>36</v>
      </c>
      <c r="C777" t="s">
        <v>19</v>
      </c>
      <c r="D777" s="1">
        <v>39185</v>
      </c>
      <c r="E777" s="2">
        <v>173000</v>
      </c>
      <c r="F777" s="2">
        <v>147050</v>
      </c>
      <c r="G777" t="s">
        <v>15</v>
      </c>
      <c r="H777" s="2">
        <v>1258</v>
      </c>
      <c r="I777" s="2">
        <v>0</v>
      </c>
      <c r="J777">
        <v>9.7000000000000003E-2</v>
      </c>
      <c r="K777">
        <v>12</v>
      </c>
      <c r="L777">
        <v>348</v>
      </c>
      <c r="M777" t="str">
        <f t="shared" si="219"/>
        <v>30 Year Fixed</v>
      </c>
      <c r="N777" s="2">
        <v>0</v>
      </c>
      <c r="O777" t="str">
        <f t="shared" si="216"/>
        <v>Cash Out</v>
      </c>
      <c r="P777" s="3">
        <f t="shared" si="220"/>
        <v>144876.84729064041</v>
      </c>
      <c r="Q777" s="4">
        <v>147050</v>
      </c>
      <c r="R777" s="4" t="s">
        <v>41</v>
      </c>
      <c r="S777" s="6">
        <v>564</v>
      </c>
      <c r="T777">
        <v>7.625</v>
      </c>
      <c r="U777" s="7">
        <f t="shared" si="217"/>
        <v>1102.081537347826</v>
      </c>
      <c r="V777" s="2">
        <f t="shared" si="221"/>
        <v>155.91846265217396</v>
      </c>
      <c r="W777" s="9">
        <f t="shared" si="222"/>
        <v>0</v>
      </c>
      <c r="X777" s="3">
        <v>147050</v>
      </c>
      <c r="Y777" s="3">
        <f t="shared" si="223"/>
        <v>144876.84729064041</v>
      </c>
      <c r="Z777" s="7">
        <f t="shared" si="224"/>
        <v>1102.081537347826</v>
      </c>
      <c r="AA777" s="2">
        <f t="shared" si="218"/>
        <v>155.91846265217396</v>
      </c>
      <c r="AB777" s="8">
        <f t="shared" si="225"/>
        <v>0</v>
      </c>
      <c r="AC777" s="10">
        <v>7.625</v>
      </c>
      <c r="AD777" s="7">
        <f t="shared" si="226"/>
        <v>1102.081537347826</v>
      </c>
      <c r="AE777" s="2">
        <f t="shared" si="227"/>
        <v>155.91846265217396</v>
      </c>
      <c r="AF777" s="10">
        <v>0</v>
      </c>
      <c r="AG777" s="3">
        <f t="shared" si="228"/>
        <v>0</v>
      </c>
      <c r="AH777" s="7">
        <v>2941</v>
      </c>
      <c r="AI777">
        <f t="shared" si="229"/>
        <v>360</v>
      </c>
      <c r="AJ777" t="e">
        <f>VLOOKUP(A777,'Borrower Details'!$A$1:$H$1493,8,FALSE)</f>
        <v>#N/A</v>
      </c>
      <c r="AK777" s="4" t="e">
        <f t="shared" si="230"/>
        <v>#N/A</v>
      </c>
      <c r="AL777" s="10">
        <v>7.625</v>
      </c>
      <c r="AM777" s="3">
        <f t="shared" si="231"/>
        <v>0</v>
      </c>
      <c r="AN777">
        <v>7.625</v>
      </c>
      <c r="AO777" s="7">
        <f t="shared" si="232"/>
        <v>0</v>
      </c>
      <c r="AP777" s="2">
        <f t="shared" si="233"/>
        <v>1258</v>
      </c>
    </row>
    <row r="778" spans="1:42" x14ac:dyDescent="0.15">
      <c r="A778" s="8">
        <v>1165342</v>
      </c>
      <c r="B778" t="s">
        <v>38</v>
      </c>
      <c r="C778" t="s">
        <v>19</v>
      </c>
      <c r="D778" s="1">
        <v>39161</v>
      </c>
      <c r="E778" s="2">
        <v>120000</v>
      </c>
      <c r="F778" s="2">
        <v>90000</v>
      </c>
      <c r="G778" t="s">
        <v>17</v>
      </c>
      <c r="H778" s="2">
        <v>679.12</v>
      </c>
      <c r="I778" s="2">
        <v>89458.39</v>
      </c>
      <c r="J778">
        <v>8.9499999999999996E-2</v>
      </c>
      <c r="K778">
        <v>13</v>
      </c>
      <c r="L778">
        <v>347</v>
      </c>
      <c r="M778" t="str">
        <f t="shared" si="219"/>
        <v>30 Year Fixed</v>
      </c>
      <c r="N778" s="2">
        <v>667.21</v>
      </c>
      <c r="O778" t="str">
        <f t="shared" si="216"/>
        <v>Cash Out</v>
      </c>
      <c r="P778" s="3">
        <f t="shared" si="220"/>
        <v>11034.220837438435</v>
      </c>
      <c r="Q778" s="4">
        <v>102000</v>
      </c>
      <c r="R778" s="4" t="s">
        <v>41</v>
      </c>
      <c r="S778" s="6">
        <v>597</v>
      </c>
      <c r="T778">
        <v>7.375</v>
      </c>
      <c r="U778" s="7">
        <f t="shared" si="217"/>
        <v>746.98865054928456</v>
      </c>
      <c r="V778" s="2">
        <f t="shared" si="221"/>
        <v>-67.868650549284553</v>
      </c>
      <c r="W778" s="9">
        <f t="shared" si="222"/>
        <v>1</v>
      </c>
      <c r="X778" s="3">
        <v>92660</v>
      </c>
      <c r="Y778" s="3">
        <f t="shared" si="223"/>
        <v>1832.2503940886818</v>
      </c>
      <c r="Z778" s="7">
        <f t="shared" si="224"/>
        <v>694.45001870553938</v>
      </c>
      <c r="AA778" s="2">
        <f t="shared" si="218"/>
        <v>-15.330018705539374</v>
      </c>
      <c r="AB778" s="8">
        <f t="shared" si="225"/>
        <v>1</v>
      </c>
      <c r="AC778" s="10">
        <v>6.5</v>
      </c>
      <c r="AD778" s="7">
        <f t="shared" si="226"/>
        <v>624.28256390191564</v>
      </c>
      <c r="AE778" s="2">
        <f t="shared" si="227"/>
        <v>54.837436098084368</v>
      </c>
      <c r="AF778" s="10">
        <v>2.375</v>
      </c>
      <c r="AG778" s="3">
        <f t="shared" si="228"/>
        <v>2200.6750000000002</v>
      </c>
      <c r="AH778" s="7">
        <v>0</v>
      </c>
      <c r="AI778">
        <f t="shared" si="229"/>
        <v>360</v>
      </c>
      <c r="AJ778" t="e">
        <f>VLOOKUP(A778,'Borrower Details'!$A$1:$H$1493,8,FALSE)</f>
        <v>#N/A</v>
      </c>
      <c r="AK778" s="4" t="e">
        <f t="shared" si="230"/>
        <v>#N/A</v>
      </c>
      <c r="AL778" s="10">
        <v>7.625</v>
      </c>
      <c r="AM778" s="3">
        <f t="shared" si="231"/>
        <v>90800.265849999996</v>
      </c>
      <c r="AN778">
        <v>7.625</v>
      </c>
      <c r="AO778" s="7">
        <f t="shared" si="232"/>
        <v>680.51204746385122</v>
      </c>
      <c r="AP778" s="2">
        <f t="shared" si="233"/>
        <v>-1.3920474638512133</v>
      </c>
    </row>
    <row r="779" spans="1:42" x14ac:dyDescent="0.15">
      <c r="A779" s="8">
        <v>411018492</v>
      </c>
      <c r="B779" t="s">
        <v>38</v>
      </c>
      <c r="C779" t="s">
        <v>18</v>
      </c>
      <c r="D779" s="1">
        <v>39387</v>
      </c>
      <c r="E779" s="2">
        <v>113500</v>
      </c>
      <c r="F779" s="2">
        <v>90800</v>
      </c>
      <c r="G779" t="s">
        <v>17</v>
      </c>
      <c r="H779" s="2">
        <v>930.49</v>
      </c>
      <c r="I779" s="2">
        <v>90638.38</v>
      </c>
      <c r="J779">
        <v>0.1195</v>
      </c>
      <c r="K779">
        <v>6</v>
      </c>
      <c r="L779">
        <v>354</v>
      </c>
      <c r="M779" t="str">
        <f t="shared" si="219"/>
        <v>30 Year Fixed</v>
      </c>
      <c r="N779" s="2">
        <v>902.61</v>
      </c>
      <c r="O779" t="str">
        <f t="shared" si="216"/>
        <v>Cash Out</v>
      </c>
      <c r="P779" s="3">
        <f t="shared" si="220"/>
        <v>4410.8810837438505</v>
      </c>
      <c r="Q779" s="4">
        <v>96475</v>
      </c>
      <c r="R779" s="4" t="s">
        <v>41</v>
      </c>
      <c r="S779" s="6">
        <v>543</v>
      </c>
      <c r="T779">
        <v>7.625</v>
      </c>
      <c r="U779" s="7">
        <f t="shared" si="217"/>
        <v>723.04193346230204</v>
      </c>
      <c r="V779" s="2">
        <f t="shared" si="221"/>
        <v>207.44806653769797</v>
      </c>
      <c r="W779" s="9">
        <f t="shared" si="222"/>
        <v>0</v>
      </c>
      <c r="X779" s="3">
        <v>96475</v>
      </c>
      <c r="Y779" s="3">
        <f t="shared" si="223"/>
        <v>4410.8810837438505</v>
      </c>
      <c r="Z779" s="7">
        <f t="shared" si="224"/>
        <v>723.04193346230204</v>
      </c>
      <c r="AA779" s="2">
        <f t="shared" si="218"/>
        <v>207.44806653769797</v>
      </c>
      <c r="AB779" s="8">
        <f t="shared" si="225"/>
        <v>0</v>
      </c>
      <c r="AC779" s="10">
        <v>7.625</v>
      </c>
      <c r="AD779" s="7">
        <f t="shared" si="226"/>
        <v>723.04193346230204</v>
      </c>
      <c r="AE779" s="2">
        <f t="shared" si="227"/>
        <v>207.44806653769797</v>
      </c>
      <c r="AF779" s="10">
        <v>0</v>
      </c>
      <c r="AG779" s="3">
        <f t="shared" si="228"/>
        <v>0</v>
      </c>
      <c r="AH779" s="7">
        <v>0</v>
      </c>
      <c r="AI779">
        <f t="shared" si="229"/>
        <v>360</v>
      </c>
      <c r="AJ779" t="e">
        <f>VLOOKUP(A779,'Borrower Details'!$A$1:$H$1493,8,FALSE)</f>
        <v>#N/A</v>
      </c>
      <c r="AK779" s="4" t="e">
        <f t="shared" si="230"/>
        <v>#N/A</v>
      </c>
      <c r="AL779" s="10">
        <v>7.625</v>
      </c>
      <c r="AM779" s="3">
        <f t="shared" si="231"/>
        <v>91997.955699999991</v>
      </c>
      <c r="AN779">
        <v>7.625</v>
      </c>
      <c r="AO779" s="7">
        <f t="shared" si="232"/>
        <v>689.48825876037529</v>
      </c>
      <c r="AP779" s="2">
        <f t="shared" si="233"/>
        <v>241.00174123962472</v>
      </c>
    </row>
    <row r="780" spans="1:42" x14ac:dyDescent="0.15">
      <c r="A780" s="8">
        <v>410084206</v>
      </c>
      <c r="B780" t="s">
        <v>38</v>
      </c>
      <c r="C780" t="s">
        <v>19</v>
      </c>
      <c r="D780" s="1">
        <v>39196</v>
      </c>
      <c r="E780" s="2">
        <v>100000</v>
      </c>
      <c r="F780" s="2">
        <v>90000</v>
      </c>
      <c r="G780" t="s">
        <v>15</v>
      </c>
      <c r="H780" s="2">
        <v>697.7</v>
      </c>
      <c r="I780" s="2">
        <v>89751.15</v>
      </c>
      <c r="J780">
        <v>9.0499999999999997E-2</v>
      </c>
      <c r="K780">
        <v>12</v>
      </c>
      <c r="L780">
        <v>348</v>
      </c>
      <c r="M780" t="str">
        <f t="shared" si="219"/>
        <v>30 Year Fixed</v>
      </c>
      <c r="N780" s="2">
        <v>676.87</v>
      </c>
      <c r="O780" t="str">
        <f t="shared" si="216"/>
        <v>Refi</v>
      </c>
      <c r="P780" s="3">
        <f t="shared" si="220"/>
        <v>0</v>
      </c>
      <c r="Q780" s="4">
        <v>91097</v>
      </c>
      <c r="R780" s="4" t="s">
        <v>41</v>
      </c>
      <c r="S780" s="6">
        <v>587</v>
      </c>
      <c r="T780">
        <v>7.625</v>
      </c>
      <c r="U780" s="7">
        <f t="shared" si="217"/>
        <v>682.7359524500165</v>
      </c>
      <c r="V780" s="2">
        <f t="shared" si="221"/>
        <v>14.964047549983547</v>
      </c>
      <c r="W780" s="9">
        <f t="shared" si="222"/>
        <v>0</v>
      </c>
      <c r="X780" s="3">
        <v>91097</v>
      </c>
      <c r="Y780" s="3">
        <f t="shared" si="223"/>
        <v>-0.41108374383475166</v>
      </c>
      <c r="Z780" s="7">
        <f t="shared" si="224"/>
        <v>682.7359524500165</v>
      </c>
      <c r="AA780" s="2">
        <f t="shared" si="218"/>
        <v>14.964047549983547</v>
      </c>
      <c r="AB780" s="8">
        <f t="shared" si="225"/>
        <v>1</v>
      </c>
      <c r="AC780" s="10">
        <v>6.5</v>
      </c>
      <c r="AD780" s="7">
        <f t="shared" si="226"/>
        <v>613.75209069472066</v>
      </c>
      <c r="AE780" s="2">
        <f t="shared" si="227"/>
        <v>83.947909305279381</v>
      </c>
      <c r="AF780" s="10">
        <v>2.375</v>
      </c>
      <c r="AG780" s="3">
        <f t="shared" si="228"/>
        <v>2163.55375</v>
      </c>
      <c r="AH780" s="7">
        <v>0</v>
      </c>
      <c r="AI780">
        <f t="shared" si="229"/>
        <v>360</v>
      </c>
      <c r="AJ780" t="e">
        <f>VLOOKUP(A780,'Borrower Details'!$A$1:$H$1493,8,FALSE)</f>
        <v>#N/A</v>
      </c>
      <c r="AK780" s="4" t="e">
        <f t="shared" si="230"/>
        <v>#N/A</v>
      </c>
      <c r="AL780" s="10">
        <v>7.625</v>
      </c>
      <c r="AM780" s="3">
        <f t="shared" si="231"/>
        <v>91097.417249999984</v>
      </c>
      <c r="AN780">
        <v>7.625</v>
      </c>
      <c r="AO780" s="7">
        <f t="shared" si="232"/>
        <v>682.73907957358961</v>
      </c>
      <c r="AP780" s="2">
        <f t="shared" si="233"/>
        <v>14.960920426410439</v>
      </c>
    </row>
    <row r="781" spans="1:42" x14ac:dyDescent="0.15">
      <c r="A781" s="8">
        <v>1186211</v>
      </c>
      <c r="B781" t="s">
        <v>36</v>
      </c>
      <c r="C781" t="s">
        <v>19</v>
      </c>
      <c r="D781" s="1">
        <v>39231</v>
      </c>
      <c r="E781" s="2">
        <v>185000</v>
      </c>
      <c r="F781" s="2">
        <v>165000</v>
      </c>
      <c r="G781" t="s">
        <v>15</v>
      </c>
      <c r="H781" s="2">
        <v>1241.0899999999999</v>
      </c>
      <c r="I781" s="2">
        <v>164566.82</v>
      </c>
      <c r="J781">
        <v>8.7499999999999994E-2</v>
      </c>
      <c r="K781">
        <v>11</v>
      </c>
      <c r="L781">
        <v>349</v>
      </c>
      <c r="M781" t="str">
        <f t="shared" si="219"/>
        <v>30 Year Fixed</v>
      </c>
      <c r="N781" s="2">
        <v>1199.97</v>
      </c>
      <c r="O781" t="str">
        <f t="shared" si="216"/>
        <v>Refi</v>
      </c>
      <c r="P781" s="3">
        <f t="shared" si="220"/>
        <v>0</v>
      </c>
      <c r="Q781" s="4">
        <v>167035</v>
      </c>
      <c r="R781" s="4" t="s">
        <v>41</v>
      </c>
      <c r="S781" s="6">
        <v>560</v>
      </c>
      <c r="T781">
        <v>7.625</v>
      </c>
      <c r="U781" s="7">
        <f t="shared" si="217"/>
        <v>1251.8612008901334</v>
      </c>
      <c r="V781" s="2">
        <f t="shared" si="221"/>
        <v>-10.771200890133514</v>
      </c>
      <c r="W781" s="9">
        <f t="shared" si="222"/>
        <v>0</v>
      </c>
      <c r="X781" s="3">
        <v>167036</v>
      </c>
      <c r="Y781" s="3">
        <f t="shared" si="223"/>
        <v>0.66768472906551324</v>
      </c>
      <c r="Z781" s="7">
        <f t="shared" si="224"/>
        <v>1251.8686954942639</v>
      </c>
      <c r="AA781" s="2">
        <f t="shared" si="218"/>
        <v>-10.778695494263957</v>
      </c>
      <c r="AB781" s="8">
        <f t="shared" si="225"/>
        <v>1</v>
      </c>
      <c r="AC781" s="10">
        <v>6.875</v>
      </c>
      <c r="AD781" s="7">
        <f t="shared" si="226"/>
        <v>1166.9059465443688</v>
      </c>
      <c r="AE781" s="2">
        <f t="shared" si="227"/>
        <v>74.184053455631101</v>
      </c>
      <c r="AF781" s="10">
        <v>0.875</v>
      </c>
      <c r="AG781" s="3">
        <f t="shared" si="228"/>
        <v>1461.5650000000001</v>
      </c>
      <c r="AH781" s="7">
        <v>3300</v>
      </c>
      <c r="AI781">
        <f t="shared" si="229"/>
        <v>360</v>
      </c>
      <c r="AJ781" t="e">
        <f>VLOOKUP(A781,'Borrower Details'!$A$1:$H$1493,8,FALSE)</f>
        <v>#N/A</v>
      </c>
      <c r="AK781" s="4" t="e">
        <f t="shared" si="230"/>
        <v>#N/A</v>
      </c>
      <c r="AL781" s="10">
        <v>7.625</v>
      </c>
      <c r="AM781" s="3">
        <f t="shared" si="231"/>
        <v>167035.3223</v>
      </c>
      <c r="AN781">
        <v>7.625</v>
      </c>
      <c r="AO781" s="7">
        <f t="shared" si="232"/>
        <v>1251.8636164010447</v>
      </c>
      <c r="AP781" s="2">
        <f t="shared" si="233"/>
        <v>-10.773616401044819</v>
      </c>
    </row>
    <row r="782" spans="1:42" x14ac:dyDescent="0.15">
      <c r="A782" s="8">
        <v>410033898</v>
      </c>
      <c r="B782" t="s">
        <v>36</v>
      </c>
      <c r="C782" t="s">
        <v>18</v>
      </c>
      <c r="D782" s="1">
        <v>39204</v>
      </c>
      <c r="E782" s="2">
        <v>360000</v>
      </c>
      <c r="F782" s="2">
        <v>311700</v>
      </c>
      <c r="G782" t="s">
        <v>15</v>
      </c>
      <c r="H782" s="2">
        <v>1983.53</v>
      </c>
      <c r="I782" s="2">
        <v>310833.81</v>
      </c>
      <c r="J782">
        <v>7.4499999999999997E-2</v>
      </c>
      <c r="K782">
        <v>12</v>
      </c>
      <c r="L782">
        <v>347</v>
      </c>
      <c r="M782" t="str">
        <f t="shared" si="219"/>
        <v>30 Year Fixed</v>
      </c>
      <c r="N782" s="2">
        <v>1930.15</v>
      </c>
      <c r="O782" t="str">
        <f t="shared" si="216"/>
        <v>Refi</v>
      </c>
      <c r="P782" s="3">
        <f t="shared" si="220"/>
        <v>0</v>
      </c>
      <c r="Q782" s="4">
        <v>315496</v>
      </c>
      <c r="R782" s="4" t="s">
        <v>41</v>
      </c>
      <c r="S782" s="6">
        <v>617</v>
      </c>
      <c r="T782">
        <v>6.875</v>
      </c>
      <c r="U782" s="7">
        <f t="shared" si="217"/>
        <v>2204.0407966603734</v>
      </c>
      <c r="V782" s="2">
        <f t="shared" si="221"/>
        <v>-220.51079666037344</v>
      </c>
      <c r="W782" s="9">
        <f t="shared" si="222"/>
        <v>0</v>
      </c>
      <c r="X782" s="3">
        <v>315497</v>
      </c>
      <c r="Y782" s="3">
        <f t="shared" si="223"/>
        <v>0.67275862069800496</v>
      </c>
      <c r="Z782" s="7">
        <f t="shared" si="224"/>
        <v>2204.0477826151769</v>
      </c>
      <c r="AA782" s="2">
        <f t="shared" si="218"/>
        <v>-220.51778261517688</v>
      </c>
      <c r="AB782" s="8">
        <f t="shared" si="225"/>
        <v>1</v>
      </c>
      <c r="AC782" s="10">
        <v>6.25</v>
      </c>
      <c r="AD782" s="7">
        <f t="shared" si="226"/>
        <v>2074.0263791625921</v>
      </c>
      <c r="AE782" s="2">
        <f t="shared" si="227"/>
        <v>-90.49637916259212</v>
      </c>
      <c r="AF782" s="10">
        <v>2.5</v>
      </c>
      <c r="AG782" s="3">
        <f t="shared" si="228"/>
        <v>7887.4250000000002</v>
      </c>
      <c r="AH782" s="7">
        <v>6234</v>
      </c>
      <c r="AI782">
        <f t="shared" si="229"/>
        <v>360</v>
      </c>
      <c r="AJ782" t="e">
        <f>VLOOKUP(A782,'Borrower Details'!$A$1:$H$1493,8,FALSE)</f>
        <v>#N/A</v>
      </c>
      <c r="AK782" s="4" t="e">
        <f t="shared" si="230"/>
        <v>#N/A</v>
      </c>
      <c r="AL782" s="10">
        <v>6.875</v>
      </c>
      <c r="AM782" s="3">
        <f t="shared" si="231"/>
        <v>315496.31714999996</v>
      </c>
      <c r="AN782">
        <v>6.875</v>
      </c>
      <c r="AO782" s="7">
        <f t="shared" si="232"/>
        <v>2204.0430122559392</v>
      </c>
      <c r="AP782" s="2">
        <f t="shared" si="233"/>
        <v>-220.5130122559392</v>
      </c>
    </row>
    <row r="783" spans="1:42" x14ac:dyDescent="0.15">
      <c r="A783" s="8">
        <v>1157861</v>
      </c>
      <c r="B783" t="s">
        <v>35</v>
      </c>
      <c r="C783" t="s">
        <v>16</v>
      </c>
      <c r="D783" s="1">
        <v>39141</v>
      </c>
      <c r="E783" s="2">
        <v>320000</v>
      </c>
      <c r="F783" s="2">
        <v>304000</v>
      </c>
      <c r="G783" t="s">
        <v>15</v>
      </c>
      <c r="H783" s="2">
        <v>2443.4299999999998</v>
      </c>
      <c r="I783" s="2">
        <v>301250.38</v>
      </c>
      <c r="J783">
        <v>8.9880000000000002E-2</v>
      </c>
      <c r="K783">
        <v>14</v>
      </c>
      <c r="L783">
        <v>346</v>
      </c>
      <c r="M783" t="str">
        <f t="shared" si="219"/>
        <v>30 Year Fixed</v>
      </c>
      <c r="N783" s="2">
        <v>2256.37</v>
      </c>
      <c r="O783" t="str">
        <f t="shared" si="216"/>
        <v>Refi</v>
      </c>
      <c r="P783" s="3">
        <f t="shared" si="220"/>
        <v>0</v>
      </c>
      <c r="Q783" s="4">
        <v>305769</v>
      </c>
      <c r="R783" s="4" t="s">
        <v>41</v>
      </c>
      <c r="S783" s="6">
        <v>577</v>
      </c>
      <c r="T783">
        <v>7.625</v>
      </c>
      <c r="U783" s="7">
        <f t="shared" si="217"/>
        <v>2291.6176102911081</v>
      </c>
      <c r="V783" s="2">
        <f t="shared" si="221"/>
        <v>151.81238970889171</v>
      </c>
      <c r="W783" s="9">
        <f t="shared" si="222"/>
        <v>0</v>
      </c>
      <c r="X783" s="3">
        <v>305769</v>
      </c>
      <c r="Y783" s="3">
        <f t="shared" si="223"/>
        <v>-0.13369458127999678</v>
      </c>
      <c r="Z783" s="7">
        <f t="shared" si="224"/>
        <v>2291.6176102911081</v>
      </c>
      <c r="AA783" s="2">
        <f t="shared" si="218"/>
        <v>151.81238970889171</v>
      </c>
      <c r="AB783" s="8">
        <f t="shared" si="225"/>
        <v>1</v>
      </c>
      <c r="AC783" s="10">
        <v>6.875</v>
      </c>
      <c r="AD783" s="7">
        <f t="shared" si="226"/>
        <v>2136.0884142874897</v>
      </c>
      <c r="AE783" s="2">
        <f t="shared" si="227"/>
        <v>307.3415857125101</v>
      </c>
      <c r="AF783" s="10">
        <v>1</v>
      </c>
      <c r="AG783" s="3">
        <f t="shared" si="228"/>
        <v>3057.69</v>
      </c>
      <c r="AH783" s="7">
        <v>13661.76</v>
      </c>
      <c r="AI783">
        <f t="shared" si="229"/>
        <v>360</v>
      </c>
      <c r="AJ783" t="e">
        <f>VLOOKUP(A783,'Borrower Details'!$A$1:$H$1493,8,FALSE)</f>
        <v>#N/A</v>
      </c>
      <c r="AK783" s="4" t="e">
        <f t="shared" si="230"/>
        <v>#N/A</v>
      </c>
      <c r="AL783" s="10">
        <v>7.625</v>
      </c>
      <c r="AM783" s="3">
        <f t="shared" si="231"/>
        <v>305769.13569999998</v>
      </c>
      <c r="AN783">
        <v>7.625</v>
      </c>
      <c r="AO783" s="7">
        <f t="shared" si="232"/>
        <v>2291.6186273088883</v>
      </c>
      <c r="AP783" s="2">
        <f t="shared" si="233"/>
        <v>151.8113726911115</v>
      </c>
    </row>
    <row r="784" spans="1:42" x14ac:dyDescent="0.15">
      <c r="A784" s="8">
        <v>1150385</v>
      </c>
      <c r="B784" t="s">
        <v>36</v>
      </c>
      <c r="C784" t="s">
        <v>19</v>
      </c>
      <c r="D784" s="1">
        <v>39141</v>
      </c>
      <c r="E784" s="2">
        <v>184000</v>
      </c>
      <c r="F784" s="2">
        <v>165600</v>
      </c>
      <c r="G784" t="s">
        <v>17</v>
      </c>
      <c r="H784" s="2">
        <v>999.16</v>
      </c>
      <c r="I784" s="2">
        <v>164607.28</v>
      </c>
      <c r="J784">
        <v>6.7500000000000004E-2</v>
      </c>
      <c r="K784">
        <v>14</v>
      </c>
      <c r="L784">
        <v>346</v>
      </c>
      <c r="M784" t="str">
        <f t="shared" si="219"/>
        <v>30 Year Fixed</v>
      </c>
      <c r="N784" s="2">
        <v>925.92</v>
      </c>
      <c r="O784" t="str">
        <f t="shared" si="216"/>
        <v>Refi</v>
      </c>
      <c r="P784" s="3">
        <f t="shared" si="220"/>
        <v>0</v>
      </c>
      <c r="Q784" s="4">
        <v>167076</v>
      </c>
      <c r="R784" s="4" t="s">
        <v>41</v>
      </c>
      <c r="S784" s="6">
        <v>728</v>
      </c>
      <c r="T784">
        <v>6.75</v>
      </c>
      <c r="U784" s="7">
        <f t="shared" si="217"/>
        <v>1153.2667558223088</v>
      </c>
      <c r="V784" s="2">
        <f t="shared" si="221"/>
        <v>-154.10675582230886</v>
      </c>
      <c r="W784" s="9">
        <f t="shared" si="222"/>
        <v>0</v>
      </c>
      <c r="X784" s="3">
        <v>167076</v>
      </c>
      <c r="Y784" s="3">
        <f t="shared" si="223"/>
        <v>-0.38344827585387975</v>
      </c>
      <c r="Z784" s="7">
        <f t="shared" si="224"/>
        <v>1153.2667558223088</v>
      </c>
      <c r="AA784" s="2">
        <f t="shared" si="218"/>
        <v>-154.10675582230886</v>
      </c>
      <c r="AB784" s="8">
        <f t="shared" si="225"/>
        <v>1</v>
      </c>
      <c r="AC784" s="10">
        <v>6.125</v>
      </c>
      <c r="AD784" s="7">
        <f t="shared" si="226"/>
        <v>1084.786385109833</v>
      </c>
      <c r="AE784" s="2">
        <f t="shared" si="227"/>
        <v>-85.626385109832995</v>
      </c>
      <c r="AF784" s="10">
        <v>3</v>
      </c>
      <c r="AG784" s="3">
        <f t="shared" si="228"/>
        <v>5012.28</v>
      </c>
      <c r="AH784" s="7">
        <v>3312</v>
      </c>
      <c r="AI784">
        <f t="shared" si="229"/>
        <v>360</v>
      </c>
      <c r="AJ784" t="e">
        <f>VLOOKUP(A784,'Borrower Details'!$A$1:$H$1493,8,FALSE)</f>
        <v>#N/A</v>
      </c>
      <c r="AK784" s="4" t="e">
        <f t="shared" si="230"/>
        <v>#N/A</v>
      </c>
      <c r="AL784" s="10">
        <v>6.75</v>
      </c>
      <c r="AM784" s="3">
        <f t="shared" si="231"/>
        <v>167076.38919999998</v>
      </c>
      <c r="AN784">
        <v>6.75</v>
      </c>
      <c r="AO784" s="7">
        <f t="shared" si="232"/>
        <v>1153.2694423327671</v>
      </c>
      <c r="AP784" s="2">
        <f t="shared" si="233"/>
        <v>-154.10944233276712</v>
      </c>
    </row>
    <row r="785" spans="1:42" x14ac:dyDescent="0.15">
      <c r="A785" s="8">
        <v>1170236</v>
      </c>
      <c r="B785" t="s">
        <v>38</v>
      </c>
      <c r="C785" t="s">
        <v>19</v>
      </c>
      <c r="D785" s="1">
        <v>39171</v>
      </c>
      <c r="E785" s="2">
        <v>108000</v>
      </c>
      <c r="F785" s="2">
        <v>81000</v>
      </c>
      <c r="G785" t="s">
        <v>17</v>
      </c>
      <c r="H785" s="2">
        <v>619.96</v>
      </c>
      <c r="I785" s="2">
        <v>80273.08</v>
      </c>
      <c r="J785">
        <v>8.4500000000000006E-2</v>
      </c>
      <c r="K785">
        <v>13</v>
      </c>
      <c r="L785">
        <v>346</v>
      </c>
      <c r="M785" t="str">
        <f t="shared" si="219"/>
        <v>30 Year Fixed</v>
      </c>
      <c r="N785" s="2">
        <v>565.26</v>
      </c>
      <c r="O785" t="str">
        <f t="shared" si="216"/>
        <v>Cash Out</v>
      </c>
      <c r="P785" s="3">
        <f t="shared" si="220"/>
        <v>10170.269753694593</v>
      </c>
      <c r="Q785" s="4">
        <v>91800</v>
      </c>
      <c r="R785" s="4" t="s">
        <v>41</v>
      </c>
      <c r="S785" s="6">
        <v>616</v>
      </c>
      <c r="T785">
        <v>7</v>
      </c>
      <c r="U785" s="7">
        <f t="shared" si="217"/>
        <v>648.99769057448964</v>
      </c>
      <c r="V785" s="2">
        <f t="shared" si="221"/>
        <v>-29.037690574489602</v>
      </c>
      <c r="W785" s="9">
        <f t="shared" si="222"/>
        <v>1</v>
      </c>
      <c r="X785" s="3">
        <v>87620</v>
      </c>
      <c r="Y785" s="3">
        <f t="shared" si="223"/>
        <v>6052.0431527093606</v>
      </c>
      <c r="Z785" s="7">
        <f t="shared" si="224"/>
        <v>619.44637960933312</v>
      </c>
      <c r="AA785" s="2">
        <f t="shared" si="218"/>
        <v>0.51362039066691523</v>
      </c>
      <c r="AB785" s="8">
        <f t="shared" si="225"/>
        <v>1</v>
      </c>
      <c r="AC785" s="10">
        <v>6.25</v>
      </c>
      <c r="AD785" s="7">
        <f t="shared" si="226"/>
        <v>575.99974434693934</v>
      </c>
      <c r="AE785" s="2">
        <f t="shared" si="227"/>
        <v>43.960255653060699</v>
      </c>
      <c r="AF785" s="10">
        <v>2.75</v>
      </c>
      <c r="AG785" s="3">
        <f t="shared" si="228"/>
        <v>2409.5500000000002</v>
      </c>
      <c r="AH785" s="7">
        <v>0</v>
      </c>
      <c r="AI785">
        <f t="shared" si="229"/>
        <v>360</v>
      </c>
      <c r="AJ785" t="e">
        <f>VLOOKUP(A785,'Borrower Details'!$A$1:$H$1493,8,FALSE)</f>
        <v>#N/A</v>
      </c>
      <c r="AK785" s="4" t="e">
        <f t="shared" si="230"/>
        <v>#N/A</v>
      </c>
      <c r="AL785" s="10">
        <v>7</v>
      </c>
      <c r="AM785" s="3">
        <f t="shared" si="231"/>
        <v>81477.176199999987</v>
      </c>
      <c r="AN785">
        <v>7</v>
      </c>
      <c r="AO785" s="7">
        <f t="shared" si="232"/>
        <v>576.01850967680571</v>
      </c>
      <c r="AP785" s="2">
        <f t="shared" si="233"/>
        <v>43.94149032319433</v>
      </c>
    </row>
    <row r="786" spans="1:42" x14ac:dyDescent="0.15">
      <c r="A786" s="8">
        <v>410351662</v>
      </c>
      <c r="B786" t="s">
        <v>35</v>
      </c>
      <c r="C786" t="s">
        <v>16</v>
      </c>
      <c r="D786" s="1">
        <v>39248</v>
      </c>
      <c r="E786" s="2">
        <v>130000</v>
      </c>
      <c r="F786" s="2">
        <v>110500</v>
      </c>
      <c r="G786" t="s">
        <v>15</v>
      </c>
      <c r="H786" s="2">
        <v>814.28</v>
      </c>
      <c r="I786" s="2">
        <v>110221.52</v>
      </c>
      <c r="J786">
        <v>8.5500000000000007E-2</v>
      </c>
      <c r="K786">
        <v>10</v>
      </c>
      <c r="L786">
        <v>350</v>
      </c>
      <c r="M786" t="str">
        <f t="shared" si="219"/>
        <v>30 Year Fixed</v>
      </c>
      <c r="N786" s="2">
        <v>785.33</v>
      </c>
      <c r="O786" t="str">
        <f t="shared" si="216"/>
        <v>Refi</v>
      </c>
      <c r="P786" s="3">
        <f t="shared" si="220"/>
        <v>0</v>
      </c>
      <c r="Q786" s="4">
        <v>111875</v>
      </c>
      <c r="R786" s="4" t="s">
        <v>41</v>
      </c>
      <c r="S786" s="6">
        <v>590</v>
      </c>
      <c r="T786">
        <v>7.375</v>
      </c>
      <c r="U786" s="7">
        <f t="shared" si="217"/>
        <v>819.30740470785497</v>
      </c>
      <c r="V786" s="2">
        <f t="shared" si="221"/>
        <v>-5.0274047078549984</v>
      </c>
      <c r="W786" s="9">
        <f t="shared" si="222"/>
        <v>0</v>
      </c>
      <c r="X786" s="3">
        <v>111875</v>
      </c>
      <c r="Y786" s="3">
        <f t="shared" si="223"/>
        <v>0.15487684730032925</v>
      </c>
      <c r="Z786" s="7">
        <f t="shared" si="224"/>
        <v>819.30740470785497</v>
      </c>
      <c r="AA786" s="2">
        <f t="shared" si="218"/>
        <v>-5.0274047078549984</v>
      </c>
      <c r="AB786" s="8">
        <f t="shared" si="225"/>
        <v>1</v>
      </c>
      <c r="AC786" s="10">
        <v>6.625</v>
      </c>
      <c r="AD786" s="7">
        <f t="shared" si="226"/>
        <v>762.96247103612131</v>
      </c>
      <c r="AE786" s="2">
        <f t="shared" si="227"/>
        <v>51.317528963878658</v>
      </c>
      <c r="AF786" s="10">
        <v>1.875</v>
      </c>
      <c r="AG786" s="3">
        <f t="shared" si="228"/>
        <v>2097.65625</v>
      </c>
      <c r="AH786" s="7">
        <v>4723.875</v>
      </c>
      <c r="AI786">
        <f t="shared" si="229"/>
        <v>360</v>
      </c>
      <c r="AJ786" t="e">
        <f>VLOOKUP(A786,'Borrower Details'!$A$1:$H$1493,8,FALSE)</f>
        <v>#N/A</v>
      </c>
      <c r="AK786" s="4" t="e">
        <f t="shared" si="230"/>
        <v>#N/A</v>
      </c>
      <c r="AL786" s="10">
        <v>7.375</v>
      </c>
      <c r="AM786" s="3">
        <f t="shared" si="231"/>
        <v>111874.8428</v>
      </c>
      <c r="AN786">
        <v>7.375</v>
      </c>
      <c r="AO786" s="7">
        <f t="shared" si="232"/>
        <v>819.306253466523</v>
      </c>
      <c r="AP786" s="2">
        <f t="shared" si="233"/>
        <v>-5.0262534665230305</v>
      </c>
    </row>
    <row r="787" spans="1:42" x14ac:dyDescent="0.15">
      <c r="A787" s="8">
        <v>410514186</v>
      </c>
      <c r="B787" t="s">
        <v>36</v>
      </c>
      <c r="C787" t="s">
        <v>18</v>
      </c>
      <c r="D787" s="1">
        <v>39280</v>
      </c>
      <c r="E787" s="2">
        <v>330000</v>
      </c>
      <c r="F787" s="2">
        <v>246000</v>
      </c>
      <c r="G787" t="s">
        <v>17</v>
      </c>
      <c r="H787" s="2">
        <v>1595.56</v>
      </c>
      <c r="I787" s="2">
        <v>244050.26</v>
      </c>
      <c r="J787">
        <v>6.7500000000000004E-2</v>
      </c>
      <c r="K787">
        <v>9</v>
      </c>
      <c r="L787">
        <v>351</v>
      </c>
      <c r="M787" t="str">
        <f t="shared" si="219"/>
        <v>30 Year Fixed</v>
      </c>
      <c r="N787" s="2">
        <v>1372.78</v>
      </c>
      <c r="O787" t="str">
        <f t="shared" si="216"/>
        <v>Cash Out</v>
      </c>
      <c r="P787" s="3">
        <f t="shared" si="220"/>
        <v>32304.419802955701</v>
      </c>
      <c r="Q787" s="4">
        <v>280500</v>
      </c>
      <c r="R787" s="4" t="s">
        <v>41</v>
      </c>
      <c r="S787" s="6">
        <v>744</v>
      </c>
      <c r="T787">
        <v>6.75</v>
      </c>
      <c r="U787" s="7">
        <f t="shared" si="217"/>
        <v>1936.1926608738397</v>
      </c>
      <c r="V787" s="2">
        <f t="shared" si="221"/>
        <v>-340.63266087383977</v>
      </c>
      <c r="W787" s="9">
        <f t="shared" si="222"/>
        <v>1</v>
      </c>
      <c r="X787" s="3">
        <v>247711</v>
      </c>
      <c r="Y787" s="3">
        <f t="shared" si="223"/>
        <v>-1.3694581255549565E-2</v>
      </c>
      <c r="Z787" s="7">
        <f t="shared" si="224"/>
        <v>1709.8617476567547</v>
      </c>
      <c r="AA787" s="2">
        <f t="shared" si="218"/>
        <v>-114.30174765675474</v>
      </c>
      <c r="AB787" s="8">
        <f t="shared" si="225"/>
        <v>1</v>
      </c>
      <c r="AC787" s="10">
        <v>6.125</v>
      </c>
      <c r="AD787" s="7">
        <f t="shared" si="226"/>
        <v>1608.3310603673885</v>
      </c>
      <c r="AE787" s="2">
        <f t="shared" si="227"/>
        <v>-12.7710603673886</v>
      </c>
      <c r="AF787" s="10">
        <v>3</v>
      </c>
      <c r="AG787" s="3">
        <f t="shared" si="228"/>
        <v>7431.33</v>
      </c>
      <c r="AH787" s="7">
        <v>4920</v>
      </c>
      <c r="AI787">
        <f t="shared" si="229"/>
        <v>360</v>
      </c>
      <c r="AJ787" t="e">
        <f>VLOOKUP(A787,'Borrower Details'!$A$1:$H$1493,8,FALSE)</f>
        <v>#N/A</v>
      </c>
      <c r="AK787" s="4" t="e">
        <f t="shared" si="230"/>
        <v>#N/A</v>
      </c>
      <c r="AL787" s="10">
        <v>6.75</v>
      </c>
      <c r="AM787" s="3">
        <f t="shared" si="231"/>
        <v>247711.01389999999</v>
      </c>
      <c r="AN787">
        <v>6.75</v>
      </c>
      <c r="AO787" s="7">
        <f t="shared" si="232"/>
        <v>1709.861843603557</v>
      </c>
      <c r="AP787" s="2">
        <f t="shared" si="233"/>
        <v>-114.30184360355702</v>
      </c>
    </row>
    <row r="788" spans="1:42" x14ac:dyDescent="0.15">
      <c r="A788" s="8">
        <v>410606792</v>
      </c>
      <c r="B788" t="s">
        <v>37</v>
      </c>
      <c r="C788" t="s">
        <v>19</v>
      </c>
      <c r="D788" s="1">
        <v>39275</v>
      </c>
      <c r="E788" s="2">
        <v>121000</v>
      </c>
      <c r="F788" s="2">
        <v>108000</v>
      </c>
      <c r="G788" t="s">
        <v>15</v>
      </c>
      <c r="H788" s="2">
        <v>733.1</v>
      </c>
      <c r="I788" s="2">
        <v>107215.37</v>
      </c>
      <c r="J788">
        <v>7.1999999999999995E-2</v>
      </c>
      <c r="K788">
        <v>9</v>
      </c>
      <c r="L788">
        <v>351</v>
      </c>
      <c r="M788" t="str">
        <f t="shared" si="219"/>
        <v>30 Year Fixed</v>
      </c>
      <c r="N788" s="2">
        <v>643.29</v>
      </c>
      <c r="O788" t="str">
        <f t="shared" si="216"/>
        <v>Refi</v>
      </c>
      <c r="P788" s="3">
        <f t="shared" si="220"/>
        <v>0</v>
      </c>
      <c r="Q788" s="4">
        <v>108824</v>
      </c>
      <c r="R788" s="4" t="s">
        <v>41</v>
      </c>
      <c r="S788" s="6">
        <v>669</v>
      </c>
      <c r="T788">
        <v>6.75</v>
      </c>
      <c r="U788" s="7">
        <f t="shared" si="217"/>
        <v>751.17372594272638</v>
      </c>
      <c r="V788" s="2">
        <f t="shared" si="221"/>
        <v>-18.073725942726355</v>
      </c>
      <c r="W788" s="9">
        <f t="shared" si="222"/>
        <v>0</v>
      </c>
      <c r="X788" s="3">
        <v>108823</v>
      </c>
      <c r="Y788" s="3">
        <f t="shared" si="223"/>
        <v>-0.5916748768358957</v>
      </c>
      <c r="Z788" s="7">
        <f t="shared" si="224"/>
        <v>751.16682329509399</v>
      </c>
      <c r="AA788" s="2">
        <f t="shared" si="218"/>
        <v>-18.066823295093968</v>
      </c>
      <c r="AB788" s="8">
        <f t="shared" si="225"/>
        <v>1</v>
      </c>
      <c r="AC788" s="10">
        <v>6.125</v>
      </c>
      <c r="AD788" s="7">
        <f t="shared" si="226"/>
        <v>706.56293415456048</v>
      </c>
      <c r="AE788" s="2">
        <f t="shared" si="227"/>
        <v>26.537065845439542</v>
      </c>
      <c r="AF788" s="10">
        <v>3</v>
      </c>
      <c r="AG788" s="3">
        <f t="shared" si="228"/>
        <v>3264.69</v>
      </c>
      <c r="AH788" s="7">
        <v>0</v>
      </c>
      <c r="AI788">
        <f t="shared" si="229"/>
        <v>360</v>
      </c>
      <c r="AJ788" t="e">
        <f>VLOOKUP(A788,'Borrower Details'!$A$1:$H$1493,8,FALSE)</f>
        <v>#N/A</v>
      </c>
      <c r="AK788" s="4" t="e">
        <f t="shared" si="230"/>
        <v>#N/A</v>
      </c>
      <c r="AL788" s="10">
        <v>6.75</v>
      </c>
      <c r="AM788" s="3">
        <f t="shared" si="231"/>
        <v>108823.60054999999</v>
      </c>
      <c r="AN788">
        <v>6.75</v>
      </c>
      <c r="AO788" s="7">
        <f t="shared" si="232"/>
        <v>751.17096868012948</v>
      </c>
      <c r="AP788" s="2">
        <f t="shared" si="233"/>
        <v>-18.070968680129454</v>
      </c>
    </row>
    <row r="789" spans="1:42" x14ac:dyDescent="0.15">
      <c r="A789" s="8">
        <v>410316954</v>
      </c>
      <c r="B789" t="s">
        <v>36</v>
      </c>
      <c r="C789" t="s">
        <v>19</v>
      </c>
      <c r="D789" s="1">
        <v>39260</v>
      </c>
      <c r="E789" s="2">
        <v>240000</v>
      </c>
      <c r="F789" s="2">
        <v>216000</v>
      </c>
      <c r="G789" t="s">
        <v>17</v>
      </c>
      <c r="H789" s="2">
        <v>1784.82</v>
      </c>
      <c r="I789" s="2">
        <v>214970.93</v>
      </c>
      <c r="J789">
        <v>9.2999999999999999E-2</v>
      </c>
      <c r="K789">
        <v>10</v>
      </c>
      <c r="L789">
        <v>351</v>
      </c>
      <c r="M789" t="str">
        <f t="shared" si="219"/>
        <v>30 Year Fixed</v>
      </c>
      <c r="N789" s="2">
        <v>1666.02</v>
      </c>
      <c r="O789" t="str">
        <f t="shared" si="216"/>
        <v>Refi</v>
      </c>
      <c r="P789" s="3">
        <f t="shared" si="220"/>
        <v>0</v>
      </c>
      <c r="Q789" s="4">
        <v>218195</v>
      </c>
      <c r="R789" s="4" t="s">
        <v>41</v>
      </c>
      <c r="S789" s="6">
        <v>564</v>
      </c>
      <c r="T789">
        <v>7.625</v>
      </c>
      <c r="U789" s="7">
        <f t="shared" si="217"/>
        <v>1635.2851481918324</v>
      </c>
      <c r="V789" s="2">
        <f t="shared" si="221"/>
        <v>149.53485180816756</v>
      </c>
      <c r="W789" s="9">
        <f t="shared" si="222"/>
        <v>0</v>
      </c>
      <c r="X789" s="3">
        <v>218196</v>
      </c>
      <c r="Y789" s="3">
        <f t="shared" si="223"/>
        <v>0.49857142858672887</v>
      </c>
      <c r="Z789" s="7">
        <f t="shared" si="224"/>
        <v>1635.2926427959624</v>
      </c>
      <c r="AA789" s="2">
        <f t="shared" si="218"/>
        <v>149.52735720403757</v>
      </c>
      <c r="AB789" s="8">
        <f t="shared" si="225"/>
        <v>0</v>
      </c>
      <c r="AC789" s="10">
        <v>7.625</v>
      </c>
      <c r="AD789" s="7">
        <f t="shared" si="226"/>
        <v>1635.2926427959624</v>
      </c>
      <c r="AE789" s="2">
        <f t="shared" si="227"/>
        <v>149.52735720403757</v>
      </c>
      <c r="AF789" s="10">
        <v>0</v>
      </c>
      <c r="AG789" s="3">
        <f t="shared" si="228"/>
        <v>0</v>
      </c>
      <c r="AH789" s="7">
        <v>4320</v>
      </c>
      <c r="AI789">
        <f t="shared" si="229"/>
        <v>360</v>
      </c>
      <c r="AJ789" t="e">
        <f>VLOOKUP(A789,'Borrower Details'!$A$1:$H$1493,8,FALSE)</f>
        <v>#N/A</v>
      </c>
      <c r="AK789" s="4" t="e">
        <f t="shared" si="230"/>
        <v>#N/A</v>
      </c>
      <c r="AL789" s="10">
        <v>7.625</v>
      </c>
      <c r="AM789" s="3">
        <f t="shared" si="231"/>
        <v>218195.49394999997</v>
      </c>
      <c r="AN789">
        <v>7.625</v>
      </c>
      <c r="AO789" s="7">
        <f t="shared" si="232"/>
        <v>1635.2888501515422</v>
      </c>
      <c r="AP789" s="2">
        <f t="shared" si="233"/>
        <v>149.53114984845774</v>
      </c>
    </row>
    <row r="790" spans="1:42" x14ac:dyDescent="0.15">
      <c r="A790" s="8">
        <v>410290118</v>
      </c>
      <c r="B790" t="s">
        <v>36</v>
      </c>
      <c r="C790" t="s">
        <v>19</v>
      </c>
      <c r="D790" s="1">
        <v>39231</v>
      </c>
      <c r="E790" s="2">
        <v>194000</v>
      </c>
      <c r="F790" s="2">
        <v>162000</v>
      </c>
      <c r="G790" t="s">
        <v>15</v>
      </c>
      <c r="H790" s="2">
        <v>1113.1600000000001</v>
      </c>
      <c r="I790" s="2">
        <v>161714.94</v>
      </c>
      <c r="J790">
        <v>8.1000000000000003E-2</v>
      </c>
      <c r="K790">
        <v>11</v>
      </c>
      <c r="L790">
        <v>349</v>
      </c>
      <c r="M790" t="str">
        <f t="shared" si="219"/>
        <v>30 Year Fixed</v>
      </c>
      <c r="N790" s="2">
        <v>1091.58</v>
      </c>
      <c r="O790" t="str">
        <f t="shared" si="216"/>
        <v>Cash Out</v>
      </c>
      <c r="P790" s="3">
        <f t="shared" si="220"/>
        <v>748.11418719214271</v>
      </c>
      <c r="Q790" s="4">
        <v>164900</v>
      </c>
      <c r="R790" s="4" t="s">
        <v>41</v>
      </c>
      <c r="S790" s="6">
        <v>617</v>
      </c>
      <c r="T790">
        <v>6.875</v>
      </c>
      <c r="U790" s="7">
        <f t="shared" si="217"/>
        <v>1151.9839470842596</v>
      </c>
      <c r="V790" s="2">
        <f t="shared" si="221"/>
        <v>-38.823947084259544</v>
      </c>
      <c r="W790" s="9">
        <f t="shared" si="222"/>
        <v>1</v>
      </c>
      <c r="X790" s="3">
        <v>164141</v>
      </c>
      <c r="Y790" s="3">
        <f t="shared" si="223"/>
        <v>0.33093596060643904</v>
      </c>
      <c r="Z790" s="7">
        <f t="shared" si="224"/>
        <v>1146.6816073884627</v>
      </c>
      <c r="AA790" s="2">
        <f t="shared" si="218"/>
        <v>-33.521607388462598</v>
      </c>
      <c r="AB790" s="8">
        <f t="shared" si="225"/>
        <v>1</v>
      </c>
      <c r="AC790" s="10">
        <v>6.25</v>
      </c>
      <c r="AD790" s="7">
        <f t="shared" si="226"/>
        <v>1079.03645328522</v>
      </c>
      <c r="AE790" s="2">
        <f t="shared" si="227"/>
        <v>34.123546714780105</v>
      </c>
      <c r="AF790" s="10">
        <v>2.5</v>
      </c>
      <c r="AG790" s="3">
        <f t="shared" si="228"/>
        <v>4103.5249999999996</v>
      </c>
      <c r="AH790" s="7">
        <v>3240</v>
      </c>
      <c r="AI790">
        <f t="shared" si="229"/>
        <v>360</v>
      </c>
      <c r="AJ790" t="e">
        <f>VLOOKUP(A790,'Borrower Details'!$A$1:$H$1493,8,FALSE)</f>
        <v>#N/A</v>
      </c>
      <c r="AK790" s="4" t="e">
        <f t="shared" si="230"/>
        <v>#N/A</v>
      </c>
      <c r="AL790" s="10">
        <v>6.875</v>
      </c>
      <c r="AM790" s="3">
        <f t="shared" si="231"/>
        <v>164140.66409999999</v>
      </c>
      <c r="AN790">
        <v>6.875</v>
      </c>
      <c r="AO790" s="7">
        <f t="shared" si="232"/>
        <v>1146.679260806244</v>
      </c>
      <c r="AP790" s="2">
        <f t="shared" si="233"/>
        <v>-33.519260806243892</v>
      </c>
    </row>
    <row r="791" spans="1:42" x14ac:dyDescent="0.15">
      <c r="A791" s="8">
        <v>1152421</v>
      </c>
      <c r="B791" t="s">
        <v>37</v>
      </c>
      <c r="C791" t="s">
        <v>19</v>
      </c>
      <c r="D791" s="1">
        <v>39143</v>
      </c>
      <c r="E791" s="2">
        <v>216500</v>
      </c>
      <c r="F791" s="2">
        <v>177520</v>
      </c>
      <c r="G791" t="s">
        <v>15</v>
      </c>
      <c r="H791" s="2">
        <v>1427.09</v>
      </c>
      <c r="I791" s="2">
        <v>176291.08</v>
      </c>
      <c r="J791">
        <v>8.9899999999999994E-2</v>
      </c>
      <c r="K791">
        <v>13</v>
      </c>
      <c r="L791">
        <v>348</v>
      </c>
      <c r="M791" t="str">
        <f t="shared" si="219"/>
        <v>30 Year Fixed</v>
      </c>
      <c r="N791" s="2">
        <v>1320.71</v>
      </c>
      <c r="O791" t="str">
        <f t="shared" si="216"/>
        <v>Cash Out</v>
      </c>
      <c r="P791" s="3">
        <f t="shared" si="220"/>
        <v>5014.3387192118389</v>
      </c>
      <c r="Q791" s="4">
        <v>184025</v>
      </c>
      <c r="R791" s="4" t="s">
        <v>41</v>
      </c>
      <c r="S791" s="6">
        <v>599</v>
      </c>
      <c r="T791">
        <v>7.375</v>
      </c>
      <c r="U791" s="7">
        <f t="shared" si="217"/>
        <v>1347.6920236993342</v>
      </c>
      <c r="V791" s="2">
        <f t="shared" si="221"/>
        <v>79.397976300665732</v>
      </c>
      <c r="W791" s="9">
        <f t="shared" si="222"/>
        <v>0</v>
      </c>
      <c r="X791" s="3">
        <v>184025</v>
      </c>
      <c r="Y791" s="3">
        <f t="shared" si="223"/>
        <v>5014.3387192118389</v>
      </c>
      <c r="Z791" s="7">
        <f t="shared" si="224"/>
        <v>1347.6920236993342</v>
      </c>
      <c r="AA791" s="2">
        <f t="shared" si="218"/>
        <v>79.397976300665732</v>
      </c>
      <c r="AB791" s="8">
        <f t="shared" si="225"/>
        <v>0</v>
      </c>
      <c r="AC791" s="10">
        <v>7.375</v>
      </c>
      <c r="AD791" s="7">
        <f t="shared" si="226"/>
        <v>1347.6920236993342</v>
      </c>
      <c r="AE791" s="2">
        <f t="shared" si="227"/>
        <v>79.397976300665732</v>
      </c>
      <c r="AF791" s="10">
        <v>0</v>
      </c>
      <c r="AG791" s="3">
        <f t="shared" si="228"/>
        <v>0</v>
      </c>
      <c r="AH791" s="7">
        <v>1775.2</v>
      </c>
      <c r="AI791">
        <f t="shared" si="229"/>
        <v>360</v>
      </c>
      <c r="AJ791" t="e">
        <f>VLOOKUP(A791,'Borrower Details'!$A$1:$H$1493,8,FALSE)</f>
        <v>#N/A</v>
      </c>
      <c r="AK791" s="4" t="e">
        <f t="shared" si="230"/>
        <v>#N/A</v>
      </c>
      <c r="AL791" s="10">
        <v>7.375</v>
      </c>
      <c r="AM791" s="3">
        <f t="shared" si="231"/>
        <v>178935.44619999998</v>
      </c>
      <c r="AN791">
        <v>7.375</v>
      </c>
      <c r="AO791" s="7">
        <f t="shared" si="232"/>
        <v>1310.4190930624716</v>
      </c>
      <c r="AP791" s="2">
        <f t="shared" si="233"/>
        <v>116.67090693752834</v>
      </c>
    </row>
    <row r="792" spans="1:42" x14ac:dyDescent="0.15">
      <c r="A792" s="8">
        <v>1184694</v>
      </c>
      <c r="B792" t="s">
        <v>36</v>
      </c>
      <c r="C792" t="s">
        <v>19</v>
      </c>
      <c r="D792" s="1">
        <v>39181</v>
      </c>
      <c r="E792" s="2">
        <v>485000</v>
      </c>
      <c r="F792" s="2">
        <v>436500</v>
      </c>
      <c r="G792" t="s">
        <v>15</v>
      </c>
      <c r="H792" s="2">
        <v>2999.35</v>
      </c>
      <c r="I792" s="2">
        <v>435952.49</v>
      </c>
      <c r="J792">
        <v>8.1000000000000003E-2</v>
      </c>
      <c r="K792">
        <v>12</v>
      </c>
      <c r="L792">
        <v>350</v>
      </c>
      <c r="M792" t="str">
        <f t="shared" si="219"/>
        <v>30 Year Fixed</v>
      </c>
      <c r="N792" s="2">
        <v>2942.68</v>
      </c>
      <c r="O792" t="str">
        <f t="shared" si="216"/>
        <v>Refi</v>
      </c>
      <c r="P792" s="3">
        <f t="shared" si="220"/>
        <v>0</v>
      </c>
      <c r="Q792" s="4">
        <v>442492</v>
      </c>
      <c r="R792" s="4" t="s">
        <v>41</v>
      </c>
      <c r="S792" s="6">
        <v>593</v>
      </c>
      <c r="T792">
        <v>7.625</v>
      </c>
      <c r="U792" s="7">
        <f t="shared" si="217"/>
        <v>3316.3023707862239</v>
      </c>
      <c r="V792" s="2">
        <f t="shared" si="221"/>
        <v>-316.95237078622404</v>
      </c>
      <c r="W792" s="9">
        <f t="shared" si="222"/>
        <v>0</v>
      </c>
      <c r="X792" s="3">
        <v>442491</v>
      </c>
      <c r="Y792" s="3">
        <f t="shared" si="223"/>
        <v>-0.76586206891806796</v>
      </c>
      <c r="Z792" s="7">
        <f t="shared" si="224"/>
        <v>3316.2948761820944</v>
      </c>
      <c r="AA792" s="2">
        <f t="shared" si="218"/>
        <v>-316.9448761820945</v>
      </c>
      <c r="AB792" s="8">
        <f t="shared" si="225"/>
        <v>1</v>
      </c>
      <c r="AC792" s="10">
        <v>6.875</v>
      </c>
      <c r="AD792" s="7">
        <f t="shared" si="226"/>
        <v>3091.222126920929</v>
      </c>
      <c r="AE792" s="2">
        <f t="shared" si="227"/>
        <v>-91.872126920929077</v>
      </c>
      <c r="AF792" s="10">
        <v>1.75</v>
      </c>
      <c r="AG792" s="3">
        <f t="shared" si="228"/>
        <v>7743.5924999999997</v>
      </c>
      <c r="AH792" s="7">
        <v>8730</v>
      </c>
      <c r="AI792">
        <f t="shared" si="229"/>
        <v>360</v>
      </c>
      <c r="AJ792" t="e">
        <f>VLOOKUP(A792,'Borrower Details'!$A$1:$H$1493,8,FALSE)</f>
        <v>#N/A</v>
      </c>
      <c r="AK792" s="4" t="e">
        <f t="shared" si="230"/>
        <v>#N/A</v>
      </c>
      <c r="AL792" s="10">
        <v>7.625</v>
      </c>
      <c r="AM792" s="3">
        <f t="shared" si="231"/>
        <v>442491.77734999993</v>
      </c>
      <c r="AN792">
        <v>7.625</v>
      </c>
      <c r="AO792" s="7">
        <f t="shared" si="232"/>
        <v>3316.3007021126141</v>
      </c>
      <c r="AP792" s="2">
        <f t="shared" si="233"/>
        <v>-316.95070211261418</v>
      </c>
    </row>
    <row r="793" spans="1:42" x14ac:dyDescent="0.15">
      <c r="A793" s="8">
        <v>1177125</v>
      </c>
      <c r="B793" t="s">
        <v>37</v>
      </c>
      <c r="C793" t="s">
        <v>19</v>
      </c>
      <c r="D793" s="1">
        <v>39181</v>
      </c>
      <c r="E793" s="2">
        <v>110000</v>
      </c>
      <c r="F793" s="2">
        <v>99000</v>
      </c>
      <c r="G793" t="s">
        <v>17</v>
      </c>
      <c r="H793" s="2">
        <v>892.67</v>
      </c>
      <c r="I793" s="2">
        <v>98529.96</v>
      </c>
      <c r="J793">
        <v>0.10324999999999999</v>
      </c>
      <c r="K793">
        <v>12</v>
      </c>
      <c r="L793">
        <v>349</v>
      </c>
      <c r="M793" t="str">
        <f t="shared" si="219"/>
        <v>30 Year Fixed</v>
      </c>
      <c r="N793" s="2">
        <v>847.77</v>
      </c>
      <c r="O793" t="str">
        <f t="shared" si="216"/>
        <v>Refi</v>
      </c>
      <c r="P793" s="3">
        <f t="shared" si="220"/>
        <v>0</v>
      </c>
      <c r="Q793" s="4">
        <v>100008</v>
      </c>
      <c r="R793" s="4" t="s">
        <v>41</v>
      </c>
      <c r="S793" s="6">
        <v>554</v>
      </c>
      <c r="T793">
        <v>7.625</v>
      </c>
      <c r="U793" s="7">
        <f t="shared" si="217"/>
        <v>749.52036985434472</v>
      </c>
      <c r="V793" s="2">
        <f t="shared" si="221"/>
        <v>143.14963014565524</v>
      </c>
      <c r="W793" s="9">
        <f t="shared" si="222"/>
        <v>0</v>
      </c>
      <c r="X793" s="3">
        <v>100008</v>
      </c>
      <c r="Y793" s="3">
        <f t="shared" si="223"/>
        <v>8.9261083747260273E-2</v>
      </c>
      <c r="Z793" s="7">
        <f t="shared" si="224"/>
        <v>749.52036985434472</v>
      </c>
      <c r="AA793" s="2">
        <f t="shared" si="218"/>
        <v>143.14963014565524</v>
      </c>
      <c r="AB793" s="8">
        <f t="shared" si="225"/>
        <v>0</v>
      </c>
      <c r="AC793" s="10">
        <v>7.625</v>
      </c>
      <c r="AD793" s="7">
        <f t="shared" si="226"/>
        <v>749.52036985434472</v>
      </c>
      <c r="AE793" s="2">
        <f t="shared" si="227"/>
        <v>143.14963014565524</v>
      </c>
      <c r="AF793" s="10">
        <v>0</v>
      </c>
      <c r="AG793" s="3">
        <f t="shared" si="228"/>
        <v>0</v>
      </c>
      <c r="AH793" s="7">
        <v>0</v>
      </c>
      <c r="AI793">
        <f t="shared" si="229"/>
        <v>360</v>
      </c>
      <c r="AJ793" t="e">
        <f>VLOOKUP(A793,'Borrower Details'!$A$1:$H$1493,8,FALSE)</f>
        <v>#N/A</v>
      </c>
      <c r="AK793" s="4" t="e">
        <f t="shared" si="230"/>
        <v>#N/A</v>
      </c>
      <c r="AL793" s="10">
        <v>7.625</v>
      </c>
      <c r="AM793" s="3">
        <f t="shared" si="231"/>
        <v>100007.9094</v>
      </c>
      <c r="AN793">
        <v>7.625</v>
      </c>
      <c r="AO793" s="7">
        <f t="shared" si="232"/>
        <v>749.51969084321058</v>
      </c>
      <c r="AP793" s="2">
        <f t="shared" si="233"/>
        <v>143.15030915678938</v>
      </c>
    </row>
    <row r="794" spans="1:42" x14ac:dyDescent="0.15">
      <c r="A794" s="8">
        <v>1164742</v>
      </c>
      <c r="B794" t="s">
        <v>36</v>
      </c>
      <c r="C794" t="s">
        <v>19</v>
      </c>
      <c r="D794" s="1">
        <v>39155</v>
      </c>
      <c r="E794" s="2">
        <v>135000</v>
      </c>
      <c r="F794" s="2">
        <v>70000</v>
      </c>
      <c r="G794" t="s">
        <v>15</v>
      </c>
      <c r="H794" s="2">
        <v>575.88</v>
      </c>
      <c r="I794" s="2">
        <v>69545.48</v>
      </c>
      <c r="J794">
        <v>9.2499999999999999E-2</v>
      </c>
      <c r="K794">
        <v>13</v>
      </c>
      <c r="L794">
        <v>348</v>
      </c>
      <c r="M794" t="str">
        <f t="shared" si="219"/>
        <v>30 Year Fixed</v>
      </c>
      <c r="N794" s="2">
        <v>536.08000000000004</v>
      </c>
      <c r="O794" t="str">
        <f t="shared" si="216"/>
        <v>Cash Out</v>
      </c>
      <c r="P794" s="3">
        <f t="shared" si="220"/>
        <v>43508.707192118236</v>
      </c>
      <c r="Q794" s="4">
        <v>114750</v>
      </c>
      <c r="R794" s="4" t="s">
        <v>41</v>
      </c>
      <c r="S794" s="6">
        <v>538</v>
      </c>
      <c r="T794">
        <v>7.625</v>
      </c>
      <c r="U794" s="7">
        <f t="shared" si="217"/>
        <v>860.00582394194521</v>
      </c>
      <c r="V794" s="2">
        <f t="shared" si="221"/>
        <v>-284.12582394194521</v>
      </c>
      <c r="W794" s="9">
        <f t="shared" si="222"/>
        <v>1</v>
      </c>
      <c r="X794" s="3">
        <v>76770</v>
      </c>
      <c r="Y794" s="3">
        <f t="shared" si="223"/>
        <v>6089.9879802955838</v>
      </c>
      <c r="Z794" s="7">
        <f t="shared" si="224"/>
        <v>575.36075907645431</v>
      </c>
      <c r="AA794" s="2">
        <f t="shared" si="218"/>
        <v>0.51924092354568074</v>
      </c>
      <c r="AB794" s="8">
        <f t="shared" si="225"/>
        <v>0</v>
      </c>
      <c r="AC794" s="10">
        <v>7.625</v>
      </c>
      <c r="AD794" s="7">
        <f t="shared" si="226"/>
        <v>575.36075907645431</v>
      </c>
      <c r="AE794" s="2">
        <f t="shared" si="227"/>
        <v>0.51924092354568074</v>
      </c>
      <c r="AF794" s="10">
        <v>0</v>
      </c>
      <c r="AG794" s="3">
        <f t="shared" si="228"/>
        <v>0</v>
      </c>
      <c r="AH794" s="7">
        <v>1400</v>
      </c>
      <c r="AI794">
        <f t="shared" si="229"/>
        <v>360</v>
      </c>
      <c r="AJ794" t="e">
        <f>VLOOKUP(A794,'Borrower Details'!$A$1:$H$1493,8,FALSE)</f>
        <v>#N/A</v>
      </c>
      <c r="AK794" s="4" t="e">
        <f t="shared" si="230"/>
        <v>#N/A</v>
      </c>
      <c r="AL794" s="10">
        <v>7.625</v>
      </c>
      <c r="AM794" s="3">
        <f t="shared" si="231"/>
        <v>70588.662199999992</v>
      </c>
      <c r="AN794">
        <v>7.625</v>
      </c>
      <c r="AO794" s="7">
        <f t="shared" si="232"/>
        <v>529.03407927033243</v>
      </c>
      <c r="AP794" s="2">
        <f t="shared" si="233"/>
        <v>46.845920729667569</v>
      </c>
    </row>
    <row r="795" spans="1:42" x14ac:dyDescent="0.15">
      <c r="A795" s="8">
        <v>410531826</v>
      </c>
      <c r="B795" t="s">
        <v>36</v>
      </c>
      <c r="C795" t="s">
        <v>19</v>
      </c>
      <c r="D795" s="1">
        <v>39266</v>
      </c>
      <c r="E795" s="2">
        <v>176000</v>
      </c>
      <c r="F795" s="2">
        <v>158400</v>
      </c>
      <c r="G795" t="s">
        <v>17</v>
      </c>
      <c r="H795" s="2">
        <v>1034.77</v>
      </c>
      <c r="I795" s="2">
        <v>157159.91</v>
      </c>
      <c r="J795">
        <v>6.8199999999999997E-2</v>
      </c>
      <c r="K795">
        <v>9</v>
      </c>
      <c r="L795">
        <v>351</v>
      </c>
      <c r="M795" t="str">
        <f t="shared" si="219"/>
        <v>30 Year Fixed</v>
      </c>
      <c r="N795" s="2">
        <v>893.19</v>
      </c>
      <c r="O795" t="str">
        <f t="shared" si="216"/>
        <v>Refi</v>
      </c>
      <c r="P795" s="3">
        <f t="shared" si="220"/>
        <v>0</v>
      </c>
      <c r="Q795" s="4">
        <v>159517</v>
      </c>
      <c r="R795" s="4" t="s">
        <v>41</v>
      </c>
      <c r="S795" s="6">
        <v>660</v>
      </c>
      <c r="T795">
        <v>6.75</v>
      </c>
      <c r="U795" s="7">
        <f t="shared" si="217"/>
        <v>1101.0896423693844</v>
      </c>
      <c r="V795" s="2">
        <f t="shared" si="221"/>
        <v>-66.319642369384383</v>
      </c>
      <c r="W795" s="9">
        <f t="shared" si="222"/>
        <v>0</v>
      </c>
      <c r="X795" s="3">
        <v>159517</v>
      </c>
      <c r="Y795" s="3">
        <f t="shared" si="223"/>
        <v>-0.30408866994548589</v>
      </c>
      <c r="Z795" s="7">
        <f t="shared" si="224"/>
        <v>1101.0896423693844</v>
      </c>
      <c r="AA795" s="2">
        <f t="shared" si="218"/>
        <v>-66.319642369384383</v>
      </c>
      <c r="AB795" s="8">
        <f t="shared" si="225"/>
        <v>1</v>
      </c>
      <c r="AC795" s="10">
        <v>6.125</v>
      </c>
      <c r="AD795" s="7">
        <f t="shared" si="226"/>
        <v>1035.7075210895953</v>
      </c>
      <c r="AE795" s="2">
        <f t="shared" si="227"/>
        <v>-0.93752108959529323</v>
      </c>
      <c r="AF795" s="10">
        <v>3</v>
      </c>
      <c r="AG795" s="3">
        <f t="shared" si="228"/>
        <v>4785.51</v>
      </c>
      <c r="AH795" s="7">
        <v>3168</v>
      </c>
      <c r="AI795">
        <f t="shared" si="229"/>
        <v>360</v>
      </c>
      <c r="AJ795" t="e">
        <f>VLOOKUP(A795,'Borrower Details'!$A$1:$H$1493,8,FALSE)</f>
        <v>#N/A</v>
      </c>
      <c r="AK795" s="4" t="e">
        <f t="shared" si="230"/>
        <v>#N/A</v>
      </c>
      <c r="AL795" s="10">
        <v>6.75</v>
      </c>
      <c r="AM795" s="3">
        <f t="shared" si="231"/>
        <v>159517.30864999999</v>
      </c>
      <c r="AN795">
        <v>6.75</v>
      </c>
      <c r="AO795" s="7">
        <f t="shared" si="232"/>
        <v>1101.0917728715758</v>
      </c>
      <c r="AP795" s="2">
        <f t="shared" si="233"/>
        <v>-66.321772871575831</v>
      </c>
    </row>
    <row r="796" spans="1:42" x14ac:dyDescent="0.15">
      <c r="A796" s="8">
        <v>411259286</v>
      </c>
      <c r="B796" t="s">
        <v>36</v>
      </c>
      <c r="C796" t="s">
        <v>16</v>
      </c>
      <c r="D796" s="1">
        <v>39477</v>
      </c>
      <c r="E796" s="2">
        <v>185000</v>
      </c>
      <c r="F796" s="2">
        <v>138750</v>
      </c>
      <c r="G796" t="s">
        <v>17</v>
      </c>
      <c r="H796" s="2">
        <v>1232.9000000000001</v>
      </c>
      <c r="I796" s="2">
        <v>138692.99</v>
      </c>
      <c r="J796">
        <v>0.105</v>
      </c>
      <c r="K796">
        <v>3</v>
      </c>
      <c r="L796">
        <v>357</v>
      </c>
      <c r="M796" t="str">
        <f t="shared" si="219"/>
        <v>30 Year Fixed</v>
      </c>
      <c r="N796" s="2">
        <v>1213.56</v>
      </c>
      <c r="O796" t="str">
        <f t="shared" si="216"/>
        <v>Cash Out</v>
      </c>
      <c r="P796" s="3">
        <f t="shared" si="220"/>
        <v>16233.11837438427</v>
      </c>
      <c r="Q796" s="4">
        <v>157250</v>
      </c>
      <c r="R796" s="4" t="s">
        <v>41</v>
      </c>
      <c r="S796" s="6">
        <v>522</v>
      </c>
      <c r="T796">
        <v>7.625</v>
      </c>
      <c r="U796" s="7">
        <f t="shared" si="217"/>
        <v>1178.5264994759989</v>
      </c>
      <c r="V796" s="2">
        <f t="shared" si="221"/>
        <v>54.373500524001201</v>
      </c>
      <c r="W796" s="9">
        <f t="shared" si="222"/>
        <v>0</v>
      </c>
      <c r="X796" s="3">
        <v>157250</v>
      </c>
      <c r="Y796" s="3">
        <f t="shared" si="223"/>
        <v>16233.11837438427</v>
      </c>
      <c r="Z796" s="7">
        <f t="shared" si="224"/>
        <v>1178.5264994759989</v>
      </c>
      <c r="AA796" s="2">
        <f t="shared" si="218"/>
        <v>54.373500524001201</v>
      </c>
      <c r="AB796" s="8">
        <f t="shared" si="225"/>
        <v>0</v>
      </c>
      <c r="AC796" s="10">
        <v>7.625</v>
      </c>
      <c r="AD796" s="7">
        <f t="shared" si="226"/>
        <v>1178.5264994759989</v>
      </c>
      <c r="AE796" s="2">
        <f t="shared" si="227"/>
        <v>54.373500524001201</v>
      </c>
      <c r="AF796" s="10">
        <v>0</v>
      </c>
      <c r="AG796" s="3">
        <f t="shared" si="228"/>
        <v>0</v>
      </c>
      <c r="AH796" s="7">
        <v>2775</v>
      </c>
      <c r="AI796">
        <f t="shared" si="229"/>
        <v>360</v>
      </c>
      <c r="AJ796" t="e">
        <f>VLOOKUP(A796,'Borrower Details'!$A$1:$H$1493,8,FALSE)</f>
        <v>#N/A</v>
      </c>
      <c r="AK796" s="4" t="e">
        <f t="shared" si="230"/>
        <v>#N/A</v>
      </c>
      <c r="AL796" s="10">
        <v>7.625</v>
      </c>
      <c r="AM796" s="3">
        <f t="shared" si="231"/>
        <v>140773.38484999997</v>
      </c>
      <c r="AN796">
        <v>7.625</v>
      </c>
      <c r="AO796" s="7">
        <f t="shared" si="232"/>
        <v>1055.0407915208782</v>
      </c>
      <c r="AP796" s="2">
        <f t="shared" si="233"/>
        <v>177.85920847912189</v>
      </c>
    </row>
    <row r="797" spans="1:42" x14ac:dyDescent="0.15">
      <c r="A797" s="8">
        <v>410004022</v>
      </c>
      <c r="B797" t="s">
        <v>36</v>
      </c>
      <c r="C797" t="s">
        <v>19</v>
      </c>
      <c r="D797" s="1">
        <v>39189</v>
      </c>
      <c r="E797" s="2">
        <v>216000</v>
      </c>
      <c r="F797" s="2">
        <v>160000</v>
      </c>
      <c r="G797" t="s">
        <v>15</v>
      </c>
      <c r="H797" s="2">
        <v>1099.42</v>
      </c>
      <c r="I797" s="2">
        <v>159758.12</v>
      </c>
      <c r="J797">
        <v>8.1000000000000003E-2</v>
      </c>
      <c r="K797">
        <v>12</v>
      </c>
      <c r="L797">
        <v>348</v>
      </c>
      <c r="M797" t="str">
        <f t="shared" si="219"/>
        <v>30 Year Fixed</v>
      </c>
      <c r="N797" s="2">
        <v>1078.3699999999999</v>
      </c>
      <c r="O797" t="str">
        <f t="shared" si="216"/>
        <v>Cash Out</v>
      </c>
      <c r="P797" s="3">
        <f t="shared" si="220"/>
        <v>21128.579507389193</v>
      </c>
      <c r="Q797" s="4">
        <v>183600</v>
      </c>
      <c r="R797" s="4" t="s">
        <v>41</v>
      </c>
      <c r="S797" s="6">
        <v>557</v>
      </c>
      <c r="T797">
        <v>7.625</v>
      </c>
      <c r="U797" s="7">
        <f t="shared" si="217"/>
        <v>1376.0093183071124</v>
      </c>
      <c r="V797" s="2">
        <f t="shared" si="221"/>
        <v>-276.58931830711231</v>
      </c>
      <c r="W797" s="9">
        <f t="shared" si="222"/>
        <v>1</v>
      </c>
      <c r="X797" s="3">
        <v>162154</v>
      </c>
      <c r="Y797" s="3">
        <f t="shared" si="223"/>
        <v>-0.4845320196764078</v>
      </c>
      <c r="Z797" s="7">
        <f t="shared" si="224"/>
        <v>1215.2800381305638</v>
      </c>
      <c r="AA797" s="2">
        <f t="shared" si="218"/>
        <v>-115.86003813056368</v>
      </c>
      <c r="AB797" s="8">
        <f t="shared" si="225"/>
        <v>1</v>
      </c>
      <c r="AC797" s="10">
        <v>6.875</v>
      </c>
      <c r="AD797" s="7">
        <f t="shared" si="226"/>
        <v>1132.8005151940633</v>
      </c>
      <c r="AE797" s="2">
        <f t="shared" si="227"/>
        <v>-33.380515194063264</v>
      </c>
      <c r="AF797" s="10">
        <v>1</v>
      </c>
      <c r="AG797" s="3">
        <f t="shared" si="228"/>
        <v>1621.54</v>
      </c>
      <c r="AH797" s="7">
        <v>3200</v>
      </c>
      <c r="AI797">
        <f t="shared" si="229"/>
        <v>360</v>
      </c>
      <c r="AJ797" t="e">
        <f>VLOOKUP(A797,'Borrower Details'!$A$1:$H$1493,8,FALSE)</f>
        <v>#N/A</v>
      </c>
      <c r="AK797" s="4" t="e">
        <f t="shared" si="230"/>
        <v>#N/A</v>
      </c>
      <c r="AL797" s="10">
        <v>7.625</v>
      </c>
      <c r="AM797" s="3">
        <f t="shared" si="231"/>
        <v>162154.49179999999</v>
      </c>
      <c r="AN797">
        <v>7.625</v>
      </c>
      <c r="AO797" s="7">
        <f t="shared" si="232"/>
        <v>1215.2837239768749</v>
      </c>
      <c r="AP797" s="2">
        <f t="shared" si="233"/>
        <v>-115.86372397687478</v>
      </c>
    </row>
    <row r="798" spans="1:42" x14ac:dyDescent="0.15">
      <c r="A798" s="8">
        <v>1186859</v>
      </c>
      <c r="B798" t="s">
        <v>36</v>
      </c>
      <c r="C798" t="s">
        <v>19</v>
      </c>
      <c r="D798" s="1">
        <v>39185</v>
      </c>
      <c r="E798" s="2">
        <v>165000</v>
      </c>
      <c r="F798" s="2">
        <v>107000</v>
      </c>
      <c r="G798" t="s">
        <v>17</v>
      </c>
      <c r="H798" s="2">
        <v>706.86</v>
      </c>
      <c r="I798" s="2">
        <v>105797.62</v>
      </c>
      <c r="J798">
        <v>6.93E-2</v>
      </c>
      <c r="K798">
        <v>12</v>
      </c>
      <c r="L798">
        <v>347</v>
      </c>
      <c r="M798" t="str">
        <f t="shared" si="219"/>
        <v>30 Year Fixed</v>
      </c>
      <c r="N798" s="2">
        <v>611.53</v>
      </c>
      <c r="O798" t="str">
        <f t="shared" si="216"/>
        <v>Cash Out</v>
      </c>
      <c r="P798" s="3">
        <f t="shared" si="220"/>
        <v>32379.71990147786</v>
      </c>
      <c r="Q798" s="4">
        <v>140250</v>
      </c>
      <c r="R798" s="4" t="s">
        <v>41</v>
      </c>
      <c r="S798" s="6">
        <v>573</v>
      </c>
      <c r="T798">
        <v>7.625</v>
      </c>
      <c r="U798" s="7">
        <f t="shared" si="217"/>
        <v>1051.1182292623776</v>
      </c>
      <c r="V798" s="2">
        <f t="shared" si="221"/>
        <v>-344.25822926237754</v>
      </c>
      <c r="W798" s="9">
        <f t="shared" si="222"/>
        <v>1</v>
      </c>
      <c r="X798" s="3">
        <v>107385</v>
      </c>
      <c r="Y798" s="3">
        <f t="shared" si="223"/>
        <v>0.40955665026558563</v>
      </c>
      <c r="Z798" s="7">
        <f t="shared" si="224"/>
        <v>804.80806452292632</v>
      </c>
      <c r="AA798" s="2">
        <f t="shared" si="218"/>
        <v>-97.948064522926302</v>
      </c>
      <c r="AB798" s="8">
        <f t="shared" si="225"/>
        <v>1</v>
      </c>
      <c r="AC798" s="10">
        <v>6.875</v>
      </c>
      <c r="AD798" s="7">
        <f t="shared" si="226"/>
        <v>750.18675656545315</v>
      </c>
      <c r="AE798" s="2">
        <f t="shared" si="227"/>
        <v>-43.326756565453138</v>
      </c>
      <c r="AF798" s="10">
        <v>1</v>
      </c>
      <c r="AG798" s="3">
        <f t="shared" si="228"/>
        <v>1073.8499999999999</v>
      </c>
      <c r="AH798" s="7">
        <v>2140</v>
      </c>
      <c r="AI798">
        <f t="shared" si="229"/>
        <v>360</v>
      </c>
      <c r="AJ798" t="e">
        <f>VLOOKUP(A798,'Borrower Details'!$A$1:$H$1493,8,FALSE)</f>
        <v>#N/A</v>
      </c>
      <c r="AK798" s="4" t="e">
        <f t="shared" si="230"/>
        <v>#N/A</v>
      </c>
      <c r="AL798" s="10">
        <v>7.625</v>
      </c>
      <c r="AM798" s="3">
        <f t="shared" si="231"/>
        <v>107384.58429999999</v>
      </c>
      <c r="AN798">
        <v>7.625</v>
      </c>
      <c r="AO798" s="7">
        <f t="shared" si="232"/>
        <v>804.80494901598922</v>
      </c>
      <c r="AP798" s="2">
        <f t="shared" si="233"/>
        <v>-97.944949015989209</v>
      </c>
    </row>
    <row r="799" spans="1:42" x14ac:dyDescent="0.15">
      <c r="A799" s="8">
        <v>1174381</v>
      </c>
      <c r="B799" t="s">
        <v>35</v>
      </c>
      <c r="C799" t="s">
        <v>16</v>
      </c>
      <c r="D799" s="1">
        <v>39168</v>
      </c>
      <c r="E799" s="2">
        <v>95000</v>
      </c>
      <c r="F799" s="2">
        <v>80750</v>
      </c>
      <c r="G799" t="s">
        <v>17</v>
      </c>
      <c r="H799" s="2">
        <v>671.64</v>
      </c>
      <c r="I799" s="2">
        <v>80194.28</v>
      </c>
      <c r="J799">
        <v>9.375E-2</v>
      </c>
      <c r="K799">
        <v>13</v>
      </c>
      <c r="L799">
        <v>347</v>
      </c>
      <c r="M799" t="str">
        <f t="shared" si="219"/>
        <v>30 Year Fixed</v>
      </c>
      <c r="N799" s="2">
        <v>626.52</v>
      </c>
      <c r="O799" t="str">
        <f t="shared" si="216"/>
        <v>Refi</v>
      </c>
      <c r="P799" s="3">
        <f t="shared" si="220"/>
        <v>0</v>
      </c>
      <c r="Q799" s="4">
        <v>81397</v>
      </c>
      <c r="R799" s="4" t="s">
        <v>41</v>
      </c>
      <c r="S799" s="6">
        <v>579</v>
      </c>
      <c r="T799">
        <v>7.625</v>
      </c>
      <c r="U799" s="7">
        <f t="shared" si="217"/>
        <v>610.03829238695005</v>
      </c>
      <c r="V799" s="2">
        <f t="shared" si="221"/>
        <v>61.601707613049939</v>
      </c>
      <c r="W799" s="9">
        <f t="shared" si="222"/>
        <v>0</v>
      </c>
      <c r="X799" s="3">
        <v>81397</v>
      </c>
      <c r="Y799" s="3">
        <f t="shared" si="223"/>
        <v>-0.19133004924515262</v>
      </c>
      <c r="Z799" s="7">
        <f t="shared" si="224"/>
        <v>610.03829238695005</v>
      </c>
      <c r="AA799" s="2">
        <f t="shared" si="218"/>
        <v>61.601707613049939</v>
      </c>
      <c r="AB799" s="8">
        <f t="shared" si="225"/>
        <v>0</v>
      </c>
      <c r="AC799" s="10">
        <v>7.625</v>
      </c>
      <c r="AD799" s="7">
        <f t="shared" si="226"/>
        <v>610.03829238695005</v>
      </c>
      <c r="AE799" s="2">
        <f t="shared" si="227"/>
        <v>61.601707613049939</v>
      </c>
      <c r="AF799" s="10">
        <v>0</v>
      </c>
      <c r="AG799" s="3">
        <f t="shared" si="228"/>
        <v>0</v>
      </c>
      <c r="AH799" s="7">
        <v>3785.15625</v>
      </c>
      <c r="AI799">
        <f t="shared" si="229"/>
        <v>360</v>
      </c>
      <c r="AJ799" t="e">
        <f>VLOOKUP(A799,'Borrower Details'!$A$1:$H$1493,8,FALSE)</f>
        <v>#N/A</v>
      </c>
      <c r="AK799" s="4" t="e">
        <f t="shared" si="230"/>
        <v>#N/A</v>
      </c>
      <c r="AL799" s="10">
        <v>7.625</v>
      </c>
      <c r="AM799" s="3">
        <f t="shared" si="231"/>
        <v>81397.194199999998</v>
      </c>
      <c r="AN799">
        <v>7.625</v>
      </c>
      <c r="AO799" s="7">
        <f t="shared" si="232"/>
        <v>610.03974783907222</v>
      </c>
      <c r="AP799" s="2">
        <f t="shared" si="233"/>
        <v>61.600252160927766</v>
      </c>
    </row>
    <row r="800" spans="1:42" x14ac:dyDescent="0.15">
      <c r="A800" s="8">
        <v>410617534</v>
      </c>
      <c r="B800" t="s">
        <v>36</v>
      </c>
      <c r="C800" t="s">
        <v>19</v>
      </c>
      <c r="D800" s="1">
        <v>39283</v>
      </c>
      <c r="E800" s="2">
        <v>268000</v>
      </c>
      <c r="F800" s="2">
        <v>120000</v>
      </c>
      <c r="G800" t="s">
        <v>17</v>
      </c>
      <c r="H800" s="2">
        <v>757.7</v>
      </c>
      <c r="I800" s="2">
        <v>118397.02</v>
      </c>
      <c r="J800">
        <v>6.4899999999999999E-2</v>
      </c>
      <c r="K800">
        <v>9</v>
      </c>
      <c r="L800">
        <v>351</v>
      </c>
      <c r="M800" t="str">
        <f t="shared" si="219"/>
        <v>30 Year Fixed</v>
      </c>
      <c r="N800" s="2">
        <v>640.33000000000004</v>
      </c>
      <c r="O800" t="str">
        <f t="shared" si="216"/>
        <v>Cash Out</v>
      </c>
      <c r="P800" s="3">
        <f t="shared" si="220"/>
        <v>106036.47753694582</v>
      </c>
      <c r="Q800" s="4">
        <v>227800</v>
      </c>
      <c r="R800" s="4" t="s">
        <v>41</v>
      </c>
      <c r="S800" s="6">
        <v>637</v>
      </c>
      <c r="T800">
        <v>6.75</v>
      </c>
      <c r="U800" s="7">
        <f t="shared" si="217"/>
        <v>1572.4231306490578</v>
      </c>
      <c r="V800" s="2">
        <f t="shared" si="221"/>
        <v>-814.72313064905779</v>
      </c>
      <c r="W800" s="9">
        <f t="shared" si="222"/>
        <v>1</v>
      </c>
      <c r="X800" s="3">
        <v>120173</v>
      </c>
      <c r="Y800" s="3">
        <f t="shared" si="223"/>
        <v>2.4334975372767076E-2</v>
      </c>
      <c r="Z800" s="7">
        <f t="shared" si="224"/>
        <v>829.5118739222529</v>
      </c>
      <c r="AA800" s="2">
        <f t="shared" si="218"/>
        <v>-71.811873922252857</v>
      </c>
      <c r="AB800" s="8">
        <f t="shared" si="225"/>
        <v>1</v>
      </c>
      <c r="AC800" s="10">
        <v>6.125</v>
      </c>
      <c r="AD800" s="7">
        <f t="shared" si="226"/>
        <v>780.25589706363542</v>
      </c>
      <c r="AE800" s="2">
        <f t="shared" si="227"/>
        <v>-22.555897063635371</v>
      </c>
      <c r="AF800" s="10">
        <v>3</v>
      </c>
      <c r="AG800" s="3">
        <f t="shared" si="228"/>
        <v>3605.19</v>
      </c>
      <c r="AH800" s="7">
        <v>2400</v>
      </c>
      <c r="AI800">
        <f t="shared" si="229"/>
        <v>360</v>
      </c>
      <c r="AJ800" t="e">
        <f>VLOOKUP(A800,'Borrower Details'!$A$1:$H$1493,8,FALSE)</f>
        <v>#N/A</v>
      </c>
      <c r="AK800" s="4" t="e">
        <f t="shared" si="230"/>
        <v>#N/A</v>
      </c>
      <c r="AL800" s="10">
        <v>6.75</v>
      </c>
      <c r="AM800" s="3">
        <f t="shared" si="231"/>
        <v>120172.97529999999</v>
      </c>
      <c r="AN800">
        <v>6.75</v>
      </c>
      <c r="AO800" s="7">
        <f t="shared" si="232"/>
        <v>829.51170342685623</v>
      </c>
      <c r="AP800" s="2">
        <f t="shared" si="233"/>
        <v>-71.811703426856184</v>
      </c>
    </row>
    <row r="801" spans="1:42" x14ac:dyDescent="0.15">
      <c r="A801" s="8">
        <v>1157637</v>
      </c>
      <c r="B801" t="s">
        <v>37</v>
      </c>
      <c r="C801" t="s">
        <v>19</v>
      </c>
      <c r="D801" s="1">
        <v>39153</v>
      </c>
      <c r="E801" s="2">
        <v>129000</v>
      </c>
      <c r="F801" s="2">
        <v>122550</v>
      </c>
      <c r="G801" t="s">
        <v>15</v>
      </c>
      <c r="H801" s="2">
        <v>959.48</v>
      </c>
      <c r="I801" s="2">
        <v>122139.77</v>
      </c>
      <c r="J801">
        <v>9.1499999999999998E-2</v>
      </c>
      <c r="K801">
        <v>13</v>
      </c>
      <c r="L801">
        <v>347</v>
      </c>
      <c r="M801" t="str">
        <f t="shared" si="219"/>
        <v>30 Year Fixed</v>
      </c>
      <c r="N801" s="2">
        <v>931.32</v>
      </c>
      <c r="O801" t="str">
        <f t="shared" si="216"/>
        <v>Refi</v>
      </c>
      <c r="P801" s="3">
        <f t="shared" si="220"/>
        <v>0</v>
      </c>
      <c r="Q801" s="4">
        <v>123972</v>
      </c>
      <c r="R801" s="4" t="s">
        <v>41</v>
      </c>
      <c r="S801" s="6">
        <v>585</v>
      </c>
      <c r="T801">
        <v>7.375</v>
      </c>
      <c r="U801" s="7">
        <f t="shared" si="217"/>
        <v>907.89879397937159</v>
      </c>
      <c r="V801" s="2">
        <f t="shared" si="221"/>
        <v>51.581206020628429</v>
      </c>
      <c r="W801" s="9">
        <f t="shared" si="222"/>
        <v>0</v>
      </c>
      <c r="X801" s="3">
        <v>123972</v>
      </c>
      <c r="Y801" s="3">
        <f t="shared" si="223"/>
        <v>0.13147783251770306</v>
      </c>
      <c r="Z801" s="7">
        <f t="shared" si="224"/>
        <v>907.89879397937159</v>
      </c>
      <c r="AA801" s="2">
        <f t="shared" si="218"/>
        <v>51.581206020628429</v>
      </c>
      <c r="AB801" s="8">
        <f t="shared" si="225"/>
        <v>1</v>
      </c>
      <c r="AC801" s="10">
        <v>6.375</v>
      </c>
      <c r="AD801" s="7">
        <f t="shared" si="226"/>
        <v>825.07899097646111</v>
      </c>
      <c r="AE801" s="2">
        <f t="shared" si="227"/>
        <v>134.4010090235389</v>
      </c>
      <c r="AF801" s="10">
        <v>2.625</v>
      </c>
      <c r="AG801" s="3">
        <f t="shared" si="228"/>
        <v>3254.2649999999999</v>
      </c>
      <c r="AH801" s="7">
        <v>0</v>
      </c>
      <c r="AI801">
        <f t="shared" si="229"/>
        <v>360</v>
      </c>
      <c r="AJ801" t="e">
        <f>VLOOKUP(A801,'Borrower Details'!$A$1:$H$1493,8,FALSE)</f>
        <v>#N/A</v>
      </c>
      <c r="AK801" s="4" t="e">
        <f t="shared" si="230"/>
        <v>#N/A</v>
      </c>
      <c r="AL801" s="10">
        <v>7.375</v>
      </c>
      <c r="AM801" s="3">
        <f t="shared" si="231"/>
        <v>123971.86654999999</v>
      </c>
      <c r="AN801">
        <v>7.375</v>
      </c>
      <c r="AO801" s="7">
        <f t="shared" si="232"/>
        <v>907.89781666922045</v>
      </c>
      <c r="AP801" s="2">
        <f t="shared" si="233"/>
        <v>51.582183330779571</v>
      </c>
    </row>
    <row r="802" spans="1:42" x14ac:dyDescent="0.15">
      <c r="A802" s="8">
        <v>411040538</v>
      </c>
      <c r="B802" t="s">
        <v>35</v>
      </c>
      <c r="C802" t="s">
        <v>16</v>
      </c>
      <c r="D802" s="1">
        <v>39385</v>
      </c>
      <c r="E802" s="2">
        <v>168000</v>
      </c>
      <c r="F802" s="2">
        <v>151200</v>
      </c>
      <c r="G802" t="s">
        <v>20</v>
      </c>
      <c r="H802" s="2">
        <v>1383.09</v>
      </c>
      <c r="I802" s="2">
        <v>151018.14000000001</v>
      </c>
      <c r="J802">
        <v>0.105</v>
      </c>
      <c r="K802">
        <v>6</v>
      </c>
      <c r="L802">
        <v>357</v>
      </c>
      <c r="M802" t="str">
        <f t="shared" si="219"/>
        <v>30 Year Fixed</v>
      </c>
      <c r="N802" s="2">
        <v>1321.41</v>
      </c>
      <c r="O802" t="str">
        <f t="shared" si="216"/>
        <v>Refi</v>
      </c>
      <c r="P802" s="3">
        <f t="shared" si="220"/>
        <v>0</v>
      </c>
      <c r="Q802" s="4">
        <v>153283</v>
      </c>
      <c r="R802" s="4" t="s">
        <v>41</v>
      </c>
      <c r="S802" s="6">
        <v>631</v>
      </c>
      <c r="T802">
        <v>6.75</v>
      </c>
      <c r="U802" s="7">
        <f t="shared" si="217"/>
        <v>1058.0585370293218</v>
      </c>
      <c r="V802" s="2">
        <f t="shared" si="221"/>
        <v>325.03146297067815</v>
      </c>
      <c r="W802" s="9">
        <f t="shared" si="222"/>
        <v>0</v>
      </c>
      <c r="X802" s="3">
        <v>153283</v>
      </c>
      <c r="Y802" s="3">
        <f t="shared" si="223"/>
        <v>-0.40600985221681185</v>
      </c>
      <c r="Z802" s="7">
        <f t="shared" si="224"/>
        <v>1058.0585370293218</v>
      </c>
      <c r="AA802" s="2">
        <f t="shared" si="218"/>
        <v>325.03146297067815</v>
      </c>
      <c r="AB802" s="8">
        <f t="shared" si="225"/>
        <v>0</v>
      </c>
      <c r="AC802" s="10">
        <v>6.75</v>
      </c>
      <c r="AD802" s="7">
        <f t="shared" si="226"/>
        <v>1058.0585370293218</v>
      </c>
      <c r="AE802" s="2">
        <f t="shared" si="227"/>
        <v>325.03146297067815</v>
      </c>
      <c r="AF802" s="10">
        <v>0</v>
      </c>
      <c r="AG802" s="3">
        <f t="shared" si="228"/>
        <v>0</v>
      </c>
      <c r="AH802" s="7">
        <v>7938</v>
      </c>
      <c r="AI802">
        <f t="shared" si="229"/>
        <v>360</v>
      </c>
      <c r="AJ802" t="e">
        <f>VLOOKUP(A802,'Borrower Details'!$A$1:$H$1493,8,FALSE)</f>
        <v>#N/A</v>
      </c>
      <c r="AK802" s="4" t="e">
        <f t="shared" si="230"/>
        <v>#N/A</v>
      </c>
      <c r="AL802" s="10">
        <v>6.75</v>
      </c>
      <c r="AM802" s="3">
        <f t="shared" si="231"/>
        <v>153283.41209999999</v>
      </c>
      <c r="AN802">
        <v>6.75</v>
      </c>
      <c r="AO802" s="7">
        <f t="shared" si="232"/>
        <v>1058.061381610411</v>
      </c>
      <c r="AP802" s="2">
        <f t="shared" si="233"/>
        <v>325.02861838958893</v>
      </c>
    </row>
    <row r="803" spans="1:42" x14ac:dyDescent="0.15">
      <c r="A803" s="8">
        <v>410526198</v>
      </c>
      <c r="B803" t="s">
        <v>35</v>
      </c>
      <c r="C803" t="s">
        <v>16</v>
      </c>
      <c r="D803" s="1">
        <v>39279</v>
      </c>
      <c r="E803" s="2">
        <v>156000</v>
      </c>
      <c r="F803" s="2">
        <v>134000</v>
      </c>
      <c r="G803" t="s">
        <v>17</v>
      </c>
      <c r="H803" s="2">
        <v>917.76</v>
      </c>
      <c r="I803" s="2">
        <v>132934.09</v>
      </c>
      <c r="J803">
        <v>7.2900000000000006E-2</v>
      </c>
      <c r="K803">
        <v>9</v>
      </c>
      <c r="L803">
        <v>350</v>
      </c>
      <c r="M803" t="str">
        <f t="shared" si="219"/>
        <v>30 Year Fixed</v>
      </c>
      <c r="N803" s="2">
        <v>808.24</v>
      </c>
      <c r="O803" t="str">
        <f t="shared" si="216"/>
        <v>Refi</v>
      </c>
      <c r="P803" s="3">
        <f t="shared" si="220"/>
        <v>0</v>
      </c>
      <c r="Q803" s="4">
        <v>134928</v>
      </c>
      <c r="R803" s="4" t="s">
        <v>41</v>
      </c>
      <c r="S803" s="6">
        <v>668</v>
      </c>
      <c r="T803">
        <v>6.75</v>
      </c>
      <c r="U803" s="7">
        <f t="shared" si="217"/>
        <v>931.36043973755955</v>
      </c>
      <c r="V803" s="2">
        <f t="shared" si="221"/>
        <v>-13.600439737559554</v>
      </c>
      <c r="W803" s="9">
        <f t="shared" si="222"/>
        <v>0</v>
      </c>
      <c r="X803" s="3">
        <v>134928</v>
      </c>
      <c r="Y803" s="3">
        <f t="shared" si="223"/>
        <v>-9.9852216721046716E-2</v>
      </c>
      <c r="Z803" s="7">
        <f t="shared" si="224"/>
        <v>931.36043973755955</v>
      </c>
      <c r="AA803" s="2">
        <f t="shared" si="218"/>
        <v>-13.600439737559554</v>
      </c>
      <c r="AB803" s="8">
        <f t="shared" si="225"/>
        <v>1</v>
      </c>
      <c r="AC803" s="10">
        <v>6.125</v>
      </c>
      <c r="AD803" s="7">
        <f t="shared" si="226"/>
        <v>876.05674884543294</v>
      </c>
      <c r="AE803" s="2">
        <f t="shared" si="227"/>
        <v>41.703251154567056</v>
      </c>
      <c r="AF803" s="10">
        <v>3</v>
      </c>
      <c r="AG803" s="3">
        <f t="shared" si="228"/>
        <v>4047.84</v>
      </c>
      <c r="AH803" s="7">
        <v>4884.3</v>
      </c>
      <c r="AI803">
        <f t="shared" si="229"/>
        <v>360</v>
      </c>
      <c r="AJ803" t="e">
        <f>VLOOKUP(A803,'Borrower Details'!$A$1:$H$1493,8,FALSE)</f>
        <v>#N/A</v>
      </c>
      <c r="AK803" s="4" t="e">
        <f t="shared" si="230"/>
        <v>#N/A</v>
      </c>
      <c r="AL803" s="10">
        <v>6.75</v>
      </c>
      <c r="AM803" s="3">
        <f t="shared" si="231"/>
        <v>134928.10134999998</v>
      </c>
      <c r="AN803">
        <v>6.75</v>
      </c>
      <c r="AO803" s="7">
        <f t="shared" si="232"/>
        <v>931.361139320897</v>
      </c>
      <c r="AP803" s="2">
        <f t="shared" si="233"/>
        <v>-13.601139320897005</v>
      </c>
    </row>
    <row r="804" spans="1:42" x14ac:dyDescent="0.15">
      <c r="A804" s="8">
        <v>410495436</v>
      </c>
      <c r="B804" t="s">
        <v>36</v>
      </c>
      <c r="C804" t="s">
        <v>19</v>
      </c>
      <c r="D804" s="1">
        <v>39260</v>
      </c>
      <c r="E804" s="2">
        <v>212000</v>
      </c>
      <c r="F804" s="2">
        <v>180200</v>
      </c>
      <c r="G804" t="s">
        <v>15</v>
      </c>
      <c r="H804" s="2">
        <v>1438.74</v>
      </c>
      <c r="I804" s="2">
        <v>179791.52</v>
      </c>
      <c r="J804">
        <v>9.35E-2</v>
      </c>
      <c r="K804">
        <v>10</v>
      </c>
      <c r="L804">
        <v>351</v>
      </c>
      <c r="M804" t="str">
        <f t="shared" si="219"/>
        <v>30 Year Fixed</v>
      </c>
      <c r="N804" s="2">
        <v>1400.88</v>
      </c>
      <c r="O804" t="str">
        <f t="shared" si="216"/>
        <v>Refi</v>
      </c>
      <c r="P804" s="3">
        <f t="shared" si="220"/>
        <v>0</v>
      </c>
      <c r="Q804" s="4">
        <v>182488</v>
      </c>
      <c r="R804" s="4" t="s">
        <v>41</v>
      </c>
      <c r="S804" s="6">
        <v>553</v>
      </c>
      <c r="T804">
        <v>7.625</v>
      </c>
      <c r="U804" s="7">
        <f t="shared" si="217"/>
        <v>1367.6753185143154</v>
      </c>
      <c r="V804" s="2">
        <f t="shared" si="221"/>
        <v>71.064681485684559</v>
      </c>
      <c r="W804" s="9">
        <f t="shared" si="222"/>
        <v>0</v>
      </c>
      <c r="X804" s="3">
        <v>182489</v>
      </c>
      <c r="Y804" s="3">
        <f t="shared" si="223"/>
        <v>0.59822660102508962</v>
      </c>
      <c r="Z804" s="7">
        <f t="shared" si="224"/>
        <v>1367.6828131184459</v>
      </c>
      <c r="AA804" s="2">
        <f t="shared" si="218"/>
        <v>71.057186881554117</v>
      </c>
      <c r="AB804" s="8">
        <f t="shared" si="225"/>
        <v>1</v>
      </c>
      <c r="AC804" s="10">
        <v>6.875</v>
      </c>
      <c r="AD804" s="7">
        <f t="shared" si="226"/>
        <v>1274.8599061216464</v>
      </c>
      <c r="AE804" s="2">
        <f t="shared" si="227"/>
        <v>163.88009387835359</v>
      </c>
      <c r="AF804" s="10">
        <v>0.875</v>
      </c>
      <c r="AG804" s="3">
        <f t="shared" si="228"/>
        <v>1596.7787499999999</v>
      </c>
      <c r="AH804" s="7">
        <v>3604</v>
      </c>
      <c r="AI804">
        <f t="shared" si="229"/>
        <v>360</v>
      </c>
      <c r="AJ804" t="e">
        <f>VLOOKUP(A804,'Borrower Details'!$A$1:$H$1493,8,FALSE)</f>
        <v>#N/A</v>
      </c>
      <c r="AK804" s="4" t="e">
        <f t="shared" si="230"/>
        <v>#N/A</v>
      </c>
      <c r="AL804" s="10">
        <v>7.625</v>
      </c>
      <c r="AM804" s="3">
        <f t="shared" si="231"/>
        <v>182488.39279999997</v>
      </c>
      <c r="AN804">
        <v>7.625</v>
      </c>
      <c r="AO804" s="7">
        <f t="shared" si="232"/>
        <v>1367.6782623948175</v>
      </c>
      <c r="AP804" s="2">
        <f t="shared" si="233"/>
        <v>71.061737605182543</v>
      </c>
    </row>
    <row r="805" spans="1:42" x14ac:dyDescent="0.15">
      <c r="A805" s="8">
        <v>411241136</v>
      </c>
      <c r="B805" t="s">
        <v>36</v>
      </c>
      <c r="C805" t="s">
        <v>16</v>
      </c>
      <c r="D805" s="1">
        <v>39476</v>
      </c>
      <c r="E805" s="2">
        <v>120000</v>
      </c>
      <c r="F805" s="2">
        <v>84700</v>
      </c>
      <c r="G805" t="s">
        <v>17</v>
      </c>
      <c r="H805" s="2">
        <v>693.74</v>
      </c>
      <c r="I805" s="2">
        <v>84565.86</v>
      </c>
      <c r="J805">
        <v>9.1999999999999998E-2</v>
      </c>
      <c r="K805">
        <v>3</v>
      </c>
      <c r="L805">
        <v>357</v>
      </c>
      <c r="M805" t="str">
        <f t="shared" si="219"/>
        <v>30 Year Fixed</v>
      </c>
      <c r="N805" s="2">
        <v>648.34</v>
      </c>
      <c r="O805" t="str">
        <f t="shared" si="216"/>
        <v>Cash Out</v>
      </c>
      <c r="P805" s="3">
        <f t="shared" si="220"/>
        <v>15926.750837438434</v>
      </c>
      <c r="Q805" s="4">
        <v>102000</v>
      </c>
      <c r="R805" s="4" t="s">
        <v>41</v>
      </c>
      <c r="S805" s="6">
        <v>549</v>
      </c>
      <c r="T805">
        <v>7.625</v>
      </c>
      <c r="U805" s="7">
        <f t="shared" si="217"/>
        <v>764.44962128172915</v>
      </c>
      <c r="V805" s="2">
        <f t="shared" si="221"/>
        <v>-70.709621281729142</v>
      </c>
      <c r="W805" s="9">
        <f t="shared" si="222"/>
        <v>1</v>
      </c>
      <c r="X805" s="3">
        <v>92490</v>
      </c>
      <c r="Y805" s="3">
        <f t="shared" si="223"/>
        <v>6557.2927093596081</v>
      </c>
      <c r="Z805" s="7">
        <f t="shared" si="224"/>
        <v>693.17593600340319</v>
      </c>
      <c r="AA805" s="2">
        <f t="shared" si="218"/>
        <v>0.56406399659681483</v>
      </c>
      <c r="AB805" s="8">
        <f t="shared" si="225"/>
        <v>0</v>
      </c>
      <c r="AC805" s="10">
        <v>7.625</v>
      </c>
      <c r="AD805" s="7">
        <f t="shared" si="226"/>
        <v>693.17593600340319</v>
      </c>
      <c r="AE805" s="2">
        <f t="shared" si="227"/>
        <v>0.56406399659681483</v>
      </c>
      <c r="AF805" s="10">
        <v>0</v>
      </c>
      <c r="AG805" s="3">
        <f t="shared" si="228"/>
        <v>0</v>
      </c>
      <c r="AH805" s="7">
        <v>1694</v>
      </c>
      <c r="AI805">
        <f t="shared" si="229"/>
        <v>360</v>
      </c>
      <c r="AJ805" t="e">
        <f>VLOOKUP(A805,'Borrower Details'!$A$1:$H$1493,8,FALSE)</f>
        <v>#N/A</v>
      </c>
      <c r="AK805" s="4" t="e">
        <f t="shared" si="230"/>
        <v>#N/A</v>
      </c>
      <c r="AL805" s="10">
        <v>7.625</v>
      </c>
      <c r="AM805" s="3">
        <f t="shared" si="231"/>
        <v>85834.347899999993</v>
      </c>
      <c r="AN805">
        <v>7.625</v>
      </c>
      <c r="AO805" s="7">
        <f t="shared" si="232"/>
        <v>643.29445828548216</v>
      </c>
      <c r="AP805" s="2">
        <f t="shared" si="233"/>
        <v>50.445541714517844</v>
      </c>
    </row>
    <row r="806" spans="1:42" x14ac:dyDescent="0.15">
      <c r="A806" s="8">
        <v>410892798</v>
      </c>
      <c r="B806" t="s">
        <v>38</v>
      </c>
      <c r="C806" t="s">
        <v>16</v>
      </c>
      <c r="D806" s="1">
        <v>39329</v>
      </c>
      <c r="E806" s="2">
        <v>186000</v>
      </c>
      <c r="F806" s="2">
        <v>167400</v>
      </c>
      <c r="G806" t="s">
        <v>20</v>
      </c>
      <c r="H806" s="2">
        <v>1492.65</v>
      </c>
      <c r="I806" s="2">
        <v>167400</v>
      </c>
      <c r="J806">
        <v>0.107</v>
      </c>
      <c r="K806">
        <v>7</v>
      </c>
      <c r="L806">
        <v>353</v>
      </c>
      <c r="M806" t="str">
        <f t="shared" si="219"/>
        <v>30 Year Fixed</v>
      </c>
      <c r="N806" s="2">
        <v>1492.65</v>
      </c>
      <c r="O806" t="str">
        <f t="shared" si="216"/>
        <v>Refi</v>
      </c>
      <c r="P806" s="3">
        <f t="shared" si="220"/>
        <v>0</v>
      </c>
      <c r="Q806" s="4">
        <v>169911</v>
      </c>
      <c r="R806" s="4" t="s">
        <v>41</v>
      </c>
      <c r="S806" s="6">
        <v>632</v>
      </c>
      <c r="T806">
        <v>6.75</v>
      </c>
      <c r="U806" s="7">
        <f t="shared" si="217"/>
        <v>1172.8357618600178</v>
      </c>
      <c r="V806" s="2">
        <f t="shared" si="221"/>
        <v>319.81423813998231</v>
      </c>
      <c r="W806" s="9">
        <f t="shared" si="222"/>
        <v>0</v>
      </c>
      <c r="X806" s="3">
        <v>169911</v>
      </c>
      <c r="Y806" s="3">
        <f t="shared" si="223"/>
        <v>0</v>
      </c>
      <c r="Z806" s="7">
        <f t="shared" si="224"/>
        <v>1172.8357618600178</v>
      </c>
      <c r="AA806" s="2">
        <f t="shared" si="218"/>
        <v>319.81423813998231</v>
      </c>
      <c r="AB806" s="8">
        <f t="shared" si="225"/>
        <v>0</v>
      </c>
      <c r="AC806" s="10">
        <v>6.75</v>
      </c>
      <c r="AD806" s="7">
        <f t="shared" si="226"/>
        <v>1172.8357618600178</v>
      </c>
      <c r="AE806" s="2">
        <f t="shared" si="227"/>
        <v>319.81423813998231</v>
      </c>
      <c r="AF806" s="10">
        <v>0</v>
      </c>
      <c r="AG806" s="3">
        <f t="shared" si="228"/>
        <v>0</v>
      </c>
      <c r="AH806" s="7">
        <v>0</v>
      </c>
      <c r="AI806">
        <f t="shared" si="229"/>
        <v>360</v>
      </c>
      <c r="AJ806" t="e">
        <f>VLOOKUP(A806,'Borrower Details'!$A$1:$H$1493,8,FALSE)</f>
        <v>#N/A</v>
      </c>
      <c r="AK806" s="4" t="e">
        <f t="shared" si="230"/>
        <v>#N/A</v>
      </c>
      <c r="AL806" s="10">
        <v>6.75</v>
      </c>
      <c r="AM806" s="3">
        <f t="shared" si="231"/>
        <v>169910.99999999997</v>
      </c>
      <c r="AN806">
        <v>6.75</v>
      </c>
      <c r="AO806" s="7">
        <f t="shared" si="232"/>
        <v>1172.8357618600176</v>
      </c>
      <c r="AP806" s="2">
        <f t="shared" si="233"/>
        <v>319.81423813998254</v>
      </c>
    </row>
    <row r="807" spans="1:42" x14ac:dyDescent="0.15">
      <c r="A807" s="8">
        <v>1186887</v>
      </c>
      <c r="B807" t="s">
        <v>36</v>
      </c>
      <c r="C807" t="s">
        <v>19</v>
      </c>
      <c r="D807" s="1">
        <v>39182</v>
      </c>
      <c r="E807" s="2">
        <v>540000</v>
      </c>
      <c r="F807" s="2">
        <v>375000</v>
      </c>
      <c r="G807" t="s">
        <v>20</v>
      </c>
      <c r="H807" s="2">
        <v>2495.85</v>
      </c>
      <c r="I807" s="2">
        <v>374316.67</v>
      </c>
      <c r="J807">
        <v>7.825E-2</v>
      </c>
      <c r="K807">
        <v>12</v>
      </c>
      <c r="L807">
        <v>347</v>
      </c>
      <c r="M807" t="str">
        <f t="shared" si="219"/>
        <v>30 Year Fixed</v>
      </c>
      <c r="N807" s="2">
        <v>2441.21</v>
      </c>
      <c r="O807" t="str">
        <f t="shared" si="216"/>
        <v>Cash Out</v>
      </c>
      <c r="P807" s="3">
        <f t="shared" si="220"/>
        <v>77900.078768472944</v>
      </c>
      <c r="Q807" s="4">
        <v>459000</v>
      </c>
      <c r="R807" s="4" t="s">
        <v>41</v>
      </c>
      <c r="S807" s="6">
        <v>598</v>
      </c>
      <c r="T807">
        <v>7.625</v>
      </c>
      <c r="U807" s="7">
        <f t="shared" si="217"/>
        <v>3440.0232957677808</v>
      </c>
      <c r="V807" s="2">
        <f t="shared" si="221"/>
        <v>-944.17329576778093</v>
      </c>
      <c r="W807" s="9">
        <f t="shared" si="222"/>
        <v>1</v>
      </c>
      <c r="X807" s="3">
        <v>379932</v>
      </c>
      <c r="Y807" s="3">
        <f t="shared" si="223"/>
        <v>0.5713793103932403</v>
      </c>
      <c r="Z807" s="7">
        <f t="shared" si="224"/>
        <v>2847.4399364000969</v>
      </c>
      <c r="AA807" s="2">
        <f t="shared" si="218"/>
        <v>-351.58993640009703</v>
      </c>
      <c r="AB807" s="8">
        <f t="shared" si="225"/>
        <v>1</v>
      </c>
      <c r="AC807" s="10">
        <v>6.875</v>
      </c>
      <c r="AD807" s="7">
        <f t="shared" si="226"/>
        <v>2654.1877803736625</v>
      </c>
      <c r="AE807" s="2">
        <f t="shared" si="227"/>
        <v>-158.33778037366255</v>
      </c>
      <c r="AF807" s="10">
        <v>1.75</v>
      </c>
      <c r="AG807" s="3">
        <f t="shared" si="228"/>
        <v>6648.81</v>
      </c>
      <c r="AH807" s="7">
        <v>7500</v>
      </c>
      <c r="AI807">
        <f t="shared" si="229"/>
        <v>360</v>
      </c>
      <c r="AJ807" t="e">
        <f>VLOOKUP(A807,'Borrower Details'!$A$1:$H$1493,8,FALSE)</f>
        <v>#N/A</v>
      </c>
      <c r="AK807" s="4" t="e">
        <f t="shared" si="230"/>
        <v>#N/A</v>
      </c>
      <c r="AL807" s="10">
        <v>7.625</v>
      </c>
      <c r="AM807" s="3">
        <f t="shared" si="231"/>
        <v>379931.42004999996</v>
      </c>
      <c r="AN807">
        <v>7.625</v>
      </c>
      <c r="AO807" s="7">
        <f t="shared" si="232"/>
        <v>2847.4355899044313</v>
      </c>
      <c r="AP807" s="2">
        <f t="shared" si="233"/>
        <v>-351.58558990443134</v>
      </c>
    </row>
    <row r="808" spans="1:42" x14ac:dyDescent="0.15">
      <c r="A808" s="8">
        <v>410011712</v>
      </c>
      <c r="B808" t="s">
        <v>36</v>
      </c>
      <c r="C808" t="s">
        <v>19</v>
      </c>
      <c r="D808" s="1">
        <v>39188</v>
      </c>
      <c r="E808" s="2">
        <v>360000</v>
      </c>
      <c r="F808" s="2">
        <v>261000</v>
      </c>
      <c r="G808" t="s">
        <v>17</v>
      </c>
      <c r="H808" s="2">
        <v>1789.35</v>
      </c>
      <c r="I808" s="2">
        <v>258713.01</v>
      </c>
      <c r="J808">
        <v>7.2999999999999995E-2</v>
      </c>
      <c r="K808">
        <v>12</v>
      </c>
      <c r="L808">
        <v>349</v>
      </c>
      <c r="M808" t="str">
        <f t="shared" si="219"/>
        <v>30 Year Fixed</v>
      </c>
      <c r="N808" s="2">
        <v>1573.84</v>
      </c>
      <c r="O808" t="str">
        <f t="shared" si="216"/>
        <v>Cash Out</v>
      </c>
      <c r="P808" s="3">
        <f t="shared" si="220"/>
        <v>42764.822512315295</v>
      </c>
      <c r="Q808" s="4">
        <v>306000</v>
      </c>
      <c r="R808" s="4" t="s">
        <v>41</v>
      </c>
      <c r="S808" s="6">
        <v>592</v>
      </c>
      <c r="T808">
        <v>7.375</v>
      </c>
      <c r="U808" s="7">
        <f t="shared" si="217"/>
        <v>2240.9659516478537</v>
      </c>
      <c r="V808" s="2">
        <f t="shared" si="221"/>
        <v>-451.61595164785376</v>
      </c>
      <c r="W808" s="9">
        <f t="shared" si="222"/>
        <v>1</v>
      </c>
      <c r="X808" s="3">
        <v>262594</v>
      </c>
      <c r="Y808" s="3">
        <f t="shared" si="223"/>
        <v>0.29049261086038314</v>
      </c>
      <c r="Z808" s="7">
        <f t="shared" si="224"/>
        <v>1923.0856637484198</v>
      </c>
      <c r="AA808" s="2">
        <f t="shared" si="218"/>
        <v>-133.73566374841994</v>
      </c>
      <c r="AB808" s="8">
        <f t="shared" si="225"/>
        <v>1</v>
      </c>
      <c r="AC808" s="10">
        <v>6.625</v>
      </c>
      <c r="AD808" s="7">
        <f t="shared" si="226"/>
        <v>1790.8323317922611</v>
      </c>
      <c r="AE808" s="2">
        <f t="shared" si="227"/>
        <v>-1.4823317922612205</v>
      </c>
      <c r="AF808" s="10">
        <v>1.875</v>
      </c>
      <c r="AG808" s="3">
        <f t="shared" si="228"/>
        <v>4923.6374999999998</v>
      </c>
      <c r="AH808" s="7">
        <v>5220</v>
      </c>
      <c r="AI808">
        <f t="shared" si="229"/>
        <v>360</v>
      </c>
      <c r="AJ808" t="e">
        <f>VLOOKUP(A808,'Borrower Details'!$A$1:$H$1493,8,FALSE)</f>
        <v>#N/A</v>
      </c>
      <c r="AK808" s="4" t="e">
        <f t="shared" si="230"/>
        <v>#N/A</v>
      </c>
      <c r="AL808" s="10">
        <v>7.375</v>
      </c>
      <c r="AM808" s="3">
        <f t="shared" si="231"/>
        <v>262593.70514999999</v>
      </c>
      <c r="AN808">
        <v>7.375</v>
      </c>
      <c r="AO808" s="7">
        <f t="shared" si="232"/>
        <v>1923.0835044385806</v>
      </c>
      <c r="AP808" s="2">
        <f t="shared" si="233"/>
        <v>-133.73350443858067</v>
      </c>
    </row>
    <row r="809" spans="1:42" x14ac:dyDescent="0.15">
      <c r="A809" s="8">
        <v>411143092</v>
      </c>
      <c r="B809" t="s">
        <v>37</v>
      </c>
      <c r="C809" t="s">
        <v>16</v>
      </c>
      <c r="D809" s="1">
        <v>39426</v>
      </c>
      <c r="E809" s="2">
        <v>130000</v>
      </c>
      <c r="F809" s="2">
        <v>110250</v>
      </c>
      <c r="G809" t="s">
        <v>17</v>
      </c>
      <c r="H809" s="2">
        <v>847.73</v>
      </c>
      <c r="I809" s="2">
        <v>109979.98</v>
      </c>
      <c r="J809">
        <v>8.5000000000000006E-2</v>
      </c>
      <c r="K809">
        <v>4</v>
      </c>
      <c r="L809">
        <v>356</v>
      </c>
      <c r="M809" t="str">
        <f t="shared" si="219"/>
        <v>30 Year Fixed</v>
      </c>
      <c r="N809" s="2">
        <v>779.02</v>
      </c>
      <c r="O809" t="str">
        <f t="shared" si="216"/>
        <v>Refi</v>
      </c>
      <c r="P809" s="3">
        <f t="shared" si="220"/>
        <v>0</v>
      </c>
      <c r="Q809" s="4">
        <v>111630</v>
      </c>
      <c r="R809" s="4" t="s">
        <v>41</v>
      </c>
      <c r="S809" s="6">
        <v>627</v>
      </c>
      <c r="T809">
        <v>6.75</v>
      </c>
      <c r="U809" s="7">
        <f t="shared" si="217"/>
        <v>770.54255519909714</v>
      </c>
      <c r="V809" s="2">
        <f t="shared" si="221"/>
        <v>77.187444800902881</v>
      </c>
      <c r="W809" s="9">
        <f t="shared" si="222"/>
        <v>0</v>
      </c>
      <c r="X809" s="3">
        <v>111630</v>
      </c>
      <c r="Y809" s="3">
        <f t="shared" si="223"/>
        <v>0.31556650248239748</v>
      </c>
      <c r="Z809" s="7">
        <f t="shared" si="224"/>
        <v>770.54255519909714</v>
      </c>
      <c r="AA809" s="2">
        <f t="shared" si="218"/>
        <v>77.187444800902881</v>
      </c>
      <c r="AB809" s="8">
        <f t="shared" si="225"/>
        <v>0</v>
      </c>
      <c r="AC809" s="10">
        <v>6.75</v>
      </c>
      <c r="AD809" s="7">
        <f t="shared" si="226"/>
        <v>770.54255519909714</v>
      </c>
      <c r="AE809" s="2">
        <f t="shared" si="227"/>
        <v>77.187444800902881</v>
      </c>
      <c r="AF809" s="10">
        <v>0</v>
      </c>
      <c r="AG809" s="3">
        <f t="shared" si="228"/>
        <v>0</v>
      </c>
      <c r="AH809" s="7">
        <v>0</v>
      </c>
      <c r="AI809">
        <f t="shared" si="229"/>
        <v>360</v>
      </c>
      <c r="AJ809" t="e">
        <f>VLOOKUP(A809,'Borrower Details'!$A$1:$H$1493,8,FALSE)</f>
        <v>#N/A</v>
      </c>
      <c r="AK809" s="4" t="e">
        <f t="shared" si="230"/>
        <v>#N/A</v>
      </c>
      <c r="AL809" s="10">
        <v>6.75</v>
      </c>
      <c r="AM809" s="3">
        <f t="shared" si="231"/>
        <v>111629.67969999998</v>
      </c>
      <c r="AN809">
        <v>6.75</v>
      </c>
      <c r="AO809" s="7">
        <f t="shared" si="232"/>
        <v>770.54034428106024</v>
      </c>
      <c r="AP809" s="2">
        <f t="shared" si="233"/>
        <v>77.189655718939775</v>
      </c>
    </row>
    <row r="810" spans="1:42" x14ac:dyDescent="0.15">
      <c r="A810" s="8">
        <v>411264302</v>
      </c>
      <c r="B810" t="s">
        <v>36</v>
      </c>
      <c r="C810" t="s">
        <v>16</v>
      </c>
      <c r="D810" s="1">
        <v>39483</v>
      </c>
      <c r="E810" s="2">
        <v>170000</v>
      </c>
      <c r="F810" s="2">
        <v>153000</v>
      </c>
      <c r="G810" t="s">
        <v>20</v>
      </c>
      <c r="H810" s="2">
        <v>1140.3</v>
      </c>
      <c r="I810" s="2">
        <v>152926.03</v>
      </c>
      <c r="J810">
        <v>8.6599999999999996E-2</v>
      </c>
      <c r="K810">
        <v>3</v>
      </c>
      <c r="L810">
        <v>358</v>
      </c>
      <c r="M810" t="str">
        <f t="shared" si="219"/>
        <v>30 Year Fixed</v>
      </c>
      <c r="N810" s="2">
        <v>1103.6199999999999</v>
      </c>
      <c r="O810" t="str">
        <f t="shared" si="216"/>
        <v>Refi</v>
      </c>
      <c r="P810" s="3">
        <f t="shared" si="220"/>
        <v>0</v>
      </c>
      <c r="Q810" s="4">
        <v>155220</v>
      </c>
      <c r="R810" s="4" t="s">
        <v>41</v>
      </c>
      <c r="S810" s="6">
        <v>650</v>
      </c>
      <c r="T810">
        <v>6.75</v>
      </c>
      <c r="U810" s="7">
        <f t="shared" si="217"/>
        <v>1071.4289654931815</v>
      </c>
      <c r="V810" s="2">
        <f t="shared" si="221"/>
        <v>68.871034506818432</v>
      </c>
      <c r="W810" s="9">
        <f t="shared" si="222"/>
        <v>0</v>
      </c>
      <c r="X810" s="3">
        <v>155220</v>
      </c>
      <c r="Y810" s="3">
        <f t="shared" si="223"/>
        <v>7.837438426213339E-2</v>
      </c>
      <c r="Z810" s="7">
        <f t="shared" si="224"/>
        <v>1071.4289654931815</v>
      </c>
      <c r="AA810" s="2">
        <f t="shared" si="218"/>
        <v>68.871034506818432</v>
      </c>
      <c r="AB810" s="8">
        <f t="shared" si="225"/>
        <v>1</v>
      </c>
      <c r="AC810" s="10">
        <v>6.125</v>
      </c>
      <c r="AD810" s="7">
        <f t="shared" si="226"/>
        <v>1007.8080795371463</v>
      </c>
      <c r="AE810" s="2">
        <f t="shared" si="227"/>
        <v>132.49192046285361</v>
      </c>
      <c r="AF810" s="10">
        <v>3</v>
      </c>
      <c r="AG810" s="3">
        <f t="shared" si="228"/>
        <v>4656.6000000000004</v>
      </c>
      <c r="AH810" s="7">
        <v>3060</v>
      </c>
      <c r="AI810">
        <f t="shared" si="229"/>
        <v>360</v>
      </c>
      <c r="AJ810" t="e">
        <f>VLOOKUP(A810,'Borrower Details'!$A$1:$H$1493,8,FALSE)</f>
        <v>#N/A</v>
      </c>
      <c r="AK810" s="4" t="e">
        <f t="shared" si="230"/>
        <v>#N/A</v>
      </c>
      <c r="AL810" s="10">
        <v>6.75</v>
      </c>
      <c r="AM810" s="3">
        <f t="shared" si="231"/>
        <v>155219.92044999998</v>
      </c>
      <c r="AN810">
        <v>6.75</v>
      </c>
      <c r="AO810" s="7">
        <f t="shared" si="232"/>
        <v>1071.4284163875623</v>
      </c>
      <c r="AP810" s="2">
        <f t="shared" si="233"/>
        <v>68.871583612437689</v>
      </c>
    </row>
    <row r="811" spans="1:42" x14ac:dyDescent="0.15">
      <c r="A811" s="8">
        <v>411310550</v>
      </c>
      <c r="B811" t="s">
        <v>36</v>
      </c>
      <c r="C811" t="s">
        <v>16</v>
      </c>
      <c r="D811" s="1">
        <v>39499</v>
      </c>
      <c r="E811" s="2">
        <v>140000</v>
      </c>
      <c r="F811" s="2">
        <v>100000</v>
      </c>
      <c r="G811" t="s">
        <v>17</v>
      </c>
      <c r="H811" s="2">
        <v>801.03</v>
      </c>
      <c r="I811" s="2">
        <v>99889.19</v>
      </c>
      <c r="J811">
        <v>8.9499999999999996E-2</v>
      </c>
      <c r="K811">
        <v>2</v>
      </c>
      <c r="L811">
        <v>358</v>
      </c>
      <c r="M811" t="str">
        <f t="shared" si="219"/>
        <v>30 Year Fixed</v>
      </c>
      <c r="N811" s="2">
        <v>745.01</v>
      </c>
      <c r="O811" t="str">
        <f t="shared" si="216"/>
        <v>Cash Out</v>
      </c>
      <c r="P811" s="3">
        <f t="shared" si="220"/>
        <v>17352.189310344838</v>
      </c>
      <c r="Q811" s="4">
        <v>119000</v>
      </c>
      <c r="R811" s="4" t="s">
        <v>41</v>
      </c>
      <c r="S811" s="6">
        <v>759</v>
      </c>
      <c r="T811">
        <v>6.75</v>
      </c>
      <c r="U811" s="7">
        <f t="shared" si="217"/>
        <v>821.41506824950784</v>
      </c>
      <c r="V811" s="2">
        <f t="shared" si="221"/>
        <v>-20.385068249507867</v>
      </c>
      <c r="W811" s="9">
        <f t="shared" si="222"/>
        <v>1</v>
      </c>
      <c r="X811" s="3">
        <v>115970</v>
      </c>
      <c r="Y811" s="3">
        <f t="shared" si="223"/>
        <v>14366.967635467983</v>
      </c>
      <c r="Z811" s="7">
        <f t="shared" si="224"/>
        <v>800.50004592349092</v>
      </c>
      <c r="AA811" s="2">
        <f t="shared" si="218"/>
        <v>0.5299540765090569</v>
      </c>
      <c r="AB811" s="8">
        <f t="shared" si="225"/>
        <v>0</v>
      </c>
      <c r="AC811" s="10">
        <v>6.75</v>
      </c>
      <c r="AD811" s="7">
        <f t="shared" si="226"/>
        <v>800.50004592349092</v>
      </c>
      <c r="AE811" s="2">
        <f t="shared" si="227"/>
        <v>0.5299540765090569</v>
      </c>
      <c r="AF811" s="10">
        <v>0</v>
      </c>
      <c r="AG811" s="3">
        <f t="shared" si="228"/>
        <v>0</v>
      </c>
      <c r="AH811" s="7">
        <v>2000</v>
      </c>
      <c r="AI811">
        <f t="shared" si="229"/>
        <v>360</v>
      </c>
      <c r="AJ811" t="e">
        <f>VLOOKUP(A811,'Borrower Details'!$A$1:$H$1493,8,FALSE)</f>
        <v>#N/A</v>
      </c>
      <c r="AK811" s="4" t="e">
        <f t="shared" si="230"/>
        <v>#N/A</v>
      </c>
      <c r="AL811" s="10">
        <v>6.75</v>
      </c>
      <c r="AM811" s="3">
        <f t="shared" si="231"/>
        <v>101387.52785</v>
      </c>
      <c r="AN811">
        <v>6.75</v>
      </c>
      <c r="AO811" s="7">
        <f t="shared" si="232"/>
        <v>699.84237906350097</v>
      </c>
      <c r="AP811" s="2">
        <f t="shared" si="233"/>
        <v>101.187620936499</v>
      </c>
    </row>
    <row r="812" spans="1:42" x14ac:dyDescent="0.15">
      <c r="A812" s="8">
        <v>410469316</v>
      </c>
      <c r="B812" t="s">
        <v>35</v>
      </c>
      <c r="C812" t="s">
        <v>16</v>
      </c>
      <c r="D812" s="1">
        <v>39280</v>
      </c>
      <c r="E812" s="2">
        <v>160000</v>
      </c>
      <c r="F812" s="2">
        <v>122900</v>
      </c>
      <c r="G812" t="s">
        <v>17</v>
      </c>
      <c r="H812" s="2">
        <v>825.93</v>
      </c>
      <c r="I812" s="2">
        <v>121780.63</v>
      </c>
      <c r="J812">
        <v>7.0999999999999994E-2</v>
      </c>
      <c r="K812">
        <v>9</v>
      </c>
      <c r="L812">
        <v>351</v>
      </c>
      <c r="M812" t="str">
        <f t="shared" si="219"/>
        <v>30 Year Fixed</v>
      </c>
      <c r="N812" s="2">
        <v>720.54</v>
      </c>
      <c r="O812" t="str">
        <f t="shared" si="216"/>
        <v>Cash Out</v>
      </c>
      <c r="P812" s="3">
        <f t="shared" si="220"/>
        <v>12209.517783251242</v>
      </c>
      <c r="Q812" s="4">
        <v>136000</v>
      </c>
      <c r="R812" s="4" t="s">
        <v>41</v>
      </c>
      <c r="S812" s="6">
        <v>665</v>
      </c>
      <c r="T812">
        <v>6.75</v>
      </c>
      <c r="U812" s="7">
        <f t="shared" si="217"/>
        <v>938.76007799943739</v>
      </c>
      <c r="V812" s="2">
        <f t="shared" si="221"/>
        <v>-112.83007799943744</v>
      </c>
      <c r="W812" s="9">
        <f t="shared" si="222"/>
        <v>1</v>
      </c>
      <c r="X812" s="3">
        <v>123608</v>
      </c>
      <c r="Y812" s="3">
        <f t="shared" si="223"/>
        <v>0.65078817734320182</v>
      </c>
      <c r="Z812" s="7">
        <f t="shared" si="224"/>
        <v>853.22246853937111</v>
      </c>
      <c r="AA812" s="2">
        <f t="shared" si="218"/>
        <v>-27.292468539371157</v>
      </c>
      <c r="AB812" s="8">
        <f t="shared" si="225"/>
        <v>1</v>
      </c>
      <c r="AC812" s="10">
        <v>6.125</v>
      </c>
      <c r="AD812" s="7">
        <f t="shared" si="226"/>
        <v>802.55856909823217</v>
      </c>
      <c r="AE812" s="2">
        <f t="shared" si="227"/>
        <v>23.371430901767781</v>
      </c>
      <c r="AF812" s="10">
        <v>3</v>
      </c>
      <c r="AG812" s="3">
        <f t="shared" si="228"/>
        <v>3708.24</v>
      </c>
      <c r="AH812" s="7">
        <v>4362.95</v>
      </c>
      <c r="AI812">
        <f t="shared" si="229"/>
        <v>360</v>
      </c>
      <c r="AJ812" t="e">
        <f>VLOOKUP(A812,'Borrower Details'!$A$1:$H$1493,8,FALSE)</f>
        <v>#N/A</v>
      </c>
      <c r="AK812" s="4" t="e">
        <f t="shared" si="230"/>
        <v>#N/A</v>
      </c>
      <c r="AL812" s="10">
        <v>6.75</v>
      </c>
      <c r="AM812" s="3">
        <f t="shared" si="231"/>
        <v>123607.33945</v>
      </c>
      <c r="AN812">
        <v>6.75</v>
      </c>
      <c r="AO812" s="7">
        <f t="shared" si="232"/>
        <v>853.2179089954775</v>
      </c>
      <c r="AP812" s="2">
        <f t="shared" si="233"/>
        <v>-27.287908995477551</v>
      </c>
    </row>
    <row r="813" spans="1:42" x14ac:dyDescent="0.15">
      <c r="A813" s="8">
        <v>1130705</v>
      </c>
      <c r="B813" t="s">
        <v>35</v>
      </c>
      <c r="C813" t="s">
        <v>16</v>
      </c>
      <c r="D813" s="1">
        <v>39133</v>
      </c>
      <c r="E813" s="2">
        <v>135000</v>
      </c>
      <c r="F813" s="2">
        <v>121500</v>
      </c>
      <c r="G813" t="s">
        <v>17</v>
      </c>
      <c r="H813" s="2">
        <v>900.01</v>
      </c>
      <c r="I813" s="2">
        <v>120331.2</v>
      </c>
      <c r="J813">
        <v>8.1000000000000003E-2</v>
      </c>
      <c r="K813">
        <v>14</v>
      </c>
      <c r="L813">
        <v>346</v>
      </c>
      <c r="M813" t="str">
        <f t="shared" si="219"/>
        <v>30 Year Fixed</v>
      </c>
      <c r="N813" s="2">
        <v>812.24</v>
      </c>
      <c r="O813" t="str">
        <f t="shared" si="216"/>
        <v>Refi</v>
      </c>
      <c r="P813" s="3">
        <f t="shared" si="220"/>
        <v>0</v>
      </c>
      <c r="Q813" s="4">
        <v>122136</v>
      </c>
      <c r="R813" s="4" t="s">
        <v>41</v>
      </c>
      <c r="S813" s="6">
        <v>609</v>
      </c>
      <c r="T813">
        <v>6.875</v>
      </c>
      <c r="U813" s="7">
        <f t="shared" si="217"/>
        <v>853.23657587072864</v>
      </c>
      <c r="V813" s="2">
        <f t="shared" si="221"/>
        <v>46.773424129271348</v>
      </c>
      <c r="W813" s="9">
        <f t="shared" si="222"/>
        <v>0</v>
      </c>
      <c r="X813" s="3">
        <v>122136</v>
      </c>
      <c r="Y813" s="3">
        <f t="shared" si="223"/>
        <v>-0.1655172413593391</v>
      </c>
      <c r="Z813" s="7">
        <f t="shared" si="224"/>
        <v>853.23657587072864</v>
      </c>
      <c r="AA813" s="2">
        <f t="shared" si="218"/>
        <v>46.773424129271348</v>
      </c>
      <c r="AB813" s="8">
        <f t="shared" si="225"/>
        <v>1</v>
      </c>
      <c r="AC813" s="10">
        <v>6.25</v>
      </c>
      <c r="AD813" s="7">
        <f t="shared" si="226"/>
        <v>802.90235991277996</v>
      </c>
      <c r="AE813" s="2">
        <f t="shared" si="227"/>
        <v>97.107640087220034</v>
      </c>
      <c r="AF813" s="10">
        <v>2.5</v>
      </c>
      <c r="AG813" s="3">
        <f t="shared" si="228"/>
        <v>3053.4</v>
      </c>
      <c r="AH813" s="7">
        <v>4920.75</v>
      </c>
      <c r="AI813">
        <f t="shared" si="229"/>
        <v>360</v>
      </c>
      <c r="AJ813" t="e">
        <f>VLOOKUP(A813,'Borrower Details'!$A$1:$H$1493,8,FALSE)</f>
        <v>#N/A</v>
      </c>
      <c r="AK813" s="4" t="e">
        <f t="shared" si="230"/>
        <v>#N/A</v>
      </c>
      <c r="AL813" s="10">
        <v>6.875</v>
      </c>
      <c r="AM813" s="3">
        <f t="shared" si="231"/>
        <v>122136.16799999999</v>
      </c>
      <c r="AN813">
        <v>6.875</v>
      </c>
      <c r="AO813" s="7">
        <f t="shared" si="232"/>
        <v>853.23774951113558</v>
      </c>
      <c r="AP813" s="2">
        <f t="shared" si="233"/>
        <v>46.772250488864415</v>
      </c>
    </row>
    <row r="814" spans="1:42" x14ac:dyDescent="0.15">
      <c r="A814" s="8">
        <v>410767180</v>
      </c>
      <c r="B814" t="s">
        <v>35</v>
      </c>
      <c r="C814" t="s">
        <v>16</v>
      </c>
      <c r="D814" s="1">
        <v>39307</v>
      </c>
      <c r="E814" s="2">
        <v>131000</v>
      </c>
      <c r="F814" s="2">
        <v>117900</v>
      </c>
      <c r="G814" t="s">
        <v>17</v>
      </c>
      <c r="H814" s="2">
        <v>1034.6600000000001</v>
      </c>
      <c r="I814" s="2">
        <v>117470.36</v>
      </c>
      <c r="J814">
        <v>0.1</v>
      </c>
      <c r="K814">
        <v>8</v>
      </c>
      <c r="L814">
        <v>352</v>
      </c>
      <c r="M814" t="str">
        <f t="shared" si="219"/>
        <v>30 Year Fixed</v>
      </c>
      <c r="N814" s="2">
        <v>978.92</v>
      </c>
      <c r="O814" t="str">
        <f t="shared" si="216"/>
        <v>Refi</v>
      </c>
      <c r="P814" s="3">
        <f t="shared" si="220"/>
        <v>0</v>
      </c>
      <c r="Q814" s="4">
        <v>119232</v>
      </c>
      <c r="R814" s="4" t="s">
        <v>41</v>
      </c>
      <c r="S814" s="6">
        <v>599</v>
      </c>
      <c r="T814">
        <v>7.375</v>
      </c>
      <c r="U814" s="7">
        <f t="shared" si="217"/>
        <v>873.18579198325779</v>
      </c>
      <c r="V814" s="2">
        <f t="shared" si="221"/>
        <v>161.4742080167423</v>
      </c>
      <c r="W814" s="9">
        <f t="shared" si="222"/>
        <v>0</v>
      </c>
      <c r="X814" s="3">
        <v>119232</v>
      </c>
      <c r="Y814" s="3">
        <f t="shared" si="223"/>
        <v>-0.40926108373969328</v>
      </c>
      <c r="Z814" s="7">
        <f t="shared" si="224"/>
        <v>873.18579198325779</v>
      </c>
      <c r="AA814" s="2">
        <f t="shared" si="218"/>
        <v>161.4742080167423</v>
      </c>
      <c r="AB814" s="8">
        <f t="shared" si="225"/>
        <v>0</v>
      </c>
      <c r="AC814" s="10">
        <v>7.375</v>
      </c>
      <c r="AD814" s="7">
        <f t="shared" si="226"/>
        <v>873.18579198325779</v>
      </c>
      <c r="AE814" s="2">
        <f t="shared" si="227"/>
        <v>161.4742080167423</v>
      </c>
      <c r="AF814" s="10">
        <v>0</v>
      </c>
      <c r="AG814" s="3">
        <f t="shared" si="228"/>
        <v>0</v>
      </c>
      <c r="AH814" s="7">
        <v>5895</v>
      </c>
      <c r="AI814">
        <f t="shared" si="229"/>
        <v>360</v>
      </c>
      <c r="AJ814" t="e">
        <f>VLOOKUP(A814,'Borrower Details'!$A$1:$H$1493,8,FALSE)</f>
        <v>#N/A</v>
      </c>
      <c r="AK814" s="4" t="e">
        <f t="shared" si="230"/>
        <v>#N/A</v>
      </c>
      <c r="AL814" s="10">
        <v>7.375</v>
      </c>
      <c r="AM814" s="3">
        <f t="shared" si="231"/>
        <v>119232.41539999998</v>
      </c>
      <c r="AN814">
        <v>7.375</v>
      </c>
      <c r="AO814" s="7">
        <f t="shared" si="232"/>
        <v>873.18883413115418</v>
      </c>
      <c r="AP814" s="2">
        <f t="shared" si="233"/>
        <v>161.4711658688459</v>
      </c>
    </row>
    <row r="815" spans="1:42" x14ac:dyDescent="0.15">
      <c r="A815" s="8">
        <v>410180764</v>
      </c>
      <c r="B815" t="s">
        <v>36</v>
      </c>
      <c r="C815" t="s">
        <v>19</v>
      </c>
      <c r="D815" s="1">
        <v>39204</v>
      </c>
      <c r="E815" s="2">
        <v>140000</v>
      </c>
      <c r="F815" s="2">
        <v>126000</v>
      </c>
      <c r="G815" t="s">
        <v>17</v>
      </c>
      <c r="H815" s="2">
        <v>951.03</v>
      </c>
      <c r="I815" s="2">
        <v>125094.28</v>
      </c>
      <c r="J815">
        <v>8.3000000000000004E-2</v>
      </c>
      <c r="K815">
        <v>11</v>
      </c>
      <c r="L815">
        <v>349</v>
      </c>
      <c r="M815" t="str">
        <f t="shared" si="219"/>
        <v>30 Year Fixed</v>
      </c>
      <c r="N815" s="2">
        <v>865.24</v>
      </c>
      <c r="O815" t="str">
        <f t="shared" si="216"/>
        <v>Refi</v>
      </c>
      <c r="P815" s="3">
        <f t="shared" si="220"/>
        <v>0</v>
      </c>
      <c r="Q815" s="4">
        <v>126971</v>
      </c>
      <c r="R815" s="4" t="s">
        <v>41</v>
      </c>
      <c r="S815" s="6">
        <v>635</v>
      </c>
      <c r="T815">
        <v>6.75</v>
      </c>
      <c r="U815" s="7">
        <f t="shared" si="217"/>
        <v>876.43607252696006</v>
      </c>
      <c r="V815" s="2">
        <f t="shared" si="221"/>
        <v>74.593927473039912</v>
      </c>
      <c r="W815" s="9">
        <f t="shared" si="222"/>
        <v>0</v>
      </c>
      <c r="X815" s="3">
        <v>126971</v>
      </c>
      <c r="Y815" s="3">
        <f t="shared" si="223"/>
        <v>0.30128078818961512</v>
      </c>
      <c r="Z815" s="7">
        <f t="shared" si="224"/>
        <v>876.43607252696006</v>
      </c>
      <c r="AA815" s="2">
        <f t="shared" si="218"/>
        <v>74.593927473039912</v>
      </c>
      <c r="AB815" s="8">
        <f t="shared" si="225"/>
        <v>0</v>
      </c>
      <c r="AC815" s="10">
        <v>6.75</v>
      </c>
      <c r="AD815" s="7">
        <f t="shared" si="226"/>
        <v>876.43607252696006</v>
      </c>
      <c r="AE815" s="2">
        <f t="shared" si="227"/>
        <v>74.593927473039912</v>
      </c>
      <c r="AF815" s="10">
        <v>0</v>
      </c>
      <c r="AG815" s="3">
        <f t="shared" si="228"/>
        <v>0</v>
      </c>
      <c r="AH815" s="7">
        <v>2520</v>
      </c>
      <c r="AI815">
        <f t="shared" si="229"/>
        <v>360</v>
      </c>
      <c r="AJ815" t="e">
        <f>VLOOKUP(A815,'Borrower Details'!$A$1:$H$1493,8,FALSE)</f>
        <v>#N/A</v>
      </c>
      <c r="AK815" s="4" t="e">
        <f t="shared" si="230"/>
        <v>#N/A</v>
      </c>
      <c r="AL815" s="10">
        <v>6.75</v>
      </c>
      <c r="AM815" s="3">
        <f t="shared" si="231"/>
        <v>126970.69419999998</v>
      </c>
      <c r="AN815">
        <v>6.75</v>
      </c>
      <c r="AO815" s="7">
        <f t="shared" si="232"/>
        <v>876.43396169731398</v>
      </c>
      <c r="AP815" s="2">
        <f t="shared" si="233"/>
        <v>74.596038302685997</v>
      </c>
    </row>
    <row r="816" spans="1:42" x14ac:dyDescent="0.15">
      <c r="A816" s="8">
        <v>411270838</v>
      </c>
      <c r="B816" t="s">
        <v>36</v>
      </c>
      <c r="C816" t="s">
        <v>16</v>
      </c>
      <c r="D816" s="1">
        <v>39489</v>
      </c>
      <c r="E816" s="2">
        <v>330000</v>
      </c>
      <c r="F816" s="2">
        <v>227500</v>
      </c>
      <c r="G816" t="s">
        <v>17</v>
      </c>
      <c r="H816" s="2">
        <v>1455.26</v>
      </c>
      <c r="I816" s="2">
        <v>227337.95</v>
      </c>
      <c r="J816">
        <v>7.2499999999999995E-2</v>
      </c>
      <c r="K816">
        <v>2</v>
      </c>
      <c r="L816">
        <v>358</v>
      </c>
      <c r="M816" t="str">
        <f t="shared" si="219"/>
        <v>30 Year Fixed</v>
      </c>
      <c r="N816" s="2">
        <v>1373.5</v>
      </c>
      <c r="O816" t="str">
        <f t="shared" si="216"/>
        <v>Cash Out</v>
      </c>
      <c r="P816" s="3">
        <f t="shared" si="220"/>
        <v>49016.729802955699</v>
      </c>
      <c r="Q816" s="4">
        <v>280500</v>
      </c>
      <c r="R816" s="4" t="s">
        <v>41</v>
      </c>
      <c r="S816" s="6">
        <v>645</v>
      </c>
      <c r="T816">
        <v>6.75</v>
      </c>
      <c r="U816" s="7">
        <f t="shared" si="217"/>
        <v>1936.1926608738397</v>
      </c>
      <c r="V816" s="2">
        <f t="shared" si="221"/>
        <v>-480.93266087383972</v>
      </c>
      <c r="W816" s="9">
        <f t="shared" si="222"/>
        <v>1</v>
      </c>
      <c r="X816" s="3">
        <v>230748</v>
      </c>
      <c r="Y816" s="3">
        <f t="shared" si="223"/>
        <v>-1.8965517228934914E-2</v>
      </c>
      <c r="Z816" s="7">
        <f t="shared" si="224"/>
        <v>1592.772135869222</v>
      </c>
      <c r="AA816" s="2">
        <f t="shared" si="218"/>
        <v>-137.51213586922199</v>
      </c>
      <c r="AB816" s="8">
        <f t="shared" si="225"/>
        <v>1</v>
      </c>
      <c r="AC816" s="10">
        <v>6.125</v>
      </c>
      <c r="AD816" s="7">
        <f t="shared" si="226"/>
        <v>1498.1941678716496</v>
      </c>
      <c r="AE816" s="2">
        <f t="shared" si="227"/>
        <v>-42.934167871649606</v>
      </c>
      <c r="AF816" s="10">
        <v>3</v>
      </c>
      <c r="AG816" s="3">
        <f t="shared" si="228"/>
        <v>6922.44</v>
      </c>
      <c r="AH816" s="7">
        <v>4550</v>
      </c>
      <c r="AI816">
        <f t="shared" si="229"/>
        <v>360</v>
      </c>
      <c r="AJ816" t="e">
        <f>VLOOKUP(A816,'Borrower Details'!$A$1:$H$1493,8,FALSE)</f>
        <v>#N/A</v>
      </c>
      <c r="AK816" s="4" t="e">
        <f t="shared" si="230"/>
        <v>#N/A</v>
      </c>
      <c r="AL816" s="10">
        <v>6.75</v>
      </c>
      <c r="AM816" s="3">
        <f t="shared" si="231"/>
        <v>230748.01924999998</v>
      </c>
      <c r="AN816">
        <v>6.75</v>
      </c>
      <c r="AO816" s="7">
        <f t="shared" si="232"/>
        <v>1592.7722687451887</v>
      </c>
      <c r="AP816" s="2">
        <f t="shared" si="233"/>
        <v>-137.51226874518875</v>
      </c>
    </row>
    <row r="817" spans="1:42" x14ac:dyDescent="0.15">
      <c r="A817" s="8">
        <v>410448054</v>
      </c>
      <c r="B817" t="s">
        <v>36</v>
      </c>
      <c r="C817" t="s">
        <v>19</v>
      </c>
      <c r="D817" s="1">
        <v>39255</v>
      </c>
      <c r="E817" s="2">
        <v>350000</v>
      </c>
      <c r="F817" s="2">
        <v>194000</v>
      </c>
      <c r="G817" t="s">
        <v>17</v>
      </c>
      <c r="H817" s="2">
        <v>1376.46</v>
      </c>
      <c r="I817" s="2">
        <v>192562.12</v>
      </c>
      <c r="J817">
        <v>7.6499999999999999E-2</v>
      </c>
      <c r="K817">
        <v>10</v>
      </c>
      <c r="L817">
        <v>350</v>
      </c>
      <c r="M817" t="str">
        <f t="shared" si="219"/>
        <v>30 Year Fixed</v>
      </c>
      <c r="N817" s="2">
        <v>1227.58</v>
      </c>
      <c r="O817" t="str">
        <f t="shared" si="216"/>
        <v>Cash Out</v>
      </c>
      <c r="P817" s="3">
        <f t="shared" si="220"/>
        <v>100541.32827586209</v>
      </c>
      <c r="Q817" s="4">
        <v>297500</v>
      </c>
      <c r="R817" s="4" t="s">
        <v>41</v>
      </c>
      <c r="S817" s="6">
        <v>590</v>
      </c>
      <c r="T817">
        <v>7.375</v>
      </c>
      <c r="U817" s="7">
        <f t="shared" si="217"/>
        <v>2178.7168974354136</v>
      </c>
      <c r="V817" s="2">
        <f t="shared" si="221"/>
        <v>-802.25689743541352</v>
      </c>
      <c r="W817" s="9">
        <f t="shared" si="222"/>
        <v>1</v>
      </c>
      <c r="X817" s="3">
        <v>195450</v>
      </c>
      <c r="Y817" s="3">
        <f t="shared" si="223"/>
        <v>-0.54364532016916201</v>
      </c>
      <c r="Z817" s="7">
        <f t="shared" si="224"/>
        <v>1431.3620759789967</v>
      </c>
      <c r="AA817" s="2">
        <f t="shared" si="218"/>
        <v>-54.902075978996663</v>
      </c>
      <c r="AB817" s="8">
        <f t="shared" si="225"/>
        <v>1</v>
      </c>
      <c r="AC817" s="10">
        <v>6.625</v>
      </c>
      <c r="AD817" s="7">
        <f t="shared" si="226"/>
        <v>1332.9252734213176</v>
      </c>
      <c r="AE817" s="2">
        <f t="shared" si="227"/>
        <v>43.534726578682466</v>
      </c>
      <c r="AF817" s="10">
        <v>1.875</v>
      </c>
      <c r="AG817" s="3">
        <f t="shared" si="228"/>
        <v>3664.6875</v>
      </c>
      <c r="AH817" s="7">
        <v>3880</v>
      </c>
      <c r="AI817">
        <f t="shared" si="229"/>
        <v>360</v>
      </c>
      <c r="AJ817" t="e">
        <f>VLOOKUP(A817,'Borrower Details'!$A$1:$H$1493,8,FALSE)</f>
        <v>#N/A</v>
      </c>
      <c r="AK817" s="4" t="e">
        <f t="shared" si="230"/>
        <v>#N/A</v>
      </c>
      <c r="AL817" s="10">
        <v>7.375</v>
      </c>
      <c r="AM817" s="3">
        <f t="shared" si="231"/>
        <v>195450.55179999999</v>
      </c>
      <c r="AN817">
        <v>7.375</v>
      </c>
      <c r="AO817" s="7">
        <f t="shared" si="232"/>
        <v>1431.3661170411278</v>
      </c>
      <c r="AP817" s="2">
        <f t="shared" si="233"/>
        <v>-54.9061170411278</v>
      </c>
    </row>
    <row r="818" spans="1:42" x14ac:dyDescent="0.15">
      <c r="A818" s="8">
        <v>1120487</v>
      </c>
      <c r="B818" t="s">
        <v>37</v>
      </c>
      <c r="C818" t="s">
        <v>19</v>
      </c>
      <c r="D818" s="1">
        <v>39141</v>
      </c>
      <c r="E818" s="2">
        <v>119000</v>
      </c>
      <c r="F818" s="2">
        <v>113050</v>
      </c>
      <c r="G818" t="s">
        <v>15</v>
      </c>
      <c r="H818" s="2">
        <v>932.6</v>
      </c>
      <c r="I818" s="2">
        <v>112941.46</v>
      </c>
      <c r="J818">
        <v>9.8250000000000004E-2</v>
      </c>
      <c r="K818">
        <v>14</v>
      </c>
      <c r="L818">
        <v>346</v>
      </c>
      <c r="M818" t="str">
        <f t="shared" si="219"/>
        <v>30 Year Fixed</v>
      </c>
      <c r="N818" s="2">
        <v>924.71</v>
      </c>
      <c r="O818" t="str">
        <f t="shared" si="216"/>
        <v>Refi</v>
      </c>
      <c r="P818" s="3">
        <f t="shared" si="220"/>
        <v>0</v>
      </c>
      <c r="Q818" s="4">
        <v>114636</v>
      </c>
      <c r="R818" s="4" t="s">
        <v>41</v>
      </c>
      <c r="S818" s="6">
        <v>567</v>
      </c>
      <c r="T818">
        <v>7.625</v>
      </c>
      <c r="U818" s="7">
        <f t="shared" si="217"/>
        <v>859.15143907110098</v>
      </c>
      <c r="V818" s="2">
        <f t="shared" si="221"/>
        <v>73.448560928899042</v>
      </c>
      <c r="W818" s="9">
        <f t="shared" si="222"/>
        <v>0</v>
      </c>
      <c r="X818" s="3">
        <v>114636</v>
      </c>
      <c r="Y818" s="3">
        <f t="shared" si="223"/>
        <v>0.41192118226899765</v>
      </c>
      <c r="Z818" s="7">
        <f t="shared" si="224"/>
        <v>859.15143907110098</v>
      </c>
      <c r="AA818" s="2">
        <f t="shared" si="218"/>
        <v>73.448560928899042</v>
      </c>
      <c r="AB818" s="8">
        <f t="shared" si="225"/>
        <v>1</v>
      </c>
      <c r="AC818" s="10">
        <v>6.5</v>
      </c>
      <c r="AD818" s="7">
        <f t="shared" si="226"/>
        <v>772.34249941139649</v>
      </c>
      <c r="AE818" s="2">
        <f t="shared" si="227"/>
        <v>160.25750058860353</v>
      </c>
      <c r="AF818" s="10">
        <v>2.375</v>
      </c>
      <c r="AG818" s="3">
        <f t="shared" si="228"/>
        <v>2722.605</v>
      </c>
      <c r="AH818" s="7">
        <v>0</v>
      </c>
      <c r="AI818">
        <f t="shared" si="229"/>
        <v>360</v>
      </c>
      <c r="AJ818" t="e">
        <f>VLOOKUP(A818,'Borrower Details'!$A$1:$H$1493,8,FALSE)</f>
        <v>#N/A</v>
      </c>
      <c r="AK818" s="4" t="e">
        <f t="shared" si="230"/>
        <v>#N/A</v>
      </c>
      <c r="AL818" s="10">
        <v>7.625</v>
      </c>
      <c r="AM818" s="3">
        <f t="shared" si="231"/>
        <v>114635.58189999999</v>
      </c>
      <c r="AN818">
        <v>7.625</v>
      </c>
      <c r="AO818" s="7">
        <f t="shared" si="232"/>
        <v>859.14830557711412</v>
      </c>
      <c r="AP818" s="2">
        <f t="shared" si="233"/>
        <v>73.451694422885907</v>
      </c>
    </row>
    <row r="819" spans="1:42" x14ac:dyDescent="0.15">
      <c r="A819" s="8">
        <v>1186811</v>
      </c>
      <c r="B819" t="s">
        <v>36</v>
      </c>
      <c r="C819" t="s">
        <v>19</v>
      </c>
      <c r="D819" s="1">
        <v>39185</v>
      </c>
      <c r="E819" s="2">
        <v>116000</v>
      </c>
      <c r="F819" s="2">
        <v>91000</v>
      </c>
      <c r="G819" t="s">
        <v>15</v>
      </c>
      <c r="H819" s="2">
        <v>677.52</v>
      </c>
      <c r="I819" s="2">
        <v>90730.76</v>
      </c>
      <c r="J819">
        <v>8.6499999999999994E-2</v>
      </c>
      <c r="K819">
        <v>12</v>
      </c>
      <c r="L819">
        <v>348</v>
      </c>
      <c r="M819" t="str">
        <f t="shared" si="219"/>
        <v>30 Year Fixed</v>
      </c>
      <c r="N819" s="2">
        <v>654.02</v>
      </c>
      <c r="O819" t="str">
        <f t="shared" si="216"/>
        <v>Cash Out</v>
      </c>
      <c r="P819" s="3">
        <f t="shared" si="220"/>
        <v>6412.0971428571502</v>
      </c>
      <c r="Q819" s="4">
        <v>98600</v>
      </c>
      <c r="R819" s="4" t="s">
        <v>41</v>
      </c>
      <c r="S819" s="6">
        <v>566</v>
      </c>
      <c r="T819">
        <v>7.625</v>
      </c>
      <c r="U819" s="7">
        <f t="shared" si="217"/>
        <v>738.96796723900491</v>
      </c>
      <c r="V819" s="2">
        <f t="shared" si="221"/>
        <v>-61.447967239004925</v>
      </c>
      <c r="W819" s="9">
        <f t="shared" si="222"/>
        <v>1</v>
      </c>
      <c r="X819" s="3">
        <v>92092</v>
      </c>
      <c r="Y819" s="3">
        <f t="shared" si="223"/>
        <v>0.2744827586284373</v>
      </c>
      <c r="Z819" s="7">
        <f t="shared" si="224"/>
        <v>690.19308355957844</v>
      </c>
      <c r="AA819" s="2">
        <f t="shared" si="218"/>
        <v>-12.673083559578458</v>
      </c>
      <c r="AB819" s="8">
        <f t="shared" si="225"/>
        <v>1</v>
      </c>
      <c r="AC819" s="10">
        <v>6.875</v>
      </c>
      <c r="AD819" s="7">
        <f t="shared" si="226"/>
        <v>643.35054975672313</v>
      </c>
      <c r="AE819" s="2">
        <f t="shared" si="227"/>
        <v>34.169450243276856</v>
      </c>
      <c r="AF819" s="10">
        <v>1.25</v>
      </c>
      <c r="AG819" s="3">
        <f t="shared" si="228"/>
        <v>1151.1500000000001</v>
      </c>
      <c r="AH819" s="7">
        <v>1820</v>
      </c>
      <c r="AI819">
        <f t="shared" si="229"/>
        <v>360</v>
      </c>
      <c r="AJ819" t="e">
        <f>VLOOKUP(A819,'Borrower Details'!$A$1:$H$1493,8,FALSE)</f>
        <v>#N/A</v>
      </c>
      <c r="AK819" s="4" t="e">
        <f t="shared" si="230"/>
        <v>#N/A</v>
      </c>
      <c r="AL819" s="10">
        <v>7.625</v>
      </c>
      <c r="AM819" s="3">
        <f t="shared" si="231"/>
        <v>92091.72139999998</v>
      </c>
      <c r="AN819">
        <v>7.625</v>
      </c>
      <c r="AO819" s="7">
        <f t="shared" si="232"/>
        <v>690.19099556286767</v>
      </c>
      <c r="AP819" s="2">
        <f t="shared" si="233"/>
        <v>-12.670995562867688</v>
      </c>
    </row>
    <row r="820" spans="1:42" x14ac:dyDescent="0.15">
      <c r="A820" s="8">
        <v>410358014</v>
      </c>
      <c r="B820" t="s">
        <v>38</v>
      </c>
      <c r="C820" t="s">
        <v>19</v>
      </c>
      <c r="D820" s="1">
        <v>39248</v>
      </c>
      <c r="E820" s="2">
        <v>159000</v>
      </c>
      <c r="F820" s="2">
        <v>143100</v>
      </c>
      <c r="G820" t="s">
        <v>17</v>
      </c>
      <c r="H820" s="2">
        <v>1075.07</v>
      </c>
      <c r="I820" s="2">
        <v>142158.67000000001</v>
      </c>
      <c r="J820">
        <v>8.2500000000000004E-2</v>
      </c>
      <c r="K820">
        <v>10</v>
      </c>
      <c r="L820">
        <v>350</v>
      </c>
      <c r="M820" t="str">
        <f t="shared" si="219"/>
        <v>30 Year Fixed</v>
      </c>
      <c r="N820" s="2">
        <v>978.01</v>
      </c>
      <c r="O820" t="str">
        <f t="shared" si="216"/>
        <v>Refi</v>
      </c>
      <c r="P820" s="3">
        <f t="shared" si="220"/>
        <v>0</v>
      </c>
      <c r="Q820" s="4">
        <v>144291</v>
      </c>
      <c r="R820" s="4" t="s">
        <v>41</v>
      </c>
      <c r="S820" s="6">
        <v>637</v>
      </c>
      <c r="T820">
        <v>6.75</v>
      </c>
      <c r="U820" s="7">
        <f t="shared" si="217"/>
        <v>995.9899295192414</v>
      </c>
      <c r="V820" s="2">
        <f t="shared" si="221"/>
        <v>79.080070480758536</v>
      </c>
      <c r="W820" s="9">
        <f t="shared" si="222"/>
        <v>0</v>
      </c>
      <c r="X820" s="3">
        <v>144291</v>
      </c>
      <c r="Y820" s="3">
        <f t="shared" si="223"/>
        <v>-4.9310344824334607E-2</v>
      </c>
      <c r="Z820" s="7">
        <f t="shared" si="224"/>
        <v>995.9899295192414</v>
      </c>
      <c r="AA820" s="2">
        <f t="shared" si="218"/>
        <v>79.080070480758536</v>
      </c>
      <c r="AB820" s="8">
        <f t="shared" si="225"/>
        <v>1</v>
      </c>
      <c r="AC820" s="10">
        <v>6.125</v>
      </c>
      <c r="AD820" s="7">
        <f t="shared" si="226"/>
        <v>936.84857366637289</v>
      </c>
      <c r="AE820" s="2">
        <f t="shared" si="227"/>
        <v>138.22142633362705</v>
      </c>
      <c r="AF820" s="10">
        <v>3</v>
      </c>
      <c r="AG820" s="3">
        <f t="shared" si="228"/>
        <v>4328.7299999999996</v>
      </c>
      <c r="AH820" s="7">
        <v>0</v>
      </c>
      <c r="AI820">
        <f t="shared" si="229"/>
        <v>360</v>
      </c>
      <c r="AJ820" t="e">
        <f>VLOOKUP(A820,'Borrower Details'!$A$1:$H$1493,8,FALSE)</f>
        <v>#N/A</v>
      </c>
      <c r="AK820" s="4" t="e">
        <f t="shared" si="230"/>
        <v>#N/A</v>
      </c>
      <c r="AL820" s="10">
        <v>6.75</v>
      </c>
      <c r="AM820" s="3">
        <f t="shared" si="231"/>
        <v>144291.05004999999</v>
      </c>
      <c r="AN820">
        <v>6.75</v>
      </c>
      <c r="AO820" s="7">
        <f t="shared" si="232"/>
        <v>995.99027499675537</v>
      </c>
      <c r="AP820" s="2">
        <f t="shared" si="233"/>
        <v>79.079725003244562</v>
      </c>
    </row>
    <row r="821" spans="1:42" x14ac:dyDescent="0.15">
      <c r="A821" s="8">
        <v>410426050</v>
      </c>
      <c r="B821" t="s">
        <v>36</v>
      </c>
      <c r="C821" t="s">
        <v>19</v>
      </c>
      <c r="D821" s="1">
        <v>39258</v>
      </c>
      <c r="E821" s="2">
        <v>182000</v>
      </c>
      <c r="F821" s="2">
        <v>127400</v>
      </c>
      <c r="G821" t="s">
        <v>17</v>
      </c>
      <c r="H821" s="2">
        <v>882.1</v>
      </c>
      <c r="I821" s="2">
        <v>126408.12</v>
      </c>
      <c r="J821">
        <v>7.3999999999999996E-2</v>
      </c>
      <c r="K821">
        <v>10</v>
      </c>
      <c r="L821">
        <v>350</v>
      </c>
      <c r="M821" t="str">
        <f t="shared" si="219"/>
        <v>30 Year Fixed</v>
      </c>
      <c r="N821" s="2">
        <v>779.52</v>
      </c>
      <c r="O821" t="str">
        <f t="shared" si="216"/>
        <v>Cash Out</v>
      </c>
      <c r="P821" s="3">
        <f t="shared" si="220"/>
        <v>26005.673103448295</v>
      </c>
      <c r="Q821" s="4">
        <v>154700</v>
      </c>
      <c r="R821" s="4" t="s">
        <v>41</v>
      </c>
      <c r="S821" s="6">
        <v>548</v>
      </c>
      <c r="T821">
        <v>7.625</v>
      </c>
      <c r="U821" s="7">
        <f t="shared" si="217"/>
        <v>1159.4152589439557</v>
      </c>
      <c r="V821" s="2">
        <f t="shared" si="221"/>
        <v>-277.31525894395566</v>
      </c>
      <c r="W821" s="9">
        <f t="shared" si="222"/>
        <v>1</v>
      </c>
      <c r="X821" s="3">
        <v>128304</v>
      </c>
      <c r="Y821" s="3">
        <f t="shared" si="223"/>
        <v>-0.23822660096629988</v>
      </c>
      <c r="Z821" s="7">
        <f t="shared" si="224"/>
        <v>961.58768832285273</v>
      </c>
      <c r="AA821" s="2">
        <f t="shared" si="218"/>
        <v>-79.487688322852705</v>
      </c>
      <c r="AB821" s="8">
        <f t="shared" si="225"/>
        <v>1</v>
      </c>
      <c r="AC821" s="10">
        <v>6.875</v>
      </c>
      <c r="AD821" s="7">
        <f t="shared" si="226"/>
        <v>896.32594509823446</v>
      </c>
      <c r="AE821" s="2">
        <f t="shared" si="227"/>
        <v>-14.225945098234433</v>
      </c>
      <c r="AF821" s="10">
        <v>1</v>
      </c>
      <c r="AG821" s="3">
        <f t="shared" si="228"/>
        <v>1283.04</v>
      </c>
      <c r="AH821" s="7">
        <v>2548</v>
      </c>
      <c r="AI821">
        <f t="shared" si="229"/>
        <v>360</v>
      </c>
      <c r="AJ821" t="e">
        <f>VLOOKUP(A821,'Borrower Details'!$A$1:$H$1493,8,FALSE)</f>
        <v>#N/A</v>
      </c>
      <c r="AK821" s="4" t="e">
        <f t="shared" si="230"/>
        <v>#N/A</v>
      </c>
      <c r="AL821" s="10">
        <v>7.625</v>
      </c>
      <c r="AM821" s="3">
        <f t="shared" si="231"/>
        <v>128304.24179999999</v>
      </c>
      <c r="AN821">
        <v>7.625</v>
      </c>
      <c r="AO821" s="7">
        <f t="shared" si="232"/>
        <v>961.58950051813133</v>
      </c>
      <c r="AP821" s="2">
        <f t="shared" si="233"/>
        <v>-79.489500518131308</v>
      </c>
    </row>
    <row r="822" spans="1:42" x14ac:dyDescent="0.15">
      <c r="A822" s="8">
        <v>410464036</v>
      </c>
      <c r="B822" t="s">
        <v>35</v>
      </c>
      <c r="C822" t="s">
        <v>16</v>
      </c>
      <c r="D822" s="1">
        <v>39259</v>
      </c>
      <c r="E822" s="2">
        <v>125000</v>
      </c>
      <c r="F822" s="2">
        <v>80000</v>
      </c>
      <c r="G822" t="s">
        <v>17</v>
      </c>
      <c r="H822" s="2">
        <v>615.14</v>
      </c>
      <c r="I822" s="2">
        <v>79493.37</v>
      </c>
      <c r="J822">
        <v>8.5000000000000006E-2</v>
      </c>
      <c r="K822">
        <v>10</v>
      </c>
      <c r="L822">
        <v>350</v>
      </c>
      <c r="M822" t="str">
        <f t="shared" si="219"/>
        <v>30 Year Fixed</v>
      </c>
      <c r="N822" s="2">
        <v>563.08000000000004</v>
      </c>
      <c r="O822" t="str">
        <f t="shared" si="216"/>
        <v>Cash Out</v>
      </c>
      <c r="P822" s="3">
        <f t="shared" si="220"/>
        <v>25186.432955665034</v>
      </c>
      <c r="Q822" s="4">
        <v>106250</v>
      </c>
      <c r="R822" s="4" t="s">
        <v>41</v>
      </c>
      <c r="S822" s="6">
        <v>547</v>
      </c>
      <c r="T822">
        <v>7.625</v>
      </c>
      <c r="U822" s="7">
        <f t="shared" si="217"/>
        <v>796.30168883513454</v>
      </c>
      <c r="V822" s="2">
        <f t="shared" si="221"/>
        <v>-181.16168883513456</v>
      </c>
      <c r="W822" s="9">
        <f t="shared" si="222"/>
        <v>1</v>
      </c>
      <c r="X822" s="3">
        <v>82010</v>
      </c>
      <c r="Y822" s="3">
        <f t="shared" si="223"/>
        <v>1304.6595566502656</v>
      </c>
      <c r="Z822" s="7">
        <f t="shared" si="224"/>
        <v>614.63248471877068</v>
      </c>
      <c r="AA822" s="2">
        <f t="shared" si="218"/>
        <v>0.50751528122930267</v>
      </c>
      <c r="AB822" s="8">
        <f t="shared" si="225"/>
        <v>1</v>
      </c>
      <c r="AC822" s="10">
        <v>6.875</v>
      </c>
      <c r="AD822" s="7">
        <f t="shared" si="226"/>
        <v>572.91815342862424</v>
      </c>
      <c r="AE822" s="2">
        <f t="shared" si="227"/>
        <v>42.22184657137575</v>
      </c>
      <c r="AF822" s="10">
        <v>1.25</v>
      </c>
      <c r="AG822" s="3">
        <f t="shared" si="228"/>
        <v>1025.125</v>
      </c>
      <c r="AH822" s="7">
        <v>3400</v>
      </c>
      <c r="AI822">
        <f t="shared" si="229"/>
        <v>360</v>
      </c>
      <c r="AJ822" t="e">
        <f>VLOOKUP(A822,'Borrower Details'!$A$1:$H$1493,8,FALSE)</f>
        <v>#N/A</v>
      </c>
      <c r="AK822" s="4" t="e">
        <f t="shared" si="230"/>
        <v>#N/A</v>
      </c>
      <c r="AL822" s="10">
        <v>7.625</v>
      </c>
      <c r="AM822" s="3">
        <f t="shared" si="231"/>
        <v>80685.770549999987</v>
      </c>
      <c r="AN822">
        <v>7.625</v>
      </c>
      <c r="AO822" s="7">
        <f t="shared" si="232"/>
        <v>604.70790921345076</v>
      </c>
      <c r="AP822" s="2">
        <f t="shared" si="233"/>
        <v>10.432090786549225</v>
      </c>
    </row>
    <row r="823" spans="1:42" x14ac:dyDescent="0.15">
      <c r="A823" s="8">
        <v>410556054</v>
      </c>
      <c r="B823" t="s">
        <v>36</v>
      </c>
      <c r="C823" t="s">
        <v>19</v>
      </c>
      <c r="D823" s="1">
        <v>39283</v>
      </c>
      <c r="E823" s="2">
        <v>126000</v>
      </c>
      <c r="F823" s="2">
        <v>119700</v>
      </c>
      <c r="G823" t="s">
        <v>17</v>
      </c>
      <c r="H823" s="2">
        <v>1213.3699999999999</v>
      </c>
      <c r="I823" s="2">
        <v>116424.91</v>
      </c>
      <c r="J823">
        <v>8.9899999999999994E-2</v>
      </c>
      <c r="K823">
        <v>9</v>
      </c>
      <c r="L823">
        <v>170</v>
      </c>
      <c r="M823" t="str">
        <f t="shared" si="219"/>
        <v>15 Year Fixed</v>
      </c>
      <c r="N823" s="2">
        <v>874.75</v>
      </c>
      <c r="O823" t="str">
        <f t="shared" si="216"/>
        <v>Refi</v>
      </c>
      <c r="P823" s="3">
        <f t="shared" si="220"/>
        <v>0</v>
      </c>
      <c r="Q823" s="4">
        <v>118171</v>
      </c>
      <c r="R823" s="4" t="s">
        <v>41</v>
      </c>
      <c r="S823" s="6">
        <v>623</v>
      </c>
      <c r="T823">
        <v>6.5</v>
      </c>
      <c r="U823" s="7">
        <f t="shared" si="217"/>
        <v>1078.6342013122185</v>
      </c>
      <c r="V823" s="2">
        <f t="shared" si="221"/>
        <v>134.73579868778143</v>
      </c>
      <c r="W823" s="9">
        <f t="shared" si="222"/>
        <v>0</v>
      </c>
      <c r="X823" s="3">
        <v>118171</v>
      </c>
      <c r="Y823" s="3">
        <f t="shared" si="223"/>
        <v>-0.27945812807593029</v>
      </c>
      <c r="Z823" s="7">
        <f t="shared" si="224"/>
        <v>1078.6342013122185</v>
      </c>
      <c r="AA823" s="2">
        <f t="shared" si="218"/>
        <v>134.73579868778143</v>
      </c>
      <c r="AB823" s="8">
        <f t="shared" si="225"/>
        <v>0</v>
      </c>
      <c r="AC823" s="10">
        <v>6.5</v>
      </c>
      <c r="AD823" s="7">
        <f t="shared" si="226"/>
        <v>1078.6342013122185</v>
      </c>
      <c r="AE823" s="2">
        <f t="shared" si="227"/>
        <v>134.73579868778143</v>
      </c>
      <c r="AF823" s="10">
        <v>0</v>
      </c>
      <c r="AG823" s="3">
        <f t="shared" si="228"/>
        <v>0</v>
      </c>
      <c r="AH823" s="7">
        <v>2394</v>
      </c>
      <c r="AI823">
        <f t="shared" si="229"/>
        <v>180</v>
      </c>
      <c r="AJ823" t="e">
        <f>VLOOKUP(A823,'Borrower Details'!$A$1:$H$1493,8,FALSE)</f>
        <v>#N/A</v>
      </c>
      <c r="AK823" s="4" t="e">
        <f t="shared" si="230"/>
        <v>#N/A</v>
      </c>
      <c r="AL823" s="10">
        <v>6.5</v>
      </c>
      <c r="AM823" s="3">
        <f t="shared" si="231"/>
        <v>118171.28365</v>
      </c>
      <c r="AN823">
        <v>6.5</v>
      </c>
      <c r="AO823" s="7">
        <f t="shared" si="232"/>
        <v>1078.63679039576</v>
      </c>
      <c r="AP823" s="2">
        <f t="shared" si="233"/>
        <v>134.73320960423985</v>
      </c>
    </row>
    <row r="824" spans="1:42" x14ac:dyDescent="0.15">
      <c r="A824" s="8">
        <v>410606362</v>
      </c>
      <c r="B824" t="s">
        <v>38</v>
      </c>
      <c r="C824" t="s">
        <v>16</v>
      </c>
      <c r="D824" s="1">
        <v>39304</v>
      </c>
      <c r="E824" s="2">
        <v>120000</v>
      </c>
      <c r="F824" s="2">
        <v>84000</v>
      </c>
      <c r="G824" t="s">
        <v>20</v>
      </c>
      <c r="H824" s="2">
        <v>647.29</v>
      </c>
      <c r="I824" s="2">
        <v>83607.89</v>
      </c>
      <c r="J824">
        <v>9.1499999999999998E-2</v>
      </c>
      <c r="K824">
        <v>8</v>
      </c>
      <c r="L824">
        <v>351</v>
      </c>
      <c r="M824" t="str">
        <f t="shared" si="219"/>
        <v>30 Year Fixed</v>
      </c>
      <c r="N824" s="2">
        <v>637.58000000000004</v>
      </c>
      <c r="O824" t="str">
        <f t="shared" si="216"/>
        <v>Cash Out</v>
      </c>
      <c r="P824" s="3">
        <f t="shared" si="220"/>
        <v>16884.720837438435</v>
      </c>
      <c r="Q824" s="4">
        <v>102000</v>
      </c>
      <c r="R824" s="4" t="s">
        <v>41</v>
      </c>
      <c r="S824" s="6">
        <v>550</v>
      </c>
      <c r="T824">
        <v>7.625</v>
      </c>
      <c r="U824" s="7">
        <f t="shared" si="217"/>
        <v>764.44962128172915</v>
      </c>
      <c r="V824" s="2">
        <f t="shared" si="221"/>
        <v>-117.15962128172919</v>
      </c>
      <c r="W824" s="9">
        <f t="shared" si="222"/>
        <v>1</v>
      </c>
      <c r="X824" s="3">
        <v>86300</v>
      </c>
      <c r="Y824" s="3">
        <f t="shared" si="223"/>
        <v>1416.7405418719281</v>
      </c>
      <c r="Z824" s="7">
        <f t="shared" si="224"/>
        <v>646.78433643738458</v>
      </c>
      <c r="AA824" s="2">
        <f t="shared" si="218"/>
        <v>0.50566356261538203</v>
      </c>
      <c r="AB824" s="8">
        <f t="shared" si="225"/>
        <v>1</v>
      </c>
      <c r="AC824" s="10">
        <v>6.5</v>
      </c>
      <c r="AD824" s="7">
        <f t="shared" si="226"/>
        <v>581.43303760776303</v>
      </c>
      <c r="AE824" s="2">
        <f t="shared" si="227"/>
        <v>65.856962392236937</v>
      </c>
      <c r="AF824" s="10">
        <v>2.625</v>
      </c>
      <c r="AG824" s="3">
        <f t="shared" si="228"/>
        <v>2265.375</v>
      </c>
      <c r="AH824" s="7">
        <v>0</v>
      </c>
      <c r="AI824">
        <f t="shared" si="229"/>
        <v>360</v>
      </c>
      <c r="AJ824" t="e">
        <f>VLOOKUP(A824,'Borrower Details'!$A$1:$H$1493,8,FALSE)</f>
        <v>#N/A</v>
      </c>
      <c r="AK824" s="4" t="e">
        <f t="shared" si="230"/>
        <v>#N/A</v>
      </c>
      <c r="AL824" s="10">
        <v>7.625</v>
      </c>
      <c r="AM824" s="3">
        <f t="shared" si="231"/>
        <v>84862.008349999989</v>
      </c>
      <c r="AN824">
        <v>7.625</v>
      </c>
      <c r="AO824" s="7">
        <f t="shared" si="232"/>
        <v>636.00715827808256</v>
      </c>
      <c r="AP824" s="2">
        <f t="shared" si="233"/>
        <v>11.282841721917407</v>
      </c>
    </row>
    <row r="825" spans="1:42" x14ac:dyDescent="0.15">
      <c r="A825" s="8">
        <v>410014260</v>
      </c>
      <c r="B825" t="s">
        <v>36</v>
      </c>
      <c r="C825" t="s">
        <v>19</v>
      </c>
      <c r="D825" s="1">
        <v>39183</v>
      </c>
      <c r="E825" s="2">
        <v>310000</v>
      </c>
      <c r="F825" s="2">
        <v>225000</v>
      </c>
      <c r="G825" t="s">
        <v>15</v>
      </c>
      <c r="H825" s="2">
        <v>1522.4</v>
      </c>
      <c r="I825" s="2">
        <v>224138.52</v>
      </c>
      <c r="J825">
        <v>7.7499999999999999E-2</v>
      </c>
      <c r="K825">
        <v>12</v>
      </c>
      <c r="L825">
        <v>348</v>
      </c>
      <c r="M825" t="str">
        <f t="shared" si="219"/>
        <v>30 Year Fixed</v>
      </c>
      <c r="N825" s="2">
        <v>1447.56</v>
      </c>
      <c r="O825" t="str">
        <f t="shared" si="216"/>
        <v>Cash Out</v>
      </c>
      <c r="P825" s="3">
        <f t="shared" si="220"/>
        <v>35467.391330049286</v>
      </c>
      <c r="Q825" s="4">
        <v>263500</v>
      </c>
      <c r="R825" s="4" t="s">
        <v>41</v>
      </c>
      <c r="S825" s="6">
        <v>542</v>
      </c>
      <c r="T825">
        <v>7.625</v>
      </c>
      <c r="U825" s="7">
        <f t="shared" si="217"/>
        <v>1974.8281883111335</v>
      </c>
      <c r="V825" s="2">
        <f t="shared" si="221"/>
        <v>-452.42818831113345</v>
      </c>
      <c r="W825" s="9">
        <f t="shared" si="222"/>
        <v>1</v>
      </c>
      <c r="X825" s="3">
        <v>227501</v>
      </c>
      <c r="Y825" s="3">
        <f t="shared" si="223"/>
        <v>0.39625615766271949</v>
      </c>
      <c r="Z825" s="7">
        <f t="shared" si="224"/>
        <v>1705.0299342275946</v>
      </c>
      <c r="AA825" s="2">
        <f t="shared" si="218"/>
        <v>-182.6299342275945</v>
      </c>
      <c r="AB825" s="8">
        <f t="shared" si="225"/>
        <v>1</v>
      </c>
      <c r="AC825" s="10">
        <v>6.875</v>
      </c>
      <c r="AD825" s="7">
        <f t="shared" si="226"/>
        <v>1589.3117037332697</v>
      </c>
      <c r="AE825" s="2">
        <f t="shared" si="227"/>
        <v>-66.911703733269633</v>
      </c>
      <c r="AF825" s="10">
        <v>1</v>
      </c>
      <c r="AG825" s="3">
        <f t="shared" si="228"/>
        <v>2275.0100000000002</v>
      </c>
      <c r="AH825" s="7">
        <v>4500</v>
      </c>
      <c r="AI825">
        <f t="shared" si="229"/>
        <v>360</v>
      </c>
      <c r="AJ825" t="e">
        <f>VLOOKUP(A825,'Borrower Details'!$A$1:$H$1493,8,FALSE)</f>
        <v>#N/A</v>
      </c>
      <c r="AK825" s="4" t="e">
        <f t="shared" si="230"/>
        <v>#N/A</v>
      </c>
      <c r="AL825" s="10">
        <v>7.625</v>
      </c>
      <c r="AM825" s="3">
        <f t="shared" si="231"/>
        <v>227500.59779999996</v>
      </c>
      <c r="AN825">
        <v>7.625</v>
      </c>
      <c r="AO825" s="7">
        <f t="shared" si="232"/>
        <v>1705.0269198978133</v>
      </c>
      <c r="AP825" s="2">
        <f t="shared" si="233"/>
        <v>-182.6269198978132</v>
      </c>
    </row>
    <row r="826" spans="1:42" x14ac:dyDescent="0.15">
      <c r="A826" s="8">
        <v>410326110</v>
      </c>
      <c r="B826" t="s">
        <v>36</v>
      </c>
      <c r="C826" t="s">
        <v>19</v>
      </c>
      <c r="D826" s="1">
        <v>39255</v>
      </c>
      <c r="E826" s="2">
        <v>160000</v>
      </c>
      <c r="F826" s="2">
        <v>126500</v>
      </c>
      <c r="G826" t="s">
        <v>15</v>
      </c>
      <c r="H826" s="2">
        <v>954.81</v>
      </c>
      <c r="I826" s="2">
        <v>125676.18</v>
      </c>
      <c r="J826">
        <v>8.3000000000000004E-2</v>
      </c>
      <c r="K826">
        <v>10</v>
      </c>
      <c r="L826">
        <v>350</v>
      </c>
      <c r="M826" t="str">
        <f t="shared" si="219"/>
        <v>30 Year Fixed</v>
      </c>
      <c r="N826" s="2">
        <v>869.26</v>
      </c>
      <c r="O826" t="str">
        <f t="shared" si="216"/>
        <v>Cash Out</v>
      </c>
      <c r="P826" s="3">
        <f t="shared" si="220"/>
        <v>8313.9677832512534</v>
      </c>
      <c r="Q826" s="4">
        <v>136000</v>
      </c>
      <c r="R826" s="4" t="s">
        <v>41</v>
      </c>
      <c r="S826" s="6">
        <v>581</v>
      </c>
      <c r="T826">
        <v>7.375</v>
      </c>
      <c r="U826" s="7">
        <f t="shared" si="217"/>
        <v>995.98486739904604</v>
      </c>
      <c r="V826" s="2">
        <f t="shared" si="221"/>
        <v>-41.174867399046093</v>
      </c>
      <c r="W826" s="9">
        <f t="shared" si="222"/>
        <v>1</v>
      </c>
      <c r="X826" s="3">
        <v>130300</v>
      </c>
      <c r="Y826" s="3">
        <f t="shared" si="223"/>
        <v>2698.2042364532244</v>
      </c>
      <c r="Z826" s="7">
        <f t="shared" si="224"/>
        <v>954.2413839859978</v>
      </c>
      <c r="AA826" s="2">
        <f t="shared" si="218"/>
        <v>0.56861601400214568</v>
      </c>
      <c r="AB826" s="8">
        <f t="shared" si="225"/>
        <v>1</v>
      </c>
      <c r="AC826" s="10">
        <v>6.625</v>
      </c>
      <c r="AD826" s="7">
        <f t="shared" si="226"/>
        <v>888.61684894754501</v>
      </c>
      <c r="AE826" s="2">
        <f t="shared" si="227"/>
        <v>66.193151052454937</v>
      </c>
      <c r="AF826" s="10">
        <v>1.875</v>
      </c>
      <c r="AG826" s="3">
        <f t="shared" si="228"/>
        <v>2443.125</v>
      </c>
      <c r="AH826" s="7">
        <v>2530</v>
      </c>
      <c r="AI826">
        <f t="shared" si="229"/>
        <v>360</v>
      </c>
      <c r="AJ826" t="e">
        <f>VLOOKUP(A826,'Borrower Details'!$A$1:$H$1493,8,FALSE)</f>
        <v>#N/A</v>
      </c>
      <c r="AK826" s="4" t="e">
        <f t="shared" si="230"/>
        <v>#N/A</v>
      </c>
      <c r="AL826" s="10">
        <v>7.375</v>
      </c>
      <c r="AM826" s="3">
        <f t="shared" si="231"/>
        <v>127561.32269999998</v>
      </c>
      <c r="AN826">
        <v>7.375</v>
      </c>
      <c r="AO826" s="7">
        <f t="shared" si="232"/>
        <v>934.18490496034121</v>
      </c>
      <c r="AP826" s="2">
        <f t="shared" si="233"/>
        <v>20.625095039658731</v>
      </c>
    </row>
    <row r="827" spans="1:42" x14ac:dyDescent="0.15">
      <c r="A827" s="8">
        <v>410953954</v>
      </c>
      <c r="B827" t="s">
        <v>36</v>
      </c>
      <c r="C827" t="s">
        <v>16</v>
      </c>
      <c r="D827" s="1">
        <v>39342</v>
      </c>
      <c r="E827" s="2">
        <v>93000</v>
      </c>
      <c r="F827" s="2">
        <v>74400</v>
      </c>
      <c r="G827" t="s">
        <v>17</v>
      </c>
      <c r="H827" s="2">
        <v>759.57</v>
      </c>
      <c r="I827" s="2">
        <v>74243</v>
      </c>
      <c r="J827">
        <v>0.11899999999999999</v>
      </c>
      <c r="K827">
        <v>7</v>
      </c>
      <c r="L827">
        <v>353</v>
      </c>
      <c r="M827" t="str">
        <f t="shared" si="219"/>
        <v>30 Year Fixed</v>
      </c>
      <c r="N827" s="2">
        <v>736.24</v>
      </c>
      <c r="O827" t="str">
        <f t="shared" si="216"/>
        <v>Cash Out</v>
      </c>
      <c r="P827" s="3">
        <f t="shared" si="220"/>
        <v>3638.7733990147826</v>
      </c>
      <c r="Q827" s="4">
        <v>79050</v>
      </c>
      <c r="R827" s="4" t="s">
        <v>41</v>
      </c>
      <c r="S827" s="6">
        <v>545</v>
      </c>
      <c r="T827">
        <v>7.625</v>
      </c>
      <c r="U827" s="7">
        <f t="shared" si="217"/>
        <v>592.44845649334002</v>
      </c>
      <c r="V827" s="2">
        <f t="shared" si="221"/>
        <v>167.12154350666003</v>
      </c>
      <c r="W827" s="9">
        <f t="shared" si="222"/>
        <v>0</v>
      </c>
      <c r="X827" s="3">
        <v>79050</v>
      </c>
      <c r="Y827" s="3">
        <f t="shared" si="223"/>
        <v>3638.7733990147826</v>
      </c>
      <c r="Z827" s="7">
        <f t="shared" si="224"/>
        <v>592.44845649334002</v>
      </c>
      <c r="AA827" s="2">
        <f t="shared" si="218"/>
        <v>167.12154350666003</v>
      </c>
      <c r="AB827" s="8">
        <f t="shared" si="225"/>
        <v>0</v>
      </c>
      <c r="AC827" s="10">
        <v>7.625</v>
      </c>
      <c r="AD827" s="7">
        <f t="shared" si="226"/>
        <v>592.44845649334002</v>
      </c>
      <c r="AE827" s="2">
        <f t="shared" si="227"/>
        <v>167.12154350666003</v>
      </c>
      <c r="AF827" s="10">
        <v>0</v>
      </c>
      <c r="AG827" s="3">
        <f t="shared" si="228"/>
        <v>0</v>
      </c>
      <c r="AH827" s="7">
        <v>1488</v>
      </c>
      <c r="AI827">
        <f t="shared" si="229"/>
        <v>360</v>
      </c>
      <c r="AJ827" t="e">
        <f>VLOOKUP(A827,'Borrower Details'!$A$1:$H$1493,8,FALSE)</f>
        <v>#N/A</v>
      </c>
      <c r="AK827" s="4" t="e">
        <f t="shared" si="230"/>
        <v>#N/A</v>
      </c>
      <c r="AL827" s="10">
        <v>7.625</v>
      </c>
      <c r="AM827" s="3">
        <f t="shared" si="231"/>
        <v>75356.64499999999</v>
      </c>
      <c r="AN827">
        <v>7.625</v>
      </c>
      <c r="AO827" s="7">
        <f t="shared" si="232"/>
        <v>564.76822285599701</v>
      </c>
      <c r="AP827" s="2">
        <f t="shared" si="233"/>
        <v>194.80177714400304</v>
      </c>
    </row>
    <row r="828" spans="1:42" x14ac:dyDescent="0.15">
      <c r="A828" s="8">
        <v>410743520</v>
      </c>
      <c r="B828" t="s">
        <v>38</v>
      </c>
      <c r="C828" t="s">
        <v>18</v>
      </c>
      <c r="D828" s="1">
        <v>39314</v>
      </c>
      <c r="E828" s="2">
        <v>284000</v>
      </c>
      <c r="F828" s="2">
        <v>227200</v>
      </c>
      <c r="G828" t="s">
        <v>20</v>
      </c>
      <c r="H828" s="2">
        <v>1771.19</v>
      </c>
      <c r="I828" s="2">
        <v>226105.01</v>
      </c>
      <c r="J828">
        <v>8.6499999999999994E-2</v>
      </c>
      <c r="K828">
        <v>8</v>
      </c>
      <c r="L828">
        <v>352</v>
      </c>
      <c r="M828" t="str">
        <f t="shared" si="219"/>
        <v>30 Year Fixed</v>
      </c>
      <c r="N828" s="2">
        <v>1629.84</v>
      </c>
      <c r="O828" t="str">
        <f t="shared" si="216"/>
        <v>Cash Out</v>
      </c>
      <c r="P828" s="3">
        <f t="shared" si="220"/>
        <v>11727.502315270947</v>
      </c>
      <c r="Q828" s="4">
        <v>241400</v>
      </c>
      <c r="R828" s="4" t="s">
        <v>41</v>
      </c>
      <c r="S828" s="6">
        <v>585</v>
      </c>
      <c r="T828">
        <v>7.375</v>
      </c>
      <c r="U828" s="7">
        <f t="shared" si="217"/>
        <v>1767.8731396333067</v>
      </c>
      <c r="V828" s="2">
        <f t="shared" si="221"/>
        <v>3.3168603666933905</v>
      </c>
      <c r="W828" s="9">
        <f t="shared" si="222"/>
        <v>0</v>
      </c>
      <c r="X828" s="3">
        <v>241400</v>
      </c>
      <c r="Y828" s="3">
        <f t="shared" si="223"/>
        <v>11727.502315270947</v>
      </c>
      <c r="Z828" s="7">
        <f t="shared" si="224"/>
        <v>1767.8731396333067</v>
      </c>
      <c r="AA828" s="2">
        <f t="shared" si="218"/>
        <v>3.3168603666933905</v>
      </c>
      <c r="AB828" s="8">
        <f t="shared" si="225"/>
        <v>1</v>
      </c>
      <c r="AC828" s="10">
        <v>6.625</v>
      </c>
      <c r="AD828" s="7">
        <f t="shared" si="226"/>
        <v>1646.2939933686673</v>
      </c>
      <c r="AE828" s="2">
        <f t="shared" si="227"/>
        <v>124.89600663133274</v>
      </c>
      <c r="AF828" s="10">
        <v>1.875</v>
      </c>
      <c r="AG828" s="3">
        <f t="shared" si="228"/>
        <v>4526.25</v>
      </c>
      <c r="AH828" s="7">
        <v>2272</v>
      </c>
      <c r="AI828">
        <f t="shared" si="229"/>
        <v>360</v>
      </c>
      <c r="AJ828" t="e">
        <f>VLOOKUP(A828,'Borrower Details'!$A$1:$H$1493,8,FALSE)</f>
        <v>#N/A</v>
      </c>
      <c r="AK828" s="4" t="e">
        <f t="shared" si="230"/>
        <v>#N/A</v>
      </c>
      <c r="AL828" s="10">
        <v>7.375</v>
      </c>
      <c r="AM828" s="3">
        <f t="shared" si="231"/>
        <v>229496.58515</v>
      </c>
      <c r="AN828">
        <v>7.375</v>
      </c>
      <c r="AO828" s="7">
        <f t="shared" si="232"/>
        <v>1680.6994553614459</v>
      </c>
      <c r="AP828" s="2">
        <f t="shared" si="233"/>
        <v>90.490544638554184</v>
      </c>
    </row>
    <row r="829" spans="1:42" x14ac:dyDescent="0.15">
      <c r="A829" s="8">
        <v>410683726</v>
      </c>
      <c r="B829" t="s">
        <v>38</v>
      </c>
      <c r="C829" t="s">
        <v>19</v>
      </c>
      <c r="D829" s="1">
        <v>39293</v>
      </c>
      <c r="E829" s="2">
        <v>145000</v>
      </c>
      <c r="F829" s="2">
        <v>136851</v>
      </c>
      <c r="G829" t="s">
        <v>15</v>
      </c>
      <c r="H829" s="2">
        <v>1130.81</v>
      </c>
      <c r="I829" s="2">
        <v>136273.81</v>
      </c>
      <c r="J829">
        <v>9.2999999999999999E-2</v>
      </c>
      <c r="K829">
        <v>9</v>
      </c>
      <c r="L829">
        <v>352</v>
      </c>
      <c r="M829" t="str">
        <f t="shared" si="219"/>
        <v>30 Year Fixed</v>
      </c>
      <c r="N829" s="2">
        <v>1056.7</v>
      </c>
      <c r="O829" t="str">
        <f t="shared" si="216"/>
        <v>Refi</v>
      </c>
      <c r="P829" s="3">
        <f t="shared" si="220"/>
        <v>0</v>
      </c>
      <c r="Q829" s="4">
        <v>138318</v>
      </c>
      <c r="R829" s="4" t="s">
        <v>41</v>
      </c>
      <c r="S829" s="6">
        <v>614</v>
      </c>
      <c r="T829">
        <v>6.875</v>
      </c>
      <c r="U829" s="7">
        <f t="shared" si="217"/>
        <v>966.28329649970067</v>
      </c>
      <c r="V829" s="2">
        <f t="shared" si="221"/>
        <v>164.52670350029928</v>
      </c>
      <c r="W829" s="9">
        <f t="shared" si="222"/>
        <v>0</v>
      </c>
      <c r="X829" s="3">
        <v>138318</v>
      </c>
      <c r="Y829" s="3">
        <f t="shared" si="223"/>
        <v>8.16256157704629E-2</v>
      </c>
      <c r="Z829" s="7">
        <f t="shared" si="224"/>
        <v>966.28329649970067</v>
      </c>
      <c r="AA829" s="2">
        <f t="shared" si="218"/>
        <v>164.52670350029928</v>
      </c>
      <c r="AB829" s="8">
        <f t="shared" si="225"/>
        <v>0</v>
      </c>
      <c r="AC829" s="10">
        <v>6.875</v>
      </c>
      <c r="AD829" s="7">
        <f t="shared" si="226"/>
        <v>966.28329649970067</v>
      </c>
      <c r="AE829" s="2">
        <f t="shared" si="227"/>
        <v>164.52670350029928</v>
      </c>
      <c r="AF829" s="10">
        <v>0</v>
      </c>
      <c r="AG829" s="3">
        <f t="shared" si="228"/>
        <v>0</v>
      </c>
      <c r="AH829" s="7">
        <v>0</v>
      </c>
      <c r="AI829">
        <f t="shared" si="229"/>
        <v>360</v>
      </c>
      <c r="AJ829" t="e">
        <f>VLOOKUP(A829,'Borrower Details'!$A$1:$H$1493,8,FALSE)</f>
        <v>#N/A</v>
      </c>
      <c r="AK829" s="4" t="e">
        <f t="shared" si="230"/>
        <v>#N/A</v>
      </c>
      <c r="AL829" s="10">
        <v>6.875</v>
      </c>
      <c r="AM829" s="3">
        <f t="shared" si="231"/>
        <v>138317.91714999999</v>
      </c>
      <c r="AN829">
        <v>6.875</v>
      </c>
      <c r="AO829" s="7">
        <f t="shared" si="232"/>
        <v>966.28271771334516</v>
      </c>
      <c r="AP829" s="2">
        <f t="shared" si="233"/>
        <v>164.52728228665478</v>
      </c>
    </row>
    <row r="830" spans="1:42" x14ac:dyDescent="0.15">
      <c r="A830" s="8">
        <v>1165167</v>
      </c>
      <c r="B830" t="s">
        <v>38</v>
      </c>
      <c r="C830" t="s">
        <v>19</v>
      </c>
      <c r="D830" s="1">
        <v>39171</v>
      </c>
      <c r="E830" s="2">
        <v>116500</v>
      </c>
      <c r="F830" s="2">
        <v>104850</v>
      </c>
      <c r="G830" t="s">
        <v>17</v>
      </c>
      <c r="H830" s="2">
        <v>879.73</v>
      </c>
      <c r="I830" s="2">
        <v>104143.05</v>
      </c>
      <c r="J830">
        <v>9.4750000000000001E-2</v>
      </c>
      <c r="K830">
        <v>13</v>
      </c>
      <c r="L830">
        <v>347</v>
      </c>
      <c r="M830" t="str">
        <f t="shared" si="219"/>
        <v>30 Year Fixed</v>
      </c>
      <c r="N830" s="2">
        <v>822.3</v>
      </c>
      <c r="O830" t="str">
        <f t="shared" si="216"/>
        <v>Refi</v>
      </c>
      <c r="P830" s="3">
        <f t="shared" si="220"/>
        <v>0</v>
      </c>
      <c r="Q830" s="4">
        <v>105705</v>
      </c>
      <c r="R830" s="4" t="s">
        <v>41</v>
      </c>
      <c r="S830" s="6">
        <v>544</v>
      </c>
      <c r="T830">
        <v>7.625</v>
      </c>
      <c r="U830" s="7">
        <f t="shared" si="217"/>
        <v>792.21712958416845</v>
      </c>
      <c r="V830" s="2">
        <f t="shared" si="221"/>
        <v>87.512870415831571</v>
      </c>
      <c r="W830" s="9">
        <f t="shared" si="222"/>
        <v>0</v>
      </c>
      <c r="X830" s="3">
        <v>105705</v>
      </c>
      <c r="Y830" s="3">
        <f t="shared" si="223"/>
        <v>-0.19285714284342248</v>
      </c>
      <c r="Z830" s="7">
        <f t="shared" si="224"/>
        <v>792.21712958416845</v>
      </c>
      <c r="AA830" s="2">
        <f t="shared" si="218"/>
        <v>87.512870415831571</v>
      </c>
      <c r="AB830" s="8">
        <f t="shared" si="225"/>
        <v>0</v>
      </c>
      <c r="AC830" s="10">
        <v>7.625</v>
      </c>
      <c r="AD830" s="7">
        <f t="shared" si="226"/>
        <v>792.21712958416845</v>
      </c>
      <c r="AE830" s="2">
        <f t="shared" si="227"/>
        <v>87.512870415831571</v>
      </c>
      <c r="AF830" s="10">
        <v>0</v>
      </c>
      <c r="AG830" s="3">
        <f t="shared" si="228"/>
        <v>0</v>
      </c>
      <c r="AH830" s="7">
        <v>0</v>
      </c>
      <c r="AI830">
        <f t="shared" si="229"/>
        <v>360</v>
      </c>
      <c r="AJ830" t="e">
        <f>VLOOKUP(A830,'Borrower Details'!$A$1:$H$1493,8,FALSE)</f>
        <v>#N/A</v>
      </c>
      <c r="AK830" s="4" t="e">
        <f t="shared" si="230"/>
        <v>#N/A</v>
      </c>
      <c r="AL830" s="10">
        <v>7.625</v>
      </c>
      <c r="AM830" s="3">
        <f t="shared" si="231"/>
        <v>105705.19575</v>
      </c>
      <c r="AN830">
        <v>7.625</v>
      </c>
      <c r="AO830" s="7">
        <f t="shared" si="232"/>
        <v>792.21859665292686</v>
      </c>
      <c r="AP830" s="2">
        <f t="shared" si="233"/>
        <v>87.511403347073156</v>
      </c>
    </row>
    <row r="831" spans="1:42" x14ac:dyDescent="0.15">
      <c r="A831" s="8">
        <v>410684906</v>
      </c>
      <c r="B831" t="s">
        <v>37</v>
      </c>
      <c r="C831" t="s">
        <v>19</v>
      </c>
      <c r="D831" s="1">
        <v>39283</v>
      </c>
      <c r="E831" s="2">
        <v>290000</v>
      </c>
      <c r="F831" s="2">
        <v>256950</v>
      </c>
      <c r="G831" t="s">
        <v>17</v>
      </c>
      <c r="H831" s="2">
        <v>1796.64</v>
      </c>
      <c r="I831" s="2">
        <v>254988.45</v>
      </c>
      <c r="J831">
        <v>7.4999999999999997E-2</v>
      </c>
      <c r="K831">
        <v>9</v>
      </c>
      <c r="L831">
        <v>350</v>
      </c>
      <c r="M831" t="str">
        <f t="shared" si="219"/>
        <v>30 Year Fixed</v>
      </c>
      <c r="N831" s="2">
        <v>1594.94</v>
      </c>
      <c r="O831" t="str">
        <f t="shared" si="216"/>
        <v>Refi</v>
      </c>
      <c r="P831" s="3">
        <f t="shared" si="220"/>
        <v>0</v>
      </c>
      <c r="Q831" s="4">
        <v>258813</v>
      </c>
      <c r="R831" s="4" t="s">
        <v>41</v>
      </c>
      <c r="S831" s="6">
        <v>683</v>
      </c>
      <c r="T831">
        <v>6.75</v>
      </c>
      <c r="U831" s="7">
        <f t="shared" si="217"/>
        <v>1786.4949416710911</v>
      </c>
      <c r="V831" s="2">
        <f t="shared" si="221"/>
        <v>10.145058328909045</v>
      </c>
      <c r="W831" s="9">
        <f t="shared" si="222"/>
        <v>0</v>
      </c>
      <c r="X831" s="3">
        <v>258813</v>
      </c>
      <c r="Y831" s="3">
        <f t="shared" si="223"/>
        <v>-0.27266009850427508</v>
      </c>
      <c r="Z831" s="7">
        <f t="shared" si="224"/>
        <v>1786.4949416710911</v>
      </c>
      <c r="AA831" s="2">
        <f t="shared" si="218"/>
        <v>10.145058328909045</v>
      </c>
      <c r="AB831" s="8">
        <f t="shared" si="225"/>
        <v>1</v>
      </c>
      <c r="AC831" s="10">
        <v>6.125</v>
      </c>
      <c r="AD831" s="7">
        <f t="shared" si="226"/>
        <v>1680.41381580497</v>
      </c>
      <c r="AE831" s="2">
        <f t="shared" si="227"/>
        <v>116.2261841950301</v>
      </c>
      <c r="AF831" s="10">
        <v>3</v>
      </c>
      <c r="AG831" s="3">
        <f t="shared" si="228"/>
        <v>7764.39</v>
      </c>
      <c r="AH831" s="7">
        <v>2569.5</v>
      </c>
      <c r="AI831">
        <f t="shared" si="229"/>
        <v>360</v>
      </c>
      <c r="AJ831" t="e">
        <f>VLOOKUP(A831,'Borrower Details'!$A$1:$H$1493,8,FALSE)</f>
        <v>#N/A</v>
      </c>
      <c r="AK831" s="4" t="e">
        <f t="shared" si="230"/>
        <v>#N/A</v>
      </c>
      <c r="AL831" s="10">
        <v>6.75</v>
      </c>
      <c r="AM831" s="3">
        <f t="shared" si="231"/>
        <v>258813.27674999999</v>
      </c>
      <c r="AN831">
        <v>6.75</v>
      </c>
      <c r="AO831" s="7">
        <f t="shared" si="232"/>
        <v>1786.4968519788235</v>
      </c>
      <c r="AP831" s="2">
        <f t="shared" si="233"/>
        <v>10.143148021176557</v>
      </c>
    </row>
    <row r="832" spans="1:42" x14ac:dyDescent="0.15">
      <c r="A832" s="8">
        <v>411004120</v>
      </c>
      <c r="B832" t="s">
        <v>37</v>
      </c>
      <c r="C832" t="s">
        <v>18</v>
      </c>
      <c r="D832" s="1">
        <v>39370</v>
      </c>
      <c r="E832" s="2">
        <v>225000</v>
      </c>
      <c r="F832" s="2">
        <v>142000</v>
      </c>
      <c r="G832" t="s">
        <v>17</v>
      </c>
      <c r="H832" s="2">
        <v>1168.2</v>
      </c>
      <c r="I832" s="2">
        <v>141549.70000000001</v>
      </c>
      <c r="J832">
        <v>9.2499999999999999E-2</v>
      </c>
      <c r="K832">
        <v>6</v>
      </c>
      <c r="L832">
        <v>354</v>
      </c>
      <c r="M832" t="str">
        <f t="shared" si="219"/>
        <v>30 Year Fixed</v>
      </c>
      <c r="N832" s="2">
        <v>1091.1099999999999</v>
      </c>
      <c r="O832" t="str">
        <f t="shared" si="216"/>
        <v>Cash Out</v>
      </c>
      <c r="P832" s="3">
        <f t="shared" si="220"/>
        <v>46873.945320197061</v>
      </c>
      <c r="Q832" s="4">
        <v>191250</v>
      </c>
      <c r="R832" s="4" t="s">
        <v>41</v>
      </c>
      <c r="S832" s="6">
        <v>608</v>
      </c>
      <c r="T832">
        <v>6.875</v>
      </c>
      <c r="U832" s="7">
        <f t="shared" si="217"/>
        <v>1336.0638561544249</v>
      </c>
      <c r="V832" s="2">
        <f t="shared" si="221"/>
        <v>-167.86385615442487</v>
      </c>
      <c r="W832" s="9">
        <f t="shared" si="222"/>
        <v>1</v>
      </c>
      <c r="X832" s="3">
        <v>167140</v>
      </c>
      <c r="Y832" s="3">
        <f t="shared" si="223"/>
        <v>23120.250738916249</v>
      </c>
      <c r="Z832" s="7">
        <f t="shared" si="224"/>
        <v>1167.6324858439245</v>
      </c>
      <c r="AA832" s="2">
        <f t="shared" si="218"/>
        <v>0.56751415607550371</v>
      </c>
      <c r="AB832" s="8">
        <f t="shared" si="225"/>
        <v>0</v>
      </c>
      <c r="AC832" s="10">
        <v>6.875</v>
      </c>
      <c r="AD832" s="7">
        <f t="shared" si="226"/>
        <v>1167.6324858439245</v>
      </c>
      <c r="AE832" s="2">
        <f t="shared" si="227"/>
        <v>0.56751415607550371</v>
      </c>
      <c r="AF832" s="10">
        <v>0</v>
      </c>
      <c r="AG832" s="3">
        <f t="shared" si="228"/>
        <v>0</v>
      </c>
      <c r="AH832" s="7">
        <v>0</v>
      </c>
      <c r="AI832">
        <f t="shared" si="229"/>
        <v>360</v>
      </c>
      <c r="AJ832" t="e">
        <f>VLOOKUP(A832,'Borrower Details'!$A$1:$H$1493,8,FALSE)</f>
        <v>#N/A</v>
      </c>
      <c r="AK832" s="4" t="e">
        <f t="shared" si="230"/>
        <v>#N/A</v>
      </c>
      <c r="AL832" s="10">
        <v>6.875</v>
      </c>
      <c r="AM832" s="3">
        <f t="shared" si="231"/>
        <v>143672.9455</v>
      </c>
      <c r="AN832">
        <v>6.875</v>
      </c>
      <c r="AO832" s="7">
        <f t="shared" si="232"/>
        <v>1003.6927037374878</v>
      </c>
      <c r="AP832" s="2">
        <f t="shared" si="233"/>
        <v>164.50729626251223</v>
      </c>
    </row>
    <row r="833" spans="1:42" x14ac:dyDescent="0.15">
      <c r="A833" s="8">
        <v>411032170</v>
      </c>
      <c r="B833" t="s">
        <v>36</v>
      </c>
      <c r="C833" t="s">
        <v>16</v>
      </c>
      <c r="D833" s="1">
        <v>39379</v>
      </c>
      <c r="E833" s="2">
        <v>238000</v>
      </c>
      <c r="F833" s="2">
        <v>166600</v>
      </c>
      <c r="G833" t="s">
        <v>17</v>
      </c>
      <c r="H833" s="2">
        <v>1542.67</v>
      </c>
      <c r="I833" s="2">
        <v>166206.79999999999</v>
      </c>
      <c r="J833">
        <v>0.1065</v>
      </c>
      <c r="K833">
        <v>6</v>
      </c>
      <c r="L833">
        <v>354</v>
      </c>
      <c r="M833" t="str">
        <f t="shared" si="219"/>
        <v>30 Year Fixed</v>
      </c>
      <c r="N833" s="2">
        <v>1475.09</v>
      </c>
      <c r="O833" t="str">
        <f t="shared" si="216"/>
        <v>Cash Out</v>
      </c>
      <c r="P833" s="3">
        <f t="shared" si="220"/>
        <v>33103.544827586244</v>
      </c>
      <c r="Q833" s="4">
        <v>202300</v>
      </c>
      <c r="R833" s="4" t="s">
        <v>41</v>
      </c>
      <c r="S833" s="6">
        <v>531</v>
      </c>
      <c r="T833">
        <v>7.625</v>
      </c>
      <c r="U833" s="7">
        <f t="shared" si="217"/>
        <v>1516.1584155420962</v>
      </c>
      <c r="V833" s="2">
        <f t="shared" si="221"/>
        <v>26.511584457903837</v>
      </c>
      <c r="W833" s="9">
        <f t="shared" si="222"/>
        <v>0</v>
      </c>
      <c r="X833" s="3">
        <v>202300</v>
      </c>
      <c r="Y833" s="3">
        <f t="shared" si="223"/>
        <v>33103.544827586244</v>
      </c>
      <c r="Z833" s="7">
        <f t="shared" si="224"/>
        <v>1516.1584155420962</v>
      </c>
      <c r="AA833" s="2">
        <f t="shared" si="218"/>
        <v>26.511584457903837</v>
      </c>
      <c r="AB833" s="8">
        <f t="shared" si="225"/>
        <v>0</v>
      </c>
      <c r="AC833" s="10">
        <v>7.625</v>
      </c>
      <c r="AD833" s="7">
        <f t="shared" si="226"/>
        <v>1516.1584155420962</v>
      </c>
      <c r="AE833" s="2">
        <f t="shared" si="227"/>
        <v>26.511584457903837</v>
      </c>
      <c r="AF833" s="10">
        <v>0</v>
      </c>
      <c r="AG833" s="3">
        <f t="shared" si="228"/>
        <v>0</v>
      </c>
      <c r="AH833" s="7">
        <v>3332</v>
      </c>
      <c r="AI833">
        <f t="shared" si="229"/>
        <v>360</v>
      </c>
      <c r="AJ833" t="e">
        <f>VLOOKUP(A833,'Borrower Details'!$A$1:$H$1493,8,FALSE)</f>
        <v>#N/A</v>
      </c>
      <c r="AK833" s="4" t="e">
        <f t="shared" si="230"/>
        <v>#N/A</v>
      </c>
      <c r="AL833" s="10">
        <v>7.625</v>
      </c>
      <c r="AM833" s="3">
        <f t="shared" si="231"/>
        <v>168699.90199999997</v>
      </c>
      <c r="AN833">
        <v>7.625</v>
      </c>
      <c r="AO833" s="7">
        <f t="shared" si="232"/>
        <v>1264.3389822957331</v>
      </c>
      <c r="AP833" s="2">
        <f t="shared" si="233"/>
        <v>278.33101770426697</v>
      </c>
    </row>
    <row r="834" spans="1:42" x14ac:dyDescent="0.15">
      <c r="A834" s="8">
        <v>410847180</v>
      </c>
      <c r="B834" t="s">
        <v>37</v>
      </c>
      <c r="C834" t="s">
        <v>18</v>
      </c>
      <c r="D834" s="1">
        <v>39323</v>
      </c>
      <c r="E834" s="2">
        <v>168800</v>
      </c>
      <c r="F834" s="2">
        <v>151920</v>
      </c>
      <c r="G834" t="s">
        <v>17</v>
      </c>
      <c r="H834" s="2">
        <v>1260.8399999999999</v>
      </c>
      <c r="I834" s="2">
        <v>151234.85</v>
      </c>
      <c r="J834">
        <v>9.35E-2</v>
      </c>
      <c r="K834">
        <v>8</v>
      </c>
      <c r="L834">
        <v>352</v>
      </c>
      <c r="M834" t="str">
        <f t="shared" si="219"/>
        <v>30 Year Fixed</v>
      </c>
      <c r="N834" s="2">
        <v>1178.3699999999999</v>
      </c>
      <c r="O834" t="str">
        <f t="shared" ref="O834:O897" si="234">IF((0.85*E834)&gt;(I834*1.015),"Cash Out","Refi")</f>
        <v>Refi</v>
      </c>
      <c r="P834" s="3">
        <f t="shared" si="220"/>
        <v>0</v>
      </c>
      <c r="Q834" s="4">
        <v>153503</v>
      </c>
      <c r="R834" s="4" t="s">
        <v>41</v>
      </c>
      <c r="S834" s="6">
        <v>686</v>
      </c>
      <c r="T834">
        <v>6.75</v>
      </c>
      <c r="U834" s="7">
        <f t="shared" ref="U834:U897" si="235">(Q834*((T834/1200)/(1-(1+(T834/1200))^-AI834)))+((Q834*0.005)/12)</f>
        <v>1059.5771195084385</v>
      </c>
      <c r="V834" s="2">
        <f t="shared" si="221"/>
        <v>201.26288049156142</v>
      </c>
      <c r="W834" s="9">
        <f t="shared" si="222"/>
        <v>0</v>
      </c>
      <c r="X834" s="3">
        <v>153504</v>
      </c>
      <c r="Y834" s="3">
        <f t="shared" si="223"/>
        <v>0.61798029558849521</v>
      </c>
      <c r="Z834" s="7">
        <f t="shared" si="224"/>
        <v>1059.5840221560709</v>
      </c>
      <c r="AA834" s="2">
        <f t="shared" ref="AA834:AA897" si="236">H834-Z834</f>
        <v>201.25597784392903</v>
      </c>
      <c r="AB834" s="8">
        <f t="shared" si="225"/>
        <v>0</v>
      </c>
      <c r="AC834" s="10">
        <v>6.75</v>
      </c>
      <c r="AD834" s="7">
        <f t="shared" si="226"/>
        <v>1059.5840221560709</v>
      </c>
      <c r="AE834" s="2">
        <f t="shared" si="227"/>
        <v>201.25597784392903</v>
      </c>
      <c r="AF834" s="10">
        <v>0</v>
      </c>
      <c r="AG834" s="3">
        <f t="shared" si="228"/>
        <v>0</v>
      </c>
      <c r="AH834" s="7">
        <v>0</v>
      </c>
      <c r="AI834">
        <f t="shared" si="229"/>
        <v>360</v>
      </c>
      <c r="AJ834" t="e">
        <f>VLOOKUP(A834,'Borrower Details'!$A$1:$H$1493,8,FALSE)</f>
        <v>#N/A</v>
      </c>
      <c r="AK834" s="4" t="e">
        <f t="shared" si="230"/>
        <v>#N/A</v>
      </c>
      <c r="AL834" s="10">
        <v>6.75</v>
      </c>
      <c r="AM834" s="3">
        <f t="shared" si="231"/>
        <v>153503.37274999998</v>
      </c>
      <c r="AN834">
        <v>6.75</v>
      </c>
      <c r="AO834" s="7">
        <f t="shared" si="232"/>
        <v>1059.5796924703434</v>
      </c>
      <c r="AP834" s="2">
        <f t="shared" si="233"/>
        <v>201.26030752965653</v>
      </c>
    </row>
    <row r="835" spans="1:42" x14ac:dyDescent="0.15">
      <c r="A835" s="8">
        <v>411038896</v>
      </c>
      <c r="B835" t="s">
        <v>37</v>
      </c>
      <c r="C835" t="s">
        <v>18</v>
      </c>
      <c r="D835" s="1">
        <v>39402</v>
      </c>
      <c r="E835" s="2">
        <v>318000</v>
      </c>
      <c r="F835" s="2">
        <v>243225</v>
      </c>
      <c r="G835" t="s">
        <v>20</v>
      </c>
      <c r="H835" s="2">
        <v>1970.28</v>
      </c>
      <c r="I835" s="2">
        <v>242997.69</v>
      </c>
      <c r="J835">
        <v>9.5000000000000001E-2</v>
      </c>
      <c r="K835">
        <v>5</v>
      </c>
      <c r="L835">
        <v>355</v>
      </c>
      <c r="M835" t="str">
        <f t="shared" ref="M835:M898" si="237">(IF((L835+K835)&lt;180,"15 Year Fixed","30 Year Fixed"))</f>
        <v>30 Year Fixed</v>
      </c>
      <c r="N835" s="2">
        <v>1923.73</v>
      </c>
      <c r="O835" t="str">
        <f t="shared" si="234"/>
        <v>Cash Out</v>
      </c>
      <c r="P835" s="3">
        <f t="shared" ref="P835:P898" si="238">IF((0.85*E835)&gt;(I835*1.015),((0.85*E835)/1.015)-(I835),0)</f>
        <v>23307.728719211824</v>
      </c>
      <c r="Q835" s="4">
        <v>270300</v>
      </c>
      <c r="R835" s="4" t="s">
        <v>41</v>
      </c>
      <c r="S835" s="6">
        <v>664</v>
      </c>
      <c r="T835">
        <v>6.75</v>
      </c>
      <c r="U835" s="7">
        <f t="shared" si="235"/>
        <v>1865.7856550238819</v>
      </c>
      <c r="V835" s="2">
        <f t="shared" ref="V835:V898" si="239">H835-U835</f>
        <v>104.4943449761181</v>
      </c>
      <c r="W835" s="9">
        <f t="shared" ref="W835:W898" si="240">IF(AND(O835="Cash Out",V835&lt;0),1,0)</f>
        <v>0</v>
      </c>
      <c r="X835" s="3">
        <v>270300</v>
      </c>
      <c r="Y835" s="3">
        <f t="shared" ref="Y835:Y898" si="241">(X835/1.015)-(I835)</f>
        <v>23307.728719211824</v>
      </c>
      <c r="Z835" s="7">
        <f t="shared" ref="Z835:Z898" si="242">(X835*((AL835/1200)/(1-(1+(AL835/1200))^-AI835)))+((X835*0.005)/12)</f>
        <v>1865.7856550238819</v>
      </c>
      <c r="AA835" s="2">
        <f t="shared" si="236"/>
        <v>104.4943449761181</v>
      </c>
      <c r="AB835" s="8">
        <f t="shared" ref="AB835:AB898" si="243">IF(I835=0,0,IF(AND(AH835&gt;0,(AP835/AO835)&lt;0.07),1,IF(AND(AH835=0,(AP835/AO835)&lt;0.1),1,0)))</f>
        <v>0</v>
      </c>
      <c r="AC835" s="10">
        <v>6.75</v>
      </c>
      <c r="AD835" s="7">
        <f t="shared" ref="AD835:AD898" si="244">(X835*((AC835/1200)/(1-(1+(AC835/1200))^-AI835)))+((X835*0.005)/12)</f>
        <v>1865.7856550238819</v>
      </c>
      <c r="AE835" s="2">
        <f t="shared" ref="AE835:AE898" si="245">H835-AD835</f>
        <v>104.4943449761181</v>
      </c>
      <c r="AF835" s="10">
        <v>0</v>
      </c>
      <c r="AG835" s="3">
        <f t="shared" ref="AG835:AG898" si="246">AF835*X835/100</f>
        <v>0</v>
      </c>
      <c r="AH835" s="7">
        <v>2432.25</v>
      </c>
      <c r="AI835">
        <f t="shared" ref="AI835:AI898" si="247">IF(M835="30 Year Fixed",360,180)</f>
        <v>360</v>
      </c>
      <c r="AJ835" t="e">
        <f>VLOOKUP(A835,'Borrower Details'!$A$1:$H$1493,8,FALSE)</f>
        <v>#N/A</v>
      </c>
      <c r="AK835" s="4" t="e">
        <f t="shared" ref="AK835:AK898" si="248">IF(AJ835&gt;360,PV((J835/12),AJ835-AI835,-H835),"NA")</f>
        <v>#N/A</v>
      </c>
      <c r="AL835" s="10">
        <v>6.75</v>
      </c>
      <c r="AM835" s="3">
        <f t="shared" ref="AM835:AM898" si="249">I835*1.015</f>
        <v>246642.65534999999</v>
      </c>
      <c r="AN835">
        <v>6.75</v>
      </c>
      <c r="AO835" s="7">
        <f t="shared" ref="AO835:AO898" si="250">(AM835*((AN835/1200)/(1-(1+(AN835/1200))^-AI835)))+((AM835*0.005)/12)</f>
        <v>1702.4873409878996</v>
      </c>
      <c r="AP835" s="2">
        <f t="shared" ref="AP835:AP898" si="251">H835-AO835</f>
        <v>267.79265901210033</v>
      </c>
    </row>
    <row r="836" spans="1:42" x14ac:dyDescent="0.15">
      <c r="A836" s="8">
        <v>410781538</v>
      </c>
      <c r="B836" t="s">
        <v>35</v>
      </c>
      <c r="C836" t="s">
        <v>16</v>
      </c>
      <c r="D836" s="1">
        <v>39311</v>
      </c>
      <c r="E836" s="2">
        <v>150000</v>
      </c>
      <c r="F836" s="2">
        <v>100000</v>
      </c>
      <c r="G836" t="s">
        <v>17</v>
      </c>
      <c r="H836" s="2">
        <v>790.28</v>
      </c>
      <c r="I836" s="2">
        <v>98389.79</v>
      </c>
      <c r="J836">
        <v>8.7999999999999995E-2</v>
      </c>
      <c r="K836">
        <v>8</v>
      </c>
      <c r="L836">
        <v>351</v>
      </c>
      <c r="M836" t="str">
        <f t="shared" si="237"/>
        <v>30 Year Fixed</v>
      </c>
      <c r="N836" s="2">
        <v>723.23</v>
      </c>
      <c r="O836" t="str">
        <f t="shared" si="234"/>
        <v>Cash Out</v>
      </c>
      <c r="P836" s="3">
        <f t="shared" si="238"/>
        <v>27225.97354679805</v>
      </c>
      <c r="Q836" s="4">
        <v>127500</v>
      </c>
      <c r="R836" s="4" t="s">
        <v>41</v>
      </c>
      <c r="S836" s="6">
        <v>533</v>
      </c>
      <c r="T836">
        <v>7.625</v>
      </c>
      <c r="U836" s="7">
        <f t="shared" si="235"/>
        <v>955.56202660216138</v>
      </c>
      <c r="V836" s="2">
        <f t="shared" si="239"/>
        <v>-165.28202660216141</v>
      </c>
      <c r="W836" s="9">
        <f t="shared" si="240"/>
        <v>1</v>
      </c>
      <c r="X836" s="3">
        <v>105370</v>
      </c>
      <c r="Y836" s="3">
        <f t="shared" si="241"/>
        <v>5423.0178817734122</v>
      </c>
      <c r="Z836" s="7">
        <f t="shared" si="242"/>
        <v>789.70643720054704</v>
      </c>
      <c r="AA836" s="2">
        <f t="shared" si="236"/>
        <v>0.57356279945292954</v>
      </c>
      <c r="AB836" s="8">
        <f t="shared" si="243"/>
        <v>1</v>
      </c>
      <c r="AC836" s="10">
        <v>6.875</v>
      </c>
      <c r="AD836" s="7">
        <f t="shared" si="244"/>
        <v>736.11005763655828</v>
      </c>
      <c r="AE836" s="2">
        <f t="shared" si="245"/>
        <v>54.169942363441692</v>
      </c>
      <c r="AF836" s="10">
        <v>1.25</v>
      </c>
      <c r="AG836" s="3">
        <f t="shared" si="246"/>
        <v>1317.125</v>
      </c>
      <c r="AH836" s="7">
        <v>4400</v>
      </c>
      <c r="AI836">
        <f t="shared" si="247"/>
        <v>360</v>
      </c>
      <c r="AJ836" t="e">
        <f>VLOOKUP(A836,'Borrower Details'!$A$1:$H$1493,8,FALSE)</f>
        <v>#N/A</v>
      </c>
      <c r="AK836" s="4" t="e">
        <f t="shared" si="248"/>
        <v>#N/A</v>
      </c>
      <c r="AL836" s="10">
        <v>7.625</v>
      </c>
      <c r="AM836" s="3">
        <f t="shared" si="249"/>
        <v>99865.636849999981</v>
      </c>
      <c r="AN836">
        <v>7.625</v>
      </c>
      <c r="AO836" s="7">
        <f t="shared" si="250"/>
        <v>748.4534144023645</v>
      </c>
      <c r="AP836" s="2">
        <f t="shared" si="251"/>
        <v>41.826585597635471</v>
      </c>
    </row>
    <row r="837" spans="1:42" x14ac:dyDescent="0.15">
      <c r="A837" s="8">
        <v>410899736</v>
      </c>
      <c r="B837" t="s">
        <v>36</v>
      </c>
      <c r="C837" t="s">
        <v>16</v>
      </c>
      <c r="D837" s="1">
        <v>39339</v>
      </c>
      <c r="E837" s="2">
        <v>238400</v>
      </c>
      <c r="F837" s="2">
        <v>100000</v>
      </c>
      <c r="G837" t="s">
        <v>17</v>
      </c>
      <c r="H837" s="2">
        <v>733.77</v>
      </c>
      <c r="I837" s="2">
        <v>99520.79</v>
      </c>
      <c r="J837">
        <v>0.08</v>
      </c>
      <c r="K837">
        <v>7</v>
      </c>
      <c r="L837">
        <v>353</v>
      </c>
      <c r="M837" t="str">
        <f t="shared" si="237"/>
        <v>30 Year Fixed</v>
      </c>
      <c r="N837" s="2">
        <v>663.47</v>
      </c>
      <c r="O837" t="str">
        <f t="shared" si="234"/>
        <v>Cash Out</v>
      </c>
      <c r="P837" s="3">
        <f t="shared" si="238"/>
        <v>100124.53019704435</v>
      </c>
      <c r="Q837" s="4">
        <v>202640</v>
      </c>
      <c r="R837" s="4" t="s">
        <v>41</v>
      </c>
      <c r="S837" s="6">
        <v>607</v>
      </c>
      <c r="T837">
        <v>6.875</v>
      </c>
      <c r="U837" s="7">
        <f t="shared" si="235"/>
        <v>1415.6338813653997</v>
      </c>
      <c r="V837" s="2">
        <f t="shared" si="239"/>
        <v>-681.86388136539972</v>
      </c>
      <c r="W837" s="9">
        <f t="shared" si="240"/>
        <v>1</v>
      </c>
      <c r="X837" s="3">
        <v>104960</v>
      </c>
      <c r="Y837" s="3">
        <f t="shared" si="241"/>
        <v>3888.076995073905</v>
      </c>
      <c r="Z837" s="7">
        <f t="shared" si="242"/>
        <v>733.24581616715523</v>
      </c>
      <c r="AA837" s="2">
        <f t="shared" si="236"/>
        <v>0.52418383284475567</v>
      </c>
      <c r="AB837" s="8">
        <f t="shared" si="243"/>
        <v>1</v>
      </c>
      <c r="AC837" s="10">
        <v>6.25</v>
      </c>
      <c r="AD837" s="7">
        <f t="shared" si="244"/>
        <v>689.99010690087596</v>
      </c>
      <c r="AE837" s="2">
        <f t="shared" si="245"/>
        <v>43.779893099124024</v>
      </c>
      <c r="AF837" s="10">
        <v>2.5</v>
      </c>
      <c r="AG837" s="3">
        <f t="shared" si="246"/>
        <v>2624</v>
      </c>
      <c r="AH837" s="7">
        <v>2000</v>
      </c>
      <c r="AI837">
        <f t="shared" si="247"/>
        <v>360</v>
      </c>
      <c r="AJ837" t="e">
        <f>VLOOKUP(A837,'Borrower Details'!$A$1:$H$1493,8,FALSE)</f>
        <v>#N/A</v>
      </c>
      <c r="AK837" s="4" t="e">
        <f t="shared" si="248"/>
        <v>#N/A</v>
      </c>
      <c r="AL837" s="10">
        <v>6.875</v>
      </c>
      <c r="AM837" s="3">
        <f t="shared" si="249"/>
        <v>101013.60184999998</v>
      </c>
      <c r="AN837">
        <v>6.875</v>
      </c>
      <c r="AO837" s="7">
        <f t="shared" si="250"/>
        <v>705.6764570549476</v>
      </c>
      <c r="AP837" s="2">
        <f t="shared" si="251"/>
        <v>28.093542945052377</v>
      </c>
    </row>
    <row r="838" spans="1:42" x14ac:dyDescent="0.15">
      <c r="A838" s="8">
        <v>1167399</v>
      </c>
      <c r="B838" t="s">
        <v>37</v>
      </c>
      <c r="C838" t="s">
        <v>18</v>
      </c>
      <c r="D838" s="1">
        <v>39160</v>
      </c>
      <c r="E838" s="2">
        <v>147000</v>
      </c>
      <c r="F838" s="2">
        <v>102900</v>
      </c>
      <c r="G838" t="s">
        <v>17</v>
      </c>
      <c r="H838" s="2">
        <v>827.96</v>
      </c>
      <c r="I838" s="2">
        <v>102135.46</v>
      </c>
      <c r="J838">
        <v>0.09</v>
      </c>
      <c r="K838">
        <v>13</v>
      </c>
      <c r="L838">
        <v>347</v>
      </c>
      <c r="M838" t="str">
        <f t="shared" si="237"/>
        <v>30 Year Fixed</v>
      </c>
      <c r="N838" s="2">
        <v>766.02</v>
      </c>
      <c r="O838" t="str">
        <f t="shared" si="234"/>
        <v>Cash Out</v>
      </c>
      <c r="P838" s="3">
        <f t="shared" si="238"/>
        <v>20967.988275862081</v>
      </c>
      <c r="Q838" s="4">
        <v>124950</v>
      </c>
      <c r="R838" s="4" t="s">
        <v>41</v>
      </c>
      <c r="S838" s="6">
        <v>521</v>
      </c>
      <c r="T838">
        <v>7.625</v>
      </c>
      <c r="U838" s="7">
        <f t="shared" si="235"/>
        <v>936.45078607011817</v>
      </c>
      <c r="V838" s="2">
        <f t="shared" si="239"/>
        <v>-108.49078607011813</v>
      </c>
      <c r="W838" s="9">
        <f t="shared" si="240"/>
        <v>1</v>
      </c>
      <c r="X838" s="3">
        <v>110400</v>
      </c>
      <c r="Y838" s="3">
        <f t="shared" si="241"/>
        <v>6633.0129064039502</v>
      </c>
      <c r="Z838" s="7">
        <f t="shared" si="242"/>
        <v>827.40429597551861</v>
      </c>
      <c r="AA838" s="2">
        <f t="shared" si="236"/>
        <v>0.55570402448142886</v>
      </c>
      <c r="AB838" s="8">
        <f t="shared" si="243"/>
        <v>1</v>
      </c>
      <c r="AC838" s="10">
        <v>6.625</v>
      </c>
      <c r="AD838" s="7">
        <f t="shared" si="244"/>
        <v>752.90330102692997</v>
      </c>
      <c r="AE838" s="2">
        <f t="shared" si="245"/>
        <v>75.05669897307007</v>
      </c>
      <c r="AF838" s="10">
        <v>2.875</v>
      </c>
      <c r="AG838" s="3">
        <f t="shared" si="246"/>
        <v>3174</v>
      </c>
      <c r="AH838" s="7">
        <v>0</v>
      </c>
      <c r="AI838">
        <f t="shared" si="247"/>
        <v>360</v>
      </c>
      <c r="AJ838" t="e">
        <f>VLOOKUP(A838,'Borrower Details'!$A$1:$H$1493,8,FALSE)</f>
        <v>#N/A</v>
      </c>
      <c r="AK838" s="4" t="e">
        <f t="shared" si="248"/>
        <v>#N/A</v>
      </c>
      <c r="AL838" s="10">
        <v>7.625</v>
      </c>
      <c r="AM838" s="3">
        <f t="shared" si="249"/>
        <v>103667.49189999999</v>
      </c>
      <c r="AN838">
        <v>7.625</v>
      </c>
      <c r="AO838" s="7">
        <f t="shared" si="250"/>
        <v>776.9468129625659</v>
      </c>
      <c r="AP838" s="2">
        <f t="shared" si="251"/>
        <v>51.013187037434136</v>
      </c>
    </row>
    <row r="839" spans="1:42" x14ac:dyDescent="0.15">
      <c r="A839" s="8">
        <v>1157671</v>
      </c>
      <c r="B839" t="s">
        <v>37</v>
      </c>
      <c r="C839" t="s">
        <v>19</v>
      </c>
      <c r="D839" s="1">
        <v>39149</v>
      </c>
      <c r="E839" s="2">
        <v>134000</v>
      </c>
      <c r="F839" s="2">
        <v>127300</v>
      </c>
      <c r="G839" t="s">
        <v>15</v>
      </c>
      <c r="H839" s="2">
        <v>1150.22</v>
      </c>
      <c r="I839" s="2">
        <v>126384.35</v>
      </c>
      <c r="J839">
        <v>0.10349999999999999</v>
      </c>
      <c r="K839">
        <v>13</v>
      </c>
      <c r="L839">
        <v>348</v>
      </c>
      <c r="M839" t="str">
        <f t="shared" si="237"/>
        <v>30 Year Fixed</v>
      </c>
      <c r="N839" s="2">
        <v>1090.07</v>
      </c>
      <c r="O839" t="str">
        <f t="shared" si="234"/>
        <v>Refi</v>
      </c>
      <c r="P839" s="3">
        <f t="shared" si="238"/>
        <v>0</v>
      </c>
      <c r="Q839" s="4">
        <v>128280</v>
      </c>
      <c r="R839" s="4" t="s">
        <v>41</v>
      </c>
      <c r="S839" s="6">
        <v>599</v>
      </c>
      <c r="T839">
        <v>7.375</v>
      </c>
      <c r="U839" s="7">
        <f t="shared" si="235"/>
        <v>939.44807933786501</v>
      </c>
      <c r="V839" s="2">
        <f t="shared" si="239"/>
        <v>210.77192066213502</v>
      </c>
      <c r="W839" s="9">
        <f t="shared" si="240"/>
        <v>0</v>
      </c>
      <c r="X839" s="3">
        <v>128280</v>
      </c>
      <c r="Y839" s="3">
        <f t="shared" si="241"/>
        <v>-0.11354679802025203</v>
      </c>
      <c r="Z839" s="7">
        <f t="shared" si="242"/>
        <v>939.44807933786501</v>
      </c>
      <c r="AA839" s="2">
        <f t="shared" si="236"/>
        <v>210.77192066213502</v>
      </c>
      <c r="AB839" s="8">
        <f t="shared" si="243"/>
        <v>0</v>
      </c>
      <c r="AC839" s="10">
        <v>7.375</v>
      </c>
      <c r="AD839" s="7">
        <f t="shared" si="244"/>
        <v>939.44807933786501</v>
      </c>
      <c r="AE839" s="2">
        <f t="shared" si="245"/>
        <v>210.77192066213502</v>
      </c>
      <c r="AF839" s="10">
        <v>0</v>
      </c>
      <c r="AG839" s="3">
        <f t="shared" si="246"/>
        <v>0</v>
      </c>
      <c r="AH839" s="7">
        <v>0</v>
      </c>
      <c r="AI839">
        <f t="shared" si="247"/>
        <v>360</v>
      </c>
      <c r="AJ839" t="e">
        <f>VLOOKUP(A839,'Borrower Details'!$A$1:$H$1493,8,FALSE)</f>
        <v>#N/A</v>
      </c>
      <c r="AK839" s="4" t="e">
        <f t="shared" si="248"/>
        <v>#N/A</v>
      </c>
      <c r="AL839" s="10">
        <v>7.375</v>
      </c>
      <c r="AM839" s="3">
        <f t="shared" si="249"/>
        <v>128280.11524999999</v>
      </c>
      <c r="AN839">
        <v>7.375</v>
      </c>
      <c r="AO839" s="7">
        <f t="shared" si="250"/>
        <v>939.44892336180578</v>
      </c>
      <c r="AP839" s="2">
        <f t="shared" si="251"/>
        <v>210.77107663819424</v>
      </c>
    </row>
    <row r="840" spans="1:42" x14ac:dyDescent="0.15">
      <c r="A840" s="8">
        <v>411209364</v>
      </c>
      <c r="B840" t="s">
        <v>37</v>
      </c>
      <c r="C840" t="s">
        <v>18</v>
      </c>
      <c r="D840" s="1">
        <v>39469</v>
      </c>
      <c r="E840" s="2">
        <v>152000</v>
      </c>
      <c r="F840" s="2">
        <v>129200</v>
      </c>
      <c r="G840" t="s">
        <v>17</v>
      </c>
      <c r="H840" s="2">
        <v>1002.61</v>
      </c>
      <c r="I840" s="2">
        <v>128889.97</v>
      </c>
      <c r="J840">
        <v>8.5999999999999993E-2</v>
      </c>
      <c r="K840">
        <v>3</v>
      </c>
      <c r="L840">
        <v>356</v>
      </c>
      <c r="M840" t="str">
        <f t="shared" si="237"/>
        <v>30 Year Fixed</v>
      </c>
      <c r="N840" s="2">
        <v>924.27</v>
      </c>
      <c r="O840" t="str">
        <f t="shared" si="234"/>
        <v>Refi</v>
      </c>
      <c r="P840" s="3">
        <f t="shared" si="238"/>
        <v>0</v>
      </c>
      <c r="Q840" s="4">
        <v>130823</v>
      </c>
      <c r="R840" s="4" t="s">
        <v>41</v>
      </c>
      <c r="S840" s="6">
        <v>639</v>
      </c>
      <c r="T840">
        <v>6.75</v>
      </c>
      <c r="U840" s="7">
        <f t="shared" si="235"/>
        <v>903.02507120676773</v>
      </c>
      <c r="V840" s="2">
        <f t="shared" si="239"/>
        <v>99.58492879323228</v>
      </c>
      <c r="W840" s="9">
        <f t="shared" si="240"/>
        <v>0</v>
      </c>
      <c r="X840" s="3">
        <v>130823</v>
      </c>
      <c r="Y840" s="3">
        <f t="shared" si="241"/>
        <v>-0.31482758618949447</v>
      </c>
      <c r="Z840" s="7">
        <f t="shared" si="242"/>
        <v>903.02507120676773</v>
      </c>
      <c r="AA840" s="2">
        <f t="shared" si="236"/>
        <v>99.58492879323228</v>
      </c>
      <c r="AB840" s="8">
        <f t="shared" si="243"/>
        <v>0</v>
      </c>
      <c r="AC840" s="10">
        <v>6.75</v>
      </c>
      <c r="AD840" s="7">
        <f t="shared" si="244"/>
        <v>903.02507120676773</v>
      </c>
      <c r="AE840" s="2">
        <f t="shared" si="245"/>
        <v>99.58492879323228</v>
      </c>
      <c r="AF840" s="10">
        <v>0</v>
      </c>
      <c r="AG840" s="3">
        <f t="shared" si="246"/>
        <v>0</v>
      </c>
      <c r="AH840" s="7">
        <v>0</v>
      </c>
      <c r="AI840">
        <f t="shared" si="247"/>
        <v>360</v>
      </c>
      <c r="AJ840" t="e">
        <f>VLOOKUP(A840,'Borrower Details'!$A$1:$H$1493,8,FALSE)</f>
        <v>#N/A</v>
      </c>
      <c r="AK840" s="4" t="e">
        <f t="shared" si="248"/>
        <v>#N/A</v>
      </c>
      <c r="AL840" s="10">
        <v>6.75</v>
      </c>
      <c r="AM840" s="3">
        <f t="shared" si="249"/>
        <v>130823.31954999999</v>
      </c>
      <c r="AN840">
        <v>6.75</v>
      </c>
      <c r="AO840" s="7">
        <f t="shared" si="250"/>
        <v>903.02727694781845</v>
      </c>
      <c r="AP840" s="2">
        <f t="shared" si="251"/>
        <v>99.582723052181564</v>
      </c>
    </row>
    <row r="841" spans="1:42" x14ac:dyDescent="0.15">
      <c r="A841" s="8">
        <v>1154720</v>
      </c>
      <c r="B841" t="s">
        <v>36</v>
      </c>
      <c r="C841" t="s">
        <v>19</v>
      </c>
      <c r="D841" s="1">
        <v>39153</v>
      </c>
      <c r="E841" s="2">
        <v>275000</v>
      </c>
      <c r="F841" s="2">
        <v>182000</v>
      </c>
      <c r="G841" t="s">
        <v>17</v>
      </c>
      <c r="H841" s="2">
        <v>1150.3699999999999</v>
      </c>
      <c r="I841" s="2">
        <v>179737.09</v>
      </c>
      <c r="J841">
        <v>6.5000000000000002E-2</v>
      </c>
      <c r="K841">
        <v>13</v>
      </c>
      <c r="L841">
        <v>347</v>
      </c>
      <c r="M841" t="str">
        <f t="shared" si="237"/>
        <v>30 Year Fixed</v>
      </c>
      <c r="N841" s="2">
        <v>973.58</v>
      </c>
      <c r="O841" t="str">
        <f t="shared" si="234"/>
        <v>Cash Out</v>
      </c>
      <c r="P841" s="3">
        <f t="shared" si="238"/>
        <v>50558.476502463076</v>
      </c>
      <c r="Q841" s="4">
        <v>233750</v>
      </c>
      <c r="R841" s="4" t="s">
        <v>41</v>
      </c>
      <c r="S841" s="6">
        <v>623</v>
      </c>
      <c r="T841">
        <v>6.75</v>
      </c>
      <c r="U841" s="7">
        <f t="shared" si="235"/>
        <v>1613.493884061533</v>
      </c>
      <c r="V841" s="2">
        <f t="shared" si="239"/>
        <v>-463.12388406153309</v>
      </c>
      <c r="W841" s="9">
        <f t="shared" si="240"/>
        <v>1</v>
      </c>
      <c r="X841" s="3">
        <v>182433</v>
      </c>
      <c r="Y841" s="3">
        <f t="shared" si="241"/>
        <v>-0.14418719208333641</v>
      </c>
      <c r="Z841" s="7">
        <f t="shared" si="242"/>
        <v>1259.2707155122896</v>
      </c>
      <c r="AA841" s="2">
        <f t="shared" si="236"/>
        <v>-108.90071551228971</v>
      </c>
      <c r="AB841" s="8">
        <f t="shared" si="243"/>
        <v>1</v>
      </c>
      <c r="AC841" s="10">
        <v>6.125</v>
      </c>
      <c r="AD841" s="7">
        <f t="shared" si="244"/>
        <v>1184.4958856732396</v>
      </c>
      <c r="AE841" s="2">
        <f t="shared" si="245"/>
        <v>-34.125885673239736</v>
      </c>
      <c r="AF841" s="10">
        <v>3</v>
      </c>
      <c r="AG841" s="3">
        <f t="shared" si="246"/>
        <v>5472.99</v>
      </c>
      <c r="AH841" s="7">
        <v>3640</v>
      </c>
      <c r="AI841">
        <f t="shared" si="247"/>
        <v>360</v>
      </c>
      <c r="AJ841" t="e">
        <f>VLOOKUP(A841,'Borrower Details'!$A$1:$H$1493,8,FALSE)</f>
        <v>#N/A</v>
      </c>
      <c r="AK841" s="4" t="e">
        <f t="shared" si="248"/>
        <v>#N/A</v>
      </c>
      <c r="AL841" s="10">
        <v>6.75</v>
      </c>
      <c r="AM841" s="3">
        <f t="shared" si="249"/>
        <v>182433.14634999997</v>
      </c>
      <c r="AN841">
        <v>6.75</v>
      </c>
      <c r="AO841" s="7">
        <f t="shared" si="250"/>
        <v>1259.2717257147704</v>
      </c>
      <c r="AP841" s="2">
        <f t="shared" si="251"/>
        <v>-108.90172571477046</v>
      </c>
    </row>
    <row r="842" spans="1:42" x14ac:dyDescent="0.15">
      <c r="A842" s="8">
        <v>411179898</v>
      </c>
      <c r="B842" t="s">
        <v>36</v>
      </c>
      <c r="C842" t="s">
        <v>16</v>
      </c>
      <c r="D842" s="1">
        <v>39471</v>
      </c>
      <c r="E842" s="2">
        <v>308000</v>
      </c>
      <c r="F842" s="2">
        <v>251600</v>
      </c>
      <c r="G842" t="s">
        <v>17</v>
      </c>
      <c r="H842" s="2">
        <v>2022.63</v>
      </c>
      <c r="I842" s="2">
        <v>251034.61</v>
      </c>
      <c r="J842">
        <v>8.9899999999999994E-2</v>
      </c>
      <c r="K842">
        <v>3</v>
      </c>
      <c r="L842">
        <v>356</v>
      </c>
      <c r="M842" t="str">
        <f t="shared" si="237"/>
        <v>30 Year Fixed</v>
      </c>
      <c r="N842" s="2">
        <v>1881.74</v>
      </c>
      <c r="O842" t="str">
        <f t="shared" si="234"/>
        <v>Cash Out</v>
      </c>
      <c r="P842" s="3">
        <f t="shared" si="238"/>
        <v>6896.4244827586517</v>
      </c>
      <c r="Q842" s="4">
        <v>261800</v>
      </c>
      <c r="R842" s="4" t="s">
        <v>41</v>
      </c>
      <c r="S842" s="6">
        <v>653</v>
      </c>
      <c r="T842">
        <v>6.75</v>
      </c>
      <c r="U842" s="7">
        <f t="shared" si="235"/>
        <v>1807.1131501489169</v>
      </c>
      <c r="V842" s="2">
        <f t="shared" si="239"/>
        <v>215.51684985108318</v>
      </c>
      <c r="W842" s="9">
        <f t="shared" si="240"/>
        <v>0</v>
      </c>
      <c r="X842" s="3">
        <v>261800</v>
      </c>
      <c r="Y842" s="3">
        <f t="shared" si="241"/>
        <v>6896.4244827586517</v>
      </c>
      <c r="Z842" s="7">
        <f t="shared" si="242"/>
        <v>1807.1131501489169</v>
      </c>
      <c r="AA842" s="2">
        <f t="shared" si="236"/>
        <v>215.51684985108318</v>
      </c>
      <c r="AB842" s="8">
        <f t="shared" si="243"/>
        <v>0</v>
      </c>
      <c r="AC842" s="10">
        <v>6.75</v>
      </c>
      <c r="AD842" s="7">
        <f t="shared" si="244"/>
        <v>1807.1131501489169</v>
      </c>
      <c r="AE842" s="2">
        <f t="shared" si="245"/>
        <v>215.51684985108318</v>
      </c>
      <c r="AF842" s="10">
        <v>0</v>
      </c>
      <c r="AG842" s="3">
        <f t="shared" si="246"/>
        <v>0</v>
      </c>
      <c r="AH842" s="7">
        <v>5032</v>
      </c>
      <c r="AI842">
        <f t="shared" si="247"/>
        <v>360</v>
      </c>
      <c r="AJ842" t="e">
        <f>VLOOKUP(A842,'Borrower Details'!$A$1:$H$1493,8,FALSE)</f>
        <v>#N/A</v>
      </c>
      <c r="AK842" s="4" t="e">
        <f t="shared" si="248"/>
        <v>#N/A</v>
      </c>
      <c r="AL842" s="10">
        <v>6.75</v>
      </c>
      <c r="AM842" s="3">
        <f t="shared" si="249"/>
        <v>254800.12914999996</v>
      </c>
      <c r="AN842">
        <v>6.75</v>
      </c>
      <c r="AO842" s="7">
        <f t="shared" si="250"/>
        <v>1758.7955081994169</v>
      </c>
      <c r="AP842" s="2">
        <f t="shared" si="251"/>
        <v>263.83449180058324</v>
      </c>
    </row>
    <row r="843" spans="1:42" x14ac:dyDescent="0.15">
      <c r="A843" s="8">
        <v>1146876</v>
      </c>
      <c r="B843" t="s">
        <v>35</v>
      </c>
      <c r="C843" t="s">
        <v>16</v>
      </c>
      <c r="D843" s="1">
        <v>39139</v>
      </c>
      <c r="E843" s="2">
        <v>81900</v>
      </c>
      <c r="F843" s="2">
        <v>65520</v>
      </c>
      <c r="G843" t="s">
        <v>15</v>
      </c>
      <c r="H843" s="2">
        <v>565.33000000000004</v>
      </c>
      <c r="I843" s="2">
        <v>65073.27</v>
      </c>
      <c r="J843">
        <v>9.8000000000000004E-2</v>
      </c>
      <c r="K843">
        <v>14</v>
      </c>
      <c r="L843">
        <v>346</v>
      </c>
      <c r="M843" t="str">
        <f t="shared" si="237"/>
        <v>30 Year Fixed</v>
      </c>
      <c r="N843" s="2">
        <v>531.42999999999995</v>
      </c>
      <c r="O843" t="str">
        <f t="shared" si="234"/>
        <v>Cash Out</v>
      </c>
      <c r="P843" s="3">
        <f t="shared" si="238"/>
        <v>3512.9368965517278</v>
      </c>
      <c r="Q843" s="4">
        <v>69615</v>
      </c>
      <c r="R843" s="4" t="s">
        <v>41</v>
      </c>
      <c r="S843" s="6">
        <v>537</v>
      </c>
      <c r="T843">
        <v>7.625</v>
      </c>
      <c r="U843" s="7">
        <f t="shared" si="235"/>
        <v>521.73686652478011</v>
      </c>
      <c r="V843" s="2">
        <f t="shared" si="239"/>
        <v>43.593133475219929</v>
      </c>
      <c r="W843" s="9">
        <f t="shared" si="240"/>
        <v>0</v>
      </c>
      <c r="X843" s="3">
        <v>69615</v>
      </c>
      <c r="Y843" s="3">
        <f t="shared" si="241"/>
        <v>3512.9368965517278</v>
      </c>
      <c r="Z843" s="7">
        <f t="shared" si="242"/>
        <v>521.73686652478011</v>
      </c>
      <c r="AA843" s="2">
        <f t="shared" si="236"/>
        <v>43.593133475219929</v>
      </c>
      <c r="AB843" s="8">
        <f t="shared" si="243"/>
        <v>0</v>
      </c>
      <c r="AC843" s="10">
        <v>7.625</v>
      </c>
      <c r="AD843" s="7">
        <f t="shared" si="244"/>
        <v>521.73686652478011</v>
      </c>
      <c r="AE843" s="2">
        <f t="shared" si="245"/>
        <v>43.593133475219929</v>
      </c>
      <c r="AF843" s="10">
        <v>0</v>
      </c>
      <c r="AG843" s="3">
        <f t="shared" si="246"/>
        <v>0</v>
      </c>
      <c r="AH843" s="7">
        <v>3210.48</v>
      </c>
      <c r="AI843">
        <f t="shared" si="247"/>
        <v>360</v>
      </c>
      <c r="AJ843" t="e">
        <f>VLOOKUP(A843,'Borrower Details'!$A$1:$H$1493,8,FALSE)</f>
        <v>#N/A</v>
      </c>
      <c r="AK843" s="4" t="e">
        <f t="shared" si="248"/>
        <v>#N/A</v>
      </c>
      <c r="AL843" s="10">
        <v>7.625</v>
      </c>
      <c r="AM843" s="3">
        <f t="shared" si="249"/>
        <v>66049.369049999994</v>
      </c>
      <c r="AN843">
        <v>7.625</v>
      </c>
      <c r="AO843" s="7">
        <f t="shared" si="250"/>
        <v>495.01387408009469</v>
      </c>
      <c r="AP843" s="2">
        <f t="shared" si="251"/>
        <v>70.316125919905346</v>
      </c>
    </row>
    <row r="844" spans="1:42" x14ac:dyDescent="0.15">
      <c r="A844" s="8">
        <v>1167376</v>
      </c>
      <c r="B844" t="s">
        <v>36</v>
      </c>
      <c r="C844" t="s">
        <v>18</v>
      </c>
      <c r="D844" s="1">
        <v>39169</v>
      </c>
      <c r="E844" s="2">
        <v>430000</v>
      </c>
      <c r="F844" s="2">
        <v>355000</v>
      </c>
      <c r="G844" t="s">
        <v>15</v>
      </c>
      <c r="H844" s="2">
        <v>1782.4</v>
      </c>
      <c r="I844" s="2">
        <v>354987.64</v>
      </c>
      <c r="J844">
        <v>6.0249999999999998E-2</v>
      </c>
      <c r="K844">
        <v>13</v>
      </c>
      <c r="L844">
        <v>347</v>
      </c>
      <c r="M844" t="str">
        <f t="shared" si="237"/>
        <v>30 Year Fixed</v>
      </c>
      <c r="N844" s="2">
        <v>1782.33</v>
      </c>
      <c r="O844" t="str">
        <f t="shared" si="234"/>
        <v>Cash Out</v>
      </c>
      <c r="P844" s="3">
        <f t="shared" si="238"/>
        <v>5110.8821674876963</v>
      </c>
      <c r="Q844" s="4">
        <v>365500</v>
      </c>
      <c r="R844" s="4" t="s">
        <v>41</v>
      </c>
      <c r="S844" s="6">
        <v>700</v>
      </c>
      <c r="T844">
        <v>7.375</v>
      </c>
      <c r="U844" s="7">
        <f t="shared" si="235"/>
        <v>2676.7093311349363</v>
      </c>
      <c r="V844" s="2">
        <f t="shared" si="239"/>
        <v>-894.3093311349362</v>
      </c>
      <c r="W844" s="9">
        <f t="shared" si="240"/>
        <v>1</v>
      </c>
      <c r="X844" s="3">
        <v>360313</v>
      </c>
      <c r="Y844" s="3">
        <f t="shared" si="241"/>
        <v>0.53733990149339661</v>
      </c>
      <c r="Z844" s="7">
        <f t="shared" si="242"/>
        <v>2487.1136763544951</v>
      </c>
      <c r="AA844" s="2">
        <f t="shared" si="236"/>
        <v>-704.71367635449496</v>
      </c>
      <c r="AB844" s="8">
        <f t="shared" si="243"/>
        <v>1</v>
      </c>
      <c r="AC844" s="10">
        <v>6.125</v>
      </c>
      <c r="AD844" s="7">
        <f t="shared" si="244"/>
        <v>2339.4301801460369</v>
      </c>
      <c r="AE844" s="2">
        <f t="shared" si="245"/>
        <v>-557.03018014603686</v>
      </c>
      <c r="AF844" s="10">
        <v>3</v>
      </c>
      <c r="AG844" s="3">
        <f t="shared" si="246"/>
        <v>10809.39</v>
      </c>
      <c r="AH844" s="7">
        <v>7100</v>
      </c>
      <c r="AI844">
        <f t="shared" si="247"/>
        <v>360</v>
      </c>
      <c r="AJ844" t="e">
        <f>VLOOKUP(A844,'Borrower Details'!$A$1:$H$1493,8,FALSE)</f>
        <v>#N/A</v>
      </c>
      <c r="AK844" s="4" t="e">
        <f t="shared" si="248"/>
        <v>#N/A</v>
      </c>
      <c r="AL844" s="10">
        <v>6.75</v>
      </c>
      <c r="AM844" s="3">
        <f t="shared" si="249"/>
        <v>360312.4546</v>
      </c>
      <c r="AN844">
        <v>6.75</v>
      </c>
      <c r="AO844" s="7">
        <f t="shared" si="250"/>
        <v>2487.1099116504765</v>
      </c>
      <c r="AP844" s="2">
        <f t="shared" si="251"/>
        <v>-704.70991165047644</v>
      </c>
    </row>
    <row r="845" spans="1:42" x14ac:dyDescent="0.15">
      <c r="A845" s="8">
        <v>1160064</v>
      </c>
      <c r="B845" t="s">
        <v>35</v>
      </c>
      <c r="C845" t="s">
        <v>16</v>
      </c>
      <c r="D845" s="1">
        <v>39153</v>
      </c>
      <c r="E845" s="2">
        <v>198000</v>
      </c>
      <c r="F845" s="2">
        <v>158400</v>
      </c>
      <c r="G845" t="s">
        <v>15</v>
      </c>
      <c r="H845" s="2">
        <v>1201.58</v>
      </c>
      <c r="I845" s="2">
        <v>158244.9</v>
      </c>
      <c r="J845">
        <v>0.09</v>
      </c>
      <c r="K845">
        <v>13</v>
      </c>
      <c r="L845">
        <v>349</v>
      </c>
      <c r="M845" t="str">
        <f t="shared" si="237"/>
        <v>30 Year Fixed</v>
      </c>
      <c r="N845" s="2">
        <v>1186.8399999999999</v>
      </c>
      <c r="O845" t="str">
        <f t="shared" si="234"/>
        <v>Cash Out</v>
      </c>
      <c r="P845" s="3">
        <f t="shared" si="238"/>
        <v>7567.9078817734262</v>
      </c>
      <c r="Q845" s="4">
        <v>168300</v>
      </c>
      <c r="R845" s="4" t="s">
        <v>41</v>
      </c>
      <c r="S845" s="6">
        <v>533</v>
      </c>
      <c r="T845">
        <v>7.625</v>
      </c>
      <c r="U845" s="7">
        <f t="shared" si="235"/>
        <v>1261.3418751148531</v>
      </c>
      <c r="V845" s="2">
        <f t="shared" si="239"/>
        <v>-59.761875114853183</v>
      </c>
      <c r="W845" s="9">
        <f t="shared" si="240"/>
        <v>1</v>
      </c>
      <c r="X845" s="3">
        <v>160619</v>
      </c>
      <c r="Y845" s="3">
        <f t="shared" si="241"/>
        <v>0.42019704435369931</v>
      </c>
      <c r="Z845" s="7">
        <f t="shared" si="242"/>
        <v>1203.7758207906868</v>
      </c>
      <c r="AA845" s="2">
        <f t="shared" si="236"/>
        <v>-2.1958207906868665</v>
      </c>
      <c r="AB845" s="8">
        <f t="shared" si="243"/>
        <v>1</v>
      </c>
      <c r="AC845" s="10">
        <v>6.875</v>
      </c>
      <c r="AD845" s="7">
        <f t="shared" si="244"/>
        <v>1122.077074570811</v>
      </c>
      <c r="AE845" s="2">
        <f t="shared" si="245"/>
        <v>79.502925429188963</v>
      </c>
      <c r="AF845" s="10">
        <v>1</v>
      </c>
      <c r="AG845" s="3">
        <f t="shared" si="246"/>
        <v>1606.19</v>
      </c>
      <c r="AH845" s="7">
        <v>7128</v>
      </c>
      <c r="AI845">
        <f t="shared" si="247"/>
        <v>360</v>
      </c>
      <c r="AJ845" t="e">
        <f>VLOOKUP(A845,'Borrower Details'!$A$1:$H$1493,8,FALSE)</f>
        <v>#N/A</v>
      </c>
      <c r="AK845" s="4" t="e">
        <f t="shared" si="248"/>
        <v>#N/A</v>
      </c>
      <c r="AL845" s="10">
        <v>7.625</v>
      </c>
      <c r="AM845" s="3">
        <f t="shared" si="249"/>
        <v>160618.57349999997</v>
      </c>
      <c r="AN845">
        <v>7.625</v>
      </c>
      <c r="AO845" s="7">
        <f t="shared" si="250"/>
        <v>1203.772624342025</v>
      </c>
      <c r="AP845" s="2">
        <f t="shared" si="251"/>
        <v>-2.1926243420250557</v>
      </c>
    </row>
    <row r="846" spans="1:42" x14ac:dyDescent="0.15">
      <c r="A846" s="8">
        <v>410282636</v>
      </c>
      <c r="B846" t="s">
        <v>36</v>
      </c>
      <c r="C846" t="s">
        <v>18</v>
      </c>
      <c r="D846" s="1">
        <v>39223</v>
      </c>
      <c r="E846" s="2">
        <v>260000</v>
      </c>
      <c r="F846" s="2">
        <v>188000</v>
      </c>
      <c r="G846" t="s">
        <v>17</v>
      </c>
      <c r="H846" s="2">
        <v>1392.61</v>
      </c>
      <c r="I846" s="2">
        <v>186582.36</v>
      </c>
      <c r="J846">
        <v>8.1000000000000003E-2</v>
      </c>
      <c r="K846">
        <v>11</v>
      </c>
      <c r="L846">
        <v>349</v>
      </c>
      <c r="M846" t="str">
        <f t="shared" si="237"/>
        <v>30 Year Fixed</v>
      </c>
      <c r="N846" s="2">
        <v>1259.43</v>
      </c>
      <c r="O846" t="str">
        <f t="shared" si="234"/>
        <v>Cash Out</v>
      </c>
      <c r="P846" s="3">
        <f t="shared" si="238"/>
        <v>31151.630147783289</v>
      </c>
      <c r="Q846" s="4">
        <v>221000</v>
      </c>
      <c r="R846" s="4" t="s">
        <v>41</v>
      </c>
      <c r="S846" s="6">
        <v>614</v>
      </c>
      <c r="T846">
        <v>6.875</v>
      </c>
      <c r="U846" s="7">
        <f t="shared" si="235"/>
        <v>1543.8960115562243</v>
      </c>
      <c r="V846" s="2">
        <f t="shared" si="239"/>
        <v>-151.28601155622437</v>
      </c>
      <c r="W846" s="9">
        <f t="shared" si="240"/>
        <v>1</v>
      </c>
      <c r="X846" s="3">
        <v>199270</v>
      </c>
      <c r="Y846" s="3">
        <f t="shared" si="241"/>
        <v>9742.7631527094054</v>
      </c>
      <c r="Z846" s="7">
        <f t="shared" si="242"/>
        <v>1392.0912136778682</v>
      </c>
      <c r="AA846" s="2">
        <f t="shared" si="236"/>
        <v>0.51878632213174569</v>
      </c>
      <c r="AB846" s="8">
        <f t="shared" si="243"/>
        <v>1</v>
      </c>
      <c r="AC846" s="10">
        <v>6.25</v>
      </c>
      <c r="AD846" s="7">
        <f t="shared" si="244"/>
        <v>1309.9688319563411</v>
      </c>
      <c r="AE846" s="2">
        <f t="shared" si="245"/>
        <v>82.641168043658809</v>
      </c>
      <c r="AF846" s="10">
        <v>2.5</v>
      </c>
      <c r="AG846" s="3">
        <f t="shared" si="246"/>
        <v>4981.75</v>
      </c>
      <c r="AH846" s="7">
        <v>3760</v>
      </c>
      <c r="AI846">
        <f t="shared" si="247"/>
        <v>360</v>
      </c>
      <c r="AJ846" t="e">
        <f>VLOOKUP(A846,'Borrower Details'!$A$1:$H$1493,8,FALSE)</f>
        <v>#N/A</v>
      </c>
      <c r="AK846" s="4" t="e">
        <f t="shared" si="248"/>
        <v>#N/A</v>
      </c>
      <c r="AL846" s="10">
        <v>6.875</v>
      </c>
      <c r="AM846" s="3">
        <f t="shared" si="249"/>
        <v>189381.09539999996</v>
      </c>
      <c r="AN846">
        <v>6.875</v>
      </c>
      <c r="AO846" s="7">
        <f t="shared" si="250"/>
        <v>1323.0077730869175</v>
      </c>
      <c r="AP846" s="2">
        <f t="shared" si="251"/>
        <v>69.602226913082404</v>
      </c>
    </row>
    <row r="847" spans="1:42" x14ac:dyDescent="0.15">
      <c r="A847" s="8">
        <v>1168889</v>
      </c>
      <c r="B847" t="s">
        <v>36</v>
      </c>
      <c r="C847" t="s">
        <v>19</v>
      </c>
      <c r="D847" s="1">
        <v>39160</v>
      </c>
      <c r="E847" s="2">
        <v>176000</v>
      </c>
      <c r="F847" s="2">
        <v>100000</v>
      </c>
      <c r="G847" t="s">
        <v>15</v>
      </c>
      <c r="H847" s="2">
        <v>698.96</v>
      </c>
      <c r="I847" s="2">
        <v>99809.279999999999</v>
      </c>
      <c r="J847">
        <v>8.2500000000000004E-2</v>
      </c>
      <c r="K847">
        <v>13</v>
      </c>
      <c r="L847">
        <v>347</v>
      </c>
      <c r="M847" t="str">
        <f t="shared" si="237"/>
        <v>30 Year Fixed</v>
      </c>
      <c r="N847" s="2">
        <v>686.19</v>
      </c>
      <c r="O847" t="str">
        <f t="shared" si="234"/>
        <v>Cash Out</v>
      </c>
      <c r="P847" s="3">
        <f t="shared" si="238"/>
        <v>47579.882561576378</v>
      </c>
      <c r="Q847" s="4">
        <v>149600</v>
      </c>
      <c r="R847" s="4" t="s">
        <v>41</v>
      </c>
      <c r="S847" s="6">
        <v>545</v>
      </c>
      <c r="T847">
        <v>7.625</v>
      </c>
      <c r="U847" s="7">
        <f t="shared" si="235"/>
        <v>1121.1927778798693</v>
      </c>
      <c r="V847" s="2">
        <f t="shared" si="239"/>
        <v>-422.23277787986922</v>
      </c>
      <c r="W847" s="9">
        <f t="shared" si="240"/>
        <v>1</v>
      </c>
      <c r="X847" s="3">
        <v>101306</v>
      </c>
      <c r="Y847" s="3">
        <f t="shared" si="241"/>
        <v>-0.41300492610025685</v>
      </c>
      <c r="Z847" s="7">
        <f t="shared" si="242"/>
        <v>759.24836601536128</v>
      </c>
      <c r="AA847" s="2">
        <f t="shared" si="236"/>
        <v>-60.288366015361248</v>
      </c>
      <c r="AB847" s="8">
        <f t="shared" si="243"/>
        <v>1</v>
      </c>
      <c r="AC847" s="10">
        <v>6.875</v>
      </c>
      <c r="AD847" s="7">
        <f t="shared" si="244"/>
        <v>707.71913731545192</v>
      </c>
      <c r="AE847" s="2">
        <f t="shared" si="245"/>
        <v>-8.7591373154518806</v>
      </c>
      <c r="AF847" s="10">
        <v>1</v>
      </c>
      <c r="AG847" s="3">
        <f t="shared" si="246"/>
        <v>1013.06</v>
      </c>
      <c r="AH847" s="7">
        <v>2000</v>
      </c>
      <c r="AI847">
        <f t="shared" si="247"/>
        <v>360</v>
      </c>
      <c r="AJ847" t="e">
        <f>VLOOKUP(A847,'Borrower Details'!$A$1:$H$1493,8,FALSE)</f>
        <v>#N/A</v>
      </c>
      <c r="AK847" s="4" t="e">
        <f t="shared" si="248"/>
        <v>#N/A</v>
      </c>
      <c r="AL847" s="10">
        <v>7.625</v>
      </c>
      <c r="AM847" s="3">
        <f t="shared" si="249"/>
        <v>101306.41919999999</v>
      </c>
      <c r="AN847">
        <v>7.625</v>
      </c>
      <c r="AO847" s="7">
        <f t="shared" si="250"/>
        <v>759.25150775341262</v>
      </c>
      <c r="AP847" s="2">
        <f t="shared" si="251"/>
        <v>-60.291507753412588</v>
      </c>
    </row>
    <row r="848" spans="1:42" x14ac:dyDescent="0.15">
      <c r="A848" s="8">
        <v>411144470</v>
      </c>
      <c r="B848" t="s">
        <v>38</v>
      </c>
      <c r="C848" t="s">
        <v>16</v>
      </c>
      <c r="D848" s="1">
        <v>39443</v>
      </c>
      <c r="E848" s="2">
        <v>100000</v>
      </c>
      <c r="F848" s="2">
        <v>85000</v>
      </c>
      <c r="G848" t="s">
        <v>20</v>
      </c>
      <c r="H848" s="2">
        <v>854.75</v>
      </c>
      <c r="I848" s="2">
        <v>84867.44</v>
      </c>
      <c r="J848">
        <v>0.11700000000000001</v>
      </c>
      <c r="K848">
        <v>4</v>
      </c>
      <c r="L848">
        <v>355</v>
      </c>
      <c r="M848" t="str">
        <f t="shared" si="237"/>
        <v>30 Year Fixed</v>
      </c>
      <c r="N848" s="2">
        <v>827.72</v>
      </c>
      <c r="O848" t="str">
        <f t="shared" si="234"/>
        <v>Refi</v>
      </c>
      <c r="P848" s="3">
        <f t="shared" si="238"/>
        <v>0</v>
      </c>
      <c r="Q848" s="4">
        <v>86140</v>
      </c>
      <c r="R848" s="4" t="s">
        <v>41</v>
      </c>
      <c r="S848" s="6">
        <v>562</v>
      </c>
      <c r="T848">
        <v>7.625</v>
      </c>
      <c r="U848" s="7">
        <f t="shared" si="235"/>
        <v>645.58519977655044</v>
      </c>
      <c r="V848" s="2">
        <f t="shared" si="239"/>
        <v>209.16480022344956</v>
      </c>
      <c r="W848" s="9">
        <f t="shared" si="240"/>
        <v>0</v>
      </c>
      <c r="X848" s="3">
        <v>86140</v>
      </c>
      <c r="Y848" s="3">
        <f t="shared" si="241"/>
        <v>-0.44492610836459789</v>
      </c>
      <c r="Z848" s="7">
        <f t="shared" si="242"/>
        <v>645.58519977655044</v>
      </c>
      <c r="AA848" s="2">
        <f t="shared" si="236"/>
        <v>209.16480022344956</v>
      </c>
      <c r="AB848" s="8">
        <f t="shared" si="243"/>
        <v>0</v>
      </c>
      <c r="AC848" s="10">
        <v>7.625</v>
      </c>
      <c r="AD848" s="7">
        <f t="shared" si="244"/>
        <v>645.58519977655044</v>
      </c>
      <c r="AE848" s="2">
        <f t="shared" si="245"/>
        <v>209.16480022344956</v>
      </c>
      <c r="AF848" s="10">
        <v>0</v>
      </c>
      <c r="AG848" s="3">
        <f t="shared" si="246"/>
        <v>0</v>
      </c>
      <c r="AH848" s="7">
        <v>0</v>
      </c>
      <c r="AI848">
        <f t="shared" si="247"/>
        <v>360</v>
      </c>
      <c r="AJ848" t="e">
        <f>VLOOKUP(A848,'Borrower Details'!$A$1:$H$1493,8,FALSE)</f>
        <v>#N/A</v>
      </c>
      <c r="AK848" s="4" t="e">
        <f t="shared" si="248"/>
        <v>#N/A</v>
      </c>
      <c r="AL848" s="10">
        <v>7.625</v>
      </c>
      <c r="AM848" s="3">
        <f t="shared" si="249"/>
        <v>86140.4516</v>
      </c>
      <c r="AN848">
        <v>7.625</v>
      </c>
      <c r="AO848" s="7">
        <f t="shared" si="250"/>
        <v>645.58858433977571</v>
      </c>
      <c r="AP848" s="2">
        <f t="shared" si="251"/>
        <v>209.16141566022429</v>
      </c>
    </row>
    <row r="849" spans="1:42" x14ac:dyDescent="0.15">
      <c r="A849" s="8">
        <v>410970412</v>
      </c>
      <c r="B849" t="s">
        <v>38</v>
      </c>
      <c r="C849" t="s">
        <v>16</v>
      </c>
      <c r="D849" s="1">
        <v>39359</v>
      </c>
      <c r="E849" s="2">
        <v>235000</v>
      </c>
      <c r="F849" s="2">
        <v>207000</v>
      </c>
      <c r="G849" t="s">
        <v>17</v>
      </c>
      <c r="H849" s="2">
        <v>1755.7</v>
      </c>
      <c r="I849" s="2">
        <v>206285.13</v>
      </c>
      <c r="J849">
        <v>9.6000000000000002E-2</v>
      </c>
      <c r="K849">
        <v>6</v>
      </c>
      <c r="L849">
        <v>353</v>
      </c>
      <c r="M849" t="str">
        <f t="shared" si="237"/>
        <v>30 Year Fixed</v>
      </c>
      <c r="N849" s="2">
        <v>1650.28</v>
      </c>
      <c r="O849" t="str">
        <f t="shared" si="234"/>
        <v>Refi</v>
      </c>
      <c r="P849" s="3">
        <f t="shared" si="238"/>
        <v>0</v>
      </c>
      <c r="Q849" s="4">
        <v>209379</v>
      </c>
      <c r="R849" s="4" t="s">
        <v>41</v>
      </c>
      <c r="S849" s="6">
        <v>659</v>
      </c>
      <c r="T849">
        <v>6.75</v>
      </c>
      <c r="U849" s="7">
        <f t="shared" si="235"/>
        <v>1445.2694586135603</v>
      </c>
      <c r="V849" s="2">
        <f t="shared" si="239"/>
        <v>310.4305413864397</v>
      </c>
      <c r="W849" s="9">
        <f t="shared" si="240"/>
        <v>0</v>
      </c>
      <c r="X849" s="3">
        <v>209379</v>
      </c>
      <c r="Y849" s="3">
        <f t="shared" si="241"/>
        <v>-0.40093596058432013</v>
      </c>
      <c r="Z849" s="7">
        <f t="shared" si="242"/>
        <v>1445.2694586135603</v>
      </c>
      <c r="AA849" s="2">
        <f t="shared" si="236"/>
        <v>310.4305413864397</v>
      </c>
      <c r="AB849" s="8">
        <f t="shared" si="243"/>
        <v>0</v>
      </c>
      <c r="AC849" s="10">
        <v>6.75</v>
      </c>
      <c r="AD849" s="7">
        <f t="shared" si="244"/>
        <v>1445.2694586135603</v>
      </c>
      <c r="AE849" s="2">
        <f t="shared" si="245"/>
        <v>310.4305413864397</v>
      </c>
      <c r="AF849" s="10">
        <v>0</v>
      </c>
      <c r="AG849" s="3">
        <f t="shared" si="246"/>
        <v>0</v>
      </c>
      <c r="AH849" s="7">
        <v>2070</v>
      </c>
      <c r="AI849">
        <f t="shared" si="247"/>
        <v>360</v>
      </c>
      <c r="AJ849" t="e">
        <f>VLOOKUP(A849,'Borrower Details'!$A$1:$H$1493,8,FALSE)</f>
        <v>#N/A</v>
      </c>
      <c r="AK849" s="4" t="e">
        <f t="shared" si="248"/>
        <v>#N/A</v>
      </c>
      <c r="AL849" s="10">
        <v>6.75</v>
      </c>
      <c r="AM849" s="3">
        <f t="shared" si="249"/>
        <v>209379.40694999998</v>
      </c>
      <c r="AN849">
        <v>6.75</v>
      </c>
      <c r="AO849" s="7">
        <f t="shared" si="250"/>
        <v>1445.2722676460141</v>
      </c>
      <c r="AP849" s="2">
        <f t="shared" si="251"/>
        <v>310.4277323539859</v>
      </c>
    </row>
    <row r="850" spans="1:42" x14ac:dyDescent="0.15">
      <c r="A850" s="8">
        <v>410003974</v>
      </c>
      <c r="B850" t="s">
        <v>36</v>
      </c>
      <c r="C850" t="s">
        <v>19</v>
      </c>
      <c r="D850" s="1">
        <v>39197</v>
      </c>
      <c r="E850" s="2">
        <v>374000</v>
      </c>
      <c r="F850" s="2">
        <v>325000</v>
      </c>
      <c r="G850" t="s">
        <v>15</v>
      </c>
      <c r="H850" s="2">
        <v>2305.9299999999998</v>
      </c>
      <c r="I850" s="2">
        <v>322090.74</v>
      </c>
      <c r="J850">
        <v>7.6499999999999999E-2</v>
      </c>
      <c r="K850">
        <v>12</v>
      </c>
      <c r="L850">
        <v>348</v>
      </c>
      <c r="M850" t="str">
        <f t="shared" si="237"/>
        <v>30 Year Fixed</v>
      </c>
      <c r="N850" s="2">
        <v>2053.33</v>
      </c>
      <c r="O850" t="str">
        <f t="shared" si="234"/>
        <v>Refi</v>
      </c>
      <c r="P850" s="3">
        <f t="shared" si="238"/>
        <v>0</v>
      </c>
      <c r="Q850" s="4">
        <v>326922</v>
      </c>
      <c r="R850" s="4" t="s">
        <v>41</v>
      </c>
      <c r="S850" s="6">
        <v>603</v>
      </c>
      <c r="T850">
        <v>6.875</v>
      </c>
      <c r="U850" s="7">
        <f t="shared" si="235"/>
        <v>2283.8623162442718</v>
      </c>
      <c r="V850" s="2">
        <f t="shared" si="239"/>
        <v>22.067683755728012</v>
      </c>
      <c r="W850" s="9">
        <f t="shared" si="240"/>
        <v>0</v>
      </c>
      <c r="X850" s="3">
        <v>326922</v>
      </c>
      <c r="Y850" s="3">
        <f t="shared" si="241"/>
        <v>-9.9605911294929683E-2</v>
      </c>
      <c r="Z850" s="7">
        <f t="shared" si="242"/>
        <v>2283.8623162442718</v>
      </c>
      <c r="AA850" s="2">
        <f t="shared" si="236"/>
        <v>22.067683755728012</v>
      </c>
      <c r="AB850" s="8">
        <f t="shared" si="243"/>
        <v>1</v>
      </c>
      <c r="AC850" s="10">
        <v>6.25</v>
      </c>
      <c r="AD850" s="7">
        <f t="shared" si="244"/>
        <v>2149.1324859779743</v>
      </c>
      <c r="AE850" s="2">
        <f t="shared" si="245"/>
        <v>156.79751402202555</v>
      </c>
      <c r="AF850" s="10">
        <v>2.5</v>
      </c>
      <c r="AG850" s="3">
        <f t="shared" si="246"/>
        <v>8173.05</v>
      </c>
      <c r="AH850" s="7">
        <v>6500</v>
      </c>
      <c r="AI850">
        <f t="shared" si="247"/>
        <v>360</v>
      </c>
      <c r="AJ850" t="e">
        <f>VLOOKUP(A850,'Borrower Details'!$A$1:$H$1493,8,FALSE)</f>
        <v>#N/A</v>
      </c>
      <c r="AK850" s="4" t="e">
        <f t="shared" si="248"/>
        <v>#N/A</v>
      </c>
      <c r="AL850" s="10">
        <v>6.875</v>
      </c>
      <c r="AM850" s="3">
        <f t="shared" si="249"/>
        <v>326922.10109999997</v>
      </c>
      <c r="AN850">
        <v>6.875</v>
      </c>
      <c r="AO850" s="7">
        <f t="shared" si="250"/>
        <v>2283.8630225243019</v>
      </c>
      <c r="AP850" s="2">
        <f t="shared" si="251"/>
        <v>22.066977475697968</v>
      </c>
    </row>
    <row r="851" spans="1:42" x14ac:dyDescent="0.15">
      <c r="A851" s="8">
        <v>410225106</v>
      </c>
      <c r="B851" t="s">
        <v>35</v>
      </c>
      <c r="C851" t="s">
        <v>16</v>
      </c>
      <c r="D851" s="1">
        <v>39216</v>
      </c>
      <c r="E851" s="2">
        <v>104000</v>
      </c>
      <c r="F851" s="2">
        <v>88400</v>
      </c>
      <c r="G851" t="s">
        <v>17</v>
      </c>
      <c r="H851" s="2">
        <v>664.92</v>
      </c>
      <c r="I851" s="2">
        <v>88156.59</v>
      </c>
      <c r="J851">
        <v>8.7499999999999994E-2</v>
      </c>
      <c r="K851">
        <v>11</v>
      </c>
      <c r="L851">
        <v>349</v>
      </c>
      <c r="M851" t="str">
        <f t="shared" si="237"/>
        <v>30 Year Fixed</v>
      </c>
      <c r="N851" s="2">
        <v>642.80999999999995</v>
      </c>
      <c r="O851" t="str">
        <f t="shared" si="234"/>
        <v>Refi</v>
      </c>
      <c r="P851" s="3">
        <f t="shared" si="238"/>
        <v>0</v>
      </c>
      <c r="Q851" s="4">
        <v>89479</v>
      </c>
      <c r="R851" s="4" t="s">
        <v>41</v>
      </c>
      <c r="S851" s="6">
        <v>562</v>
      </c>
      <c r="T851">
        <v>7.625</v>
      </c>
      <c r="U851" s="7">
        <f t="shared" si="235"/>
        <v>670.60968296733176</v>
      </c>
      <c r="V851" s="2">
        <f t="shared" si="239"/>
        <v>-5.6896829673318052</v>
      </c>
      <c r="W851" s="9">
        <f t="shared" si="240"/>
        <v>0</v>
      </c>
      <c r="X851" s="3">
        <v>89479</v>
      </c>
      <c r="Y851" s="3">
        <f t="shared" si="241"/>
        <v>6.0246305423788726E-2</v>
      </c>
      <c r="Z851" s="7">
        <f t="shared" si="242"/>
        <v>670.60968296733176</v>
      </c>
      <c r="AA851" s="2">
        <f t="shared" si="236"/>
        <v>-5.6896829673318052</v>
      </c>
      <c r="AB851" s="8">
        <f t="shared" si="243"/>
        <v>1</v>
      </c>
      <c r="AC851" s="10">
        <v>6.875</v>
      </c>
      <c r="AD851" s="7">
        <f t="shared" si="244"/>
        <v>625.09624985538187</v>
      </c>
      <c r="AE851" s="2">
        <f t="shared" si="245"/>
        <v>39.823750144618089</v>
      </c>
      <c r="AF851" s="10">
        <v>1.25</v>
      </c>
      <c r="AG851" s="3">
        <f t="shared" si="246"/>
        <v>1118.4875</v>
      </c>
      <c r="AH851" s="7">
        <v>3867.5</v>
      </c>
      <c r="AI851">
        <f t="shared" si="247"/>
        <v>360</v>
      </c>
      <c r="AJ851" t="e">
        <f>VLOOKUP(A851,'Borrower Details'!$A$1:$H$1493,8,FALSE)</f>
        <v>#N/A</v>
      </c>
      <c r="AK851" s="4" t="e">
        <f t="shared" si="248"/>
        <v>#N/A</v>
      </c>
      <c r="AL851" s="10">
        <v>7.625</v>
      </c>
      <c r="AM851" s="3">
        <f t="shared" si="249"/>
        <v>89478.938849999991</v>
      </c>
      <c r="AN851">
        <v>7.625</v>
      </c>
      <c r="AO851" s="7">
        <f t="shared" si="250"/>
        <v>670.6092246722892</v>
      </c>
      <c r="AP851" s="2">
        <f t="shared" si="251"/>
        <v>-5.6892246722892423</v>
      </c>
    </row>
    <row r="852" spans="1:42" x14ac:dyDescent="0.15">
      <c r="A852" s="8">
        <v>411210982</v>
      </c>
      <c r="B852" t="s">
        <v>35</v>
      </c>
      <c r="C852" t="s">
        <v>16</v>
      </c>
      <c r="D852" s="1">
        <v>39456</v>
      </c>
      <c r="E852" s="2">
        <v>246000</v>
      </c>
      <c r="F852" s="2">
        <v>209100</v>
      </c>
      <c r="G852" t="s">
        <v>17</v>
      </c>
      <c r="H852" s="2">
        <v>1881.53</v>
      </c>
      <c r="I852" s="2">
        <v>208925.74</v>
      </c>
      <c r="J852">
        <v>0.10299999999999999</v>
      </c>
      <c r="K852">
        <v>3</v>
      </c>
      <c r="L852">
        <v>358</v>
      </c>
      <c r="M852" t="str">
        <f t="shared" si="237"/>
        <v>30 Year Fixed</v>
      </c>
      <c r="N852" s="2">
        <v>1793.28</v>
      </c>
      <c r="O852" t="str">
        <f t="shared" si="234"/>
        <v>Refi</v>
      </c>
      <c r="P852" s="3">
        <f t="shared" si="238"/>
        <v>0</v>
      </c>
      <c r="Q852" s="4">
        <v>212060</v>
      </c>
      <c r="R852" s="4" t="s">
        <v>41</v>
      </c>
      <c r="S852" s="6">
        <v>584</v>
      </c>
      <c r="T852">
        <v>7.375</v>
      </c>
      <c r="U852" s="7">
        <f t="shared" si="235"/>
        <v>1553.0040513282479</v>
      </c>
      <c r="V852" s="2">
        <f t="shared" si="239"/>
        <v>328.52594867175208</v>
      </c>
      <c r="W852" s="9">
        <f t="shared" si="240"/>
        <v>0</v>
      </c>
      <c r="X852" s="3">
        <v>212060</v>
      </c>
      <c r="Y852" s="3">
        <f t="shared" si="241"/>
        <v>0.36837438427028246</v>
      </c>
      <c r="Z852" s="7">
        <f t="shared" si="242"/>
        <v>1553.0040513282479</v>
      </c>
      <c r="AA852" s="2">
        <f t="shared" si="236"/>
        <v>328.52594867175208</v>
      </c>
      <c r="AB852" s="8">
        <f t="shared" si="243"/>
        <v>0</v>
      </c>
      <c r="AC852" s="10">
        <v>7.375</v>
      </c>
      <c r="AD852" s="7">
        <f t="shared" si="244"/>
        <v>1553.0040513282479</v>
      </c>
      <c r="AE852" s="2">
        <f t="shared" si="245"/>
        <v>328.52594867175208</v>
      </c>
      <c r="AF852" s="10">
        <v>0</v>
      </c>
      <c r="AG852" s="3">
        <f t="shared" si="246"/>
        <v>0</v>
      </c>
      <c r="AH852" s="7">
        <v>10768.65</v>
      </c>
      <c r="AI852">
        <f t="shared" si="247"/>
        <v>360</v>
      </c>
      <c r="AJ852" t="e">
        <f>VLOOKUP(A852,'Borrower Details'!$A$1:$H$1493,8,FALSE)</f>
        <v>#N/A</v>
      </c>
      <c r="AK852" s="4" t="e">
        <f t="shared" si="248"/>
        <v>#N/A</v>
      </c>
      <c r="AL852" s="10">
        <v>7.375</v>
      </c>
      <c r="AM852" s="3">
        <f t="shared" si="249"/>
        <v>212059.62609999996</v>
      </c>
      <c r="AN852">
        <v>7.375</v>
      </c>
      <c r="AO852" s="7">
        <f t="shared" si="250"/>
        <v>1553.001313102204</v>
      </c>
      <c r="AP852" s="2">
        <f t="shared" si="251"/>
        <v>328.52868689779598</v>
      </c>
    </row>
    <row r="853" spans="1:42" x14ac:dyDescent="0.15">
      <c r="A853" s="8">
        <v>410162002</v>
      </c>
      <c r="B853" t="s">
        <v>37</v>
      </c>
      <c r="C853" t="s">
        <v>19</v>
      </c>
      <c r="D853" s="1">
        <v>39216</v>
      </c>
      <c r="E853" s="2">
        <v>151000</v>
      </c>
      <c r="F853" s="2">
        <v>84000</v>
      </c>
      <c r="G853" t="s">
        <v>17</v>
      </c>
      <c r="H853" s="2">
        <v>678.91</v>
      </c>
      <c r="I853" s="2">
        <v>83480.460000000006</v>
      </c>
      <c r="J853">
        <v>9.0499999999999997E-2</v>
      </c>
      <c r="K853">
        <v>11</v>
      </c>
      <c r="L853">
        <v>349</v>
      </c>
      <c r="M853" t="str">
        <f t="shared" si="237"/>
        <v>30 Year Fixed</v>
      </c>
      <c r="N853" s="2">
        <v>629.58000000000004</v>
      </c>
      <c r="O853" t="str">
        <f t="shared" si="234"/>
        <v>Cash Out</v>
      </c>
      <c r="P853" s="3">
        <f t="shared" si="238"/>
        <v>42972.741970443356</v>
      </c>
      <c r="Q853" s="4">
        <v>128350</v>
      </c>
      <c r="R853" s="4" t="s">
        <v>41</v>
      </c>
      <c r="S853" s="6">
        <v>555</v>
      </c>
      <c r="T853">
        <v>7.625</v>
      </c>
      <c r="U853" s="7">
        <f t="shared" si="235"/>
        <v>961.93244011284241</v>
      </c>
      <c r="V853" s="2">
        <f t="shared" si="239"/>
        <v>-283.02244011284245</v>
      </c>
      <c r="W853" s="9">
        <f t="shared" si="240"/>
        <v>1</v>
      </c>
      <c r="X853" s="3">
        <v>90510</v>
      </c>
      <c r="Y853" s="3">
        <f t="shared" si="241"/>
        <v>5691.9537931034574</v>
      </c>
      <c r="Z853" s="7">
        <f t="shared" si="242"/>
        <v>678.33661982558135</v>
      </c>
      <c r="AA853" s="2">
        <f t="shared" si="236"/>
        <v>0.57338017441861666</v>
      </c>
      <c r="AB853" s="8">
        <f t="shared" si="243"/>
        <v>1</v>
      </c>
      <c r="AC853" s="10">
        <v>6.5</v>
      </c>
      <c r="AD853" s="7">
        <f t="shared" si="244"/>
        <v>609.79726806348356</v>
      </c>
      <c r="AE853" s="2">
        <f t="shared" si="245"/>
        <v>69.112731936516411</v>
      </c>
      <c r="AF853" s="10">
        <v>2.625</v>
      </c>
      <c r="AG853" s="3">
        <f t="shared" si="246"/>
        <v>2375.8874999999998</v>
      </c>
      <c r="AH853" s="7">
        <v>0</v>
      </c>
      <c r="AI853">
        <f t="shared" si="247"/>
        <v>360</v>
      </c>
      <c r="AJ853" t="e">
        <f>VLOOKUP(A853,'Borrower Details'!$A$1:$H$1493,8,FALSE)</f>
        <v>#N/A</v>
      </c>
      <c r="AK853" s="4" t="e">
        <f t="shared" si="248"/>
        <v>#N/A</v>
      </c>
      <c r="AL853" s="10">
        <v>7.625</v>
      </c>
      <c r="AM853" s="3">
        <f t="shared" si="249"/>
        <v>84732.666899999997</v>
      </c>
      <c r="AN853">
        <v>7.625</v>
      </c>
      <c r="AO853" s="7">
        <f t="shared" si="250"/>
        <v>635.03779531270493</v>
      </c>
      <c r="AP853" s="2">
        <f t="shared" si="251"/>
        <v>43.872204687295039</v>
      </c>
    </row>
    <row r="854" spans="1:42" x14ac:dyDescent="0.15">
      <c r="A854" s="8">
        <v>410324446</v>
      </c>
      <c r="B854" t="s">
        <v>36</v>
      </c>
      <c r="C854" t="s">
        <v>19</v>
      </c>
      <c r="D854" s="1">
        <v>39237</v>
      </c>
      <c r="E854" s="2">
        <v>174000</v>
      </c>
      <c r="F854" s="2">
        <v>156600</v>
      </c>
      <c r="G854" t="s">
        <v>17</v>
      </c>
      <c r="H854" s="2">
        <v>1292.8599999999999</v>
      </c>
      <c r="I854" s="2">
        <v>155852.51</v>
      </c>
      <c r="J854">
        <v>9.2899999999999996E-2</v>
      </c>
      <c r="K854">
        <v>10</v>
      </c>
      <c r="L854">
        <v>351</v>
      </c>
      <c r="M854" t="str">
        <f t="shared" si="237"/>
        <v>30 Year Fixed</v>
      </c>
      <c r="N854" s="2">
        <v>1206.56</v>
      </c>
      <c r="O854" t="str">
        <f t="shared" si="234"/>
        <v>Refi</v>
      </c>
      <c r="P854" s="3">
        <f t="shared" si="238"/>
        <v>0</v>
      </c>
      <c r="Q854" s="4">
        <v>158190</v>
      </c>
      <c r="R854" s="4" t="s">
        <v>41</v>
      </c>
      <c r="S854" s="6">
        <v>585</v>
      </c>
      <c r="T854">
        <v>7.375</v>
      </c>
      <c r="U854" s="7">
        <f t="shared" si="235"/>
        <v>1158.4915159842285</v>
      </c>
      <c r="V854" s="2">
        <f t="shared" si="239"/>
        <v>134.3684840157714</v>
      </c>
      <c r="W854" s="9">
        <f t="shared" si="240"/>
        <v>0</v>
      </c>
      <c r="X854" s="3">
        <v>158191</v>
      </c>
      <c r="Y854" s="3">
        <f t="shared" si="241"/>
        <v>0.69197044335305691</v>
      </c>
      <c r="Z854" s="7">
        <f t="shared" si="242"/>
        <v>1158.4988394023712</v>
      </c>
      <c r="AA854" s="2">
        <f t="shared" si="236"/>
        <v>134.36116059762867</v>
      </c>
      <c r="AB854" s="8">
        <f t="shared" si="243"/>
        <v>0</v>
      </c>
      <c r="AC854" s="10">
        <v>7.375</v>
      </c>
      <c r="AD854" s="7">
        <f t="shared" si="244"/>
        <v>1158.4988394023712</v>
      </c>
      <c r="AE854" s="2">
        <f t="shared" si="245"/>
        <v>134.36116059762867</v>
      </c>
      <c r="AF854" s="10">
        <v>0</v>
      </c>
      <c r="AG854" s="3">
        <f t="shared" si="246"/>
        <v>0</v>
      </c>
      <c r="AH854" s="7">
        <v>3132</v>
      </c>
      <c r="AI854">
        <f t="shared" si="247"/>
        <v>360</v>
      </c>
      <c r="AJ854" t="e">
        <f>VLOOKUP(A854,'Borrower Details'!$A$1:$H$1493,8,FALSE)</f>
        <v>#N/A</v>
      </c>
      <c r="AK854" s="4" t="e">
        <f t="shared" si="248"/>
        <v>#N/A</v>
      </c>
      <c r="AL854" s="10">
        <v>7.375</v>
      </c>
      <c r="AM854" s="3">
        <f t="shared" si="249"/>
        <v>158190.29764999999</v>
      </c>
      <c r="AN854">
        <v>7.375</v>
      </c>
      <c r="AO854" s="7">
        <f t="shared" si="250"/>
        <v>1158.4936957996388</v>
      </c>
      <c r="AP854" s="2">
        <f t="shared" si="251"/>
        <v>134.36630420036113</v>
      </c>
    </row>
    <row r="855" spans="1:42" x14ac:dyDescent="0.15">
      <c r="A855" s="8">
        <v>410451470</v>
      </c>
      <c r="B855" t="s">
        <v>36</v>
      </c>
      <c r="C855" t="s">
        <v>19</v>
      </c>
      <c r="D855" s="1">
        <v>39268</v>
      </c>
      <c r="E855" s="2">
        <v>185000</v>
      </c>
      <c r="F855" s="2">
        <v>148000</v>
      </c>
      <c r="G855" t="s">
        <v>20</v>
      </c>
      <c r="H855" s="2">
        <v>1239.07</v>
      </c>
      <c r="I855" s="2">
        <v>147237.69</v>
      </c>
      <c r="J855">
        <v>9.4500000000000001E-2</v>
      </c>
      <c r="K855">
        <v>9</v>
      </c>
      <c r="L855">
        <v>350</v>
      </c>
      <c r="M855" t="str">
        <f t="shared" si="237"/>
        <v>30 Year Fixed</v>
      </c>
      <c r="N855" s="2">
        <v>1160.1199999999999</v>
      </c>
      <c r="O855" t="str">
        <f t="shared" si="234"/>
        <v>Cash Out</v>
      </c>
      <c r="P855" s="3">
        <f t="shared" si="238"/>
        <v>7688.4183743842586</v>
      </c>
      <c r="Q855" s="4">
        <v>157250</v>
      </c>
      <c r="R855" s="4" t="s">
        <v>41</v>
      </c>
      <c r="S855" s="6">
        <v>528</v>
      </c>
      <c r="T855">
        <v>7.625</v>
      </c>
      <c r="U855" s="7">
        <f t="shared" si="235"/>
        <v>1178.5264994759989</v>
      </c>
      <c r="V855" s="2">
        <f t="shared" si="239"/>
        <v>60.543500524001047</v>
      </c>
      <c r="W855" s="9">
        <f t="shared" si="240"/>
        <v>0</v>
      </c>
      <c r="X855" s="3">
        <v>157250</v>
      </c>
      <c r="Y855" s="3">
        <f t="shared" si="241"/>
        <v>7688.4183743842586</v>
      </c>
      <c r="Z855" s="7">
        <f t="shared" si="242"/>
        <v>1178.5264994759989</v>
      </c>
      <c r="AA855" s="2">
        <f t="shared" si="236"/>
        <v>60.543500524001047</v>
      </c>
      <c r="AB855" s="8">
        <f t="shared" si="243"/>
        <v>0</v>
      </c>
      <c r="AC855" s="10">
        <v>7.625</v>
      </c>
      <c r="AD855" s="7">
        <f t="shared" si="244"/>
        <v>1178.5264994759989</v>
      </c>
      <c r="AE855" s="2">
        <f t="shared" si="245"/>
        <v>60.543500524001047</v>
      </c>
      <c r="AF855" s="10">
        <v>0</v>
      </c>
      <c r="AG855" s="3">
        <f t="shared" si="246"/>
        <v>0</v>
      </c>
      <c r="AH855" s="7">
        <v>2960</v>
      </c>
      <c r="AI855">
        <f t="shared" si="247"/>
        <v>360</v>
      </c>
      <c r="AJ855" t="e">
        <f>VLOOKUP(A855,'Borrower Details'!$A$1:$H$1493,8,FALSE)</f>
        <v>#N/A</v>
      </c>
      <c r="AK855" s="4" t="e">
        <f t="shared" si="248"/>
        <v>#N/A</v>
      </c>
      <c r="AL855" s="10">
        <v>7.625</v>
      </c>
      <c r="AM855" s="3">
        <f t="shared" si="249"/>
        <v>149446.25534999999</v>
      </c>
      <c r="AN855">
        <v>7.625</v>
      </c>
      <c r="AO855" s="7">
        <f t="shared" si="250"/>
        <v>1120.040522590981</v>
      </c>
      <c r="AP855" s="2">
        <f t="shared" si="251"/>
        <v>119.02947740901891</v>
      </c>
    </row>
    <row r="856" spans="1:42" x14ac:dyDescent="0.15">
      <c r="A856" s="8">
        <v>410706030</v>
      </c>
      <c r="B856" t="s">
        <v>35</v>
      </c>
      <c r="C856" t="s">
        <v>16</v>
      </c>
      <c r="D856" s="1">
        <v>39290</v>
      </c>
      <c r="E856" s="2">
        <v>118000</v>
      </c>
      <c r="F856" s="2">
        <v>100300</v>
      </c>
      <c r="G856" t="s">
        <v>17</v>
      </c>
      <c r="H856" s="2">
        <v>746.49</v>
      </c>
      <c r="I856" s="2">
        <v>99626.81</v>
      </c>
      <c r="J856">
        <v>8.1500000000000003E-2</v>
      </c>
      <c r="K856">
        <v>9</v>
      </c>
      <c r="L856">
        <v>350</v>
      </c>
      <c r="M856" t="str">
        <f t="shared" si="237"/>
        <v>30 Year Fixed</v>
      </c>
      <c r="N856" s="2">
        <v>677.1</v>
      </c>
      <c r="O856" t="str">
        <f t="shared" si="234"/>
        <v>Refi</v>
      </c>
      <c r="P856" s="3">
        <f t="shared" si="238"/>
        <v>0</v>
      </c>
      <c r="Q856" s="4">
        <v>101121</v>
      </c>
      <c r="R856" s="4" t="s">
        <v>41</v>
      </c>
      <c r="S856" s="6">
        <v>658</v>
      </c>
      <c r="T856">
        <v>6.75</v>
      </c>
      <c r="U856" s="7">
        <f t="shared" si="235"/>
        <v>698.00263123074342</v>
      </c>
      <c r="V856" s="2">
        <f t="shared" si="239"/>
        <v>48.487368769256591</v>
      </c>
      <c r="W856" s="9">
        <f t="shared" si="240"/>
        <v>0</v>
      </c>
      <c r="X856" s="3">
        <v>101121</v>
      </c>
      <c r="Y856" s="3">
        <f t="shared" si="241"/>
        <v>-0.20901477831648663</v>
      </c>
      <c r="Z856" s="7">
        <f t="shared" si="242"/>
        <v>698.00263123074342</v>
      </c>
      <c r="AA856" s="2">
        <f t="shared" si="236"/>
        <v>48.487368769256591</v>
      </c>
      <c r="AB856" s="8">
        <f t="shared" si="243"/>
        <v>1</v>
      </c>
      <c r="AC856" s="10">
        <v>6.125</v>
      </c>
      <c r="AD856" s="7">
        <f t="shared" si="244"/>
        <v>656.55560372938908</v>
      </c>
      <c r="AE856" s="2">
        <f t="shared" si="245"/>
        <v>89.934396270610932</v>
      </c>
      <c r="AF856" s="10">
        <v>3</v>
      </c>
      <c r="AG856" s="3">
        <f t="shared" si="246"/>
        <v>3033.63</v>
      </c>
      <c r="AH856" s="7">
        <v>4087.2250000000004</v>
      </c>
      <c r="AI856">
        <f t="shared" si="247"/>
        <v>360</v>
      </c>
      <c r="AJ856" t="e">
        <f>VLOOKUP(A856,'Borrower Details'!$A$1:$H$1493,8,FALSE)</f>
        <v>#N/A</v>
      </c>
      <c r="AK856" s="4" t="e">
        <f t="shared" si="248"/>
        <v>#N/A</v>
      </c>
      <c r="AL856" s="10">
        <v>6.75</v>
      </c>
      <c r="AM856" s="3">
        <f t="shared" si="249"/>
        <v>101121.21214999999</v>
      </c>
      <c r="AN856">
        <v>6.75</v>
      </c>
      <c r="AO856" s="7">
        <f t="shared" si="250"/>
        <v>698.00409562743857</v>
      </c>
      <c r="AP856" s="2">
        <f t="shared" si="251"/>
        <v>48.485904372561436</v>
      </c>
    </row>
    <row r="857" spans="1:42" x14ac:dyDescent="0.15">
      <c r="A857" s="8">
        <v>1156365</v>
      </c>
      <c r="B857" t="s">
        <v>35</v>
      </c>
      <c r="C857" t="s">
        <v>16</v>
      </c>
      <c r="D857" s="1">
        <v>39154</v>
      </c>
      <c r="E857" s="2">
        <v>52500</v>
      </c>
      <c r="F857" s="2">
        <v>51000</v>
      </c>
      <c r="G857" t="s">
        <v>17</v>
      </c>
      <c r="H857" s="2">
        <v>543.38</v>
      </c>
      <c r="I857" s="2">
        <v>44561.26</v>
      </c>
      <c r="J857">
        <v>9.8500000000000004E-2</v>
      </c>
      <c r="K857">
        <v>13</v>
      </c>
      <c r="L857">
        <v>164</v>
      </c>
      <c r="M857" t="str">
        <f t="shared" si="237"/>
        <v>15 Year Fixed</v>
      </c>
      <c r="N857" s="2">
        <v>365.77</v>
      </c>
      <c r="O857" t="str">
        <f t="shared" si="234"/>
        <v>Refi</v>
      </c>
      <c r="P857" s="3">
        <f t="shared" si="238"/>
        <v>0</v>
      </c>
      <c r="Q857" s="4">
        <v>45230</v>
      </c>
      <c r="R857" s="4" t="s">
        <v>41</v>
      </c>
      <c r="S857" s="6">
        <v>634</v>
      </c>
      <c r="T857">
        <v>7</v>
      </c>
      <c r="U857" s="7">
        <f t="shared" si="235"/>
        <v>425.3858602398854</v>
      </c>
      <c r="V857" s="2">
        <f t="shared" si="239"/>
        <v>117.99413976011459</v>
      </c>
      <c r="W857" s="9">
        <f t="shared" si="240"/>
        <v>0</v>
      </c>
      <c r="X857" s="3">
        <v>45230</v>
      </c>
      <c r="Y857" s="3">
        <f t="shared" si="241"/>
        <v>0.31635467980231624</v>
      </c>
      <c r="Z857" s="7">
        <f t="shared" si="242"/>
        <v>425.3858602398854</v>
      </c>
      <c r="AA857" s="2">
        <f t="shared" si="236"/>
        <v>117.99413976011459</v>
      </c>
      <c r="AB857" s="8">
        <f t="shared" si="243"/>
        <v>0</v>
      </c>
      <c r="AC857" s="10">
        <v>7</v>
      </c>
      <c r="AD857" s="7">
        <f t="shared" si="244"/>
        <v>425.3858602398854</v>
      </c>
      <c r="AE857" s="2">
        <f t="shared" si="245"/>
        <v>117.99413976011459</v>
      </c>
      <c r="AF857" s="10">
        <v>0</v>
      </c>
      <c r="AG857" s="3">
        <f t="shared" si="246"/>
        <v>0</v>
      </c>
      <c r="AH857" s="7">
        <v>2511.75</v>
      </c>
      <c r="AI857">
        <f t="shared" si="247"/>
        <v>180</v>
      </c>
      <c r="AJ857" t="e">
        <f>VLOOKUP(A857,'Borrower Details'!$A$1:$H$1493,8,FALSE)</f>
        <v>#N/A</v>
      </c>
      <c r="AK857" s="4" t="e">
        <f t="shared" si="248"/>
        <v>#N/A</v>
      </c>
      <c r="AL857" s="10">
        <v>7</v>
      </c>
      <c r="AM857" s="3">
        <f t="shared" si="249"/>
        <v>45229.678899999999</v>
      </c>
      <c r="AN857">
        <v>7</v>
      </c>
      <c r="AO857" s="7">
        <f t="shared" si="250"/>
        <v>425.38284031064097</v>
      </c>
      <c r="AP857" s="2">
        <f t="shared" si="251"/>
        <v>117.99715968935902</v>
      </c>
    </row>
    <row r="858" spans="1:42" x14ac:dyDescent="0.15">
      <c r="A858" s="8">
        <v>410266886</v>
      </c>
      <c r="B858" t="s">
        <v>38</v>
      </c>
      <c r="C858" t="s">
        <v>18</v>
      </c>
      <c r="D858" s="1">
        <v>39223</v>
      </c>
      <c r="E858" s="2">
        <v>150000</v>
      </c>
      <c r="F858" s="2">
        <v>129600</v>
      </c>
      <c r="G858" t="s">
        <v>17</v>
      </c>
      <c r="H858" s="2">
        <v>1151.73</v>
      </c>
      <c r="I858" s="2">
        <v>128941.45</v>
      </c>
      <c r="J858">
        <v>0.10150000000000001</v>
      </c>
      <c r="K858">
        <v>11</v>
      </c>
      <c r="L858">
        <v>349</v>
      </c>
      <c r="M858" t="str">
        <f t="shared" si="237"/>
        <v>30 Year Fixed</v>
      </c>
      <c r="N858" s="2">
        <v>1090.6300000000001</v>
      </c>
      <c r="O858" t="str">
        <f t="shared" si="234"/>
        <v>Refi</v>
      </c>
      <c r="P858" s="3">
        <f t="shared" si="238"/>
        <v>0</v>
      </c>
      <c r="Q858" s="4">
        <v>130876</v>
      </c>
      <c r="R858" s="4" t="s">
        <v>41</v>
      </c>
      <c r="S858" s="6">
        <v>579</v>
      </c>
      <c r="T858">
        <v>7.625</v>
      </c>
      <c r="U858" s="7">
        <f t="shared" si="235"/>
        <v>980.86381014576057</v>
      </c>
      <c r="V858" s="2">
        <f t="shared" si="239"/>
        <v>170.86618985423945</v>
      </c>
      <c r="W858" s="9">
        <f t="shared" si="240"/>
        <v>0</v>
      </c>
      <c r="X858" s="3">
        <v>130876</v>
      </c>
      <c r="Y858" s="3">
        <f t="shared" si="241"/>
        <v>0.42192118227831088</v>
      </c>
      <c r="Z858" s="7">
        <f t="shared" si="242"/>
        <v>980.86381014576057</v>
      </c>
      <c r="AA858" s="2">
        <f t="shared" si="236"/>
        <v>170.86618985423945</v>
      </c>
      <c r="AB858" s="8">
        <f t="shared" si="243"/>
        <v>0</v>
      </c>
      <c r="AC858" s="10">
        <v>7.625</v>
      </c>
      <c r="AD858" s="7">
        <f t="shared" si="244"/>
        <v>980.86381014576057</v>
      </c>
      <c r="AE858" s="2">
        <f t="shared" si="245"/>
        <v>170.86618985423945</v>
      </c>
      <c r="AF858" s="10">
        <v>0</v>
      </c>
      <c r="AG858" s="3">
        <f t="shared" si="246"/>
        <v>0</v>
      </c>
      <c r="AH858" s="7">
        <v>0</v>
      </c>
      <c r="AI858">
        <f t="shared" si="247"/>
        <v>360</v>
      </c>
      <c r="AJ858" t="e">
        <f>VLOOKUP(A858,'Borrower Details'!$A$1:$H$1493,8,FALSE)</f>
        <v>#N/A</v>
      </c>
      <c r="AK858" s="4" t="e">
        <f t="shared" si="248"/>
        <v>#N/A</v>
      </c>
      <c r="AL858" s="10">
        <v>7.625</v>
      </c>
      <c r="AM858" s="3">
        <f t="shared" si="249"/>
        <v>130875.57174999999</v>
      </c>
      <c r="AN858">
        <v>7.625</v>
      </c>
      <c r="AO858" s="7">
        <f t="shared" si="250"/>
        <v>980.8606005815418</v>
      </c>
      <c r="AP858" s="2">
        <f t="shared" si="251"/>
        <v>170.86939941845822</v>
      </c>
    </row>
    <row r="859" spans="1:42" x14ac:dyDescent="0.15">
      <c r="A859" s="8">
        <v>1169294</v>
      </c>
      <c r="B859" t="s">
        <v>37</v>
      </c>
      <c r="C859" t="s">
        <v>19</v>
      </c>
      <c r="D859" s="1">
        <v>39171</v>
      </c>
      <c r="E859" s="2">
        <v>150000</v>
      </c>
      <c r="F859" s="2">
        <v>120000</v>
      </c>
      <c r="G859" t="s">
        <v>17</v>
      </c>
      <c r="H859" s="2">
        <v>1022.19</v>
      </c>
      <c r="I859" s="2">
        <v>119156.11</v>
      </c>
      <c r="J859">
        <v>9.6500000000000002E-2</v>
      </c>
      <c r="K859">
        <v>13</v>
      </c>
      <c r="L859">
        <v>346</v>
      </c>
      <c r="M859" t="str">
        <f t="shared" si="237"/>
        <v>30 Year Fixed</v>
      </c>
      <c r="N859" s="2">
        <v>958.72</v>
      </c>
      <c r="O859" t="str">
        <f t="shared" si="234"/>
        <v>Cash Out</v>
      </c>
      <c r="P859" s="3">
        <f t="shared" si="238"/>
        <v>6459.653546798043</v>
      </c>
      <c r="Q859" s="4">
        <v>127500</v>
      </c>
      <c r="R859" s="4" t="s">
        <v>41</v>
      </c>
      <c r="S859" s="6">
        <v>509</v>
      </c>
      <c r="T859">
        <v>7.625</v>
      </c>
      <c r="U859" s="7">
        <f t="shared" si="235"/>
        <v>955.56202660216138</v>
      </c>
      <c r="V859" s="2">
        <f t="shared" si="239"/>
        <v>66.627973397838673</v>
      </c>
      <c r="W859" s="9">
        <f t="shared" si="240"/>
        <v>0</v>
      </c>
      <c r="X859" s="3">
        <v>127500</v>
      </c>
      <c r="Y859" s="3">
        <f t="shared" si="241"/>
        <v>6459.653546798043</v>
      </c>
      <c r="Z859" s="7">
        <f t="shared" si="242"/>
        <v>955.56202660216138</v>
      </c>
      <c r="AA859" s="2">
        <f t="shared" si="236"/>
        <v>66.627973397838673</v>
      </c>
      <c r="AB859" s="8">
        <f t="shared" si="243"/>
        <v>0</v>
      </c>
      <c r="AC859" s="10">
        <v>7.625</v>
      </c>
      <c r="AD859" s="7">
        <f t="shared" si="244"/>
        <v>955.56202660216138</v>
      </c>
      <c r="AE859" s="2">
        <f t="shared" si="245"/>
        <v>66.627973397838673</v>
      </c>
      <c r="AF859" s="10">
        <v>0</v>
      </c>
      <c r="AG859" s="3">
        <f t="shared" si="246"/>
        <v>0</v>
      </c>
      <c r="AH859" s="7">
        <v>0</v>
      </c>
      <c r="AI859">
        <f t="shared" si="247"/>
        <v>360</v>
      </c>
      <c r="AJ859" t="e">
        <f>VLOOKUP(A859,'Borrower Details'!$A$1:$H$1493,8,FALSE)</f>
        <v>#N/A</v>
      </c>
      <c r="AK859" s="4" t="e">
        <f t="shared" si="248"/>
        <v>#N/A</v>
      </c>
      <c r="AL859" s="10">
        <v>7.625</v>
      </c>
      <c r="AM859" s="3">
        <f t="shared" si="249"/>
        <v>120943.45164999999</v>
      </c>
      <c r="AN859">
        <v>7.625</v>
      </c>
      <c r="AO859" s="7">
        <f t="shared" si="250"/>
        <v>906.42329225830986</v>
      </c>
      <c r="AP859" s="2">
        <f t="shared" si="251"/>
        <v>115.7667077416902</v>
      </c>
    </row>
    <row r="860" spans="1:42" x14ac:dyDescent="0.15">
      <c r="A860" s="8">
        <v>411039662</v>
      </c>
      <c r="B860" t="s">
        <v>36</v>
      </c>
      <c r="C860" t="s">
        <v>16</v>
      </c>
      <c r="D860" s="1">
        <v>39385</v>
      </c>
      <c r="E860" s="2">
        <v>315000</v>
      </c>
      <c r="F860" s="2">
        <v>204750</v>
      </c>
      <c r="G860" t="s">
        <v>20</v>
      </c>
      <c r="H860" s="2">
        <v>1684.43</v>
      </c>
      <c r="I860" s="2">
        <v>203989.56</v>
      </c>
      <c r="J860">
        <v>9.2499999999999999E-2</v>
      </c>
      <c r="K860">
        <v>6</v>
      </c>
      <c r="L860">
        <v>353</v>
      </c>
      <c r="M860" t="str">
        <f t="shared" si="237"/>
        <v>30 Year Fixed</v>
      </c>
      <c r="N860" s="2">
        <v>1572.42</v>
      </c>
      <c r="O860" t="str">
        <f t="shared" si="234"/>
        <v>Cash Out</v>
      </c>
      <c r="P860" s="3">
        <f t="shared" si="238"/>
        <v>59803.543448275886</v>
      </c>
      <c r="Q860" s="4">
        <v>267750</v>
      </c>
      <c r="R860" s="4" t="s">
        <v>41</v>
      </c>
      <c r="S860" s="6">
        <v>623</v>
      </c>
      <c r="T860">
        <v>6.75</v>
      </c>
      <c r="U860" s="7">
        <f t="shared" si="235"/>
        <v>1848.1839035613925</v>
      </c>
      <c r="V860" s="2">
        <f t="shared" si="239"/>
        <v>-163.75390356139246</v>
      </c>
      <c r="W860" s="9">
        <f t="shared" si="240"/>
        <v>1</v>
      </c>
      <c r="X860" s="3">
        <v>243950</v>
      </c>
      <c r="Y860" s="3">
        <f t="shared" si="241"/>
        <v>36355.26758620693</v>
      </c>
      <c r="Z860" s="7">
        <f t="shared" si="242"/>
        <v>1683.9008899114908</v>
      </c>
      <c r="AA860" s="2">
        <f t="shared" si="236"/>
        <v>0.5291100885092419</v>
      </c>
      <c r="AB860" s="8">
        <f t="shared" si="243"/>
        <v>0</v>
      </c>
      <c r="AC860" s="10">
        <v>6.75</v>
      </c>
      <c r="AD860" s="7">
        <f t="shared" si="244"/>
        <v>1683.9008899114908</v>
      </c>
      <c r="AE860" s="2">
        <f t="shared" si="245"/>
        <v>0.5291100885092419</v>
      </c>
      <c r="AF860" s="10">
        <v>0</v>
      </c>
      <c r="AG860" s="3">
        <f t="shared" si="246"/>
        <v>0</v>
      </c>
      <c r="AH860" s="7">
        <v>0</v>
      </c>
      <c r="AI860">
        <f t="shared" si="247"/>
        <v>360</v>
      </c>
      <c r="AJ860" t="e">
        <f>VLOOKUP(A860,'Borrower Details'!$A$1:$H$1493,8,FALSE)</f>
        <v>#N/A</v>
      </c>
      <c r="AK860" s="4" t="e">
        <f t="shared" si="248"/>
        <v>#N/A</v>
      </c>
      <c r="AL860" s="10">
        <v>6.75</v>
      </c>
      <c r="AM860" s="3">
        <f t="shared" si="249"/>
        <v>207049.40339999998</v>
      </c>
      <c r="AN860">
        <v>6.75</v>
      </c>
      <c r="AO860" s="7">
        <f t="shared" si="250"/>
        <v>1429.1890741582424</v>
      </c>
      <c r="AP860" s="2">
        <f t="shared" si="251"/>
        <v>255.24092584175764</v>
      </c>
    </row>
    <row r="861" spans="1:42" x14ac:dyDescent="0.15">
      <c r="A861" s="8">
        <v>410916910</v>
      </c>
      <c r="B861" t="s">
        <v>36</v>
      </c>
      <c r="C861" t="s">
        <v>16</v>
      </c>
      <c r="D861" s="1">
        <v>39356</v>
      </c>
      <c r="E861" s="2">
        <v>253000</v>
      </c>
      <c r="F861" s="2">
        <v>146000</v>
      </c>
      <c r="G861" t="s">
        <v>17</v>
      </c>
      <c r="H861" s="2">
        <v>1173.7</v>
      </c>
      <c r="I861" s="2">
        <v>145107.39000000001</v>
      </c>
      <c r="J861">
        <v>8.9899999999999994E-2</v>
      </c>
      <c r="K861">
        <v>7</v>
      </c>
      <c r="L861">
        <v>353</v>
      </c>
      <c r="M861" t="str">
        <f t="shared" si="237"/>
        <v>30 Year Fixed</v>
      </c>
      <c r="N861" s="2">
        <v>1087.0999999999999</v>
      </c>
      <c r="O861" t="str">
        <f t="shared" si="234"/>
        <v>Cash Out</v>
      </c>
      <c r="P861" s="3">
        <f t="shared" si="238"/>
        <v>66764.531182266015</v>
      </c>
      <c r="Q861" s="4">
        <v>215050</v>
      </c>
      <c r="R861" s="4" t="s">
        <v>41</v>
      </c>
      <c r="S861" s="6">
        <v>537</v>
      </c>
      <c r="T861">
        <v>7.625</v>
      </c>
      <c r="U861" s="7">
        <f t="shared" si="235"/>
        <v>1611.7146182023123</v>
      </c>
      <c r="V861" s="2">
        <f t="shared" si="239"/>
        <v>-438.01461820231225</v>
      </c>
      <c r="W861" s="9">
        <f t="shared" si="240"/>
        <v>1</v>
      </c>
      <c r="X861" s="3">
        <v>156530</v>
      </c>
      <c r="Y861" s="3">
        <f t="shared" si="241"/>
        <v>9109.3587684729137</v>
      </c>
      <c r="Z861" s="7">
        <f t="shared" si="242"/>
        <v>1173.1303845022455</v>
      </c>
      <c r="AA861" s="2">
        <f t="shared" si="236"/>
        <v>0.56961549775451203</v>
      </c>
      <c r="AB861" s="8">
        <f t="shared" si="243"/>
        <v>1</v>
      </c>
      <c r="AC861" s="10">
        <v>6.875</v>
      </c>
      <c r="AD861" s="7">
        <f t="shared" si="244"/>
        <v>1093.5115053796189</v>
      </c>
      <c r="AE861" s="2">
        <f t="shared" si="245"/>
        <v>80.188494620381107</v>
      </c>
      <c r="AF861" s="10">
        <v>1</v>
      </c>
      <c r="AG861" s="3">
        <f t="shared" si="246"/>
        <v>1565.3</v>
      </c>
      <c r="AH861" s="7">
        <v>2920</v>
      </c>
      <c r="AI861">
        <f t="shared" si="247"/>
        <v>360</v>
      </c>
      <c r="AJ861" t="e">
        <f>VLOOKUP(A861,'Borrower Details'!$A$1:$H$1493,8,FALSE)</f>
        <v>#N/A</v>
      </c>
      <c r="AK861" s="4" t="e">
        <f t="shared" si="248"/>
        <v>#N/A</v>
      </c>
      <c r="AL861" s="10">
        <v>7.625</v>
      </c>
      <c r="AM861" s="3">
        <f t="shared" si="249"/>
        <v>147284.00085000001</v>
      </c>
      <c r="AN861">
        <v>7.625</v>
      </c>
      <c r="AO861" s="7">
        <f t="shared" si="250"/>
        <v>1103.8352810847095</v>
      </c>
      <c r="AP861" s="2">
        <f t="shared" si="251"/>
        <v>69.864718915290496</v>
      </c>
    </row>
    <row r="862" spans="1:42" x14ac:dyDescent="0.15">
      <c r="A862" s="8">
        <v>410042618</v>
      </c>
      <c r="B862" t="s">
        <v>37</v>
      </c>
      <c r="C862" t="s">
        <v>19</v>
      </c>
      <c r="D862" s="1">
        <v>39202</v>
      </c>
      <c r="E862" s="2">
        <v>197500</v>
      </c>
      <c r="F862" s="2">
        <v>175500</v>
      </c>
      <c r="G862" t="s">
        <v>17</v>
      </c>
      <c r="H862" s="2">
        <v>1412.12</v>
      </c>
      <c r="I862" s="2">
        <v>174300.89</v>
      </c>
      <c r="J862">
        <v>0.09</v>
      </c>
      <c r="K862">
        <v>12</v>
      </c>
      <c r="L862">
        <v>348</v>
      </c>
      <c r="M862" t="str">
        <f t="shared" si="237"/>
        <v>30 Year Fixed</v>
      </c>
      <c r="N862" s="2">
        <v>1307.26</v>
      </c>
      <c r="O862" t="str">
        <f t="shared" si="234"/>
        <v>Refi</v>
      </c>
      <c r="P862" s="3">
        <f t="shared" si="238"/>
        <v>0</v>
      </c>
      <c r="Q862" s="4">
        <v>176915</v>
      </c>
      <c r="R862" s="4" t="s">
        <v>41</v>
      </c>
      <c r="S862" s="6">
        <v>605</v>
      </c>
      <c r="T862">
        <v>6.875</v>
      </c>
      <c r="U862" s="7">
        <f t="shared" si="235"/>
        <v>1235.9201940473731</v>
      </c>
      <c r="V862" s="2">
        <f t="shared" si="239"/>
        <v>176.19980595262678</v>
      </c>
      <c r="W862" s="9">
        <f t="shared" si="240"/>
        <v>0</v>
      </c>
      <c r="X862" s="3">
        <v>176916</v>
      </c>
      <c r="Y862" s="3">
        <f t="shared" si="241"/>
        <v>0.58783251230488531</v>
      </c>
      <c r="Z862" s="7">
        <f t="shared" si="242"/>
        <v>1235.9271800021763</v>
      </c>
      <c r="AA862" s="2">
        <f t="shared" si="236"/>
        <v>176.19281999782356</v>
      </c>
      <c r="AB862" s="8">
        <f t="shared" si="243"/>
        <v>0</v>
      </c>
      <c r="AC862" s="10">
        <v>6.875</v>
      </c>
      <c r="AD862" s="7">
        <f t="shared" si="244"/>
        <v>1235.9271800021763</v>
      </c>
      <c r="AE862" s="2">
        <f t="shared" si="245"/>
        <v>176.19281999782356</v>
      </c>
      <c r="AF862" s="10">
        <v>0</v>
      </c>
      <c r="AG862" s="3">
        <f t="shared" si="246"/>
        <v>0</v>
      </c>
      <c r="AH862" s="7">
        <v>1755</v>
      </c>
      <c r="AI862">
        <f t="shared" si="247"/>
        <v>360</v>
      </c>
      <c r="AJ862" t="e">
        <f>VLOOKUP(A862,'Borrower Details'!$A$1:$H$1493,8,FALSE)</f>
        <v>#N/A</v>
      </c>
      <c r="AK862" s="4" t="e">
        <f t="shared" si="248"/>
        <v>#N/A</v>
      </c>
      <c r="AL862" s="10">
        <v>6.875</v>
      </c>
      <c r="AM862" s="3">
        <f t="shared" si="249"/>
        <v>176915.40335000001</v>
      </c>
      <c r="AN862">
        <v>6.875</v>
      </c>
      <c r="AO862" s="7">
        <f t="shared" si="250"/>
        <v>1235.9230118322432</v>
      </c>
      <c r="AP862" s="2">
        <f t="shared" si="251"/>
        <v>176.19698816775667</v>
      </c>
    </row>
    <row r="863" spans="1:42" x14ac:dyDescent="0.15">
      <c r="A863" s="8">
        <v>410986830</v>
      </c>
      <c r="B863" t="s">
        <v>38</v>
      </c>
      <c r="C863" t="s">
        <v>16</v>
      </c>
      <c r="D863" s="1">
        <v>39384</v>
      </c>
      <c r="E863" s="2">
        <v>194000</v>
      </c>
      <c r="F863" s="2">
        <v>155200</v>
      </c>
      <c r="G863" t="s">
        <v>17</v>
      </c>
      <c r="H863" s="2">
        <v>1254.3699999999999</v>
      </c>
      <c r="I863" s="2">
        <v>154686.99</v>
      </c>
      <c r="J863">
        <v>9.0499999999999997E-2</v>
      </c>
      <c r="K863">
        <v>6</v>
      </c>
      <c r="L863">
        <v>354</v>
      </c>
      <c r="M863" t="str">
        <f t="shared" si="237"/>
        <v>30 Year Fixed</v>
      </c>
      <c r="N863" s="2">
        <v>1166.5999999999999</v>
      </c>
      <c r="O863" t="str">
        <f t="shared" si="234"/>
        <v>Cash Out</v>
      </c>
      <c r="P863" s="3">
        <f t="shared" si="238"/>
        <v>7776.0641871921543</v>
      </c>
      <c r="Q863" s="4">
        <v>164900</v>
      </c>
      <c r="R863" s="4" t="s">
        <v>41</v>
      </c>
      <c r="S863" s="6">
        <v>582</v>
      </c>
      <c r="T863">
        <v>7.375</v>
      </c>
      <c r="U863" s="7">
        <f t="shared" si="235"/>
        <v>1207.6316517213434</v>
      </c>
      <c r="V863" s="2">
        <f t="shared" si="239"/>
        <v>46.738348278656531</v>
      </c>
      <c r="W863" s="9">
        <f t="shared" si="240"/>
        <v>0</v>
      </c>
      <c r="X863" s="3">
        <v>164900</v>
      </c>
      <c r="Y863" s="3">
        <f t="shared" si="241"/>
        <v>7776.0641871921543</v>
      </c>
      <c r="Z863" s="7">
        <f t="shared" si="242"/>
        <v>1207.6316517213434</v>
      </c>
      <c r="AA863" s="2">
        <f t="shared" si="236"/>
        <v>46.738348278656531</v>
      </c>
      <c r="AB863" s="8">
        <f t="shared" si="243"/>
        <v>1</v>
      </c>
      <c r="AC863" s="10">
        <v>6.375</v>
      </c>
      <c r="AD863" s="7">
        <f t="shared" si="244"/>
        <v>1097.4697965025848</v>
      </c>
      <c r="AE863" s="2">
        <f t="shared" si="245"/>
        <v>156.90020349741508</v>
      </c>
      <c r="AF863" s="10">
        <v>2.625</v>
      </c>
      <c r="AG863" s="3">
        <f t="shared" si="246"/>
        <v>4328.625</v>
      </c>
      <c r="AH863" s="7">
        <v>0</v>
      </c>
      <c r="AI863">
        <f t="shared" si="247"/>
        <v>360</v>
      </c>
      <c r="AJ863" t="e">
        <f>VLOOKUP(A863,'Borrower Details'!$A$1:$H$1493,8,FALSE)</f>
        <v>#N/A</v>
      </c>
      <c r="AK863" s="4" t="e">
        <f t="shared" si="248"/>
        <v>#N/A</v>
      </c>
      <c r="AL863" s="10">
        <v>7.375</v>
      </c>
      <c r="AM863" s="3">
        <f t="shared" si="249"/>
        <v>157007.29484999998</v>
      </c>
      <c r="AN863">
        <v>7.375</v>
      </c>
      <c r="AO863" s="7">
        <f t="shared" si="250"/>
        <v>1149.8300716313247</v>
      </c>
      <c r="AP863" s="2">
        <f t="shared" si="251"/>
        <v>104.53992836867519</v>
      </c>
    </row>
    <row r="864" spans="1:42" x14ac:dyDescent="0.15">
      <c r="A864" s="8">
        <v>1168398</v>
      </c>
      <c r="B864" t="s">
        <v>35</v>
      </c>
      <c r="C864" t="s">
        <v>16</v>
      </c>
      <c r="D864" s="1">
        <v>39171</v>
      </c>
      <c r="E864" s="2">
        <v>132000</v>
      </c>
      <c r="F864" s="2">
        <v>117000</v>
      </c>
      <c r="G864" t="s">
        <v>15</v>
      </c>
      <c r="H864" s="2">
        <v>949.84</v>
      </c>
      <c r="I864" s="2">
        <v>116148.28</v>
      </c>
      <c r="J864">
        <v>9.0999999999999998E-2</v>
      </c>
      <c r="K864">
        <v>13</v>
      </c>
      <c r="L864">
        <v>347</v>
      </c>
      <c r="M864" t="str">
        <f t="shared" si="237"/>
        <v>30 Year Fixed</v>
      </c>
      <c r="N864" s="2">
        <v>880.79</v>
      </c>
      <c r="O864" t="str">
        <f t="shared" si="234"/>
        <v>Refi</v>
      </c>
      <c r="P864" s="3">
        <f t="shared" si="238"/>
        <v>0</v>
      </c>
      <c r="Q864" s="4">
        <v>117891</v>
      </c>
      <c r="R864" s="4" t="s">
        <v>41</v>
      </c>
      <c r="S864" s="6">
        <v>553</v>
      </c>
      <c r="T864">
        <v>7.625</v>
      </c>
      <c r="U864" s="7">
        <f t="shared" si="235"/>
        <v>883.54637551494443</v>
      </c>
      <c r="V864" s="2">
        <f t="shared" si="239"/>
        <v>66.293624485055602</v>
      </c>
      <c r="W864" s="9">
        <f t="shared" si="240"/>
        <v>0</v>
      </c>
      <c r="X864" s="3">
        <v>117891</v>
      </c>
      <c r="Y864" s="3">
        <f t="shared" si="241"/>
        <v>0.48847290642152075</v>
      </c>
      <c r="Z864" s="7">
        <f t="shared" si="242"/>
        <v>883.54637551494443</v>
      </c>
      <c r="AA864" s="2">
        <f t="shared" si="236"/>
        <v>66.293624485055602</v>
      </c>
      <c r="AB864" s="8">
        <f t="shared" si="243"/>
        <v>0</v>
      </c>
      <c r="AC864" s="10">
        <v>7.625</v>
      </c>
      <c r="AD864" s="7">
        <f t="shared" si="244"/>
        <v>883.54637551494443</v>
      </c>
      <c r="AE864" s="2">
        <f t="shared" si="245"/>
        <v>66.293624485055602</v>
      </c>
      <c r="AF864" s="10">
        <v>0</v>
      </c>
      <c r="AG864" s="3">
        <f t="shared" si="246"/>
        <v>0</v>
      </c>
      <c r="AH864" s="7">
        <v>5323.5</v>
      </c>
      <c r="AI864">
        <f t="shared" si="247"/>
        <v>360</v>
      </c>
      <c r="AJ864" t="e">
        <f>VLOOKUP(A864,'Borrower Details'!$A$1:$H$1493,8,FALSE)</f>
        <v>#N/A</v>
      </c>
      <c r="AK864" s="4" t="e">
        <f t="shared" si="248"/>
        <v>#N/A</v>
      </c>
      <c r="AL864" s="10">
        <v>7.625</v>
      </c>
      <c r="AM864" s="3">
        <f t="shared" si="249"/>
        <v>117890.50419999998</v>
      </c>
      <c r="AN864">
        <v>7.625</v>
      </c>
      <c r="AO864" s="7">
        <f t="shared" si="250"/>
        <v>883.54265969021651</v>
      </c>
      <c r="AP864" s="2">
        <f t="shared" si="251"/>
        <v>66.297340309783522</v>
      </c>
    </row>
    <row r="865" spans="1:42" x14ac:dyDescent="0.15">
      <c r="A865" s="8">
        <v>410893150</v>
      </c>
      <c r="B865" t="s">
        <v>35</v>
      </c>
      <c r="C865" t="s">
        <v>16</v>
      </c>
      <c r="D865" s="1">
        <v>39374</v>
      </c>
      <c r="E865" s="2">
        <v>70000</v>
      </c>
      <c r="F865" s="2">
        <v>59500</v>
      </c>
      <c r="G865" t="s">
        <v>17</v>
      </c>
      <c r="H865" s="2">
        <v>553.19000000000005</v>
      </c>
      <c r="I865" s="2">
        <v>59337.01</v>
      </c>
      <c r="J865">
        <v>0.107</v>
      </c>
      <c r="K865">
        <v>6</v>
      </c>
      <c r="L865">
        <v>353</v>
      </c>
      <c r="M865" t="str">
        <f t="shared" si="237"/>
        <v>30 Year Fixed</v>
      </c>
      <c r="N865" s="2">
        <v>529.09</v>
      </c>
      <c r="O865" t="str">
        <f t="shared" si="234"/>
        <v>Refi</v>
      </c>
      <c r="P865" s="3">
        <f t="shared" si="238"/>
        <v>0</v>
      </c>
      <c r="Q865" s="4">
        <v>60227</v>
      </c>
      <c r="R865" s="4" t="s">
        <v>41</v>
      </c>
      <c r="S865" s="6">
        <v>581</v>
      </c>
      <c r="T865">
        <v>7.625</v>
      </c>
      <c r="U865" s="7">
        <f t="shared" si="235"/>
        <v>451.37752295034016</v>
      </c>
      <c r="V865" s="2">
        <f t="shared" si="239"/>
        <v>101.81247704965989</v>
      </c>
      <c r="W865" s="9">
        <f t="shared" si="240"/>
        <v>0</v>
      </c>
      <c r="X865" s="3">
        <v>60227</v>
      </c>
      <c r="Y865" s="3">
        <f t="shared" si="241"/>
        <v>-6.4187192117969971E-2</v>
      </c>
      <c r="Z865" s="7">
        <f t="shared" si="242"/>
        <v>451.37752295034016</v>
      </c>
      <c r="AA865" s="2">
        <f t="shared" si="236"/>
        <v>101.81247704965989</v>
      </c>
      <c r="AB865" s="8">
        <f t="shared" si="243"/>
        <v>0</v>
      </c>
      <c r="AC865" s="10">
        <v>7.625</v>
      </c>
      <c r="AD865" s="7">
        <f t="shared" si="244"/>
        <v>451.37752295034016</v>
      </c>
      <c r="AE865" s="2">
        <f t="shared" si="245"/>
        <v>101.81247704965989</v>
      </c>
      <c r="AF865" s="10">
        <v>0</v>
      </c>
      <c r="AG865" s="3">
        <f t="shared" si="246"/>
        <v>0</v>
      </c>
      <c r="AH865" s="7">
        <v>3183.25</v>
      </c>
      <c r="AI865">
        <f t="shared" si="247"/>
        <v>360</v>
      </c>
      <c r="AJ865" t="e">
        <f>VLOOKUP(A865,'Borrower Details'!$A$1:$H$1493,8,FALSE)</f>
        <v>#N/A</v>
      </c>
      <c r="AK865" s="4" t="e">
        <f t="shared" si="248"/>
        <v>#N/A</v>
      </c>
      <c r="AL865" s="10">
        <v>7.625</v>
      </c>
      <c r="AM865" s="3">
        <f t="shared" si="249"/>
        <v>60227.065149999995</v>
      </c>
      <c r="AN865">
        <v>7.625</v>
      </c>
      <c r="AO865" s="7">
        <f t="shared" si="250"/>
        <v>451.37801122379921</v>
      </c>
      <c r="AP865" s="2">
        <f t="shared" si="251"/>
        <v>101.81198877620085</v>
      </c>
    </row>
    <row r="866" spans="1:42" x14ac:dyDescent="0.15">
      <c r="A866" s="8">
        <v>411138118</v>
      </c>
      <c r="B866" t="s">
        <v>35</v>
      </c>
      <c r="C866" t="s">
        <v>16</v>
      </c>
      <c r="D866" s="1">
        <v>39426</v>
      </c>
      <c r="E866" s="2">
        <v>185000</v>
      </c>
      <c r="F866" s="2">
        <v>138750</v>
      </c>
      <c r="G866" t="s">
        <v>17</v>
      </c>
      <c r="H866" s="2">
        <v>1238.19</v>
      </c>
      <c r="I866" s="2">
        <v>138545.51</v>
      </c>
      <c r="J866">
        <v>0.10199999999999999</v>
      </c>
      <c r="K866">
        <v>4</v>
      </c>
      <c r="L866">
        <v>357</v>
      </c>
      <c r="M866" t="str">
        <f t="shared" si="237"/>
        <v>30 Year Fixed</v>
      </c>
      <c r="N866" s="2">
        <v>1177.6400000000001</v>
      </c>
      <c r="O866" t="str">
        <f t="shared" si="234"/>
        <v>Cash Out</v>
      </c>
      <c r="P866" s="3">
        <f t="shared" si="238"/>
        <v>16380.598374384252</v>
      </c>
      <c r="Q866" s="4">
        <v>157250</v>
      </c>
      <c r="R866" s="4" t="s">
        <v>41</v>
      </c>
      <c r="S866" s="6">
        <v>543</v>
      </c>
      <c r="T866">
        <v>7.625</v>
      </c>
      <c r="U866" s="7">
        <f t="shared" si="235"/>
        <v>1178.5264994759989</v>
      </c>
      <c r="V866" s="2">
        <f t="shared" si="239"/>
        <v>59.663500524001165</v>
      </c>
      <c r="W866" s="9">
        <f t="shared" si="240"/>
        <v>0</v>
      </c>
      <c r="X866" s="3">
        <v>157250</v>
      </c>
      <c r="Y866" s="3">
        <f t="shared" si="241"/>
        <v>16380.598374384252</v>
      </c>
      <c r="Z866" s="7">
        <f t="shared" si="242"/>
        <v>1178.5264994759989</v>
      </c>
      <c r="AA866" s="2">
        <f t="shared" si="236"/>
        <v>59.663500524001165</v>
      </c>
      <c r="AB866" s="8">
        <f t="shared" si="243"/>
        <v>0</v>
      </c>
      <c r="AC866" s="10">
        <v>7.625</v>
      </c>
      <c r="AD866" s="7">
        <f t="shared" si="244"/>
        <v>1178.5264994759989</v>
      </c>
      <c r="AE866" s="2">
        <f t="shared" si="245"/>
        <v>59.663500524001165</v>
      </c>
      <c r="AF866" s="10">
        <v>0</v>
      </c>
      <c r="AG866" s="3">
        <f t="shared" si="246"/>
        <v>0</v>
      </c>
      <c r="AH866" s="7">
        <v>7076.25</v>
      </c>
      <c r="AI866">
        <f t="shared" si="247"/>
        <v>360</v>
      </c>
      <c r="AJ866" t="e">
        <f>VLOOKUP(A866,'Borrower Details'!$A$1:$H$1493,8,FALSE)</f>
        <v>#N/A</v>
      </c>
      <c r="AK866" s="4" t="e">
        <f t="shared" si="248"/>
        <v>#N/A</v>
      </c>
      <c r="AL866" s="10">
        <v>7.625</v>
      </c>
      <c r="AM866" s="3">
        <f t="shared" si="249"/>
        <v>140623.69264999998</v>
      </c>
      <c r="AN866">
        <v>7.625</v>
      </c>
      <c r="AO866" s="7">
        <f t="shared" si="250"/>
        <v>1053.9189077404976</v>
      </c>
      <c r="AP866" s="2">
        <f t="shared" si="251"/>
        <v>184.27109225950244</v>
      </c>
    </row>
    <row r="867" spans="1:42" x14ac:dyDescent="0.15">
      <c r="A867" s="8">
        <v>411286172</v>
      </c>
      <c r="B867" t="s">
        <v>35</v>
      </c>
      <c r="C867" t="s">
        <v>16</v>
      </c>
      <c r="D867" s="1">
        <v>39486</v>
      </c>
      <c r="E867" s="2">
        <v>115000</v>
      </c>
      <c r="F867" s="2">
        <v>86250</v>
      </c>
      <c r="G867" t="s">
        <v>17</v>
      </c>
      <c r="H867" s="2">
        <v>874.81</v>
      </c>
      <c r="I867" s="2">
        <v>85767.64</v>
      </c>
      <c r="J867">
        <v>0.09</v>
      </c>
      <c r="K867">
        <v>2</v>
      </c>
      <c r="L867">
        <v>178</v>
      </c>
      <c r="M867" t="str">
        <f t="shared" si="237"/>
        <v>30 Year Fixed</v>
      </c>
      <c r="N867" s="2">
        <v>643.26</v>
      </c>
      <c r="O867" t="str">
        <f t="shared" si="234"/>
        <v>Cash Out</v>
      </c>
      <c r="P867" s="3">
        <f t="shared" si="238"/>
        <v>10537.778719211827</v>
      </c>
      <c r="Q867" s="4">
        <v>97750</v>
      </c>
      <c r="R867" s="4" t="s">
        <v>41</v>
      </c>
      <c r="S867" s="6">
        <v>613</v>
      </c>
      <c r="T867">
        <v>7</v>
      </c>
      <c r="U867" s="7">
        <f t="shared" si="235"/>
        <v>691.06235570431761</v>
      </c>
      <c r="V867" s="2">
        <f t="shared" si="239"/>
        <v>183.74764429568233</v>
      </c>
      <c r="W867" s="9">
        <f t="shared" si="240"/>
        <v>0</v>
      </c>
      <c r="X867" s="3">
        <v>97750</v>
      </c>
      <c r="Y867" s="3">
        <f t="shared" si="241"/>
        <v>10537.778719211827</v>
      </c>
      <c r="Z867" s="7">
        <f t="shared" si="242"/>
        <v>691.06235570431761</v>
      </c>
      <c r="AA867" s="2">
        <f t="shared" si="236"/>
        <v>183.74764429568233</v>
      </c>
      <c r="AB867" s="8">
        <f t="shared" si="243"/>
        <v>0</v>
      </c>
      <c r="AC867" s="10">
        <v>7</v>
      </c>
      <c r="AD867" s="7">
        <f t="shared" si="244"/>
        <v>691.06235570431761</v>
      </c>
      <c r="AE867" s="2">
        <f t="shared" si="245"/>
        <v>183.74764429568233</v>
      </c>
      <c r="AF867" s="10">
        <v>0</v>
      </c>
      <c r="AG867" s="3">
        <f t="shared" si="246"/>
        <v>0</v>
      </c>
      <c r="AH867" s="7">
        <v>3881.25</v>
      </c>
      <c r="AI867">
        <f t="shared" si="247"/>
        <v>360</v>
      </c>
      <c r="AJ867" t="e">
        <f>VLOOKUP(A867,'Borrower Details'!$A$1:$H$1493,8,FALSE)</f>
        <v>#N/A</v>
      </c>
      <c r="AK867" s="4" t="e">
        <f t="shared" si="248"/>
        <v>#N/A</v>
      </c>
      <c r="AL867" s="10">
        <v>7</v>
      </c>
      <c r="AM867" s="3">
        <f t="shared" si="249"/>
        <v>87054.154599999994</v>
      </c>
      <c r="AN867">
        <v>7</v>
      </c>
      <c r="AO867" s="7">
        <f t="shared" si="250"/>
        <v>615.4460271276098</v>
      </c>
      <c r="AP867" s="2">
        <f t="shared" si="251"/>
        <v>259.36397287239015</v>
      </c>
    </row>
    <row r="868" spans="1:42" x14ac:dyDescent="0.15">
      <c r="A868" s="8">
        <v>410308332</v>
      </c>
      <c r="B868" t="s">
        <v>35</v>
      </c>
      <c r="C868" t="s">
        <v>16</v>
      </c>
      <c r="D868" s="1">
        <v>39232</v>
      </c>
      <c r="E868" s="2">
        <v>273000</v>
      </c>
      <c r="F868" s="2">
        <v>245700</v>
      </c>
      <c r="G868" t="s">
        <v>15</v>
      </c>
      <c r="H868" s="2">
        <v>1990.33</v>
      </c>
      <c r="I868" s="2">
        <v>245117.34</v>
      </c>
      <c r="J868">
        <v>9.5000000000000001E-2</v>
      </c>
      <c r="K868">
        <v>11</v>
      </c>
      <c r="L868">
        <v>349</v>
      </c>
      <c r="M868" t="str">
        <f t="shared" si="237"/>
        <v>30 Year Fixed</v>
      </c>
      <c r="N868" s="2">
        <v>1940.51</v>
      </c>
      <c r="O868" t="str">
        <f t="shared" si="234"/>
        <v>Refi</v>
      </c>
      <c r="P868" s="3">
        <f t="shared" si="238"/>
        <v>0</v>
      </c>
      <c r="Q868" s="4">
        <v>248794</v>
      </c>
      <c r="R868" s="4" t="s">
        <v>41</v>
      </c>
      <c r="S868" s="6">
        <v>557</v>
      </c>
      <c r="T868">
        <v>7.625</v>
      </c>
      <c r="U868" s="7">
        <f t="shared" si="235"/>
        <v>1864.6125399722207</v>
      </c>
      <c r="V868" s="2">
        <f t="shared" si="239"/>
        <v>125.71746002777923</v>
      </c>
      <c r="W868" s="9">
        <f t="shared" si="240"/>
        <v>0</v>
      </c>
      <c r="X868" s="3">
        <v>248794</v>
      </c>
      <c r="Y868" s="3">
        <f t="shared" si="241"/>
        <v>-9.8620689619565383E-2</v>
      </c>
      <c r="Z868" s="7">
        <f t="shared" si="242"/>
        <v>1864.6125399722207</v>
      </c>
      <c r="AA868" s="2">
        <f t="shared" si="236"/>
        <v>125.71746002777923</v>
      </c>
      <c r="AB868" s="8">
        <f t="shared" si="243"/>
        <v>1</v>
      </c>
      <c r="AC868" s="10">
        <v>6.875</v>
      </c>
      <c r="AD868" s="7">
        <f t="shared" si="244"/>
        <v>1738.0636393625307</v>
      </c>
      <c r="AE868" s="2">
        <f t="shared" si="245"/>
        <v>252.26636063746923</v>
      </c>
      <c r="AF868" s="10">
        <v>1</v>
      </c>
      <c r="AG868" s="3">
        <f t="shared" si="246"/>
        <v>2487.94</v>
      </c>
      <c r="AH868" s="7">
        <v>11670.75</v>
      </c>
      <c r="AI868">
        <f t="shared" si="247"/>
        <v>360</v>
      </c>
      <c r="AJ868" t="e">
        <f>VLOOKUP(A868,'Borrower Details'!$A$1:$H$1493,8,FALSE)</f>
        <v>#N/A</v>
      </c>
      <c r="AK868" s="4" t="e">
        <f t="shared" si="248"/>
        <v>#N/A</v>
      </c>
      <c r="AL868" s="10">
        <v>7.625</v>
      </c>
      <c r="AM868" s="3">
        <f t="shared" si="249"/>
        <v>248794.10009999998</v>
      </c>
      <c r="AN868">
        <v>7.625</v>
      </c>
      <c r="AO868" s="7">
        <f t="shared" si="250"/>
        <v>1864.613290182094</v>
      </c>
      <c r="AP868" s="2">
        <f t="shared" si="251"/>
        <v>125.71670981790589</v>
      </c>
    </row>
    <row r="869" spans="1:42" x14ac:dyDescent="0.15">
      <c r="A869" s="8">
        <v>411235526</v>
      </c>
      <c r="B869" t="s">
        <v>36</v>
      </c>
      <c r="C869" t="s">
        <v>16</v>
      </c>
      <c r="D869" s="1">
        <v>39497</v>
      </c>
      <c r="E869" s="2">
        <v>219000</v>
      </c>
      <c r="F869" s="2">
        <v>197100</v>
      </c>
      <c r="G869" t="s">
        <v>17</v>
      </c>
      <c r="H869" s="2">
        <v>1657.33</v>
      </c>
      <c r="I869" s="2">
        <v>196897.93</v>
      </c>
      <c r="J869">
        <v>9.5000000000000001E-2</v>
      </c>
      <c r="K869">
        <v>2</v>
      </c>
      <c r="L869">
        <v>358</v>
      </c>
      <c r="M869" t="str">
        <f t="shared" si="237"/>
        <v>30 Year Fixed</v>
      </c>
      <c r="N869" s="2">
        <v>1558.78</v>
      </c>
      <c r="O869" t="str">
        <f t="shared" si="234"/>
        <v>Refi</v>
      </c>
      <c r="P869" s="3">
        <f t="shared" si="238"/>
        <v>0</v>
      </c>
      <c r="Q869" s="4">
        <v>199851</v>
      </c>
      <c r="R869" s="4" t="s">
        <v>41</v>
      </c>
      <c r="S869" s="6">
        <v>611</v>
      </c>
      <c r="T869">
        <v>6.875</v>
      </c>
      <c r="U869" s="7">
        <f t="shared" si="235"/>
        <v>1396.1500534186562</v>
      </c>
      <c r="V869" s="2">
        <f t="shared" si="239"/>
        <v>261.17994658134376</v>
      </c>
      <c r="W869" s="9">
        <f t="shared" si="240"/>
        <v>0</v>
      </c>
      <c r="X869" s="3">
        <v>199851</v>
      </c>
      <c r="Y869" s="3">
        <f t="shared" si="241"/>
        <v>-0.39305418715230189</v>
      </c>
      <c r="Z869" s="7">
        <f t="shared" si="242"/>
        <v>1396.1500534186562</v>
      </c>
      <c r="AA869" s="2">
        <f t="shared" si="236"/>
        <v>261.17994658134376</v>
      </c>
      <c r="AB869" s="8">
        <f t="shared" si="243"/>
        <v>0</v>
      </c>
      <c r="AC869" s="10">
        <v>6.875</v>
      </c>
      <c r="AD869" s="7">
        <f t="shared" si="244"/>
        <v>1396.1500534186562</v>
      </c>
      <c r="AE869" s="2">
        <f t="shared" si="245"/>
        <v>261.17994658134376</v>
      </c>
      <c r="AF869" s="10">
        <v>0</v>
      </c>
      <c r="AG869" s="3">
        <f t="shared" si="246"/>
        <v>0</v>
      </c>
      <c r="AH869" s="7">
        <v>3942</v>
      </c>
      <c r="AI869">
        <f t="shared" si="247"/>
        <v>360</v>
      </c>
      <c r="AJ869" t="e">
        <f>VLOOKUP(A869,'Borrower Details'!$A$1:$H$1493,8,FALSE)</f>
        <v>#N/A</v>
      </c>
      <c r="AK869" s="4" t="e">
        <f t="shared" si="248"/>
        <v>#N/A</v>
      </c>
      <c r="AL869" s="10">
        <v>6.875</v>
      </c>
      <c r="AM869" s="3">
        <f t="shared" si="249"/>
        <v>199851.39894999997</v>
      </c>
      <c r="AN869">
        <v>6.875</v>
      </c>
      <c r="AO869" s="7">
        <f t="shared" si="250"/>
        <v>1396.1528404653247</v>
      </c>
      <c r="AP869" s="2">
        <f t="shared" si="251"/>
        <v>261.17715953467518</v>
      </c>
    </row>
    <row r="870" spans="1:42" x14ac:dyDescent="0.15">
      <c r="A870" s="8">
        <v>411306228</v>
      </c>
      <c r="B870" t="s">
        <v>37</v>
      </c>
      <c r="C870" t="s">
        <v>16</v>
      </c>
      <c r="D870" s="1">
        <v>39497</v>
      </c>
      <c r="E870" s="2">
        <v>164000</v>
      </c>
      <c r="F870" s="2">
        <v>137700</v>
      </c>
      <c r="G870" t="s">
        <v>17</v>
      </c>
      <c r="H870" s="2">
        <v>1172.96</v>
      </c>
      <c r="I870" s="2">
        <v>137490.37</v>
      </c>
      <c r="J870">
        <v>9.6500000000000002E-2</v>
      </c>
      <c r="K870">
        <v>2</v>
      </c>
      <c r="L870">
        <v>357</v>
      </c>
      <c r="M870" t="str">
        <f t="shared" si="237"/>
        <v>30 Year Fixed</v>
      </c>
      <c r="N870" s="2">
        <v>1106.24</v>
      </c>
      <c r="O870" t="str">
        <f t="shared" si="234"/>
        <v>Refi</v>
      </c>
      <c r="P870" s="3">
        <f t="shared" si="238"/>
        <v>0</v>
      </c>
      <c r="Q870" s="4">
        <v>139553</v>
      </c>
      <c r="R870" s="4" t="s">
        <v>41</v>
      </c>
      <c r="S870" s="6">
        <v>635</v>
      </c>
      <c r="T870">
        <v>6.75</v>
      </c>
      <c r="U870" s="7">
        <f t="shared" si="235"/>
        <v>963.28518503717271</v>
      </c>
      <c r="V870" s="2">
        <f t="shared" si="239"/>
        <v>209.67481496282733</v>
      </c>
      <c r="W870" s="9">
        <f t="shared" si="240"/>
        <v>0</v>
      </c>
      <c r="X870" s="3">
        <v>139553</v>
      </c>
      <c r="Y870" s="3">
        <f t="shared" si="241"/>
        <v>0.2703940887004137</v>
      </c>
      <c r="Z870" s="7">
        <f t="shared" si="242"/>
        <v>963.28518503717271</v>
      </c>
      <c r="AA870" s="2">
        <f t="shared" si="236"/>
        <v>209.67481496282733</v>
      </c>
      <c r="AB870" s="8">
        <f t="shared" si="243"/>
        <v>0</v>
      </c>
      <c r="AC870" s="10">
        <v>6.75</v>
      </c>
      <c r="AD870" s="7">
        <f t="shared" si="244"/>
        <v>963.28518503717271</v>
      </c>
      <c r="AE870" s="2">
        <f t="shared" si="245"/>
        <v>209.67481496282733</v>
      </c>
      <c r="AF870" s="10">
        <v>0</v>
      </c>
      <c r="AG870" s="3">
        <f t="shared" si="246"/>
        <v>0</v>
      </c>
      <c r="AH870" s="7">
        <v>0</v>
      </c>
      <c r="AI870">
        <f t="shared" si="247"/>
        <v>360</v>
      </c>
      <c r="AJ870" t="e">
        <f>VLOOKUP(A870,'Borrower Details'!$A$1:$H$1493,8,FALSE)</f>
        <v>#N/A</v>
      </c>
      <c r="AK870" s="4" t="e">
        <f t="shared" si="248"/>
        <v>#N/A</v>
      </c>
      <c r="AL870" s="10">
        <v>6.75</v>
      </c>
      <c r="AM870" s="3">
        <f t="shared" si="249"/>
        <v>139552.72554999997</v>
      </c>
      <c r="AN870">
        <v>6.75</v>
      </c>
      <c r="AO870" s="7">
        <f t="shared" si="250"/>
        <v>963.28329060552994</v>
      </c>
      <c r="AP870" s="2">
        <f t="shared" si="251"/>
        <v>209.67670939447009</v>
      </c>
    </row>
    <row r="871" spans="1:42" x14ac:dyDescent="0.15">
      <c r="A871" s="8">
        <v>411304884</v>
      </c>
      <c r="B871" t="s">
        <v>35</v>
      </c>
      <c r="C871" t="s">
        <v>16</v>
      </c>
      <c r="D871" s="1">
        <v>39493</v>
      </c>
      <c r="E871" s="2">
        <v>135000</v>
      </c>
      <c r="F871" s="2">
        <v>119700</v>
      </c>
      <c r="G871" t="s">
        <v>17</v>
      </c>
      <c r="H871" s="2">
        <v>1032.81</v>
      </c>
      <c r="I871" s="2">
        <v>119532.86</v>
      </c>
      <c r="J871">
        <v>9.8000000000000004E-2</v>
      </c>
      <c r="K871">
        <v>2</v>
      </c>
      <c r="L871">
        <v>357</v>
      </c>
      <c r="M871" t="str">
        <f t="shared" si="237"/>
        <v>30 Year Fixed</v>
      </c>
      <c r="N871" s="2">
        <v>976.64</v>
      </c>
      <c r="O871" t="str">
        <f t="shared" si="234"/>
        <v>Refi</v>
      </c>
      <c r="P871" s="3">
        <f t="shared" si="238"/>
        <v>0</v>
      </c>
      <c r="Q871" s="4">
        <v>121326</v>
      </c>
      <c r="R871" s="4" t="s">
        <v>41</v>
      </c>
      <c r="S871" s="6">
        <v>630</v>
      </c>
      <c r="T871">
        <v>6.75</v>
      </c>
      <c r="U871" s="7">
        <f t="shared" si="235"/>
        <v>837.47062664235114</v>
      </c>
      <c r="V871" s="2">
        <f t="shared" si="239"/>
        <v>195.33937335764881</v>
      </c>
      <c r="W871" s="9">
        <f t="shared" si="240"/>
        <v>0</v>
      </c>
      <c r="X871" s="3">
        <v>121326</v>
      </c>
      <c r="Y871" s="3">
        <f t="shared" si="241"/>
        <v>0.14492610839079134</v>
      </c>
      <c r="Z871" s="7">
        <f t="shared" si="242"/>
        <v>837.47062664235114</v>
      </c>
      <c r="AA871" s="2">
        <f t="shared" si="236"/>
        <v>195.33937335764881</v>
      </c>
      <c r="AB871" s="8">
        <f t="shared" si="243"/>
        <v>0</v>
      </c>
      <c r="AC871" s="10">
        <v>6.75</v>
      </c>
      <c r="AD871" s="7">
        <f t="shared" si="244"/>
        <v>837.47062664235114</v>
      </c>
      <c r="AE871" s="2">
        <f t="shared" si="245"/>
        <v>195.33937335764881</v>
      </c>
      <c r="AF871" s="10">
        <v>0</v>
      </c>
      <c r="AG871" s="3">
        <f t="shared" si="246"/>
        <v>0</v>
      </c>
      <c r="AH871" s="7">
        <v>5865.3</v>
      </c>
      <c r="AI871">
        <f t="shared" si="247"/>
        <v>360</v>
      </c>
      <c r="AJ871" t="e">
        <f>VLOOKUP(A871,'Borrower Details'!$A$1:$H$1493,8,FALSE)</f>
        <v>#N/A</v>
      </c>
      <c r="AK871" s="4" t="e">
        <f t="shared" si="248"/>
        <v>#N/A</v>
      </c>
      <c r="AL871" s="10">
        <v>6.75</v>
      </c>
      <c r="AM871" s="3">
        <f t="shared" si="249"/>
        <v>121325.85289999998</v>
      </c>
      <c r="AN871">
        <v>6.75</v>
      </c>
      <c r="AO871" s="7">
        <f t="shared" si="250"/>
        <v>837.4696112628842</v>
      </c>
      <c r="AP871" s="2">
        <f t="shared" si="251"/>
        <v>195.34038873711575</v>
      </c>
    </row>
    <row r="872" spans="1:42" x14ac:dyDescent="0.15">
      <c r="A872" s="8">
        <v>411253198</v>
      </c>
      <c r="B872" t="s">
        <v>36</v>
      </c>
      <c r="C872" t="s">
        <v>16</v>
      </c>
      <c r="D872" s="1">
        <v>39490</v>
      </c>
      <c r="E872" s="2">
        <v>425000</v>
      </c>
      <c r="F872" s="2">
        <v>318750</v>
      </c>
      <c r="G872" t="s">
        <v>20</v>
      </c>
      <c r="H872" s="2">
        <v>2794.91</v>
      </c>
      <c r="I872" s="2">
        <v>318322.51</v>
      </c>
      <c r="J872">
        <v>9.9900000000000003E-2</v>
      </c>
      <c r="K872">
        <v>2</v>
      </c>
      <c r="L872">
        <v>357</v>
      </c>
      <c r="M872" t="str">
        <f t="shared" si="237"/>
        <v>30 Year Fixed</v>
      </c>
      <c r="N872" s="2">
        <v>2650.03</v>
      </c>
      <c r="O872" t="str">
        <f t="shared" si="234"/>
        <v>Cash Out</v>
      </c>
      <c r="P872" s="3">
        <f t="shared" si="238"/>
        <v>37588.820049261092</v>
      </c>
      <c r="Q872" s="4">
        <v>361250</v>
      </c>
      <c r="R872" s="4" t="s">
        <v>41</v>
      </c>
      <c r="S872" s="6">
        <v>577</v>
      </c>
      <c r="T872">
        <v>7.625</v>
      </c>
      <c r="U872" s="7">
        <f t="shared" si="235"/>
        <v>2707.4257420394574</v>
      </c>
      <c r="V872" s="2">
        <f t="shared" si="239"/>
        <v>87.484257960542436</v>
      </c>
      <c r="W872" s="9">
        <f t="shared" si="240"/>
        <v>0</v>
      </c>
      <c r="X872" s="3">
        <v>361250</v>
      </c>
      <c r="Y872" s="3">
        <f t="shared" si="241"/>
        <v>37588.820049261092</v>
      </c>
      <c r="Z872" s="7">
        <f t="shared" si="242"/>
        <v>2707.4257420394574</v>
      </c>
      <c r="AA872" s="2">
        <f t="shared" si="236"/>
        <v>87.484257960542436</v>
      </c>
      <c r="AB872" s="8">
        <f t="shared" si="243"/>
        <v>0</v>
      </c>
      <c r="AC872" s="10">
        <v>7.625</v>
      </c>
      <c r="AD872" s="7">
        <f t="shared" si="244"/>
        <v>2707.4257420394574</v>
      </c>
      <c r="AE872" s="2">
        <f t="shared" si="245"/>
        <v>87.484257960542436</v>
      </c>
      <c r="AF872" s="10">
        <v>0</v>
      </c>
      <c r="AG872" s="3">
        <f t="shared" si="246"/>
        <v>0</v>
      </c>
      <c r="AH872" s="7">
        <v>3187.5</v>
      </c>
      <c r="AI872">
        <f t="shared" si="247"/>
        <v>360</v>
      </c>
      <c r="AJ872" t="e">
        <f>VLOOKUP(A872,'Borrower Details'!$A$1:$H$1493,8,FALSE)</f>
        <v>#N/A</v>
      </c>
      <c r="AK872" s="4" t="e">
        <f t="shared" si="248"/>
        <v>#N/A</v>
      </c>
      <c r="AL872" s="10">
        <v>7.625</v>
      </c>
      <c r="AM872" s="3">
        <f t="shared" si="249"/>
        <v>323097.34764999995</v>
      </c>
      <c r="AN872">
        <v>7.625</v>
      </c>
      <c r="AO872" s="7">
        <f t="shared" si="250"/>
        <v>2421.4867161585653</v>
      </c>
      <c r="AP872" s="2">
        <f t="shared" si="251"/>
        <v>373.42328384143457</v>
      </c>
    </row>
    <row r="873" spans="1:42" x14ac:dyDescent="0.15">
      <c r="A873" s="8">
        <v>410028625</v>
      </c>
      <c r="B873" t="s">
        <v>36</v>
      </c>
      <c r="C873" t="s">
        <v>18</v>
      </c>
      <c r="D873" s="1">
        <v>39182</v>
      </c>
      <c r="E873" s="2">
        <v>171000</v>
      </c>
      <c r="F873" s="2">
        <v>161500</v>
      </c>
      <c r="G873" t="s">
        <v>15</v>
      </c>
      <c r="H873" s="2">
        <v>1116.0899999999999</v>
      </c>
      <c r="I873" s="2">
        <v>161260.35</v>
      </c>
      <c r="J873">
        <v>8.1500000000000003E-2</v>
      </c>
      <c r="K873">
        <v>12</v>
      </c>
      <c r="L873">
        <v>348</v>
      </c>
      <c r="M873" t="str">
        <f t="shared" si="237"/>
        <v>30 Year Fixed</v>
      </c>
      <c r="N873" s="2">
        <v>1095.23</v>
      </c>
      <c r="O873" t="str">
        <f t="shared" si="234"/>
        <v>Refi</v>
      </c>
      <c r="P873" s="3">
        <f t="shared" si="238"/>
        <v>0</v>
      </c>
      <c r="Q873" s="4">
        <v>163679</v>
      </c>
      <c r="R873" s="4" t="s">
        <v>41</v>
      </c>
      <c r="S873" s="6">
        <v>681</v>
      </c>
      <c r="T873">
        <v>6.75</v>
      </c>
      <c r="U873" s="7">
        <f t="shared" si="235"/>
        <v>1129.81846181522</v>
      </c>
      <c r="V873" s="2">
        <f t="shared" si="239"/>
        <v>-13.728461815220044</v>
      </c>
      <c r="W873" s="9">
        <f t="shared" si="240"/>
        <v>0</v>
      </c>
      <c r="X873" s="3">
        <v>163679</v>
      </c>
      <c r="Y873" s="3">
        <f t="shared" si="241"/>
        <v>-0.25147783249849454</v>
      </c>
      <c r="Z873" s="7">
        <f t="shared" si="242"/>
        <v>1129.81846181522</v>
      </c>
      <c r="AA873" s="2">
        <f t="shared" si="236"/>
        <v>-13.728461815220044</v>
      </c>
      <c r="AB873" s="8">
        <f t="shared" si="243"/>
        <v>1</v>
      </c>
      <c r="AC873" s="10">
        <v>6.125</v>
      </c>
      <c r="AD873" s="7">
        <f t="shared" si="244"/>
        <v>1062.7304384136103</v>
      </c>
      <c r="AE873" s="2">
        <f t="shared" si="245"/>
        <v>53.359561586389646</v>
      </c>
      <c r="AF873" s="10">
        <v>3</v>
      </c>
      <c r="AG873" s="3">
        <f t="shared" si="246"/>
        <v>4910.37</v>
      </c>
      <c r="AH873" s="7">
        <v>3230</v>
      </c>
      <c r="AI873">
        <f t="shared" si="247"/>
        <v>360</v>
      </c>
      <c r="AJ873" t="e">
        <f>VLOOKUP(A873,'Borrower Details'!$A$1:$H$1493,8,FALSE)</f>
        <v>#N/A</v>
      </c>
      <c r="AK873" s="4" t="e">
        <f t="shared" si="248"/>
        <v>#N/A</v>
      </c>
      <c r="AL873" s="10">
        <v>6.75</v>
      </c>
      <c r="AM873" s="3">
        <f t="shared" si="249"/>
        <v>163679.25524999999</v>
      </c>
      <c r="AN873">
        <v>6.75</v>
      </c>
      <c r="AO873" s="7">
        <f t="shared" si="250"/>
        <v>1129.8202237160281</v>
      </c>
      <c r="AP873" s="2">
        <f t="shared" si="251"/>
        <v>-13.730223716028149</v>
      </c>
    </row>
    <row r="874" spans="1:42" x14ac:dyDescent="0.15">
      <c r="A874" s="8">
        <v>1188352</v>
      </c>
      <c r="B874" t="s">
        <v>37</v>
      </c>
      <c r="C874" t="s">
        <v>19</v>
      </c>
      <c r="D874" s="1">
        <v>39189</v>
      </c>
      <c r="E874" s="2">
        <v>210000</v>
      </c>
      <c r="F874" s="2">
        <v>199500</v>
      </c>
      <c r="G874" t="s">
        <v>15</v>
      </c>
      <c r="H874" s="2">
        <v>1639.39</v>
      </c>
      <c r="I874" s="2">
        <v>199021.33</v>
      </c>
      <c r="J874">
        <v>9.6500000000000002E-2</v>
      </c>
      <c r="K874">
        <v>12</v>
      </c>
      <c r="L874">
        <v>347</v>
      </c>
      <c r="M874" t="str">
        <f t="shared" si="237"/>
        <v>30 Year Fixed</v>
      </c>
      <c r="N874" s="2">
        <v>1600.77</v>
      </c>
      <c r="O874" t="str">
        <f t="shared" si="234"/>
        <v>Refi</v>
      </c>
      <c r="P874" s="3">
        <f t="shared" si="238"/>
        <v>0</v>
      </c>
      <c r="Q874" s="4">
        <v>202007</v>
      </c>
      <c r="R874" s="4" t="s">
        <v>41</v>
      </c>
      <c r="S874" s="6">
        <v>621</v>
      </c>
      <c r="T874">
        <v>6.75</v>
      </c>
      <c r="U874" s="7">
        <f t="shared" si="235"/>
        <v>1394.383140267885</v>
      </c>
      <c r="V874" s="2">
        <f t="shared" si="239"/>
        <v>245.00685973211512</v>
      </c>
      <c r="W874" s="9">
        <f t="shared" si="240"/>
        <v>0</v>
      </c>
      <c r="X874" s="3">
        <v>202007</v>
      </c>
      <c r="Y874" s="3">
        <f t="shared" si="241"/>
        <v>0.34487684731720947</v>
      </c>
      <c r="Z874" s="7">
        <f t="shared" si="242"/>
        <v>1394.383140267885</v>
      </c>
      <c r="AA874" s="2">
        <f t="shared" si="236"/>
        <v>245.00685973211512</v>
      </c>
      <c r="AB874" s="8">
        <f t="shared" si="243"/>
        <v>0</v>
      </c>
      <c r="AC874" s="10">
        <v>6.75</v>
      </c>
      <c r="AD874" s="7">
        <f t="shared" si="244"/>
        <v>1394.383140267885</v>
      </c>
      <c r="AE874" s="2">
        <f t="shared" si="245"/>
        <v>245.00685973211512</v>
      </c>
      <c r="AF874" s="10">
        <v>0</v>
      </c>
      <c r="AG874" s="3">
        <f t="shared" si="246"/>
        <v>0</v>
      </c>
      <c r="AH874" s="7">
        <v>1995</v>
      </c>
      <c r="AI874">
        <f t="shared" si="247"/>
        <v>360</v>
      </c>
      <c r="AJ874" t="e">
        <f>VLOOKUP(A874,'Borrower Details'!$A$1:$H$1493,8,FALSE)</f>
        <v>#N/A</v>
      </c>
      <c r="AK874" s="4" t="e">
        <f t="shared" si="248"/>
        <v>#N/A</v>
      </c>
      <c r="AL874" s="10">
        <v>6.75</v>
      </c>
      <c r="AM874" s="3">
        <f t="shared" si="249"/>
        <v>202006.64994999996</v>
      </c>
      <c r="AN874">
        <v>6.75</v>
      </c>
      <c r="AO874" s="7">
        <f t="shared" si="250"/>
        <v>1394.3807239960811</v>
      </c>
      <c r="AP874" s="2">
        <f t="shared" si="251"/>
        <v>245.00927600391901</v>
      </c>
    </row>
    <row r="875" spans="1:42" x14ac:dyDescent="0.15">
      <c r="A875" s="8">
        <v>411261282</v>
      </c>
      <c r="B875" t="s">
        <v>38</v>
      </c>
      <c r="C875" t="s">
        <v>16</v>
      </c>
      <c r="D875" s="1">
        <v>39479</v>
      </c>
      <c r="E875" s="2">
        <v>120000</v>
      </c>
      <c r="F875" s="2">
        <v>102000</v>
      </c>
      <c r="G875" t="s">
        <v>20</v>
      </c>
      <c r="H875" s="2">
        <v>990.69</v>
      </c>
      <c r="I875" s="2">
        <v>101930.48</v>
      </c>
      <c r="J875">
        <v>0.1125</v>
      </c>
      <c r="K875">
        <v>3</v>
      </c>
      <c r="L875">
        <v>358</v>
      </c>
      <c r="M875" t="str">
        <f t="shared" si="237"/>
        <v>30 Year Fixed</v>
      </c>
      <c r="N875" s="2">
        <v>955.6</v>
      </c>
      <c r="O875" t="str">
        <f t="shared" si="234"/>
        <v>Refi</v>
      </c>
      <c r="P875" s="3">
        <f t="shared" si="238"/>
        <v>0</v>
      </c>
      <c r="Q875" s="4">
        <v>103459</v>
      </c>
      <c r="R875" s="4" t="s">
        <v>41</v>
      </c>
      <c r="S875" s="6">
        <v>551</v>
      </c>
      <c r="T875">
        <v>7.625</v>
      </c>
      <c r="U875" s="7">
        <f t="shared" si="235"/>
        <v>775.38424870770996</v>
      </c>
      <c r="V875" s="2">
        <f t="shared" si="239"/>
        <v>215.3057512922901</v>
      </c>
      <c r="W875" s="9">
        <f t="shared" si="240"/>
        <v>0</v>
      </c>
      <c r="X875" s="3">
        <v>103459</v>
      </c>
      <c r="Y875" s="3">
        <f t="shared" si="241"/>
        <v>-0.43073891624226235</v>
      </c>
      <c r="Z875" s="7">
        <f t="shared" si="242"/>
        <v>775.38424870770996</v>
      </c>
      <c r="AA875" s="2">
        <f t="shared" si="236"/>
        <v>215.3057512922901</v>
      </c>
      <c r="AB875" s="8">
        <f t="shared" si="243"/>
        <v>0</v>
      </c>
      <c r="AC875" s="10">
        <v>7.625</v>
      </c>
      <c r="AD875" s="7">
        <f t="shared" si="244"/>
        <v>775.38424870770996</v>
      </c>
      <c r="AE875" s="2">
        <f t="shared" si="245"/>
        <v>215.3057512922901</v>
      </c>
      <c r="AF875" s="10">
        <v>0</v>
      </c>
      <c r="AG875" s="3">
        <f t="shared" si="246"/>
        <v>0</v>
      </c>
      <c r="AH875" s="7">
        <v>0</v>
      </c>
      <c r="AI875">
        <f t="shared" si="247"/>
        <v>360</v>
      </c>
      <c r="AJ875" t="e">
        <f>VLOOKUP(A875,'Borrower Details'!$A$1:$H$1493,8,FALSE)</f>
        <v>#N/A</v>
      </c>
      <c r="AK875" s="4" t="e">
        <f t="shared" si="248"/>
        <v>#N/A</v>
      </c>
      <c r="AL875" s="10">
        <v>7.625</v>
      </c>
      <c r="AM875" s="3">
        <f t="shared" si="249"/>
        <v>103459.43719999999</v>
      </c>
      <c r="AN875">
        <v>7.625</v>
      </c>
      <c r="AO875" s="7">
        <f t="shared" si="250"/>
        <v>775.38752534863556</v>
      </c>
      <c r="AP875" s="2">
        <f t="shared" si="251"/>
        <v>215.30247465136449</v>
      </c>
    </row>
    <row r="876" spans="1:42" x14ac:dyDescent="0.15">
      <c r="A876" s="8">
        <v>1149002</v>
      </c>
      <c r="B876" t="s">
        <v>35</v>
      </c>
      <c r="C876" t="s">
        <v>16</v>
      </c>
      <c r="D876" s="1">
        <v>39140</v>
      </c>
      <c r="E876" s="2">
        <v>75000</v>
      </c>
      <c r="F876" s="2">
        <v>60000</v>
      </c>
      <c r="G876" t="s">
        <v>15</v>
      </c>
      <c r="H876" s="2">
        <v>517.70000000000005</v>
      </c>
      <c r="I876" s="2">
        <v>59559.89</v>
      </c>
      <c r="J876">
        <v>9.8000000000000004E-2</v>
      </c>
      <c r="K876">
        <v>14</v>
      </c>
      <c r="L876">
        <v>345</v>
      </c>
      <c r="M876" t="str">
        <f t="shared" si="237"/>
        <v>30 Year Fixed</v>
      </c>
      <c r="N876" s="2">
        <v>486.41</v>
      </c>
      <c r="O876" t="str">
        <f t="shared" si="234"/>
        <v>Cash Out</v>
      </c>
      <c r="P876" s="3">
        <f t="shared" si="238"/>
        <v>3247.9917733990223</v>
      </c>
      <c r="Q876" s="4">
        <v>63750</v>
      </c>
      <c r="R876" s="4" t="s">
        <v>41</v>
      </c>
      <c r="S876" s="6">
        <v>528</v>
      </c>
      <c r="T876">
        <v>7.625</v>
      </c>
      <c r="U876" s="7">
        <f t="shared" si="235"/>
        <v>477.78101330108069</v>
      </c>
      <c r="V876" s="2">
        <f t="shared" si="239"/>
        <v>39.918986698919355</v>
      </c>
      <c r="W876" s="9">
        <f t="shared" si="240"/>
        <v>0</v>
      </c>
      <c r="X876" s="3">
        <v>63750</v>
      </c>
      <c r="Y876" s="3">
        <f t="shared" si="241"/>
        <v>3247.9917733990223</v>
      </c>
      <c r="Z876" s="7">
        <f t="shared" si="242"/>
        <v>477.78101330108069</v>
      </c>
      <c r="AA876" s="2">
        <f t="shared" si="236"/>
        <v>39.918986698919355</v>
      </c>
      <c r="AB876" s="8">
        <f t="shared" si="243"/>
        <v>0</v>
      </c>
      <c r="AC876" s="10">
        <v>7.625</v>
      </c>
      <c r="AD876" s="7">
        <f t="shared" si="244"/>
        <v>477.78101330108069</v>
      </c>
      <c r="AE876" s="2">
        <f t="shared" si="245"/>
        <v>39.918986698919355</v>
      </c>
      <c r="AF876" s="10">
        <v>0</v>
      </c>
      <c r="AG876" s="3">
        <f t="shared" si="246"/>
        <v>0</v>
      </c>
      <c r="AH876" s="7">
        <v>2940</v>
      </c>
      <c r="AI876">
        <f t="shared" si="247"/>
        <v>360</v>
      </c>
      <c r="AJ876" t="e">
        <f>VLOOKUP(A876,'Borrower Details'!$A$1:$H$1493,8,FALSE)</f>
        <v>#N/A</v>
      </c>
      <c r="AK876" s="4" t="e">
        <f t="shared" si="248"/>
        <v>#N/A</v>
      </c>
      <c r="AL876" s="10">
        <v>7.625</v>
      </c>
      <c r="AM876" s="3">
        <f t="shared" si="249"/>
        <v>60453.288349999995</v>
      </c>
      <c r="AN876">
        <v>7.625</v>
      </c>
      <c r="AO876" s="7">
        <f t="shared" si="250"/>
        <v>453.07346455286927</v>
      </c>
      <c r="AP876" s="2">
        <f t="shared" si="251"/>
        <v>64.626535447130777</v>
      </c>
    </row>
    <row r="877" spans="1:42" x14ac:dyDescent="0.15">
      <c r="A877" s="8">
        <v>411019094</v>
      </c>
      <c r="B877" t="s">
        <v>38</v>
      </c>
      <c r="C877" t="s">
        <v>16</v>
      </c>
      <c r="D877" s="1">
        <v>39391</v>
      </c>
      <c r="E877" s="2">
        <v>128000</v>
      </c>
      <c r="F877" s="2">
        <v>100000</v>
      </c>
      <c r="G877" t="s">
        <v>21</v>
      </c>
      <c r="H877" s="2">
        <v>925.98</v>
      </c>
      <c r="I877" s="2">
        <v>99723.36</v>
      </c>
      <c r="J877">
        <v>0.1065</v>
      </c>
      <c r="K877">
        <v>6</v>
      </c>
      <c r="L877">
        <v>353</v>
      </c>
      <c r="M877" t="str">
        <f t="shared" si="237"/>
        <v>30 Year Fixed</v>
      </c>
      <c r="N877" s="2">
        <v>885.4</v>
      </c>
      <c r="O877" t="str">
        <f t="shared" si="234"/>
        <v>Cash Out</v>
      </c>
      <c r="P877" s="3">
        <f t="shared" si="238"/>
        <v>7468.7582266009995</v>
      </c>
      <c r="Q877" s="4">
        <v>108800</v>
      </c>
      <c r="R877" s="4" t="s">
        <v>41</v>
      </c>
      <c r="S877" s="6">
        <v>523</v>
      </c>
      <c r="T877">
        <v>7.625</v>
      </c>
      <c r="U877" s="7">
        <f t="shared" si="235"/>
        <v>815.41292936717775</v>
      </c>
      <c r="V877" s="2">
        <f t="shared" si="239"/>
        <v>110.56707063282226</v>
      </c>
      <c r="W877" s="9">
        <f t="shared" si="240"/>
        <v>0</v>
      </c>
      <c r="X877" s="3">
        <v>108800</v>
      </c>
      <c r="Y877" s="3">
        <f t="shared" si="241"/>
        <v>7468.7582266009995</v>
      </c>
      <c r="Z877" s="7">
        <f t="shared" si="242"/>
        <v>815.41292936717775</v>
      </c>
      <c r="AA877" s="2">
        <f t="shared" si="236"/>
        <v>110.56707063282226</v>
      </c>
      <c r="AB877" s="8">
        <f t="shared" si="243"/>
        <v>0</v>
      </c>
      <c r="AC877" s="10">
        <v>7.625</v>
      </c>
      <c r="AD877" s="7">
        <f t="shared" si="244"/>
        <v>815.41292936717775</v>
      </c>
      <c r="AE877" s="2">
        <f t="shared" si="245"/>
        <v>110.56707063282226</v>
      </c>
      <c r="AF877" s="10">
        <v>0</v>
      </c>
      <c r="AG877" s="3">
        <f t="shared" si="246"/>
        <v>0</v>
      </c>
      <c r="AH877" s="7">
        <v>0</v>
      </c>
      <c r="AI877">
        <f t="shared" si="247"/>
        <v>360</v>
      </c>
      <c r="AJ877" t="e">
        <f>VLOOKUP(A877,'Borrower Details'!$A$1:$H$1493,8,FALSE)</f>
        <v>#N/A</v>
      </c>
      <c r="AK877" s="4" t="e">
        <f t="shared" si="248"/>
        <v>#N/A</v>
      </c>
      <c r="AL877" s="10">
        <v>7.625</v>
      </c>
      <c r="AM877" s="3">
        <f t="shared" si="249"/>
        <v>101219.2104</v>
      </c>
      <c r="AN877">
        <v>7.625</v>
      </c>
      <c r="AO877" s="7">
        <f t="shared" si="250"/>
        <v>758.59791232074167</v>
      </c>
      <c r="AP877" s="2">
        <f t="shared" si="251"/>
        <v>167.38208767925835</v>
      </c>
    </row>
    <row r="878" spans="1:42" x14ac:dyDescent="0.15">
      <c r="A878" s="8">
        <v>1188360</v>
      </c>
      <c r="B878" t="s">
        <v>37</v>
      </c>
      <c r="C878" t="s">
        <v>19</v>
      </c>
      <c r="D878" s="1">
        <v>39189</v>
      </c>
      <c r="E878" s="2">
        <v>299000</v>
      </c>
      <c r="F878" s="2">
        <v>254150</v>
      </c>
      <c r="G878" t="s">
        <v>15</v>
      </c>
      <c r="H878" s="2">
        <v>2088.48</v>
      </c>
      <c r="I878" s="2">
        <v>253540.13</v>
      </c>
      <c r="J878">
        <v>9.6500000000000002E-2</v>
      </c>
      <c r="K878">
        <v>12</v>
      </c>
      <c r="L878">
        <v>347</v>
      </c>
      <c r="M878" t="str">
        <f t="shared" si="237"/>
        <v>30 Year Fixed</v>
      </c>
      <c r="N878" s="2">
        <v>2039.28</v>
      </c>
      <c r="O878" t="str">
        <f t="shared" si="234"/>
        <v>Refi</v>
      </c>
      <c r="P878" s="3">
        <f t="shared" si="238"/>
        <v>0</v>
      </c>
      <c r="Q878" s="4">
        <v>257343</v>
      </c>
      <c r="R878" s="4" t="s">
        <v>41</v>
      </c>
      <c r="S878" s="6">
        <v>540</v>
      </c>
      <c r="T878">
        <v>7.625</v>
      </c>
      <c r="U878" s="7">
        <f t="shared" si="235"/>
        <v>1928.6839106814118</v>
      </c>
      <c r="V878" s="2">
        <f t="shared" si="239"/>
        <v>159.7960893185882</v>
      </c>
      <c r="W878" s="9">
        <f t="shared" si="240"/>
        <v>0</v>
      </c>
      <c r="X878" s="3">
        <v>257343</v>
      </c>
      <c r="Y878" s="3">
        <f t="shared" si="241"/>
        <v>-0.22852216745377518</v>
      </c>
      <c r="Z878" s="7">
        <f t="shared" si="242"/>
        <v>1928.6839106814118</v>
      </c>
      <c r="AA878" s="2">
        <f t="shared" si="236"/>
        <v>159.7960893185882</v>
      </c>
      <c r="AB878" s="8">
        <f t="shared" si="243"/>
        <v>0</v>
      </c>
      <c r="AC878" s="10">
        <v>7.625</v>
      </c>
      <c r="AD878" s="7">
        <f t="shared" si="244"/>
        <v>1928.6839106814118</v>
      </c>
      <c r="AE878" s="2">
        <f t="shared" si="245"/>
        <v>159.7960893185882</v>
      </c>
      <c r="AF878" s="10">
        <v>0</v>
      </c>
      <c r="AG878" s="3">
        <f t="shared" si="246"/>
        <v>0</v>
      </c>
      <c r="AH878" s="7">
        <v>2541.5</v>
      </c>
      <c r="AI878">
        <f t="shared" si="247"/>
        <v>360</v>
      </c>
      <c r="AJ878" t="e">
        <f>VLOOKUP(A878,'Borrower Details'!$A$1:$H$1493,8,FALSE)</f>
        <v>#N/A</v>
      </c>
      <c r="AK878" s="4" t="e">
        <f t="shared" si="248"/>
        <v>#N/A</v>
      </c>
      <c r="AL878" s="10">
        <v>7.625</v>
      </c>
      <c r="AM878" s="3">
        <f t="shared" si="249"/>
        <v>257343.23194999999</v>
      </c>
      <c r="AN878">
        <v>7.625</v>
      </c>
      <c r="AO878" s="7">
        <f t="shared" si="250"/>
        <v>1928.6856490548398</v>
      </c>
      <c r="AP878" s="2">
        <f t="shared" si="251"/>
        <v>159.7943509451602</v>
      </c>
    </row>
    <row r="879" spans="1:42" x14ac:dyDescent="0.15">
      <c r="A879" s="8">
        <v>1187674</v>
      </c>
      <c r="B879" t="s">
        <v>36</v>
      </c>
      <c r="C879" t="s">
        <v>19</v>
      </c>
      <c r="D879" s="1">
        <v>39178</v>
      </c>
      <c r="E879" s="2">
        <v>285000</v>
      </c>
      <c r="F879" s="2">
        <v>237000</v>
      </c>
      <c r="G879" t="s">
        <v>17</v>
      </c>
      <c r="H879" s="2">
        <v>1575.18</v>
      </c>
      <c r="I879" s="2">
        <v>234587.83</v>
      </c>
      <c r="J879">
        <v>6.9900000000000004E-2</v>
      </c>
      <c r="K879">
        <v>12</v>
      </c>
      <c r="L879">
        <v>348</v>
      </c>
      <c r="M879" t="str">
        <f t="shared" si="237"/>
        <v>30 Year Fixed</v>
      </c>
      <c r="N879" s="2">
        <v>1366.47</v>
      </c>
      <c r="O879" t="str">
        <f t="shared" si="234"/>
        <v>Cash Out</v>
      </c>
      <c r="P879" s="3">
        <f t="shared" si="238"/>
        <v>4082.1207389163028</v>
      </c>
      <c r="Q879" s="4">
        <v>242250</v>
      </c>
      <c r="R879" s="4" t="s">
        <v>41</v>
      </c>
      <c r="S879" s="6">
        <v>693</v>
      </c>
      <c r="T879">
        <v>6.75</v>
      </c>
      <c r="U879" s="7">
        <f t="shared" si="235"/>
        <v>1672.1663889364979</v>
      </c>
      <c r="V879" s="2">
        <f t="shared" si="239"/>
        <v>-96.98638893649786</v>
      </c>
      <c r="W879" s="9">
        <f t="shared" si="240"/>
        <v>1</v>
      </c>
      <c r="X879" s="3">
        <v>238107</v>
      </c>
      <c r="Y879" s="3">
        <f t="shared" si="241"/>
        <v>0.34733990152017213</v>
      </c>
      <c r="Z879" s="7">
        <f t="shared" si="242"/>
        <v>1643.568719795677</v>
      </c>
      <c r="AA879" s="2">
        <f t="shared" si="236"/>
        <v>-68.388719795676934</v>
      </c>
      <c r="AB879" s="8">
        <f t="shared" si="243"/>
        <v>1</v>
      </c>
      <c r="AC879" s="10">
        <v>6.125</v>
      </c>
      <c r="AD879" s="7">
        <f t="shared" si="244"/>
        <v>1545.9744774793926</v>
      </c>
      <c r="AE879" s="2">
        <f t="shared" si="245"/>
        <v>29.205522520607474</v>
      </c>
      <c r="AF879" s="10">
        <v>3</v>
      </c>
      <c r="AG879" s="3">
        <f t="shared" si="246"/>
        <v>7143.21</v>
      </c>
      <c r="AH879" s="7">
        <v>4740</v>
      </c>
      <c r="AI879">
        <f t="shared" si="247"/>
        <v>360</v>
      </c>
      <c r="AJ879" t="e">
        <f>VLOOKUP(A879,'Borrower Details'!$A$1:$H$1493,8,FALSE)</f>
        <v>#N/A</v>
      </c>
      <c r="AK879" s="4" t="e">
        <f t="shared" si="248"/>
        <v>#N/A</v>
      </c>
      <c r="AL879" s="10">
        <v>6.75</v>
      </c>
      <c r="AM879" s="3">
        <f t="shared" si="249"/>
        <v>238106.64744999996</v>
      </c>
      <c r="AN879">
        <v>6.75</v>
      </c>
      <c r="AO879" s="7">
        <f t="shared" si="250"/>
        <v>1643.5662862672536</v>
      </c>
      <c r="AP879" s="2">
        <f t="shared" si="251"/>
        <v>-68.386286267253581</v>
      </c>
    </row>
    <row r="880" spans="1:42" x14ac:dyDescent="0.15">
      <c r="A880" s="8">
        <v>1183795</v>
      </c>
      <c r="B880" t="s">
        <v>36</v>
      </c>
      <c r="C880" t="s">
        <v>18</v>
      </c>
      <c r="D880" s="1">
        <v>39176</v>
      </c>
      <c r="E880" s="2">
        <v>103100</v>
      </c>
      <c r="F880" s="2">
        <v>92000</v>
      </c>
      <c r="G880" t="s">
        <v>17</v>
      </c>
      <c r="H880" s="2">
        <v>774</v>
      </c>
      <c r="I880" s="2">
        <v>91795.06</v>
      </c>
      <c r="J880">
        <v>9.9000000000000005E-2</v>
      </c>
      <c r="K880">
        <v>13</v>
      </c>
      <c r="L880">
        <v>347</v>
      </c>
      <c r="M880" t="str">
        <f t="shared" si="237"/>
        <v>30 Year Fixed</v>
      </c>
      <c r="N880" s="2">
        <v>757.31</v>
      </c>
      <c r="O880" t="str">
        <f t="shared" si="234"/>
        <v>Refi</v>
      </c>
      <c r="P880" s="3">
        <f t="shared" si="238"/>
        <v>0</v>
      </c>
      <c r="Q880" s="4">
        <v>93172</v>
      </c>
      <c r="R880" s="4" t="s">
        <v>41</v>
      </c>
      <c r="S880" s="6">
        <v>592</v>
      </c>
      <c r="T880">
        <v>7.625</v>
      </c>
      <c r="U880" s="7">
        <f t="shared" si="235"/>
        <v>698.28725602020859</v>
      </c>
      <c r="V880" s="2">
        <f t="shared" si="239"/>
        <v>75.712743979791412</v>
      </c>
      <c r="W880" s="9">
        <f t="shared" si="240"/>
        <v>0</v>
      </c>
      <c r="X880" s="3">
        <v>93172</v>
      </c>
      <c r="Y880" s="3">
        <f t="shared" si="241"/>
        <v>1.3891625625547022E-2</v>
      </c>
      <c r="Z880" s="7">
        <f t="shared" si="242"/>
        <v>698.28725602020859</v>
      </c>
      <c r="AA880" s="2">
        <f t="shared" si="236"/>
        <v>75.712743979791412</v>
      </c>
      <c r="AB880" s="8">
        <f t="shared" si="243"/>
        <v>0</v>
      </c>
      <c r="AC880" s="10">
        <v>7.625</v>
      </c>
      <c r="AD880" s="7">
        <f t="shared" si="244"/>
        <v>698.28725602020859</v>
      </c>
      <c r="AE880" s="2">
        <f t="shared" si="245"/>
        <v>75.712743979791412</v>
      </c>
      <c r="AF880" s="10">
        <v>0</v>
      </c>
      <c r="AG880" s="3">
        <f t="shared" si="246"/>
        <v>0</v>
      </c>
      <c r="AH880" s="7">
        <v>1840</v>
      </c>
      <c r="AI880">
        <f t="shared" si="247"/>
        <v>360</v>
      </c>
      <c r="AJ880" t="e">
        <f>VLOOKUP(A880,'Borrower Details'!$A$1:$H$1493,8,FALSE)</f>
        <v>#N/A</v>
      </c>
      <c r="AK880" s="4" t="e">
        <f t="shared" si="248"/>
        <v>#N/A</v>
      </c>
      <c r="AL880" s="10">
        <v>7.625</v>
      </c>
      <c r="AM880" s="3">
        <f t="shared" si="249"/>
        <v>93171.985899999985</v>
      </c>
      <c r="AN880">
        <v>7.625</v>
      </c>
      <c r="AO880" s="7">
        <f t="shared" si="250"/>
        <v>698.2871503462901</v>
      </c>
      <c r="AP880" s="2">
        <f t="shared" si="251"/>
        <v>75.712849653709895</v>
      </c>
    </row>
    <row r="881" spans="1:42" x14ac:dyDescent="0.15">
      <c r="A881" s="8">
        <v>410596662</v>
      </c>
      <c r="B881" t="s">
        <v>36</v>
      </c>
      <c r="C881" t="s">
        <v>19</v>
      </c>
      <c r="D881" s="1">
        <v>39287</v>
      </c>
      <c r="E881" s="2">
        <v>178500</v>
      </c>
      <c r="F881" s="2">
        <v>169575</v>
      </c>
      <c r="G881" t="s">
        <v>15</v>
      </c>
      <c r="H881" s="2">
        <v>1456.92</v>
      </c>
      <c r="I881" s="2">
        <v>169088.46</v>
      </c>
      <c r="J881">
        <v>9.7500000000000003E-2</v>
      </c>
      <c r="K881">
        <v>9</v>
      </c>
      <c r="L881">
        <v>354</v>
      </c>
      <c r="M881" t="str">
        <f t="shared" si="237"/>
        <v>30 Year Fixed</v>
      </c>
      <c r="N881" s="2">
        <v>1373.84</v>
      </c>
      <c r="O881" t="str">
        <f t="shared" si="234"/>
        <v>Refi</v>
      </c>
      <c r="P881" s="3">
        <f t="shared" si="238"/>
        <v>0</v>
      </c>
      <c r="Q881" s="4">
        <v>171625</v>
      </c>
      <c r="R881" s="4" t="s">
        <v>41</v>
      </c>
      <c r="S881" s="6">
        <v>633</v>
      </c>
      <c r="T881">
        <v>6.75</v>
      </c>
      <c r="U881" s="7">
        <f t="shared" si="235"/>
        <v>1184.6668999018636</v>
      </c>
      <c r="V881" s="2">
        <f t="shared" si="239"/>
        <v>272.25310009813643</v>
      </c>
      <c r="W881" s="9">
        <f t="shared" si="240"/>
        <v>0</v>
      </c>
      <c r="X881" s="3">
        <v>171625</v>
      </c>
      <c r="Y881" s="3">
        <f t="shared" si="241"/>
        <v>0.20995073893573135</v>
      </c>
      <c r="Z881" s="7">
        <f t="shared" si="242"/>
        <v>1184.6668999018636</v>
      </c>
      <c r="AA881" s="2">
        <f t="shared" si="236"/>
        <v>272.25310009813643</v>
      </c>
      <c r="AB881" s="8">
        <f t="shared" si="243"/>
        <v>0</v>
      </c>
      <c r="AC881" s="10">
        <v>6.75</v>
      </c>
      <c r="AD881" s="7">
        <f t="shared" si="244"/>
        <v>1184.6668999018636</v>
      </c>
      <c r="AE881" s="2">
        <f t="shared" si="245"/>
        <v>272.25310009813643</v>
      </c>
      <c r="AF881" s="10">
        <v>0</v>
      </c>
      <c r="AG881" s="3">
        <f t="shared" si="246"/>
        <v>0</v>
      </c>
      <c r="AH881" s="7">
        <v>3391.5</v>
      </c>
      <c r="AI881">
        <f t="shared" si="247"/>
        <v>360</v>
      </c>
      <c r="AJ881" t="e">
        <f>VLOOKUP(A881,'Borrower Details'!$A$1:$H$1493,8,FALSE)</f>
        <v>#N/A</v>
      </c>
      <c r="AK881" s="4" t="e">
        <f t="shared" si="248"/>
        <v>#N/A</v>
      </c>
      <c r="AL881" s="10">
        <v>6.75</v>
      </c>
      <c r="AM881" s="3">
        <f t="shared" si="249"/>
        <v>171624.78689999998</v>
      </c>
      <c r="AN881">
        <v>6.75</v>
      </c>
      <c r="AO881" s="7">
        <f t="shared" si="250"/>
        <v>1184.665428947653</v>
      </c>
      <c r="AP881" s="2">
        <f t="shared" si="251"/>
        <v>272.25457105234705</v>
      </c>
    </row>
    <row r="882" spans="1:42" x14ac:dyDescent="0.15">
      <c r="A882" s="8">
        <v>410049787</v>
      </c>
      <c r="B882" t="s">
        <v>37</v>
      </c>
      <c r="C882" t="s">
        <v>18</v>
      </c>
      <c r="D882" s="1">
        <v>39196</v>
      </c>
      <c r="E882" s="2">
        <v>116000</v>
      </c>
      <c r="F882" s="2">
        <v>92800</v>
      </c>
      <c r="G882" t="s">
        <v>17</v>
      </c>
      <c r="H882" s="2">
        <v>741.69</v>
      </c>
      <c r="I882" s="2">
        <v>92099.94</v>
      </c>
      <c r="J882">
        <v>8.9249999999999996E-2</v>
      </c>
      <c r="K882">
        <v>12</v>
      </c>
      <c r="L882">
        <v>347</v>
      </c>
      <c r="M882" t="str">
        <f t="shared" si="237"/>
        <v>30 Year Fixed</v>
      </c>
      <c r="N882" s="2">
        <v>684.99</v>
      </c>
      <c r="O882" t="str">
        <f t="shared" si="234"/>
        <v>Cash Out</v>
      </c>
      <c r="P882" s="3">
        <f t="shared" si="238"/>
        <v>5042.9171428571426</v>
      </c>
      <c r="Q882" s="4">
        <v>98600</v>
      </c>
      <c r="R882" s="4" t="s">
        <v>41</v>
      </c>
      <c r="S882" s="6">
        <v>578</v>
      </c>
      <c r="T882">
        <v>7.625</v>
      </c>
      <c r="U882" s="7">
        <f t="shared" si="235"/>
        <v>738.96796723900491</v>
      </c>
      <c r="V882" s="2">
        <f t="shared" si="239"/>
        <v>2.7220327609951482</v>
      </c>
      <c r="W882" s="9">
        <f t="shared" si="240"/>
        <v>0</v>
      </c>
      <c r="X882" s="3">
        <v>98600</v>
      </c>
      <c r="Y882" s="3">
        <f t="shared" si="241"/>
        <v>5042.9171428571426</v>
      </c>
      <c r="Z882" s="7">
        <f t="shared" si="242"/>
        <v>738.96796723900491</v>
      </c>
      <c r="AA882" s="2">
        <f t="shared" si="236"/>
        <v>2.7220327609951482</v>
      </c>
      <c r="AB882" s="8">
        <f t="shared" si="243"/>
        <v>1</v>
      </c>
      <c r="AC882" s="10">
        <v>6.5</v>
      </c>
      <c r="AD882" s="7">
        <f t="shared" si="244"/>
        <v>664.3024044973979</v>
      </c>
      <c r="AE882" s="2">
        <f t="shared" si="245"/>
        <v>77.387595502602153</v>
      </c>
      <c r="AF882" s="10">
        <v>2.625</v>
      </c>
      <c r="AG882" s="3">
        <f t="shared" si="246"/>
        <v>2588.25</v>
      </c>
      <c r="AH882" s="7">
        <v>0</v>
      </c>
      <c r="AI882">
        <f t="shared" si="247"/>
        <v>360</v>
      </c>
      <c r="AJ882" t="e">
        <f>VLOOKUP(A882,'Borrower Details'!$A$1:$H$1493,8,FALSE)</f>
        <v>#N/A</v>
      </c>
      <c r="AK882" s="4" t="e">
        <f t="shared" si="248"/>
        <v>#N/A</v>
      </c>
      <c r="AL882" s="10">
        <v>7.625</v>
      </c>
      <c r="AM882" s="3">
        <f t="shared" si="249"/>
        <v>93481.439099999989</v>
      </c>
      <c r="AN882">
        <v>7.625</v>
      </c>
      <c r="AO882" s="7">
        <f t="shared" si="250"/>
        <v>700.60637957711776</v>
      </c>
      <c r="AP882" s="2">
        <f t="shared" si="251"/>
        <v>41.083620422882291</v>
      </c>
    </row>
    <row r="883" spans="1:42" x14ac:dyDescent="0.15">
      <c r="A883" s="8">
        <v>410003669</v>
      </c>
      <c r="B883" t="s">
        <v>36</v>
      </c>
      <c r="C883" t="s">
        <v>18</v>
      </c>
      <c r="D883" s="1">
        <v>39195</v>
      </c>
      <c r="E883" s="2">
        <v>236200</v>
      </c>
      <c r="F883" s="2">
        <v>188960</v>
      </c>
      <c r="G883" t="s">
        <v>17</v>
      </c>
      <c r="H883" s="2">
        <v>1530.7</v>
      </c>
      <c r="I883" s="2">
        <v>188562.07</v>
      </c>
      <c r="J883">
        <v>9.5000000000000001E-2</v>
      </c>
      <c r="K883">
        <v>12</v>
      </c>
      <c r="L883">
        <v>349</v>
      </c>
      <c r="M883" t="str">
        <f t="shared" si="237"/>
        <v>30 Year Fixed</v>
      </c>
      <c r="N883" s="2">
        <v>1492.78</v>
      </c>
      <c r="O883" t="str">
        <f t="shared" si="234"/>
        <v>Cash Out</v>
      </c>
      <c r="P883" s="3">
        <f t="shared" si="238"/>
        <v>9240.8856650246307</v>
      </c>
      <c r="Q883" s="4">
        <v>200770</v>
      </c>
      <c r="R883" s="4" t="s">
        <v>41</v>
      </c>
      <c r="S883" s="6">
        <v>539</v>
      </c>
      <c r="T883">
        <v>7.625</v>
      </c>
      <c r="U883" s="7">
        <f t="shared" si="235"/>
        <v>1504.6916712228701</v>
      </c>
      <c r="V883" s="2">
        <f t="shared" si="239"/>
        <v>26.008328777129918</v>
      </c>
      <c r="W883" s="9">
        <f t="shared" si="240"/>
        <v>0</v>
      </c>
      <c r="X883" s="3">
        <v>200770</v>
      </c>
      <c r="Y883" s="3">
        <f t="shared" si="241"/>
        <v>9240.8856650246307</v>
      </c>
      <c r="Z883" s="7">
        <f t="shared" si="242"/>
        <v>1504.6916712228701</v>
      </c>
      <c r="AA883" s="2">
        <f t="shared" si="236"/>
        <v>26.008328777129918</v>
      </c>
      <c r="AB883" s="8">
        <f t="shared" si="243"/>
        <v>1</v>
      </c>
      <c r="AC883" s="10">
        <v>6.875</v>
      </c>
      <c r="AD883" s="7">
        <f t="shared" si="244"/>
        <v>1402.5701458830008</v>
      </c>
      <c r="AE883" s="2">
        <f t="shared" si="245"/>
        <v>128.12985411699924</v>
      </c>
      <c r="AF883" s="10">
        <v>1</v>
      </c>
      <c r="AG883" s="3">
        <f t="shared" si="246"/>
        <v>2007.7</v>
      </c>
      <c r="AH883" s="7">
        <v>3779.2</v>
      </c>
      <c r="AI883">
        <f t="shared" si="247"/>
        <v>360</v>
      </c>
      <c r="AJ883" t="e">
        <f>VLOOKUP(A883,'Borrower Details'!$A$1:$H$1493,8,FALSE)</f>
        <v>#N/A</v>
      </c>
      <c r="AK883" s="4" t="e">
        <f t="shared" si="248"/>
        <v>#N/A</v>
      </c>
      <c r="AL883" s="10">
        <v>7.625</v>
      </c>
      <c r="AM883" s="3">
        <f t="shared" si="249"/>
        <v>191390.50104999999</v>
      </c>
      <c r="AN883">
        <v>7.625</v>
      </c>
      <c r="AO883" s="7">
        <f t="shared" si="250"/>
        <v>1434.3960396528714</v>
      </c>
      <c r="AP883" s="2">
        <f t="shared" si="251"/>
        <v>96.303960347128623</v>
      </c>
    </row>
    <row r="884" spans="1:42" x14ac:dyDescent="0.15">
      <c r="A884" s="8">
        <v>1174773</v>
      </c>
      <c r="B884" t="s">
        <v>35</v>
      </c>
      <c r="C884" t="s">
        <v>16</v>
      </c>
      <c r="D884" s="1">
        <v>39183</v>
      </c>
      <c r="E884" s="2">
        <v>93000</v>
      </c>
      <c r="F884" s="2">
        <v>83700</v>
      </c>
      <c r="G884" t="s">
        <v>17</v>
      </c>
      <c r="H884" s="2">
        <v>672.87</v>
      </c>
      <c r="I884" s="2">
        <v>83126.95</v>
      </c>
      <c r="J884">
        <v>8.9899999999999994E-2</v>
      </c>
      <c r="K884">
        <v>12</v>
      </c>
      <c r="L884">
        <v>348</v>
      </c>
      <c r="M884" t="str">
        <f t="shared" si="237"/>
        <v>30 Year Fixed</v>
      </c>
      <c r="N884" s="2">
        <v>622.76</v>
      </c>
      <c r="O884" t="str">
        <f t="shared" si="234"/>
        <v>Refi</v>
      </c>
      <c r="P884" s="3">
        <f t="shared" si="238"/>
        <v>0</v>
      </c>
      <c r="Q884" s="4">
        <v>84374</v>
      </c>
      <c r="R884" s="4" t="s">
        <v>41</v>
      </c>
      <c r="S884" s="6">
        <v>591</v>
      </c>
      <c r="T884">
        <v>7.625</v>
      </c>
      <c r="U884" s="7">
        <f t="shared" si="235"/>
        <v>632.34972888259426</v>
      </c>
      <c r="V884" s="2">
        <f t="shared" si="239"/>
        <v>40.520271117405741</v>
      </c>
      <c r="W884" s="9">
        <f t="shared" si="240"/>
        <v>0</v>
      </c>
      <c r="X884" s="3">
        <v>84374</v>
      </c>
      <c r="Y884" s="3">
        <f t="shared" si="241"/>
        <v>0.1435960591188632</v>
      </c>
      <c r="Z884" s="7">
        <f t="shared" si="242"/>
        <v>632.34972888259426</v>
      </c>
      <c r="AA884" s="2">
        <f t="shared" si="236"/>
        <v>40.520271117405741</v>
      </c>
      <c r="AB884" s="8">
        <f t="shared" si="243"/>
        <v>1</v>
      </c>
      <c r="AC884" s="10">
        <v>6.875</v>
      </c>
      <c r="AD884" s="7">
        <f t="shared" si="244"/>
        <v>589.43295058391345</v>
      </c>
      <c r="AE884" s="2">
        <f t="shared" si="245"/>
        <v>83.437049416086552</v>
      </c>
      <c r="AF884" s="10">
        <v>1</v>
      </c>
      <c r="AG884" s="3">
        <f t="shared" si="246"/>
        <v>843.74</v>
      </c>
      <c r="AH884" s="7">
        <v>3762.3149999999996</v>
      </c>
      <c r="AI884">
        <f t="shared" si="247"/>
        <v>360</v>
      </c>
      <c r="AJ884" t="e">
        <f>VLOOKUP(A884,'Borrower Details'!$A$1:$H$1493,8,FALSE)</f>
        <v>#N/A</v>
      </c>
      <c r="AK884" s="4" t="e">
        <f t="shared" si="248"/>
        <v>#N/A</v>
      </c>
      <c r="AL884" s="10">
        <v>7.625</v>
      </c>
      <c r="AM884" s="3">
        <f t="shared" si="249"/>
        <v>84373.854249999989</v>
      </c>
      <c r="AN884">
        <v>7.625</v>
      </c>
      <c r="AO884" s="7">
        <f t="shared" si="250"/>
        <v>632.34863654404228</v>
      </c>
      <c r="AP884" s="2">
        <f t="shared" si="251"/>
        <v>40.521363455957726</v>
      </c>
    </row>
    <row r="885" spans="1:42" x14ac:dyDescent="0.15">
      <c r="A885" s="8">
        <v>1177310</v>
      </c>
      <c r="B885" t="s">
        <v>35</v>
      </c>
      <c r="C885" t="s">
        <v>16</v>
      </c>
      <c r="D885" s="1">
        <v>39178</v>
      </c>
      <c r="E885" s="2">
        <v>67500</v>
      </c>
      <c r="F885" s="2">
        <v>60750</v>
      </c>
      <c r="G885" t="s">
        <v>17</v>
      </c>
      <c r="H885" s="2">
        <v>488.38</v>
      </c>
      <c r="I885" s="2">
        <v>60334</v>
      </c>
      <c r="J885">
        <v>8.9899999999999994E-2</v>
      </c>
      <c r="K885">
        <v>12</v>
      </c>
      <c r="L885">
        <v>348</v>
      </c>
      <c r="M885" t="str">
        <f t="shared" si="237"/>
        <v>30 Year Fixed</v>
      </c>
      <c r="N885" s="2">
        <v>452</v>
      </c>
      <c r="O885" t="str">
        <f t="shared" si="234"/>
        <v>Refi</v>
      </c>
      <c r="P885" s="3">
        <f t="shared" si="238"/>
        <v>0</v>
      </c>
      <c r="Q885" s="4">
        <v>61239</v>
      </c>
      <c r="R885" s="4" t="s">
        <v>41</v>
      </c>
      <c r="S885" s="6">
        <v>635</v>
      </c>
      <c r="T885">
        <v>6.875</v>
      </c>
      <c r="U885" s="7">
        <f t="shared" si="235"/>
        <v>427.81288620674945</v>
      </c>
      <c r="V885" s="2">
        <f t="shared" si="239"/>
        <v>60.567113793250542</v>
      </c>
      <c r="W885" s="9">
        <f t="shared" si="240"/>
        <v>0</v>
      </c>
      <c r="X885" s="3">
        <v>61239</v>
      </c>
      <c r="Y885" s="3">
        <f t="shared" si="241"/>
        <v>-9.8522167463670485E-3</v>
      </c>
      <c r="Z885" s="7">
        <f t="shared" si="242"/>
        <v>427.81288620674945</v>
      </c>
      <c r="AA885" s="2">
        <f t="shared" si="236"/>
        <v>60.567113793250542</v>
      </c>
      <c r="AB885" s="8">
        <f t="shared" si="243"/>
        <v>0</v>
      </c>
      <c r="AC885" s="10">
        <v>6.875</v>
      </c>
      <c r="AD885" s="7">
        <f t="shared" si="244"/>
        <v>427.81288620674945</v>
      </c>
      <c r="AE885" s="2">
        <f t="shared" si="245"/>
        <v>60.567113793250542</v>
      </c>
      <c r="AF885" s="10">
        <v>0</v>
      </c>
      <c r="AG885" s="3">
        <f t="shared" si="246"/>
        <v>0</v>
      </c>
      <c r="AH885" s="7">
        <v>2730.7124999999996</v>
      </c>
      <c r="AI885">
        <f t="shared" si="247"/>
        <v>360</v>
      </c>
      <c r="AJ885" t="e">
        <f>VLOOKUP(A885,'Borrower Details'!$A$1:$H$1493,8,FALSE)</f>
        <v>#N/A</v>
      </c>
      <c r="AK885" s="4" t="e">
        <f t="shared" si="248"/>
        <v>#N/A</v>
      </c>
      <c r="AL885" s="10">
        <v>6.875</v>
      </c>
      <c r="AM885" s="3">
        <f t="shared" si="249"/>
        <v>61239.009999999995</v>
      </c>
      <c r="AN885">
        <v>6.875</v>
      </c>
      <c r="AO885" s="7">
        <f t="shared" si="250"/>
        <v>427.81295606629743</v>
      </c>
      <c r="AP885" s="2">
        <f t="shared" si="251"/>
        <v>60.567043933702564</v>
      </c>
    </row>
    <row r="886" spans="1:42" x14ac:dyDescent="0.15">
      <c r="A886" s="8">
        <v>1180143</v>
      </c>
      <c r="B886" t="s">
        <v>37</v>
      </c>
      <c r="C886" t="s">
        <v>18</v>
      </c>
      <c r="D886" s="1">
        <v>39171</v>
      </c>
      <c r="E886" s="2">
        <v>226000</v>
      </c>
      <c r="F886" s="2">
        <v>192100</v>
      </c>
      <c r="G886" t="s">
        <v>15</v>
      </c>
      <c r="H886" s="2">
        <v>1297.3499999999999</v>
      </c>
      <c r="I886" s="2">
        <v>191765.97</v>
      </c>
      <c r="J886">
        <v>7.9500000000000001E-2</v>
      </c>
      <c r="K886">
        <v>13</v>
      </c>
      <c r="L886">
        <v>347</v>
      </c>
      <c r="M886" t="str">
        <f t="shared" si="237"/>
        <v>30 Year Fixed</v>
      </c>
      <c r="N886" s="2">
        <v>1270.45</v>
      </c>
      <c r="O886" t="str">
        <f t="shared" si="234"/>
        <v>Refi</v>
      </c>
      <c r="P886" s="3">
        <f t="shared" si="238"/>
        <v>0</v>
      </c>
      <c r="Q886" s="4">
        <v>194642</v>
      </c>
      <c r="R886" s="4" t="s">
        <v>41</v>
      </c>
      <c r="S886" s="6">
        <v>591</v>
      </c>
      <c r="T886">
        <v>7.375</v>
      </c>
      <c r="U886" s="7">
        <f t="shared" si="235"/>
        <v>1425.4447541197437</v>
      </c>
      <c r="V886" s="2">
        <f t="shared" si="239"/>
        <v>-128.09475411974381</v>
      </c>
      <c r="W886" s="9">
        <f t="shared" si="240"/>
        <v>0</v>
      </c>
      <c r="X886" s="3">
        <v>194642</v>
      </c>
      <c r="Y886" s="3">
        <f t="shared" si="241"/>
        <v>-0.45275862066773698</v>
      </c>
      <c r="Z886" s="7">
        <f t="shared" si="242"/>
        <v>1425.4447541197437</v>
      </c>
      <c r="AA886" s="2">
        <f t="shared" si="236"/>
        <v>-128.09475411974381</v>
      </c>
      <c r="AB886" s="8">
        <f t="shared" si="243"/>
        <v>1</v>
      </c>
      <c r="AC886" s="10">
        <v>6.625</v>
      </c>
      <c r="AD886" s="7">
        <f t="shared" si="244"/>
        <v>1327.414894189164</v>
      </c>
      <c r="AE886" s="2">
        <f t="shared" si="245"/>
        <v>-30.064894189164079</v>
      </c>
      <c r="AF886" s="10">
        <v>1.875</v>
      </c>
      <c r="AG886" s="3">
        <f t="shared" si="246"/>
        <v>3649.5374999999999</v>
      </c>
      <c r="AH886" s="7">
        <v>1921</v>
      </c>
      <c r="AI886">
        <f t="shared" si="247"/>
        <v>360</v>
      </c>
      <c r="AJ886" t="e">
        <f>VLOOKUP(A886,'Borrower Details'!$A$1:$H$1493,8,FALSE)</f>
        <v>#N/A</v>
      </c>
      <c r="AK886" s="4" t="e">
        <f t="shared" si="248"/>
        <v>#N/A</v>
      </c>
      <c r="AL886" s="10">
        <v>7.375</v>
      </c>
      <c r="AM886" s="3">
        <f t="shared" si="249"/>
        <v>194642.45954999997</v>
      </c>
      <c r="AN886">
        <v>7.375</v>
      </c>
      <c r="AO886" s="7">
        <f t="shared" si="250"/>
        <v>1425.4481195965509</v>
      </c>
      <c r="AP886" s="2">
        <f t="shared" si="251"/>
        <v>-128.09811959655099</v>
      </c>
    </row>
    <row r="887" spans="1:42" x14ac:dyDescent="0.15">
      <c r="A887" s="8">
        <v>410260830</v>
      </c>
      <c r="B887" t="s">
        <v>37</v>
      </c>
      <c r="C887" t="s">
        <v>19</v>
      </c>
      <c r="D887" s="1">
        <v>39233</v>
      </c>
      <c r="E887" s="2">
        <v>163000</v>
      </c>
      <c r="F887" s="2">
        <v>145000</v>
      </c>
      <c r="G887" t="s">
        <v>15</v>
      </c>
      <c r="H887" s="2">
        <v>1112.9000000000001</v>
      </c>
      <c r="I887" s="2">
        <v>144596.06</v>
      </c>
      <c r="J887">
        <v>8.9499999999999996E-2</v>
      </c>
      <c r="K887">
        <v>11</v>
      </c>
      <c r="L887">
        <v>349</v>
      </c>
      <c r="M887" t="str">
        <f t="shared" si="237"/>
        <v>30 Year Fixed</v>
      </c>
      <c r="N887" s="2">
        <v>1078.45</v>
      </c>
      <c r="O887" t="str">
        <f t="shared" si="234"/>
        <v>Refi</v>
      </c>
      <c r="P887" s="3">
        <f t="shared" si="238"/>
        <v>0</v>
      </c>
      <c r="Q887" s="4">
        <v>146765</v>
      </c>
      <c r="R887" s="4" t="s">
        <v>41</v>
      </c>
      <c r="S887" s="6">
        <v>590</v>
      </c>
      <c r="T887">
        <v>7.375</v>
      </c>
      <c r="U887" s="7">
        <f t="shared" si="235"/>
        <v>1074.8214637045662</v>
      </c>
      <c r="V887" s="2">
        <f t="shared" si="239"/>
        <v>38.078536295433878</v>
      </c>
      <c r="W887" s="9">
        <f t="shared" si="240"/>
        <v>0</v>
      </c>
      <c r="X887" s="3">
        <v>146765</v>
      </c>
      <c r="Y887" s="3">
        <f t="shared" si="241"/>
        <v>-8.866995049174875E-4</v>
      </c>
      <c r="Z887" s="7">
        <f t="shared" si="242"/>
        <v>1074.8214637045662</v>
      </c>
      <c r="AA887" s="2">
        <f t="shared" si="236"/>
        <v>38.078536295433878</v>
      </c>
      <c r="AB887" s="8">
        <f t="shared" si="243"/>
        <v>1</v>
      </c>
      <c r="AC887" s="10">
        <v>6.375</v>
      </c>
      <c r="AD887" s="7">
        <f t="shared" si="244"/>
        <v>976.77474034992019</v>
      </c>
      <c r="AE887" s="2">
        <f t="shared" si="245"/>
        <v>136.1252596500799</v>
      </c>
      <c r="AF887" s="10">
        <v>2.625</v>
      </c>
      <c r="AG887" s="3">
        <f t="shared" si="246"/>
        <v>3852.5812500000002</v>
      </c>
      <c r="AH887" s="7">
        <v>0</v>
      </c>
      <c r="AI887">
        <f t="shared" si="247"/>
        <v>360</v>
      </c>
      <c r="AJ887" t="e">
        <f>VLOOKUP(A887,'Borrower Details'!$A$1:$H$1493,8,FALSE)</f>
        <v>#N/A</v>
      </c>
      <c r="AK887" s="4" t="e">
        <f t="shared" si="248"/>
        <v>#N/A</v>
      </c>
      <c r="AL887" s="10">
        <v>7.375</v>
      </c>
      <c r="AM887" s="3">
        <f t="shared" si="249"/>
        <v>146765.00089999998</v>
      </c>
      <c r="AN887">
        <v>7.375</v>
      </c>
      <c r="AO887" s="7">
        <f t="shared" si="250"/>
        <v>1074.8214702956425</v>
      </c>
      <c r="AP887" s="2">
        <f t="shared" si="251"/>
        <v>38.078529704357607</v>
      </c>
    </row>
    <row r="888" spans="1:42" x14ac:dyDescent="0.15">
      <c r="A888" s="8">
        <v>411249048</v>
      </c>
      <c r="B888" t="s">
        <v>35</v>
      </c>
      <c r="C888" t="s">
        <v>16</v>
      </c>
      <c r="D888" s="1">
        <v>39489</v>
      </c>
      <c r="E888" s="2">
        <v>170000</v>
      </c>
      <c r="F888" s="2">
        <v>122000</v>
      </c>
      <c r="G888" t="s">
        <v>17</v>
      </c>
      <c r="H888" s="2">
        <v>1025.8499999999999</v>
      </c>
      <c r="I888" s="2">
        <v>121879.49</v>
      </c>
      <c r="J888">
        <v>9.5000000000000001E-2</v>
      </c>
      <c r="K888">
        <v>2</v>
      </c>
      <c r="L888">
        <v>358</v>
      </c>
      <c r="M888" t="str">
        <f t="shared" si="237"/>
        <v>30 Year Fixed</v>
      </c>
      <c r="N888" s="2">
        <v>964.88</v>
      </c>
      <c r="O888" t="str">
        <f t="shared" si="234"/>
        <v>Cash Out</v>
      </c>
      <c r="P888" s="3">
        <f t="shared" si="238"/>
        <v>20485.04201970443</v>
      </c>
      <c r="Q888" s="4">
        <v>144500</v>
      </c>
      <c r="R888" s="4" t="s">
        <v>41</v>
      </c>
      <c r="S888" s="6">
        <v>555</v>
      </c>
      <c r="T888">
        <v>7.625</v>
      </c>
      <c r="U888" s="7">
        <f t="shared" si="235"/>
        <v>1082.9702968157828</v>
      </c>
      <c r="V888" s="2">
        <f t="shared" si="239"/>
        <v>-57.120296815782922</v>
      </c>
      <c r="W888" s="9">
        <f t="shared" si="240"/>
        <v>1</v>
      </c>
      <c r="X888" s="3">
        <v>136810</v>
      </c>
      <c r="Y888" s="3">
        <f t="shared" si="241"/>
        <v>12908.687339901473</v>
      </c>
      <c r="Z888" s="7">
        <f t="shared" si="242"/>
        <v>1025.3367910544448</v>
      </c>
      <c r="AA888" s="2">
        <f t="shared" si="236"/>
        <v>0.51320894555510677</v>
      </c>
      <c r="AB888" s="8">
        <f t="shared" si="243"/>
        <v>0</v>
      </c>
      <c r="AC888" s="10">
        <v>7.625</v>
      </c>
      <c r="AD888" s="7">
        <f t="shared" si="244"/>
        <v>1025.3367910544448</v>
      </c>
      <c r="AE888" s="2">
        <f t="shared" si="245"/>
        <v>0.51320894555510677</v>
      </c>
      <c r="AF888" s="10">
        <v>0</v>
      </c>
      <c r="AG888" s="3">
        <f t="shared" si="246"/>
        <v>0</v>
      </c>
      <c r="AH888" s="7">
        <v>5795</v>
      </c>
      <c r="AI888">
        <f t="shared" si="247"/>
        <v>360</v>
      </c>
      <c r="AJ888" t="e">
        <f>VLOOKUP(A888,'Borrower Details'!$A$1:$H$1493,8,FALSE)</f>
        <v>#N/A</v>
      </c>
      <c r="AK888" s="4" t="e">
        <f t="shared" si="248"/>
        <v>#N/A</v>
      </c>
      <c r="AL888" s="10">
        <v>7.625</v>
      </c>
      <c r="AM888" s="3">
        <f t="shared" si="249"/>
        <v>123707.68234999999</v>
      </c>
      <c r="AN888">
        <v>7.625</v>
      </c>
      <c r="AO888" s="7">
        <f t="shared" si="250"/>
        <v>927.14010707939144</v>
      </c>
      <c r="AP888" s="2">
        <f t="shared" si="251"/>
        <v>98.709892920608468</v>
      </c>
    </row>
    <row r="889" spans="1:42" x14ac:dyDescent="0.15">
      <c r="A889" s="8">
        <v>410571046</v>
      </c>
      <c r="B889" t="s">
        <v>36</v>
      </c>
      <c r="C889" t="s">
        <v>18</v>
      </c>
      <c r="D889" s="1">
        <v>39294</v>
      </c>
      <c r="E889" s="2">
        <v>350000</v>
      </c>
      <c r="F889" s="2">
        <v>315000</v>
      </c>
      <c r="G889" t="s">
        <v>20</v>
      </c>
      <c r="H889" s="2">
        <v>2224.14</v>
      </c>
      <c r="I889" s="2">
        <v>312884.71999999997</v>
      </c>
      <c r="J889">
        <v>7.5999999999999998E-2</v>
      </c>
      <c r="K889">
        <v>9</v>
      </c>
      <c r="L889">
        <v>351</v>
      </c>
      <c r="M889" t="str">
        <f t="shared" si="237"/>
        <v>30 Year Fixed</v>
      </c>
      <c r="N889" s="2">
        <v>1981.6</v>
      </c>
      <c r="O889" t="str">
        <f t="shared" si="234"/>
        <v>Refi</v>
      </c>
      <c r="P889" s="3">
        <f t="shared" si="238"/>
        <v>0</v>
      </c>
      <c r="Q889" s="4">
        <v>317578</v>
      </c>
      <c r="R889" s="4" t="s">
        <v>41</v>
      </c>
      <c r="S889" s="6">
        <v>637</v>
      </c>
      <c r="T889">
        <v>6.75</v>
      </c>
      <c r="U889" s="7">
        <f t="shared" si="235"/>
        <v>2192.1290297860687</v>
      </c>
      <c r="V889" s="2">
        <f t="shared" si="239"/>
        <v>32.010970213931159</v>
      </c>
      <c r="W889" s="9">
        <f t="shared" si="240"/>
        <v>0</v>
      </c>
      <c r="X889" s="3">
        <v>317578</v>
      </c>
      <c r="Y889" s="3">
        <f t="shared" si="241"/>
        <v>9.0640394482761621E-3</v>
      </c>
      <c r="Z889" s="7">
        <f t="shared" si="242"/>
        <v>2192.1290297860687</v>
      </c>
      <c r="AA889" s="2">
        <f t="shared" si="236"/>
        <v>32.010970213931159</v>
      </c>
      <c r="AB889" s="8">
        <f t="shared" si="243"/>
        <v>1</v>
      </c>
      <c r="AC889" s="10">
        <v>6.125</v>
      </c>
      <c r="AD889" s="7">
        <f t="shared" si="244"/>
        <v>2061.961566056229</v>
      </c>
      <c r="AE889" s="2">
        <f t="shared" si="245"/>
        <v>162.17843394377087</v>
      </c>
      <c r="AF889" s="10">
        <v>3</v>
      </c>
      <c r="AG889" s="3">
        <f t="shared" si="246"/>
        <v>9527.34</v>
      </c>
      <c r="AH889" s="7">
        <v>6300</v>
      </c>
      <c r="AI889">
        <f t="shared" si="247"/>
        <v>360</v>
      </c>
      <c r="AJ889" t="e">
        <f>VLOOKUP(A889,'Borrower Details'!$A$1:$H$1493,8,FALSE)</f>
        <v>#N/A</v>
      </c>
      <c r="AK889" s="4" t="e">
        <f t="shared" si="248"/>
        <v>#N/A</v>
      </c>
      <c r="AL889" s="10">
        <v>6.75</v>
      </c>
      <c r="AM889" s="3">
        <f t="shared" si="249"/>
        <v>317577.99079999991</v>
      </c>
      <c r="AN889">
        <v>6.75</v>
      </c>
      <c r="AO889" s="7">
        <f t="shared" si="250"/>
        <v>2192.1289662817103</v>
      </c>
      <c r="AP889" s="2">
        <f t="shared" si="251"/>
        <v>32.011033718289582</v>
      </c>
    </row>
    <row r="890" spans="1:42" x14ac:dyDescent="0.15">
      <c r="A890" s="8">
        <v>1167713</v>
      </c>
      <c r="B890" t="s">
        <v>36</v>
      </c>
      <c r="C890" t="s">
        <v>19</v>
      </c>
      <c r="D890" s="1">
        <v>39169</v>
      </c>
      <c r="E890" s="2">
        <v>182000</v>
      </c>
      <c r="F890" s="2">
        <v>163800</v>
      </c>
      <c r="G890" t="s">
        <v>15</v>
      </c>
      <c r="H890" s="2">
        <v>1395.29</v>
      </c>
      <c r="I890" s="2">
        <v>162734.73000000001</v>
      </c>
      <c r="J890">
        <v>9.6500000000000002E-2</v>
      </c>
      <c r="K890">
        <v>13</v>
      </c>
      <c r="L890">
        <v>347</v>
      </c>
      <c r="M890" t="str">
        <f t="shared" si="237"/>
        <v>30 Year Fixed</v>
      </c>
      <c r="N890" s="2">
        <v>1308.6600000000001</v>
      </c>
      <c r="O890" t="str">
        <f t="shared" si="234"/>
        <v>Refi</v>
      </c>
      <c r="P890" s="3">
        <f t="shared" si="238"/>
        <v>0</v>
      </c>
      <c r="Q890" s="4">
        <v>165176</v>
      </c>
      <c r="R890" s="4" t="s">
        <v>41</v>
      </c>
      <c r="S890" s="6">
        <v>542</v>
      </c>
      <c r="T890">
        <v>7.625</v>
      </c>
      <c r="U890" s="7">
        <f t="shared" si="235"/>
        <v>1237.9287318120676</v>
      </c>
      <c r="V890" s="2">
        <f t="shared" si="239"/>
        <v>157.36126818793241</v>
      </c>
      <c r="W890" s="9">
        <f t="shared" si="240"/>
        <v>0</v>
      </c>
      <c r="X890" s="3">
        <v>165176</v>
      </c>
      <c r="Y890" s="3">
        <f t="shared" si="241"/>
        <v>0.24536945813451894</v>
      </c>
      <c r="Z890" s="7">
        <f t="shared" si="242"/>
        <v>1237.9287318120676</v>
      </c>
      <c r="AA890" s="2">
        <f t="shared" si="236"/>
        <v>157.36126818793241</v>
      </c>
      <c r="AB890" s="8">
        <f t="shared" si="243"/>
        <v>0</v>
      </c>
      <c r="AC890" s="10">
        <v>7.625</v>
      </c>
      <c r="AD890" s="7">
        <f t="shared" si="244"/>
        <v>1237.9287318120676</v>
      </c>
      <c r="AE890" s="2">
        <f t="shared" si="245"/>
        <v>157.36126818793241</v>
      </c>
      <c r="AF890" s="10">
        <v>0</v>
      </c>
      <c r="AG890" s="3">
        <f t="shared" si="246"/>
        <v>0</v>
      </c>
      <c r="AH890" s="7">
        <v>3276</v>
      </c>
      <c r="AI890">
        <f t="shared" si="247"/>
        <v>360</v>
      </c>
      <c r="AJ890" t="e">
        <f>VLOOKUP(A890,'Borrower Details'!$A$1:$H$1493,8,FALSE)</f>
        <v>#N/A</v>
      </c>
      <c r="AK890" s="4" t="e">
        <f t="shared" si="248"/>
        <v>#N/A</v>
      </c>
      <c r="AL890" s="10">
        <v>7.625</v>
      </c>
      <c r="AM890" s="3">
        <f t="shared" si="249"/>
        <v>165175.75094999999</v>
      </c>
      <c r="AN890">
        <v>7.625</v>
      </c>
      <c r="AO890" s="7">
        <f t="shared" si="250"/>
        <v>1237.9268652809089</v>
      </c>
      <c r="AP890" s="2">
        <f t="shared" si="251"/>
        <v>157.36313471909102</v>
      </c>
    </row>
    <row r="891" spans="1:42" x14ac:dyDescent="0.15">
      <c r="A891" s="8">
        <v>410630040</v>
      </c>
      <c r="B891" t="s">
        <v>36</v>
      </c>
      <c r="C891" t="s">
        <v>19</v>
      </c>
      <c r="D891" s="1">
        <v>39281</v>
      </c>
      <c r="E891" s="2">
        <v>145000</v>
      </c>
      <c r="F891" s="2">
        <v>130500</v>
      </c>
      <c r="G891" t="s">
        <v>17</v>
      </c>
      <c r="H891" s="2">
        <v>1031.31</v>
      </c>
      <c r="I891" s="2">
        <v>129806.31</v>
      </c>
      <c r="J891">
        <v>8.7999999999999995E-2</v>
      </c>
      <c r="K891">
        <v>9</v>
      </c>
      <c r="L891">
        <v>351</v>
      </c>
      <c r="M891" t="str">
        <f t="shared" si="237"/>
        <v>30 Year Fixed</v>
      </c>
      <c r="N891" s="2">
        <v>951.91</v>
      </c>
      <c r="O891" t="str">
        <f t="shared" si="234"/>
        <v>Refi</v>
      </c>
      <c r="P891" s="3">
        <f t="shared" si="238"/>
        <v>0</v>
      </c>
      <c r="Q891" s="4">
        <v>131753</v>
      </c>
      <c r="R891" s="4" t="s">
        <v>41</v>
      </c>
      <c r="S891" s="6">
        <v>600</v>
      </c>
      <c r="T891">
        <v>6.875</v>
      </c>
      <c r="U891" s="7">
        <f t="shared" si="235"/>
        <v>920.42050321523629</v>
      </c>
      <c r="V891" s="2">
        <f t="shared" si="239"/>
        <v>110.88949678476365</v>
      </c>
      <c r="W891" s="9">
        <f t="shared" si="240"/>
        <v>0</v>
      </c>
      <c r="X891" s="3">
        <v>131753</v>
      </c>
      <c r="Y891" s="3">
        <f t="shared" si="241"/>
        <v>-0.39866995072225109</v>
      </c>
      <c r="Z891" s="7">
        <f t="shared" si="242"/>
        <v>920.42050321523629</v>
      </c>
      <c r="AA891" s="2">
        <f t="shared" si="236"/>
        <v>110.88949678476365</v>
      </c>
      <c r="AB891" s="8">
        <f t="shared" si="243"/>
        <v>0</v>
      </c>
      <c r="AC891" s="10">
        <v>6.875</v>
      </c>
      <c r="AD891" s="7">
        <f t="shared" si="244"/>
        <v>920.42050321523629</v>
      </c>
      <c r="AE891" s="2">
        <f t="shared" si="245"/>
        <v>110.88949678476365</v>
      </c>
      <c r="AF891" s="10">
        <v>0</v>
      </c>
      <c r="AG891" s="3">
        <f t="shared" si="246"/>
        <v>0</v>
      </c>
      <c r="AH891" s="7">
        <v>2610</v>
      </c>
      <c r="AI891">
        <f t="shared" si="247"/>
        <v>360</v>
      </c>
      <c r="AJ891" t="e">
        <f>VLOOKUP(A891,'Borrower Details'!$A$1:$H$1493,8,FALSE)</f>
        <v>#N/A</v>
      </c>
      <c r="AK891" s="4" t="e">
        <f t="shared" si="248"/>
        <v>#N/A</v>
      </c>
      <c r="AL891" s="10">
        <v>6.875</v>
      </c>
      <c r="AM891" s="3">
        <f t="shared" si="249"/>
        <v>131753.40464999998</v>
      </c>
      <c r="AN891">
        <v>6.875</v>
      </c>
      <c r="AO891" s="7">
        <f t="shared" si="250"/>
        <v>920.42333008184744</v>
      </c>
      <c r="AP891" s="2">
        <f t="shared" si="251"/>
        <v>110.88666991815251</v>
      </c>
    </row>
    <row r="892" spans="1:42" x14ac:dyDescent="0.15">
      <c r="A892" s="8">
        <v>1184589</v>
      </c>
      <c r="B892" t="s">
        <v>36</v>
      </c>
      <c r="C892" t="s">
        <v>18</v>
      </c>
      <c r="D892" s="1">
        <v>39176</v>
      </c>
      <c r="E892" s="2">
        <v>160000</v>
      </c>
      <c r="F892" s="2">
        <v>152000</v>
      </c>
      <c r="G892" t="s">
        <v>15</v>
      </c>
      <c r="H892" s="2">
        <v>1068.02</v>
      </c>
      <c r="I892" s="2">
        <v>150398.79</v>
      </c>
      <c r="J892">
        <v>7.5499999999999998E-2</v>
      </c>
      <c r="K892">
        <v>12</v>
      </c>
      <c r="L892">
        <v>348</v>
      </c>
      <c r="M892" t="str">
        <f t="shared" si="237"/>
        <v>30 Year Fixed</v>
      </c>
      <c r="N892" s="2">
        <v>946.26</v>
      </c>
      <c r="O892" t="str">
        <f t="shared" si="234"/>
        <v>Refi</v>
      </c>
      <c r="P892" s="3">
        <f t="shared" si="238"/>
        <v>0</v>
      </c>
      <c r="Q892" s="4">
        <v>152655</v>
      </c>
      <c r="R892" s="4" t="s">
        <v>41</v>
      </c>
      <c r="S892" s="6">
        <v>721</v>
      </c>
      <c r="T892">
        <v>6.75</v>
      </c>
      <c r="U892" s="7">
        <f t="shared" si="235"/>
        <v>1053.7236743162068</v>
      </c>
      <c r="V892" s="2">
        <f t="shared" si="239"/>
        <v>14.296325683793157</v>
      </c>
      <c r="W892" s="9">
        <f t="shared" si="240"/>
        <v>0</v>
      </c>
      <c r="X892" s="3">
        <v>152655</v>
      </c>
      <c r="Y892" s="3">
        <f t="shared" si="241"/>
        <v>0.22477832512231544</v>
      </c>
      <c r="Z892" s="7">
        <f t="shared" si="242"/>
        <v>1053.7236743162068</v>
      </c>
      <c r="AA892" s="2">
        <f t="shared" si="236"/>
        <v>14.296325683793157</v>
      </c>
      <c r="AB892" s="8">
        <f t="shared" si="243"/>
        <v>1</v>
      </c>
      <c r="AC892" s="10">
        <v>6.125</v>
      </c>
      <c r="AD892" s="7">
        <f t="shared" si="244"/>
        <v>991.15411919690177</v>
      </c>
      <c r="AE892" s="2">
        <f t="shared" si="245"/>
        <v>76.865880803098207</v>
      </c>
      <c r="AF892" s="10">
        <v>3</v>
      </c>
      <c r="AG892" s="3">
        <f t="shared" si="246"/>
        <v>4579.6499999999996</v>
      </c>
      <c r="AH892" s="7">
        <v>3040</v>
      </c>
      <c r="AI892">
        <f t="shared" si="247"/>
        <v>360</v>
      </c>
      <c r="AJ892" t="e">
        <f>VLOOKUP(A892,'Borrower Details'!$A$1:$H$1493,8,FALSE)</f>
        <v>#N/A</v>
      </c>
      <c r="AK892" s="4" t="e">
        <f t="shared" si="248"/>
        <v>#N/A</v>
      </c>
      <c r="AL892" s="10">
        <v>6.75</v>
      </c>
      <c r="AM892" s="3">
        <f t="shared" si="249"/>
        <v>152654.77184999999</v>
      </c>
      <c r="AN892">
        <v>6.75</v>
      </c>
      <c r="AO892" s="7">
        <f t="shared" si="250"/>
        <v>1053.7220994771494</v>
      </c>
      <c r="AP892" s="2">
        <f t="shared" si="251"/>
        <v>14.297900522850568</v>
      </c>
    </row>
    <row r="893" spans="1:42" x14ac:dyDescent="0.15">
      <c r="A893" s="8">
        <v>410544662</v>
      </c>
      <c r="B893" t="s">
        <v>36</v>
      </c>
      <c r="C893" t="s">
        <v>19</v>
      </c>
      <c r="D893" s="1">
        <v>39288</v>
      </c>
      <c r="E893" s="2">
        <v>215000</v>
      </c>
      <c r="F893" s="2">
        <v>192000</v>
      </c>
      <c r="G893" t="s">
        <v>15</v>
      </c>
      <c r="H893" s="2">
        <v>1342.5</v>
      </c>
      <c r="I893" s="2">
        <v>190684.96</v>
      </c>
      <c r="J893">
        <v>7.4999999999999997E-2</v>
      </c>
      <c r="K893">
        <v>9</v>
      </c>
      <c r="L893">
        <v>351</v>
      </c>
      <c r="M893" t="str">
        <f t="shared" si="237"/>
        <v>30 Year Fixed</v>
      </c>
      <c r="N893" s="2">
        <v>1191.78</v>
      </c>
      <c r="O893" t="str">
        <f t="shared" si="234"/>
        <v>Refi</v>
      </c>
      <c r="P893" s="3">
        <f t="shared" si="238"/>
        <v>0</v>
      </c>
      <c r="Q893" s="4">
        <v>193545</v>
      </c>
      <c r="R893" s="4" t="s">
        <v>41</v>
      </c>
      <c r="S893" s="6">
        <v>727</v>
      </c>
      <c r="T893">
        <v>6.75</v>
      </c>
      <c r="U893" s="7">
        <f t="shared" si="235"/>
        <v>1335.9729360029494</v>
      </c>
      <c r="V893" s="2">
        <f t="shared" si="239"/>
        <v>6.5270639970506181</v>
      </c>
      <c r="W893" s="9">
        <f t="shared" si="240"/>
        <v>0</v>
      </c>
      <c r="X893" s="3">
        <v>193545</v>
      </c>
      <c r="Y893" s="3">
        <f t="shared" si="241"/>
        <v>-0.23093596057151444</v>
      </c>
      <c r="Z893" s="7">
        <f t="shared" si="242"/>
        <v>1335.9729360029494</v>
      </c>
      <c r="AA893" s="2">
        <f t="shared" si="236"/>
        <v>6.5270639970506181</v>
      </c>
      <c r="AB893" s="8">
        <f t="shared" si="243"/>
        <v>1</v>
      </c>
      <c r="AC893" s="10">
        <v>6.125</v>
      </c>
      <c r="AD893" s="7">
        <f t="shared" si="244"/>
        <v>1256.6435688314457</v>
      </c>
      <c r="AE893" s="2">
        <f t="shared" si="245"/>
        <v>85.856431168554309</v>
      </c>
      <c r="AF893" s="10">
        <v>3</v>
      </c>
      <c r="AG893" s="3">
        <f t="shared" si="246"/>
        <v>5806.35</v>
      </c>
      <c r="AH893" s="7">
        <v>3840</v>
      </c>
      <c r="AI893">
        <f t="shared" si="247"/>
        <v>360</v>
      </c>
      <c r="AJ893" t="e">
        <f>VLOOKUP(A893,'Borrower Details'!$A$1:$H$1493,8,FALSE)</f>
        <v>#N/A</v>
      </c>
      <c r="AK893" s="4" t="e">
        <f t="shared" si="248"/>
        <v>#N/A</v>
      </c>
      <c r="AL893" s="10">
        <v>6.75</v>
      </c>
      <c r="AM893" s="3">
        <f t="shared" si="249"/>
        <v>193545.23439999999</v>
      </c>
      <c r="AN893">
        <v>6.75</v>
      </c>
      <c r="AO893" s="7">
        <f t="shared" si="250"/>
        <v>1335.9745539835544</v>
      </c>
      <c r="AP893" s="2">
        <f t="shared" si="251"/>
        <v>6.525446016445585</v>
      </c>
    </row>
    <row r="894" spans="1:42" x14ac:dyDescent="0.15">
      <c r="A894" s="8">
        <v>1156193</v>
      </c>
      <c r="B894" t="s">
        <v>36</v>
      </c>
      <c r="C894" t="s">
        <v>19</v>
      </c>
      <c r="D894" s="1">
        <v>39146</v>
      </c>
      <c r="E894" s="2">
        <v>153000</v>
      </c>
      <c r="F894" s="2">
        <v>125000</v>
      </c>
      <c r="G894" t="s">
        <v>17</v>
      </c>
      <c r="H894" s="2">
        <v>848.49</v>
      </c>
      <c r="I894" s="2">
        <v>123770.84</v>
      </c>
      <c r="J894">
        <v>7.1999999999999995E-2</v>
      </c>
      <c r="K894">
        <v>13</v>
      </c>
      <c r="L894">
        <v>348</v>
      </c>
      <c r="M894" t="str">
        <f t="shared" si="237"/>
        <v>30 Year Fixed</v>
      </c>
      <c r="N894" s="2">
        <v>742.63</v>
      </c>
      <c r="O894" t="str">
        <f t="shared" si="234"/>
        <v>Cash Out</v>
      </c>
      <c r="P894" s="3">
        <f t="shared" si="238"/>
        <v>4357.2388177340035</v>
      </c>
      <c r="Q894" s="4">
        <v>130050</v>
      </c>
      <c r="R894" s="4" t="s">
        <v>41</v>
      </c>
      <c r="S894" s="6">
        <v>646</v>
      </c>
      <c r="T894">
        <v>6.75</v>
      </c>
      <c r="U894" s="7">
        <f t="shared" si="235"/>
        <v>897.68932458696202</v>
      </c>
      <c r="V894" s="2">
        <f t="shared" si="239"/>
        <v>-49.199324586962007</v>
      </c>
      <c r="W894" s="9">
        <f t="shared" si="240"/>
        <v>1</v>
      </c>
      <c r="X894" s="3">
        <v>125628</v>
      </c>
      <c r="Y894" s="3">
        <f t="shared" si="241"/>
        <v>0.58857142858323641</v>
      </c>
      <c r="Z894" s="7">
        <f t="shared" si="242"/>
        <v>867.16581675671569</v>
      </c>
      <c r="AA894" s="2">
        <f t="shared" si="236"/>
        <v>-18.675816756715676</v>
      </c>
      <c r="AB894" s="8">
        <f t="shared" si="243"/>
        <v>1</v>
      </c>
      <c r="AC894" s="10">
        <v>6.125</v>
      </c>
      <c r="AD894" s="7">
        <f t="shared" si="244"/>
        <v>815.6739686644288</v>
      </c>
      <c r="AE894" s="2">
        <f t="shared" si="245"/>
        <v>32.816031335571211</v>
      </c>
      <c r="AF894" s="10">
        <v>3</v>
      </c>
      <c r="AG894" s="3">
        <f t="shared" si="246"/>
        <v>3768.84</v>
      </c>
      <c r="AH894" s="7">
        <v>2500</v>
      </c>
      <c r="AI894">
        <f t="shared" si="247"/>
        <v>360</v>
      </c>
      <c r="AJ894" t="e">
        <f>VLOOKUP(A894,'Borrower Details'!$A$1:$H$1493,8,FALSE)</f>
        <v>#N/A</v>
      </c>
      <c r="AK894" s="4" t="e">
        <f t="shared" si="248"/>
        <v>#N/A</v>
      </c>
      <c r="AL894" s="10">
        <v>6.75</v>
      </c>
      <c r="AM894" s="3">
        <f t="shared" si="249"/>
        <v>125627.40259999999</v>
      </c>
      <c r="AN894">
        <v>6.75</v>
      </c>
      <c r="AO894" s="7">
        <f t="shared" si="250"/>
        <v>867.16169311501994</v>
      </c>
      <c r="AP894" s="2">
        <f t="shared" si="251"/>
        <v>-18.671693115019934</v>
      </c>
    </row>
    <row r="895" spans="1:42" x14ac:dyDescent="0.15">
      <c r="A895" s="8">
        <v>1168913</v>
      </c>
      <c r="B895" t="s">
        <v>36</v>
      </c>
      <c r="C895" t="s">
        <v>19</v>
      </c>
      <c r="D895" s="1">
        <v>39167</v>
      </c>
      <c r="E895" s="2">
        <v>228000</v>
      </c>
      <c r="F895" s="2">
        <v>170050</v>
      </c>
      <c r="G895" t="s">
        <v>15</v>
      </c>
      <c r="H895" s="2">
        <v>1282.33</v>
      </c>
      <c r="I895" s="2">
        <v>169522.34</v>
      </c>
      <c r="J895">
        <v>8.7749999999999995E-2</v>
      </c>
      <c r="K895">
        <v>13</v>
      </c>
      <c r="L895">
        <v>347</v>
      </c>
      <c r="M895" t="str">
        <f t="shared" si="237"/>
        <v>30 Year Fixed</v>
      </c>
      <c r="N895" s="2">
        <v>1239.6300000000001</v>
      </c>
      <c r="O895" t="str">
        <f t="shared" si="234"/>
        <v>Cash Out</v>
      </c>
      <c r="P895" s="3">
        <f t="shared" si="238"/>
        <v>21413.620591133018</v>
      </c>
      <c r="Q895" s="4">
        <v>193800</v>
      </c>
      <c r="R895" s="4" t="s">
        <v>41</v>
      </c>
      <c r="S895" s="6">
        <v>519</v>
      </c>
      <c r="T895">
        <v>7.625</v>
      </c>
      <c r="U895" s="7">
        <f t="shared" si="235"/>
        <v>1452.4542804352852</v>
      </c>
      <c r="V895" s="2">
        <f t="shared" si="239"/>
        <v>-170.1242804352853</v>
      </c>
      <c r="W895" s="9">
        <f t="shared" si="240"/>
        <v>1</v>
      </c>
      <c r="X895" s="3">
        <v>172065</v>
      </c>
      <c r="Y895" s="3">
        <f t="shared" si="241"/>
        <v>-0.1725123152427841</v>
      </c>
      <c r="Z895" s="7">
        <f t="shared" si="242"/>
        <v>1289.559059665105</v>
      </c>
      <c r="AA895" s="2">
        <f t="shared" si="236"/>
        <v>-7.2290596651050691</v>
      </c>
      <c r="AB895" s="8">
        <f t="shared" si="243"/>
        <v>1</v>
      </c>
      <c r="AC895" s="10">
        <v>6.875</v>
      </c>
      <c r="AD895" s="7">
        <f t="shared" si="244"/>
        <v>1202.038313250777</v>
      </c>
      <c r="AE895" s="2">
        <f t="shared" si="245"/>
        <v>80.29168674922289</v>
      </c>
      <c r="AF895" s="10">
        <v>1.75</v>
      </c>
      <c r="AG895" s="3">
        <f t="shared" si="246"/>
        <v>3011.1374999999998</v>
      </c>
      <c r="AH895" s="7">
        <v>3401</v>
      </c>
      <c r="AI895">
        <f t="shared" si="247"/>
        <v>360</v>
      </c>
      <c r="AJ895" t="e">
        <f>VLOOKUP(A895,'Borrower Details'!$A$1:$H$1493,8,FALSE)</f>
        <v>#N/A</v>
      </c>
      <c r="AK895" s="4" t="e">
        <f t="shared" si="248"/>
        <v>#N/A</v>
      </c>
      <c r="AL895" s="10">
        <v>7.625</v>
      </c>
      <c r="AM895" s="3">
        <f t="shared" si="249"/>
        <v>172065.17509999999</v>
      </c>
      <c r="AN895">
        <v>7.625</v>
      </c>
      <c r="AO895" s="7">
        <f t="shared" si="250"/>
        <v>1289.5603719702883</v>
      </c>
      <c r="AP895" s="2">
        <f t="shared" si="251"/>
        <v>-7.2303719702883882</v>
      </c>
    </row>
    <row r="896" spans="1:42" x14ac:dyDescent="0.15">
      <c r="A896" s="8">
        <v>1134598</v>
      </c>
      <c r="B896" t="s">
        <v>36</v>
      </c>
      <c r="C896" t="s">
        <v>19</v>
      </c>
      <c r="D896" s="1">
        <v>39141</v>
      </c>
      <c r="E896" s="2">
        <v>315000</v>
      </c>
      <c r="F896" s="2">
        <v>228000</v>
      </c>
      <c r="G896" t="s">
        <v>15</v>
      </c>
      <c r="H896" s="2">
        <v>1555.37</v>
      </c>
      <c r="I896" s="2">
        <v>225375.01</v>
      </c>
      <c r="J896">
        <v>7.2499999999999995E-2</v>
      </c>
      <c r="K896">
        <v>14</v>
      </c>
      <c r="L896">
        <v>346</v>
      </c>
      <c r="M896" t="str">
        <f t="shared" si="237"/>
        <v>30 Year Fixed</v>
      </c>
      <c r="N896" s="2">
        <v>1361.64</v>
      </c>
      <c r="O896" t="str">
        <f t="shared" si="234"/>
        <v>Cash Out</v>
      </c>
      <c r="P896" s="3">
        <f t="shared" si="238"/>
        <v>38418.093448275875</v>
      </c>
      <c r="Q896" s="4">
        <v>267750</v>
      </c>
      <c r="R896" s="4" t="s">
        <v>41</v>
      </c>
      <c r="S896" s="6">
        <v>571</v>
      </c>
      <c r="T896">
        <v>7.625</v>
      </c>
      <c r="U896" s="7">
        <f t="shared" si="235"/>
        <v>2006.680255864539</v>
      </c>
      <c r="V896" s="2">
        <f t="shared" si="239"/>
        <v>-451.31025586453916</v>
      </c>
      <c r="W896" s="9">
        <f t="shared" si="240"/>
        <v>1</v>
      </c>
      <c r="X896" s="3">
        <v>228756</v>
      </c>
      <c r="Y896" s="3">
        <f t="shared" si="241"/>
        <v>0.35945812807767652</v>
      </c>
      <c r="Z896" s="7">
        <f t="shared" si="242"/>
        <v>1714.4356624110121</v>
      </c>
      <c r="AA896" s="2">
        <f t="shared" si="236"/>
        <v>-159.06566241101223</v>
      </c>
      <c r="AB896" s="8">
        <f t="shared" si="243"/>
        <v>1</v>
      </c>
      <c r="AC896" s="10">
        <v>6.875</v>
      </c>
      <c r="AD896" s="7">
        <f t="shared" si="244"/>
        <v>1598.0790770115641</v>
      </c>
      <c r="AE896" s="2">
        <f t="shared" si="245"/>
        <v>-42.709077011564204</v>
      </c>
      <c r="AF896" s="10">
        <v>1</v>
      </c>
      <c r="AG896" s="3">
        <f t="shared" si="246"/>
        <v>2287.56</v>
      </c>
      <c r="AH896" s="7">
        <v>4560</v>
      </c>
      <c r="AI896">
        <f t="shared" si="247"/>
        <v>360</v>
      </c>
      <c r="AJ896" t="e">
        <f>VLOOKUP(A896,'Borrower Details'!$A$1:$H$1493,8,FALSE)</f>
        <v>#N/A</v>
      </c>
      <c r="AK896" s="4" t="e">
        <f t="shared" si="248"/>
        <v>#N/A</v>
      </c>
      <c r="AL896" s="10">
        <v>7.625</v>
      </c>
      <c r="AM896" s="3">
        <f t="shared" si="249"/>
        <v>228755.63514999999</v>
      </c>
      <c r="AN896">
        <v>7.625</v>
      </c>
      <c r="AO896" s="7">
        <f t="shared" si="250"/>
        <v>1714.432928004695</v>
      </c>
      <c r="AP896" s="2">
        <f t="shared" si="251"/>
        <v>-159.0629280046951</v>
      </c>
    </row>
    <row r="897" spans="1:42" x14ac:dyDescent="0.15">
      <c r="A897" s="8">
        <v>410771638</v>
      </c>
      <c r="B897" t="s">
        <v>35</v>
      </c>
      <c r="C897" t="s">
        <v>16</v>
      </c>
      <c r="D897" s="1">
        <v>39307</v>
      </c>
      <c r="E897" s="2">
        <v>91000</v>
      </c>
      <c r="F897" s="2">
        <v>81900</v>
      </c>
      <c r="G897" t="s">
        <v>17</v>
      </c>
      <c r="H897" s="2">
        <v>770.69</v>
      </c>
      <c r="I897" s="2">
        <v>81618.37</v>
      </c>
      <c r="J897">
        <v>0.1085</v>
      </c>
      <c r="K897">
        <v>8</v>
      </c>
      <c r="L897">
        <v>351</v>
      </c>
      <c r="M897" t="str">
        <f t="shared" si="237"/>
        <v>30 Year Fixed</v>
      </c>
      <c r="N897" s="2">
        <v>737.97</v>
      </c>
      <c r="O897" t="str">
        <f t="shared" si="234"/>
        <v>Refi</v>
      </c>
      <c r="P897" s="3">
        <f t="shared" si="238"/>
        <v>0</v>
      </c>
      <c r="Q897" s="4">
        <v>82843</v>
      </c>
      <c r="R897" s="4" t="s">
        <v>41</v>
      </c>
      <c r="S897" s="6">
        <v>587</v>
      </c>
      <c r="T897">
        <v>7.625</v>
      </c>
      <c r="U897" s="7">
        <f t="shared" si="235"/>
        <v>620.87548995923805</v>
      </c>
      <c r="V897" s="2">
        <f t="shared" si="239"/>
        <v>149.814510040762</v>
      </c>
      <c r="W897" s="9">
        <f t="shared" si="240"/>
        <v>0</v>
      </c>
      <c r="X897" s="3">
        <v>82843</v>
      </c>
      <c r="Y897" s="3">
        <f t="shared" si="241"/>
        <v>0.34921182267135009</v>
      </c>
      <c r="Z897" s="7">
        <f t="shared" si="242"/>
        <v>620.87548995923805</v>
      </c>
      <c r="AA897" s="2">
        <f t="shared" si="236"/>
        <v>149.814510040762</v>
      </c>
      <c r="AB897" s="8">
        <f t="shared" si="243"/>
        <v>0</v>
      </c>
      <c r="AC897" s="10">
        <v>7.625</v>
      </c>
      <c r="AD897" s="7">
        <f t="shared" si="244"/>
        <v>620.87548995923805</v>
      </c>
      <c r="AE897" s="2">
        <f t="shared" si="245"/>
        <v>149.814510040762</v>
      </c>
      <c r="AF897" s="10">
        <v>0</v>
      </c>
      <c r="AG897" s="3">
        <f t="shared" si="246"/>
        <v>0</v>
      </c>
      <c r="AH897" s="7">
        <v>4443.0749999999998</v>
      </c>
      <c r="AI897">
        <f t="shared" si="247"/>
        <v>360</v>
      </c>
      <c r="AJ897" t="e">
        <f>VLOOKUP(A897,'Borrower Details'!$A$1:$H$1493,8,FALSE)</f>
        <v>#N/A</v>
      </c>
      <c r="AK897" s="4" t="e">
        <f t="shared" si="248"/>
        <v>#N/A</v>
      </c>
      <c r="AL897" s="10">
        <v>7.625</v>
      </c>
      <c r="AM897" s="3">
        <f t="shared" si="249"/>
        <v>82842.645549999987</v>
      </c>
      <c r="AN897">
        <v>7.625</v>
      </c>
      <c r="AO897" s="7">
        <f t="shared" si="250"/>
        <v>620.87283349680411</v>
      </c>
      <c r="AP897" s="2">
        <f t="shared" si="251"/>
        <v>149.81716650319595</v>
      </c>
    </row>
    <row r="898" spans="1:42" x14ac:dyDescent="0.15">
      <c r="A898" s="8">
        <v>410761696</v>
      </c>
      <c r="B898" t="s">
        <v>38</v>
      </c>
      <c r="C898" t="s">
        <v>18</v>
      </c>
      <c r="D898" s="1">
        <v>39322</v>
      </c>
      <c r="E898" s="2">
        <v>109000</v>
      </c>
      <c r="F898" s="2">
        <v>72000</v>
      </c>
      <c r="G898" t="s">
        <v>21</v>
      </c>
      <c r="H898" s="2">
        <v>629.20000000000005</v>
      </c>
      <c r="I898" s="2">
        <v>71734.78</v>
      </c>
      <c r="J898">
        <v>9.9500000000000005E-2</v>
      </c>
      <c r="K898">
        <v>8</v>
      </c>
      <c r="L898">
        <v>352</v>
      </c>
      <c r="M898" t="str">
        <f t="shared" si="237"/>
        <v>30 Year Fixed</v>
      </c>
      <c r="N898" s="2">
        <v>594.79999999999995</v>
      </c>
      <c r="O898" t="str">
        <f t="shared" ref="O898:O961" si="252">IF((0.85*E898)&gt;(I898*1.015),"Cash Out","Refi")</f>
        <v>Cash Out</v>
      </c>
      <c r="P898" s="3">
        <f t="shared" si="238"/>
        <v>19546.008177339914</v>
      </c>
      <c r="Q898" s="4">
        <v>92650</v>
      </c>
      <c r="R898" s="4" t="s">
        <v>41</v>
      </c>
      <c r="S898" s="6">
        <v>528</v>
      </c>
      <c r="T898">
        <v>7.625</v>
      </c>
      <c r="U898" s="7">
        <f t="shared" ref="U898:U961" si="253">(Q898*((T898/1200)/(1-(1+(T898/1200))^-AI898)))+((Q898*0.005)/12)</f>
        <v>694.37507266423722</v>
      </c>
      <c r="V898" s="2">
        <f t="shared" si="239"/>
        <v>-65.175072664237177</v>
      </c>
      <c r="W898" s="9">
        <f t="shared" si="240"/>
        <v>1</v>
      </c>
      <c r="X898" s="3">
        <v>83880</v>
      </c>
      <c r="Y898" s="3">
        <f t="shared" si="241"/>
        <v>10905.614088669958</v>
      </c>
      <c r="Z898" s="7">
        <f t="shared" si="242"/>
        <v>628.64739444226905</v>
      </c>
      <c r="AA898" s="2">
        <f t="shared" ref="AA898:AA961" si="254">H898-Z898</f>
        <v>0.55260555773099895</v>
      </c>
      <c r="AB898" s="8">
        <f t="shared" si="243"/>
        <v>0</v>
      </c>
      <c r="AC898" s="10">
        <v>7.625</v>
      </c>
      <c r="AD898" s="7">
        <f t="shared" si="244"/>
        <v>628.64739444226905</v>
      </c>
      <c r="AE898" s="2">
        <f t="shared" si="245"/>
        <v>0.55260555773099895</v>
      </c>
      <c r="AF898" s="10">
        <v>0</v>
      </c>
      <c r="AG898" s="3">
        <f t="shared" si="246"/>
        <v>0</v>
      </c>
      <c r="AH898" s="7">
        <v>0</v>
      </c>
      <c r="AI898">
        <f t="shared" si="247"/>
        <v>360</v>
      </c>
      <c r="AJ898" t="e">
        <f>VLOOKUP(A898,'Borrower Details'!$A$1:$H$1493,8,FALSE)</f>
        <v>#N/A</v>
      </c>
      <c r="AK898" s="4" t="e">
        <f t="shared" si="248"/>
        <v>#N/A</v>
      </c>
      <c r="AL898" s="10">
        <v>7.625</v>
      </c>
      <c r="AM898" s="3">
        <f t="shared" si="249"/>
        <v>72810.801699999996</v>
      </c>
      <c r="AN898">
        <v>7.625</v>
      </c>
      <c r="AO898" s="7">
        <f t="shared" si="250"/>
        <v>545.68813514494195</v>
      </c>
      <c r="AP898" s="2">
        <f t="shared" si="251"/>
        <v>83.511864855058093</v>
      </c>
    </row>
    <row r="899" spans="1:42" x14ac:dyDescent="0.15">
      <c r="A899" s="8">
        <v>411225642</v>
      </c>
      <c r="B899" t="s">
        <v>37</v>
      </c>
      <c r="C899" t="s">
        <v>16</v>
      </c>
      <c r="D899" s="1">
        <v>39484</v>
      </c>
      <c r="E899" s="2">
        <v>265000</v>
      </c>
      <c r="F899" s="2">
        <v>198750</v>
      </c>
      <c r="G899" t="s">
        <v>17</v>
      </c>
      <c r="H899" s="2">
        <v>1393.1</v>
      </c>
      <c r="I899" s="2">
        <v>198286.07999999999</v>
      </c>
      <c r="J899">
        <v>7.5249999999999997E-2</v>
      </c>
      <c r="K899">
        <v>2</v>
      </c>
      <c r="L899">
        <v>357</v>
      </c>
      <c r="M899" t="str">
        <f t="shared" ref="M899:M962" si="255">(IF((L899+K899)&lt;180,"15 Year Fixed","30 Year Fixed"))</f>
        <v>30 Year Fixed</v>
      </c>
      <c r="N899" s="2">
        <v>1243.42</v>
      </c>
      <c r="O899" t="str">
        <f t="shared" si="252"/>
        <v>Cash Out</v>
      </c>
      <c r="P899" s="3">
        <f t="shared" ref="P899:P962" si="256">IF((0.85*E899)&gt;(I899*1.015),((0.85*E899)/1.015)-(I899),0)</f>
        <v>23635.102266009897</v>
      </c>
      <c r="Q899" s="4">
        <v>225250</v>
      </c>
      <c r="R899" s="4" t="s">
        <v>41</v>
      </c>
      <c r="S899" s="6">
        <v>688</v>
      </c>
      <c r="T899">
        <v>6.75</v>
      </c>
      <c r="U899" s="7">
        <f t="shared" si="253"/>
        <v>1554.8213791865683</v>
      </c>
      <c r="V899" s="2">
        <f t="shared" ref="V899:V962" si="257">H899-U899</f>
        <v>-161.72137918656836</v>
      </c>
      <c r="W899" s="9">
        <f t="shared" ref="W899:W962" si="258">IF(AND(O899="Cash Out",V899&lt;0),1,0)</f>
        <v>1</v>
      </c>
      <c r="X899" s="3">
        <v>201740</v>
      </c>
      <c r="Y899" s="3">
        <f t="shared" ref="Y899:Y962" si="259">(X899/1.015)-(I899)</f>
        <v>472.54068965520128</v>
      </c>
      <c r="Z899" s="7">
        <f t="shared" ref="Z899:Z962" si="260">(X899*((AL899/1200)/(1-(1+(AL899/1200))^-AI899)))+((X899*0.005)/12)</f>
        <v>1392.5401333500479</v>
      </c>
      <c r="AA899" s="2">
        <f t="shared" si="254"/>
        <v>0.55986664995202773</v>
      </c>
      <c r="AB899" s="8">
        <f t="shared" ref="AB899:AB962" si="261">IF(I899=0,0,IF(AND(AH899&gt;0,(AP899/AO899)&lt;0.07),1,IF(AND(AH899=0,(AP899/AO899)&lt;0.1),1,0)))</f>
        <v>1</v>
      </c>
      <c r="AC899" s="10">
        <v>6.125</v>
      </c>
      <c r="AD899" s="7">
        <f t="shared" ref="AD899:AD962" si="262">(X899*((AC899/1200)/(1-(1+(AC899/1200))^-AI899)))+((X899*0.005)/12)</f>
        <v>1309.8518358834167</v>
      </c>
      <c r="AE899" s="2">
        <f t="shared" ref="AE899:AE962" si="263">H899-AD899</f>
        <v>83.248164116583212</v>
      </c>
      <c r="AF899" s="10">
        <v>3</v>
      </c>
      <c r="AG899" s="3">
        <f t="shared" ref="AG899:AG962" si="264">AF899*X899/100</f>
        <v>6052.2</v>
      </c>
      <c r="AH899" s="7">
        <v>0</v>
      </c>
      <c r="AI899">
        <f t="shared" ref="AI899:AI962" si="265">IF(M899="30 Year Fixed",360,180)</f>
        <v>360</v>
      </c>
      <c r="AJ899" t="e">
        <f>VLOOKUP(A899,'Borrower Details'!$A$1:$H$1493,8,FALSE)</f>
        <v>#N/A</v>
      </c>
      <c r="AK899" s="4" t="e">
        <f t="shared" ref="AK899:AK962" si="266">IF(AJ899&gt;360,PV((J899/12),AJ899-AI899,-H899),"NA")</f>
        <v>#N/A</v>
      </c>
      <c r="AL899" s="10">
        <v>6.75</v>
      </c>
      <c r="AM899" s="3">
        <f t="shared" ref="AM899:AM962" si="267">I899*1.015</f>
        <v>201260.37119999997</v>
      </c>
      <c r="AN899">
        <v>6.75</v>
      </c>
      <c r="AO899" s="7">
        <f t="shared" ref="AO899:AO962" si="268">(AM899*((AN899/1200)/(1-(1+(AN899/1200))^-AI899)))+((AM899*0.005)/12)</f>
        <v>1389.2294247493214</v>
      </c>
      <c r="AP899" s="2">
        <f t="shared" ref="AP899:AP962" si="269">H899-AO899</f>
        <v>3.8705752506784847</v>
      </c>
    </row>
    <row r="900" spans="1:42" x14ac:dyDescent="0.15">
      <c r="A900" s="8">
        <v>410964290</v>
      </c>
      <c r="B900" t="s">
        <v>37</v>
      </c>
      <c r="C900" t="s">
        <v>18</v>
      </c>
      <c r="D900" s="1">
        <v>39370</v>
      </c>
      <c r="E900" s="2">
        <v>185000</v>
      </c>
      <c r="F900" s="2">
        <v>166500</v>
      </c>
      <c r="G900" t="s">
        <v>17</v>
      </c>
      <c r="H900" s="2">
        <v>1541.75</v>
      </c>
      <c r="I900" s="2">
        <v>165808.34</v>
      </c>
      <c r="J900">
        <v>0.1065</v>
      </c>
      <c r="K900">
        <v>6</v>
      </c>
      <c r="L900">
        <v>354</v>
      </c>
      <c r="M900" t="str">
        <f t="shared" si="255"/>
        <v>30 Year Fixed</v>
      </c>
      <c r="N900" s="2">
        <v>1471.55</v>
      </c>
      <c r="O900" t="str">
        <f t="shared" si="252"/>
        <v>Refi</v>
      </c>
      <c r="P900" s="3">
        <f t="shared" si="256"/>
        <v>0</v>
      </c>
      <c r="Q900" s="4">
        <v>168295</v>
      </c>
      <c r="R900" s="4" t="s">
        <v>41</v>
      </c>
      <c r="S900" s="6">
        <v>603</v>
      </c>
      <c r="T900">
        <v>6.875</v>
      </c>
      <c r="U900" s="7">
        <f t="shared" si="253"/>
        <v>1175.7012636418769</v>
      </c>
      <c r="V900" s="2">
        <f t="shared" si="257"/>
        <v>366.04873635812305</v>
      </c>
      <c r="W900" s="9">
        <f t="shared" si="258"/>
        <v>0</v>
      </c>
      <c r="X900" s="3">
        <v>168295</v>
      </c>
      <c r="Y900" s="3">
        <f t="shared" si="259"/>
        <v>-0.45822660095291212</v>
      </c>
      <c r="Z900" s="7">
        <f t="shared" si="260"/>
        <v>1175.7012636418769</v>
      </c>
      <c r="AA900" s="2">
        <f t="shared" si="254"/>
        <v>366.04873635812305</v>
      </c>
      <c r="AB900" s="8">
        <f t="shared" si="261"/>
        <v>0</v>
      </c>
      <c r="AC900" s="10">
        <v>6.875</v>
      </c>
      <c r="AD900" s="7">
        <f t="shared" si="262"/>
        <v>1175.7012636418769</v>
      </c>
      <c r="AE900" s="2">
        <f t="shared" si="263"/>
        <v>366.04873635812305</v>
      </c>
      <c r="AF900" s="10">
        <v>0</v>
      </c>
      <c r="AG900" s="3">
        <f t="shared" si="264"/>
        <v>0</v>
      </c>
      <c r="AH900" s="7">
        <v>1665</v>
      </c>
      <c r="AI900">
        <f t="shared" si="265"/>
        <v>360</v>
      </c>
      <c r="AJ900" t="e">
        <f>VLOOKUP(A900,'Borrower Details'!$A$1:$H$1493,8,FALSE)</f>
        <v>#N/A</v>
      </c>
      <c r="AK900" s="4" t="e">
        <f t="shared" si="266"/>
        <v>#N/A</v>
      </c>
      <c r="AL900" s="10">
        <v>6.875</v>
      </c>
      <c r="AM900" s="3">
        <f t="shared" si="267"/>
        <v>168295.46509999997</v>
      </c>
      <c r="AN900">
        <v>6.875</v>
      </c>
      <c r="AO900" s="7">
        <f t="shared" si="268"/>
        <v>1175.7045128094558</v>
      </c>
      <c r="AP900" s="2">
        <f t="shared" si="269"/>
        <v>366.04548719054424</v>
      </c>
    </row>
    <row r="901" spans="1:42" x14ac:dyDescent="0.15">
      <c r="A901" s="8">
        <v>1175832</v>
      </c>
      <c r="B901" t="s">
        <v>35</v>
      </c>
      <c r="C901" t="s">
        <v>16</v>
      </c>
      <c r="D901" s="1">
        <v>39175</v>
      </c>
      <c r="E901" s="2">
        <v>160000</v>
      </c>
      <c r="F901" s="2">
        <v>128000</v>
      </c>
      <c r="G901" t="s">
        <v>17</v>
      </c>
      <c r="H901" s="2">
        <v>821.72</v>
      </c>
      <c r="I901" s="2">
        <v>126609.46</v>
      </c>
      <c r="J901">
        <v>6.6500000000000004E-2</v>
      </c>
      <c r="K901">
        <v>12</v>
      </c>
      <c r="L901">
        <v>348</v>
      </c>
      <c r="M901" t="str">
        <f t="shared" si="255"/>
        <v>30 Year Fixed</v>
      </c>
      <c r="N901" s="2">
        <v>701.63</v>
      </c>
      <c r="O901" t="str">
        <f t="shared" si="252"/>
        <v>Cash Out</v>
      </c>
      <c r="P901" s="3">
        <f t="shared" si="256"/>
        <v>7380.68778325124</v>
      </c>
      <c r="Q901" s="4">
        <v>136000</v>
      </c>
      <c r="R901" s="4" t="s">
        <v>41</v>
      </c>
      <c r="S901" s="6">
        <v>659</v>
      </c>
      <c r="T901">
        <v>6.75</v>
      </c>
      <c r="U901" s="7">
        <f t="shared" si="253"/>
        <v>938.76007799943739</v>
      </c>
      <c r="V901" s="2">
        <f t="shared" si="257"/>
        <v>-117.04007799943736</v>
      </c>
      <c r="W901" s="9">
        <f t="shared" si="258"/>
        <v>1</v>
      </c>
      <c r="X901" s="3">
        <v>128508</v>
      </c>
      <c r="Y901" s="3">
        <f t="shared" si="259"/>
        <v>-0.59300492610782385</v>
      </c>
      <c r="Z901" s="7">
        <f t="shared" si="260"/>
        <v>887.04544193788013</v>
      </c>
      <c r="AA901" s="2">
        <f t="shared" si="254"/>
        <v>-65.3254419378801</v>
      </c>
      <c r="AB901" s="8">
        <f t="shared" si="261"/>
        <v>1</v>
      </c>
      <c r="AC901" s="10">
        <v>6.125</v>
      </c>
      <c r="AD901" s="7">
        <f t="shared" si="262"/>
        <v>834.37315220435255</v>
      </c>
      <c r="AE901" s="2">
        <f t="shared" si="263"/>
        <v>-12.653152204352523</v>
      </c>
      <c r="AF901" s="10">
        <v>3</v>
      </c>
      <c r="AG901" s="3">
        <f t="shared" si="264"/>
        <v>3855.24</v>
      </c>
      <c r="AH901" s="7">
        <v>4256</v>
      </c>
      <c r="AI901">
        <f t="shared" si="265"/>
        <v>360</v>
      </c>
      <c r="AJ901" t="e">
        <f>VLOOKUP(A901,'Borrower Details'!$A$1:$H$1493,8,FALSE)</f>
        <v>#N/A</v>
      </c>
      <c r="AK901" s="4" t="e">
        <f t="shared" si="266"/>
        <v>#N/A</v>
      </c>
      <c r="AL901" s="10">
        <v>6.75</v>
      </c>
      <c r="AM901" s="3">
        <f t="shared" si="267"/>
        <v>128508.60189999999</v>
      </c>
      <c r="AN901">
        <v>6.75</v>
      </c>
      <c r="AO901" s="7">
        <f t="shared" si="268"/>
        <v>887.0495966414901</v>
      </c>
      <c r="AP901" s="2">
        <f t="shared" si="269"/>
        <v>-65.32959664149007</v>
      </c>
    </row>
    <row r="902" spans="1:42" x14ac:dyDescent="0.15">
      <c r="A902" s="8">
        <v>410257604</v>
      </c>
      <c r="B902" t="s">
        <v>37</v>
      </c>
      <c r="C902" t="s">
        <v>19</v>
      </c>
      <c r="D902" s="1">
        <v>39241</v>
      </c>
      <c r="E902" s="2">
        <v>76000</v>
      </c>
      <c r="F902" s="2">
        <v>59000</v>
      </c>
      <c r="G902" t="s">
        <v>17</v>
      </c>
      <c r="H902" s="2">
        <v>496.11</v>
      </c>
      <c r="I902" s="2">
        <v>58667.76</v>
      </c>
      <c r="J902">
        <v>9.5000000000000001E-2</v>
      </c>
      <c r="K902">
        <v>10</v>
      </c>
      <c r="L902">
        <v>349</v>
      </c>
      <c r="M902" t="str">
        <f t="shared" si="255"/>
        <v>30 Year Fixed</v>
      </c>
      <c r="N902" s="2">
        <v>464.45</v>
      </c>
      <c r="O902" t="str">
        <f t="shared" si="252"/>
        <v>Cash Out</v>
      </c>
      <c r="P902" s="3">
        <f t="shared" si="256"/>
        <v>4977.5601970443386</v>
      </c>
      <c r="Q902" s="4">
        <v>64600</v>
      </c>
      <c r="R902" s="4" t="s">
        <v>41</v>
      </c>
      <c r="S902" s="6">
        <v>576</v>
      </c>
      <c r="T902">
        <v>7.625</v>
      </c>
      <c r="U902" s="7">
        <f t="shared" si="253"/>
        <v>484.15142681176178</v>
      </c>
      <c r="V902" s="2">
        <f t="shared" si="257"/>
        <v>11.958573188238233</v>
      </c>
      <c r="W902" s="9">
        <f t="shared" si="258"/>
        <v>0</v>
      </c>
      <c r="X902" s="3">
        <v>64600</v>
      </c>
      <c r="Y902" s="3">
        <f t="shared" si="259"/>
        <v>4977.5601970443386</v>
      </c>
      <c r="Z902" s="7">
        <f t="shared" si="260"/>
        <v>484.15142681176178</v>
      </c>
      <c r="AA902" s="2">
        <f t="shared" si="254"/>
        <v>11.958573188238233</v>
      </c>
      <c r="AB902" s="8">
        <f t="shared" si="261"/>
        <v>0</v>
      </c>
      <c r="AC902" s="10">
        <v>7.625</v>
      </c>
      <c r="AD902" s="7">
        <f t="shared" si="262"/>
        <v>484.15142681176178</v>
      </c>
      <c r="AE902" s="2">
        <f t="shared" si="263"/>
        <v>11.958573188238233</v>
      </c>
      <c r="AF902" s="10">
        <v>0</v>
      </c>
      <c r="AG902" s="3">
        <f t="shared" si="264"/>
        <v>0</v>
      </c>
      <c r="AH902" s="7">
        <v>0</v>
      </c>
      <c r="AI902">
        <f t="shared" si="265"/>
        <v>360</v>
      </c>
      <c r="AJ902" t="e">
        <f>VLOOKUP(A902,'Borrower Details'!$A$1:$H$1493,8,FALSE)</f>
        <v>#N/A</v>
      </c>
      <c r="AK902" s="4" t="e">
        <f t="shared" si="266"/>
        <v>#N/A</v>
      </c>
      <c r="AL902" s="10">
        <v>7.625</v>
      </c>
      <c r="AM902" s="3">
        <f t="shared" si="267"/>
        <v>59547.776399999995</v>
      </c>
      <c r="AN902">
        <v>7.625</v>
      </c>
      <c r="AO902" s="7">
        <f t="shared" si="268"/>
        <v>446.28701095244202</v>
      </c>
      <c r="AP902" s="2">
        <f t="shared" si="269"/>
        <v>49.822989047557996</v>
      </c>
    </row>
    <row r="903" spans="1:42" x14ac:dyDescent="0.15">
      <c r="A903" s="8">
        <v>410098412</v>
      </c>
      <c r="B903" t="s">
        <v>36</v>
      </c>
      <c r="C903" t="s">
        <v>19</v>
      </c>
      <c r="D903" s="1">
        <v>39198</v>
      </c>
      <c r="E903" s="2">
        <v>218100</v>
      </c>
      <c r="F903" s="2">
        <v>199500</v>
      </c>
      <c r="G903" t="s">
        <v>15</v>
      </c>
      <c r="H903" s="2">
        <v>1476.2</v>
      </c>
      <c r="I903" s="2">
        <v>198899.36</v>
      </c>
      <c r="J903">
        <v>8.5900000000000004E-2</v>
      </c>
      <c r="K903">
        <v>12</v>
      </c>
      <c r="L903">
        <v>348</v>
      </c>
      <c r="M903" t="str">
        <f t="shared" si="255"/>
        <v>30 Year Fixed</v>
      </c>
      <c r="N903" s="2">
        <v>1423.79</v>
      </c>
      <c r="O903" t="str">
        <f t="shared" si="252"/>
        <v>Refi</v>
      </c>
      <c r="P903" s="3">
        <f t="shared" si="256"/>
        <v>0</v>
      </c>
      <c r="Q903" s="4">
        <v>201883</v>
      </c>
      <c r="R903" s="4" t="s">
        <v>41</v>
      </c>
      <c r="S903" s="6">
        <v>627</v>
      </c>
      <c r="T903">
        <v>6.75</v>
      </c>
      <c r="U903" s="7">
        <f t="shared" si="253"/>
        <v>1393.5272119614738</v>
      </c>
      <c r="V903" s="2">
        <f t="shared" si="257"/>
        <v>82.672788038526278</v>
      </c>
      <c r="W903" s="9">
        <f t="shared" si="258"/>
        <v>0</v>
      </c>
      <c r="X903" s="3">
        <v>201883</v>
      </c>
      <c r="Y903" s="3">
        <f t="shared" si="259"/>
        <v>0.14738916259375401</v>
      </c>
      <c r="Z903" s="7">
        <f t="shared" si="260"/>
        <v>1393.5272119614738</v>
      </c>
      <c r="AA903" s="2">
        <f t="shared" si="254"/>
        <v>82.672788038526278</v>
      </c>
      <c r="AB903" s="8">
        <f t="shared" si="261"/>
        <v>1</v>
      </c>
      <c r="AC903" s="10">
        <v>6.125</v>
      </c>
      <c r="AD903" s="7">
        <f t="shared" si="262"/>
        <v>1310.7803022883502</v>
      </c>
      <c r="AE903" s="2">
        <f t="shared" si="263"/>
        <v>165.41969771164986</v>
      </c>
      <c r="AF903" s="10">
        <v>3</v>
      </c>
      <c r="AG903" s="3">
        <f t="shared" si="264"/>
        <v>6056.49</v>
      </c>
      <c r="AH903" s="7">
        <v>3990</v>
      </c>
      <c r="AI903">
        <f t="shared" si="265"/>
        <v>360</v>
      </c>
      <c r="AJ903" t="e">
        <f>VLOOKUP(A903,'Borrower Details'!$A$1:$H$1493,8,FALSE)</f>
        <v>#N/A</v>
      </c>
      <c r="AK903" s="4" t="e">
        <f t="shared" si="266"/>
        <v>#N/A</v>
      </c>
      <c r="AL903" s="10">
        <v>6.75</v>
      </c>
      <c r="AM903" s="3">
        <f t="shared" si="267"/>
        <v>201882.85039999997</v>
      </c>
      <c r="AN903">
        <v>6.75</v>
      </c>
      <c r="AO903" s="7">
        <f t="shared" si="268"/>
        <v>1393.5261793253876</v>
      </c>
      <c r="AP903" s="2">
        <f t="shared" si="269"/>
        <v>82.673820674612443</v>
      </c>
    </row>
    <row r="904" spans="1:42" x14ac:dyDescent="0.15">
      <c r="A904" s="8">
        <v>1157651</v>
      </c>
      <c r="B904" t="s">
        <v>36</v>
      </c>
      <c r="C904" t="s">
        <v>19</v>
      </c>
      <c r="D904" s="1">
        <v>39154</v>
      </c>
      <c r="E904" s="2">
        <v>202000</v>
      </c>
      <c r="F904" s="2">
        <v>164400</v>
      </c>
      <c r="G904" t="s">
        <v>17</v>
      </c>
      <c r="H904" s="2">
        <v>1200.5899999999999</v>
      </c>
      <c r="I904" s="2">
        <v>162880.15</v>
      </c>
      <c r="J904">
        <v>7.9500000000000001E-2</v>
      </c>
      <c r="K904">
        <v>13</v>
      </c>
      <c r="L904">
        <v>347</v>
      </c>
      <c r="M904" t="str">
        <f t="shared" si="255"/>
        <v>30 Year Fixed</v>
      </c>
      <c r="N904" s="2">
        <v>1079.08</v>
      </c>
      <c r="O904" t="str">
        <f t="shared" si="252"/>
        <v>Cash Out</v>
      </c>
      <c r="P904" s="3">
        <f t="shared" si="256"/>
        <v>6282.4115763547015</v>
      </c>
      <c r="Q904" s="4">
        <v>171700</v>
      </c>
      <c r="R904" s="4" t="s">
        <v>41</v>
      </c>
      <c r="S904" s="6">
        <v>594</v>
      </c>
      <c r="T904">
        <v>7.375</v>
      </c>
      <c r="U904" s="7">
        <f t="shared" si="253"/>
        <v>1257.4308950912957</v>
      </c>
      <c r="V904" s="2">
        <f t="shared" si="257"/>
        <v>-56.840895091295806</v>
      </c>
      <c r="W904" s="9">
        <f t="shared" si="258"/>
        <v>1</v>
      </c>
      <c r="X904" s="3">
        <v>165323</v>
      </c>
      <c r="Y904" s="3">
        <f t="shared" si="259"/>
        <v>-0.34704433495062403</v>
      </c>
      <c r="Z904" s="7">
        <f t="shared" si="260"/>
        <v>1210.7294575956801</v>
      </c>
      <c r="AA904" s="2">
        <f t="shared" si="254"/>
        <v>-10.139457595680142</v>
      </c>
      <c r="AB904" s="8">
        <f t="shared" si="261"/>
        <v>1</v>
      </c>
      <c r="AC904" s="10">
        <v>6.625</v>
      </c>
      <c r="AD904" s="7">
        <f t="shared" si="262"/>
        <v>1127.4658735115499</v>
      </c>
      <c r="AE904" s="2">
        <f t="shared" si="263"/>
        <v>73.124126488449974</v>
      </c>
      <c r="AF904" s="10">
        <v>1.875</v>
      </c>
      <c r="AG904" s="3">
        <f t="shared" si="264"/>
        <v>3099.8062500000001</v>
      </c>
      <c r="AH904" s="7">
        <v>3288</v>
      </c>
      <c r="AI904">
        <f t="shared" si="265"/>
        <v>360</v>
      </c>
      <c r="AJ904" t="e">
        <f>VLOOKUP(A904,'Borrower Details'!$A$1:$H$1493,8,FALSE)</f>
        <v>#N/A</v>
      </c>
      <c r="AK904" s="4" t="e">
        <f t="shared" si="266"/>
        <v>#N/A</v>
      </c>
      <c r="AL904" s="10">
        <v>7.375</v>
      </c>
      <c r="AM904" s="3">
        <f t="shared" si="267"/>
        <v>165323.35224999997</v>
      </c>
      <c r="AN904">
        <v>7.375</v>
      </c>
      <c r="AO904" s="7">
        <f t="shared" si="268"/>
        <v>1210.7320372697206</v>
      </c>
      <c r="AP904" s="2">
        <f t="shared" si="269"/>
        <v>-10.142037269720731</v>
      </c>
    </row>
    <row r="905" spans="1:42" x14ac:dyDescent="0.15">
      <c r="A905" s="8">
        <v>1152655</v>
      </c>
      <c r="B905" t="s">
        <v>35</v>
      </c>
      <c r="C905" t="s">
        <v>16</v>
      </c>
      <c r="D905" s="1">
        <v>39141</v>
      </c>
      <c r="E905" s="2">
        <v>118000</v>
      </c>
      <c r="F905" s="2">
        <v>80000</v>
      </c>
      <c r="G905" t="s">
        <v>15</v>
      </c>
      <c r="H905" s="2">
        <v>564.86</v>
      </c>
      <c r="I905" s="2">
        <v>79087.320000000007</v>
      </c>
      <c r="J905">
        <v>7.5999999999999998E-2</v>
      </c>
      <c r="K905">
        <v>14</v>
      </c>
      <c r="L905">
        <v>345</v>
      </c>
      <c r="M905" t="str">
        <f t="shared" si="255"/>
        <v>30 Year Fixed</v>
      </c>
      <c r="N905" s="2">
        <v>500.89</v>
      </c>
      <c r="O905" t="str">
        <f t="shared" si="252"/>
        <v>Cash Out</v>
      </c>
      <c r="P905" s="3">
        <f t="shared" si="256"/>
        <v>19730.41399014779</v>
      </c>
      <c r="Q905" s="4">
        <v>100300</v>
      </c>
      <c r="R905" s="4" t="s">
        <v>41</v>
      </c>
      <c r="S905" s="6">
        <v>581</v>
      </c>
      <c r="T905">
        <v>7.375</v>
      </c>
      <c r="U905" s="7">
        <f t="shared" si="253"/>
        <v>734.53883970679647</v>
      </c>
      <c r="V905" s="2">
        <f t="shared" si="257"/>
        <v>-169.67883970679645</v>
      </c>
      <c r="W905" s="9">
        <f t="shared" si="258"/>
        <v>1</v>
      </c>
      <c r="X905" s="3">
        <v>80273</v>
      </c>
      <c r="Y905" s="3">
        <f t="shared" si="259"/>
        <v>-0.62049261083302554</v>
      </c>
      <c r="Z905" s="7">
        <f t="shared" si="260"/>
        <v>601.61435734459064</v>
      </c>
      <c r="AA905" s="2">
        <f t="shared" si="254"/>
        <v>-36.75435734459063</v>
      </c>
      <c r="AB905" s="8">
        <f t="shared" si="261"/>
        <v>1</v>
      </c>
      <c r="AC905" s="10">
        <v>6.875</v>
      </c>
      <c r="AD905" s="7">
        <f t="shared" si="262"/>
        <v>560.7835499350806</v>
      </c>
      <c r="AE905" s="2">
        <f t="shared" si="263"/>
        <v>4.0764500649194133</v>
      </c>
      <c r="AF905" s="10">
        <v>1</v>
      </c>
      <c r="AG905" s="3">
        <f t="shared" si="264"/>
        <v>802.73</v>
      </c>
      <c r="AH905" s="7">
        <v>3040</v>
      </c>
      <c r="AI905">
        <f t="shared" si="265"/>
        <v>360</v>
      </c>
      <c r="AJ905" t="e">
        <f>VLOOKUP(A905,'Borrower Details'!$A$1:$H$1493,8,FALSE)</f>
        <v>#N/A</v>
      </c>
      <c r="AK905" s="4" t="e">
        <f t="shared" si="266"/>
        <v>#N/A</v>
      </c>
      <c r="AL905" s="10">
        <v>7.625</v>
      </c>
      <c r="AM905" s="3">
        <f t="shared" si="267"/>
        <v>80273.629799999995</v>
      </c>
      <c r="AN905">
        <v>7.625</v>
      </c>
      <c r="AO905" s="7">
        <f t="shared" si="268"/>
        <v>601.61907744627172</v>
      </c>
      <c r="AP905" s="2">
        <f t="shared" si="269"/>
        <v>-36.759077446271704</v>
      </c>
    </row>
    <row r="906" spans="1:42" x14ac:dyDescent="0.15">
      <c r="A906" s="8">
        <v>1156422</v>
      </c>
      <c r="B906" t="s">
        <v>38</v>
      </c>
      <c r="C906" t="s">
        <v>19</v>
      </c>
      <c r="D906" s="1">
        <v>39160</v>
      </c>
      <c r="E906" s="2">
        <v>110000</v>
      </c>
      <c r="F906" s="2">
        <v>93500</v>
      </c>
      <c r="G906" t="s">
        <v>15</v>
      </c>
      <c r="H906" s="2">
        <v>796.46</v>
      </c>
      <c r="I906" s="2">
        <v>92790.19</v>
      </c>
      <c r="J906">
        <v>9.6500000000000002E-2</v>
      </c>
      <c r="K906">
        <v>13</v>
      </c>
      <c r="L906">
        <v>346</v>
      </c>
      <c r="M906" t="str">
        <f t="shared" si="255"/>
        <v>30 Year Fixed</v>
      </c>
      <c r="N906" s="2">
        <v>746.62</v>
      </c>
      <c r="O906" t="str">
        <f t="shared" si="252"/>
        <v>Refi</v>
      </c>
      <c r="P906" s="3">
        <f t="shared" si="256"/>
        <v>0</v>
      </c>
      <c r="Q906" s="4">
        <v>94182</v>
      </c>
      <c r="R906" s="4" t="s">
        <v>41</v>
      </c>
      <c r="S906" s="6">
        <v>522</v>
      </c>
      <c r="T906">
        <v>7.625</v>
      </c>
      <c r="U906" s="7">
        <f t="shared" si="253"/>
        <v>705.85680619172365</v>
      </c>
      <c r="V906" s="2">
        <f t="shared" si="257"/>
        <v>90.603193808276387</v>
      </c>
      <c r="W906" s="9">
        <f t="shared" si="258"/>
        <v>0</v>
      </c>
      <c r="X906" s="3">
        <v>94182</v>
      </c>
      <c r="Y906" s="3">
        <f t="shared" si="259"/>
        <v>-4.2216748755890876E-2</v>
      </c>
      <c r="Z906" s="7">
        <f t="shared" si="260"/>
        <v>705.85680619172365</v>
      </c>
      <c r="AA906" s="2">
        <f t="shared" si="254"/>
        <v>90.603193808276387</v>
      </c>
      <c r="AB906" s="8">
        <f t="shared" si="261"/>
        <v>0</v>
      </c>
      <c r="AC906" s="10">
        <v>7.625</v>
      </c>
      <c r="AD906" s="7">
        <f t="shared" si="262"/>
        <v>705.85680619172365</v>
      </c>
      <c r="AE906" s="2">
        <f t="shared" si="263"/>
        <v>90.603193808276387</v>
      </c>
      <c r="AF906" s="10">
        <v>0</v>
      </c>
      <c r="AG906" s="3">
        <f t="shared" si="264"/>
        <v>0</v>
      </c>
      <c r="AH906" s="7">
        <v>0</v>
      </c>
      <c r="AI906">
        <f t="shared" si="265"/>
        <v>360</v>
      </c>
      <c r="AJ906" t="e">
        <f>VLOOKUP(A906,'Borrower Details'!$A$1:$H$1493,8,FALSE)</f>
        <v>#N/A</v>
      </c>
      <c r="AK906" s="4" t="e">
        <f t="shared" si="266"/>
        <v>#N/A</v>
      </c>
      <c r="AL906" s="10">
        <v>7.625</v>
      </c>
      <c r="AM906" s="3">
        <f t="shared" si="267"/>
        <v>94182.042849999998</v>
      </c>
      <c r="AN906">
        <v>7.625</v>
      </c>
      <c r="AO906" s="7">
        <f t="shared" si="268"/>
        <v>705.85712733551054</v>
      </c>
      <c r="AP906" s="2">
        <f t="shared" si="269"/>
        <v>90.602872664489496</v>
      </c>
    </row>
    <row r="907" spans="1:42" x14ac:dyDescent="0.15">
      <c r="A907" s="8">
        <v>1182731</v>
      </c>
      <c r="B907" t="s">
        <v>36</v>
      </c>
      <c r="C907" t="s">
        <v>18</v>
      </c>
      <c r="D907" s="1">
        <v>39183</v>
      </c>
      <c r="E907" s="2">
        <v>232900</v>
      </c>
      <c r="F907" s="2">
        <v>186320</v>
      </c>
      <c r="G907" t="s">
        <v>17</v>
      </c>
      <c r="H907" s="2">
        <v>1156.5</v>
      </c>
      <c r="I907" s="2">
        <v>185437.86</v>
      </c>
      <c r="J907">
        <v>6.9900000000000004E-2</v>
      </c>
      <c r="K907">
        <v>12</v>
      </c>
      <c r="L907">
        <v>348</v>
      </c>
      <c r="M907" t="str">
        <f t="shared" si="255"/>
        <v>30 Year Fixed</v>
      </c>
      <c r="N907" s="2">
        <v>1080.18</v>
      </c>
      <c r="O907" t="str">
        <f t="shared" si="252"/>
        <v>Cash Out</v>
      </c>
      <c r="P907" s="3">
        <f t="shared" si="256"/>
        <v>9601.5488669951155</v>
      </c>
      <c r="Q907" s="4">
        <v>197965</v>
      </c>
      <c r="R907" s="4" t="s">
        <v>41</v>
      </c>
      <c r="S907" s="6">
        <v>626</v>
      </c>
      <c r="T907">
        <v>6.75</v>
      </c>
      <c r="U907" s="7">
        <f t="shared" si="253"/>
        <v>1366.4826385379311</v>
      </c>
      <c r="V907" s="2">
        <f t="shared" si="257"/>
        <v>-209.98263853793105</v>
      </c>
      <c r="W907" s="9">
        <f t="shared" si="258"/>
        <v>1</v>
      </c>
      <c r="X907" s="3">
        <v>188220</v>
      </c>
      <c r="Y907" s="3">
        <f t="shared" si="259"/>
        <v>0.56364532021689229</v>
      </c>
      <c r="Z907" s="7">
        <f t="shared" si="260"/>
        <v>1299.216337360692</v>
      </c>
      <c r="AA907" s="2">
        <f t="shared" si="254"/>
        <v>-142.71633736069202</v>
      </c>
      <c r="AB907" s="8">
        <f t="shared" si="261"/>
        <v>1</v>
      </c>
      <c r="AC907" s="10">
        <v>6.125</v>
      </c>
      <c r="AD907" s="7">
        <f t="shared" si="262"/>
        <v>1222.0695575987738</v>
      </c>
      <c r="AE907" s="2">
        <f t="shared" si="263"/>
        <v>-65.569557598773827</v>
      </c>
      <c r="AF907" s="10">
        <v>3</v>
      </c>
      <c r="AG907" s="3">
        <f t="shared" si="264"/>
        <v>5646.6</v>
      </c>
      <c r="AH907" s="7">
        <v>3726.4</v>
      </c>
      <c r="AI907">
        <f t="shared" si="265"/>
        <v>360</v>
      </c>
      <c r="AJ907" t="e">
        <f>VLOOKUP(A907,'Borrower Details'!$A$1:$H$1493,8,FALSE)</f>
        <v>#N/A</v>
      </c>
      <c r="AK907" s="4" t="e">
        <f t="shared" si="266"/>
        <v>#N/A</v>
      </c>
      <c r="AL907" s="10">
        <v>6.75</v>
      </c>
      <c r="AM907" s="3">
        <f t="shared" si="267"/>
        <v>188219.42789999998</v>
      </c>
      <c r="AN907">
        <v>6.75</v>
      </c>
      <c r="AO907" s="7">
        <f t="shared" si="268"/>
        <v>1299.2123883559814</v>
      </c>
      <c r="AP907" s="2">
        <f t="shared" si="269"/>
        <v>-142.71238835598137</v>
      </c>
    </row>
    <row r="908" spans="1:42" x14ac:dyDescent="0.15">
      <c r="A908" s="8">
        <v>410012066</v>
      </c>
      <c r="B908" t="s">
        <v>35</v>
      </c>
      <c r="C908" t="s">
        <v>16</v>
      </c>
      <c r="D908" s="1">
        <v>39192</v>
      </c>
      <c r="E908" s="2">
        <v>165000</v>
      </c>
      <c r="F908" s="2">
        <v>143000</v>
      </c>
      <c r="G908" t="s">
        <v>17</v>
      </c>
      <c r="H908" s="2">
        <v>1044.31</v>
      </c>
      <c r="I908" s="2">
        <v>141791.26999999999</v>
      </c>
      <c r="J908">
        <v>7.9500000000000001E-2</v>
      </c>
      <c r="K908">
        <v>12</v>
      </c>
      <c r="L908">
        <v>348</v>
      </c>
      <c r="M908" t="str">
        <f t="shared" si="255"/>
        <v>30 Year Fixed</v>
      </c>
      <c r="N908" s="2">
        <v>939.37</v>
      </c>
      <c r="O908" t="str">
        <f t="shared" si="252"/>
        <v>Refi</v>
      </c>
      <c r="P908" s="3">
        <f t="shared" si="256"/>
        <v>0</v>
      </c>
      <c r="Q908" s="4">
        <v>143918</v>
      </c>
      <c r="R908" s="4" t="s">
        <v>41</v>
      </c>
      <c r="S908" s="6">
        <v>629</v>
      </c>
      <c r="T908">
        <v>6.75</v>
      </c>
      <c r="U908" s="7">
        <f t="shared" si="253"/>
        <v>993.41524195237525</v>
      </c>
      <c r="V908" s="2">
        <f t="shared" si="257"/>
        <v>50.894758047624691</v>
      </c>
      <c r="W908" s="9">
        <f t="shared" si="258"/>
        <v>0</v>
      </c>
      <c r="X908" s="3">
        <v>143918</v>
      </c>
      <c r="Y908" s="3">
        <f t="shared" si="259"/>
        <v>-0.1369950738735497</v>
      </c>
      <c r="Z908" s="7">
        <f t="shared" si="260"/>
        <v>993.41524195237525</v>
      </c>
      <c r="AA908" s="2">
        <f t="shared" si="254"/>
        <v>50.894758047624691</v>
      </c>
      <c r="AB908" s="8">
        <f t="shared" si="261"/>
        <v>1</v>
      </c>
      <c r="AC908" s="10">
        <v>6.125</v>
      </c>
      <c r="AD908" s="7">
        <f t="shared" si="262"/>
        <v>934.42676968707019</v>
      </c>
      <c r="AE908" s="2">
        <f t="shared" si="263"/>
        <v>109.88323031292975</v>
      </c>
      <c r="AF908" s="10">
        <v>3</v>
      </c>
      <c r="AG908" s="3">
        <f t="shared" si="264"/>
        <v>4317.54</v>
      </c>
      <c r="AH908" s="7">
        <v>5684.25</v>
      </c>
      <c r="AI908">
        <f t="shared" si="265"/>
        <v>360</v>
      </c>
      <c r="AJ908" t="e">
        <f>VLOOKUP(A908,'Borrower Details'!$A$1:$H$1493,8,FALSE)</f>
        <v>#N/A</v>
      </c>
      <c r="AK908" s="4" t="e">
        <f t="shared" si="266"/>
        <v>#N/A</v>
      </c>
      <c r="AL908" s="10">
        <v>6.75</v>
      </c>
      <c r="AM908" s="3">
        <f t="shared" si="267"/>
        <v>143918.13904999997</v>
      </c>
      <c r="AN908">
        <v>6.75</v>
      </c>
      <c r="AO908" s="7">
        <f t="shared" si="268"/>
        <v>993.4162017655284</v>
      </c>
      <c r="AP908" s="2">
        <f t="shared" si="269"/>
        <v>50.893798234471546</v>
      </c>
    </row>
    <row r="909" spans="1:42" x14ac:dyDescent="0.15">
      <c r="A909" s="8">
        <v>1142674</v>
      </c>
      <c r="B909" t="s">
        <v>36</v>
      </c>
      <c r="C909" t="s">
        <v>19</v>
      </c>
      <c r="D909" s="1">
        <v>39196</v>
      </c>
      <c r="E909" s="2">
        <v>175000</v>
      </c>
      <c r="F909" s="2">
        <v>157500</v>
      </c>
      <c r="G909" t="s">
        <v>15</v>
      </c>
      <c r="H909" s="2">
        <v>1154.6300000000001</v>
      </c>
      <c r="I909" s="2">
        <v>157013.26999999999</v>
      </c>
      <c r="J909">
        <v>8.5000000000000006E-2</v>
      </c>
      <c r="K909">
        <v>12</v>
      </c>
      <c r="L909">
        <v>348</v>
      </c>
      <c r="M909" t="str">
        <f t="shared" si="255"/>
        <v>30 Year Fixed</v>
      </c>
      <c r="N909" s="2">
        <v>1112.18</v>
      </c>
      <c r="O909" t="str">
        <f t="shared" si="252"/>
        <v>Refi</v>
      </c>
      <c r="P909" s="3">
        <f t="shared" si="256"/>
        <v>0</v>
      </c>
      <c r="Q909" s="4">
        <v>159368</v>
      </c>
      <c r="R909" s="4" t="s">
        <v>41</v>
      </c>
      <c r="S909" s="6">
        <v>619</v>
      </c>
      <c r="T909">
        <v>6.875</v>
      </c>
      <c r="U909" s="7">
        <f t="shared" si="253"/>
        <v>1113.3376451117304</v>
      </c>
      <c r="V909" s="2">
        <f t="shared" si="257"/>
        <v>41.292354888269756</v>
      </c>
      <c r="W909" s="9">
        <f t="shared" si="258"/>
        <v>0</v>
      </c>
      <c r="X909" s="3">
        <v>159368</v>
      </c>
      <c r="Y909" s="3">
        <f t="shared" si="259"/>
        <v>-0.46211822656914592</v>
      </c>
      <c r="Z909" s="7">
        <f t="shared" si="260"/>
        <v>1113.3376451117304</v>
      </c>
      <c r="AA909" s="2">
        <f t="shared" si="254"/>
        <v>41.292354888269756</v>
      </c>
      <c r="AB909" s="8">
        <f t="shared" si="261"/>
        <v>1</v>
      </c>
      <c r="AC909" s="10">
        <v>6.25</v>
      </c>
      <c r="AD909" s="7">
        <f t="shared" si="262"/>
        <v>1047.6595213088683</v>
      </c>
      <c r="AE909" s="2">
        <f t="shared" si="263"/>
        <v>106.9704786911318</v>
      </c>
      <c r="AF909" s="10">
        <v>2.5</v>
      </c>
      <c r="AG909" s="3">
        <f t="shared" si="264"/>
        <v>3984.2</v>
      </c>
      <c r="AH909" s="7">
        <v>3150</v>
      </c>
      <c r="AI909">
        <f t="shared" si="265"/>
        <v>360</v>
      </c>
      <c r="AJ909" t="e">
        <f>VLOOKUP(A909,'Borrower Details'!$A$1:$H$1493,8,FALSE)</f>
        <v>#N/A</v>
      </c>
      <c r="AK909" s="4" t="e">
        <f t="shared" si="266"/>
        <v>#N/A</v>
      </c>
      <c r="AL909" s="10">
        <v>6.875</v>
      </c>
      <c r="AM909" s="3">
        <f t="shared" si="267"/>
        <v>159368.46904999999</v>
      </c>
      <c r="AN909">
        <v>6.875</v>
      </c>
      <c r="AO909" s="7">
        <f t="shared" si="268"/>
        <v>1113.3409218738307</v>
      </c>
      <c r="AP909" s="2">
        <f t="shared" si="269"/>
        <v>41.289078126169443</v>
      </c>
    </row>
    <row r="910" spans="1:42" x14ac:dyDescent="0.15">
      <c r="A910" s="8">
        <v>411300080</v>
      </c>
      <c r="B910" t="s">
        <v>37</v>
      </c>
      <c r="C910" t="s">
        <v>16</v>
      </c>
      <c r="D910" s="1">
        <v>39485</v>
      </c>
      <c r="E910" s="2">
        <v>347000</v>
      </c>
      <c r="F910" s="2">
        <v>277600</v>
      </c>
      <c r="G910" t="s">
        <v>17</v>
      </c>
      <c r="H910" s="2">
        <v>2313.9899999999998</v>
      </c>
      <c r="I910" s="2">
        <v>277028.53999999998</v>
      </c>
      <c r="J910">
        <v>9.4E-2</v>
      </c>
      <c r="K910">
        <v>2</v>
      </c>
      <c r="L910">
        <v>357</v>
      </c>
      <c r="M910" t="str">
        <f t="shared" si="255"/>
        <v>30 Year Fixed</v>
      </c>
      <c r="N910" s="2">
        <v>2170.06</v>
      </c>
      <c r="O910" t="str">
        <f t="shared" si="252"/>
        <v>Cash Out</v>
      </c>
      <c r="P910" s="3">
        <f t="shared" si="256"/>
        <v>13562.593004926166</v>
      </c>
      <c r="Q910" s="4">
        <v>294950</v>
      </c>
      <c r="R910" s="4" t="s">
        <v>41</v>
      </c>
      <c r="S910" s="6">
        <v>679</v>
      </c>
      <c r="T910">
        <v>6.75</v>
      </c>
      <c r="U910" s="7">
        <f t="shared" si="253"/>
        <v>2035.9359191612798</v>
      </c>
      <c r="V910" s="2">
        <f t="shared" si="257"/>
        <v>278.05408083871998</v>
      </c>
      <c r="W910" s="9">
        <f t="shared" si="258"/>
        <v>0</v>
      </c>
      <c r="X910" s="3">
        <v>294950</v>
      </c>
      <c r="Y910" s="3">
        <f t="shared" si="259"/>
        <v>13562.593004926166</v>
      </c>
      <c r="Z910" s="7">
        <f t="shared" si="260"/>
        <v>2035.9359191612798</v>
      </c>
      <c r="AA910" s="2">
        <f t="shared" si="254"/>
        <v>278.05408083871998</v>
      </c>
      <c r="AB910" s="8">
        <f t="shared" si="261"/>
        <v>0</v>
      </c>
      <c r="AC910" s="10">
        <v>6.75</v>
      </c>
      <c r="AD910" s="7">
        <f t="shared" si="262"/>
        <v>2035.9359191612798</v>
      </c>
      <c r="AE910" s="2">
        <f t="shared" si="263"/>
        <v>278.05408083871998</v>
      </c>
      <c r="AF910" s="10">
        <v>0</v>
      </c>
      <c r="AG910" s="3">
        <f t="shared" si="264"/>
        <v>0</v>
      </c>
      <c r="AH910" s="7">
        <v>0</v>
      </c>
      <c r="AI910">
        <f t="shared" si="265"/>
        <v>360</v>
      </c>
      <c r="AJ910" t="e">
        <f>VLOOKUP(A910,'Borrower Details'!$A$1:$H$1493,8,FALSE)</f>
        <v>#N/A</v>
      </c>
      <c r="AK910" s="4" t="e">
        <f t="shared" si="266"/>
        <v>#N/A</v>
      </c>
      <c r="AL910" s="10">
        <v>6.75</v>
      </c>
      <c r="AM910" s="3">
        <f t="shared" si="267"/>
        <v>281183.96809999994</v>
      </c>
      <c r="AN910">
        <v>6.75</v>
      </c>
      <c r="AO910" s="7">
        <f t="shared" si="268"/>
        <v>1940.9138516599064</v>
      </c>
      <c r="AP910" s="2">
        <f t="shared" si="269"/>
        <v>373.07614834009337</v>
      </c>
    </row>
    <row r="911" spans="1:42" x14ac:dyDescent="0.15">
      <c r="A911" s="8">
        <v>411131154</v>
      </c>
      <c r="B911" t="s">
        <v>36</v>
      </c>
      <c r="C911" t="s">
        <v>18</v>
      </c>
      <c r="D911" s="1">
        <v>39428</v>
      </c>
      <c r="E911" s="2">
        <v>229000</v>
      </c>
      <c r="F911" s="2">
        <v>194650</v>
      </c>
      <c r="G911" t="s">
        <v>20</v>
      </c>
      <c r="H911" s="2">
        <v>1955.87</v>
      </c>
      <c r="I911" s="2">
        <v>194407.88</v>
      </c>
      <c r="J911">
        <v>0.1169</v>
      </c>
      <c r="K911">
        <v>4</v>
      </c>
      <c r="L911">
        <v>356</v>
      </c>
      <c r="M911" t="str">
        <f t="shared" si="255"/>
        <v>30 Year Fixed</v>
      </c>
      <c r="N911" s="2">
        <v>1893.86</v>
      </c>
      <c r="O911" t="str">
        <f t="shared" si="252"/>
        <v>Refi</v>
      </c>
      <c r="P911" s="3">
        <f t="shared" si="256"/>
        <v>0</v>
      </c>
      <c r="Q911" s="4">
        <v>197324</v>
      </c>
      <c r="R911" s="4" t="s">
        <v>41</v>
      </c>
      <c r="S911" s="6">
        <v>559</v>
      </c>
      <c r="T911">
        <v>7.625</v>
      </c>
      <c r="U911" s="7">
        <f t="shared" si="253"/>
        <v>1478.8652653901559</v>
      </c>
      <c r="V911" s="2">
        <f t="shared" si="257"/>
        <v>477.00473460984404</v>
      </c>
      <c r="W911" s="9">
        <f t="shared" si="258"/>
        <v>0</v>
      </c>
      <c r="X911" s="3">
        <v>197324</v>
      </c>
      <c r="Y911" s="3">
        <f t="shared" si="259"/>
        <v>1.7733990389388055E-3</v>
      </c>
      <c r="Z911" s="7">
        <f t="shared" si="260"/>
        <v>1478.8652653901559</v>
      </c>
      <c r="AA911" s="2">
        <f t="shared" si="254"/>
        <v>477.00473460984404</v>
      </c>
      <c r="AB911" s="8">
        <f t="shared" si="261"/>
        <v>0</v>
      </c>
      <c r="AC911" s="10">
        <v>7.625</v>
      </c>
      <c r="AD911" s="7">
        <f t="shared" si="262"/>
        <v>1478.8652653901559</v>
      </c>
      <c r="AE911" s="2">
        <f t="shared" si="263"/>
        <v>477.00473460984404</v>
      </c>
      <c r="AF911" s="10">
        <v>0</v>
      </c>
      <c r="AG911" s="3">
        <f t="shared" si="264"/>
        <v>0</v>
      </c>
      <c r="AH911" s="7">
        <v>0</v>
      </c>
      <c r="AI911">
        <f t="shared" si="265"/>
        <v>360</v>
      </c>
      <c r="AJ911" t="e">
        <f>VLOOKUP(A911,'Borrower Details'!$A$1:$H$1493,8,FALSE)</f>
        <v>#N/A</v>
      </c>
      <c r="AK911" s="4" t="e">
        <f t="shared" si="266"/>
        <v>#N/A</v>
      </c>
      <c r="AL911" s="10">
        <v>7.625</v>
      </c>
      <c r="AM911" s="3">
        <f t="shared" si="267"/>
        <v>197323.99819999997</v>
      </c>
      <c r="AN911">
        <v>7.625</v>
      </c>
      <c r="AO911" s="7">
        <f t="shared" si="268"/>
        <v>1478.8652518998683</v>
      </c>
      <c r="AP911" s="2">
        <f t="shared" si="269"/>
        <v>477.00474810013156</v>
      </c>
    </row>
    <row r="912" spans="1:42" x14ac:dyDescent="0.15">
      <c r="A912" s="8">
        <v>411028624</v>
      </c>
      <c r="B912" t="s">
        <v>35</v>
      </c>
      <c r="C912" t="s">
        <v>16</v>
      </c>
      <c r="D912" s="1">
        <v>39384</v>
      </c>
      <c r="E912" s="2">
        <v>345000</v>
      </c>
      <c r="F912" s="2">
        <v>293250</v>
      </c>
      <c r="G912" t="s">
        <v>20</v>
      </c>
      <c r="H912" s="2">
        <v>2726.42</v>
      </c>
      <c r="I912" s="2">
        <v>292565.25</v>
      </c>
      <c r="J912">
        <v>0.107</v>
      </c>
      <c r="K912">
        <v>6</v>
      </c>
      <c r="L912">
        <v>354</v>
      </c>
      <c r="M912" t="str">
        <f t="shared" si="255"/>
        <v>30 Year Fixed</v>
      </c>
      <c r="N912" s="2">
        <v>2608.71</v>
      </c>
      <c r="O912" t="str">
        <f t="shared" si="252"/>
        <v>Refi</v>
      </c>
      <c r="P912" s="3">
        <f t="shared" si="256"/>
        <v>0</v>
      </c>
      <c r="Q912" s="4">
        <v>296954</v>
      </c>
      <c r="R912" s="4" t="s">
        <v>41</v>
      </c>
      <c r="S912" s="6">
        <v>591</v>
      </c>
      <c r="T912">
        <v>7.375</v>
      </c>
      <c r="U912" s="7">
        <f t="shared" si="253"/>
        <v>2174.7183111295321</v>
      </c>
      <c r="V912" s="2">
        <f t="shared" si="257"/>
        <v>551.70168887046793</v>
      </c>
      <c r="W912" s="9">
        <f t="shared" si="258"/>
        <v>0</v>
      </c>
      <c r="X912" s="3">
        <v>296954</v>
      </c>
      <c r="Y912" s="3">
        <f t="shared" si="259"/>
        <v>0.26724137936253101</v>
      </c>
      <c r="Z912" s="7">
        <f t="shared" si="260"/>
        <v>2174.7183111295321</v>
      </c>
      <c r="AA912" s="2">
        <f t="shared" si="254"/>
        <v>551.70168887046793</v>
      </c>
      <c r="AB912" s="8">
        <f t="shared" si="261"/>
        <v>0</v>
      </c>
      <c r="AC912" s="10">
        <v>7.375</v>
      </c>
      <c r="AD912" s="7">
        <f t="shared" si="262"/>
        <v>2174.7183111295321</v>
      </c>
      <c r="AE912" s="2">
        <f t="shared" si="263"/>
        <v>551.70168887046793</v>
      </c>
      <c r="AF912" s="10">
        <v>0</v>
      </c>
      <c r="AG912" s="3">
        <f t="shared" si="264"/>
        <v>0</v>
      </c>
      <c r="AH912" s="7">
        <v>15688.875</v>
      </c>
      <c r="AI912">
        <f t="shared" si="265"/>
        <v>360</v>
      </c>
      <c r="AJ912" t="e">
        <f>VLOOKUP(A912,'Borrower Details'!$A$1:$H$1493,8,FALSE)</f>
        <v>#N/A</v>
      </c>
      <c r="AK912" s="4" t="e">
        <f t="shared" si="266"/>
        <v>#N/A</v>
      </c>
      <c r="AL912" s="10">
        <v>7.375</v>
      </c>
      <c r="AM912" s="3">
        <f t="shared" si="267"/>
        <v>296953.72874999995</v>
      </c>
      <c r="AN912">
        <v>7.375</v>
      </c>
      <c r="AO912" s="7">
        <f t="shared" si="268"/>
        <v>2174.7163246523605</v>
      </c>
      <c r="AP912" s="2">
        <f t="shared" si="269"/>
        <v>551.70367534763955</v>
      </c>
    </row>
    <row r="913" spans="1:42" x14ac:dyDescent="0.15">
      <c r="A913" s="8">
        <v>410534226</v>
      </c>
      <c r="B913" t="s">
        <v>35</v>
      </c>
      <c r="C913" t="s">
        <v>16</v>
      </c>
      <c r="D913" s="1">
        <v>39272</v>
      </c>
      <c r="E913" s="2">
        <v>120000</v>
      </c>
      <c r="F913" s="2">
        <v>106000</v>
      </c>
      <c r="G913" t="s">
        <v>17</v>
      </c>
      <c r="H913" s="2">
        <v>929.45</v>
      </c>
      <c r="I913" s="2">
        <v>105562.64</v>
      </c>
      <c r="J913">
        <v>9.9900000000000003E-2</v>
      </c>
      <c r="K913">
        <v>9</v>
      </c>
      <c r="L913">
        <v>351</v>
      </c>
      <c r="M913" t="str">
        <f t="shared" si="255"/>
        <v>30 Year Fixed</v>
      </c>
      <c r="N913" s="2">
        <v>878.81</v>
      </c>
      <c r="O913" t="str">
        <f t="shared" si="252"/>
        <v>Refi</v>
      </c>
      <c r="P913" s="3">
        <f t="shared" si="256"/>
        <v>0</v>
      </c>
      <c r="Q913" s="4">
        <v>107146</v>
      </c>
      <c r="R913" s="4" t="s">
        <v>41</v>
      </c>
      <c r="S913" s="6">
        <v>588</v>
      </c>
      <c r="T913">
        <v>7.375</v>
      </c>
      <c r="U913" s="7">
        <f t="shared" si="253"/>
        <v>784.67496031131031</v>
      </c>
      <c r="V913" s="2">
        <f t="shared" si="257"/>
        <v>144.77503968868973</v>
      </c>
      <c r="W913" s="9">
        <f t="shared" si="258"/>
        <v>0</v>
      </c>
      <c r="X913" s="3">
        <v>107146</v>
      </c>
      <c r="Y913" s="3">
        <f t="shared" si="259"/>
        <v>-7.8423645303701051E-2</v>
      </c>
      <c r="Z913" s="7">
        <f t="shared" si="260"/>
        <v>784.67496031131031</v>
      </c>
      <c r="AA913" s="2">
        <f t="shared" si="254"/>
        <v>144.77503968868973</v>
      </c>
      <c r="AB913" s="8">
        <f t="shared" si="261"/>
        <v>0</v>
      </c>
      <c r="AC913" s="10">
        <v>7.375</v>
      </c>
      <c r="AD913" s="7">
        <f t="shared" si="262"/>
        <v>784.67496031131031</v>
      </c>
      <c r="AE913" s="2">
        <f t="shared" si="263"/>
        <v>144.77503968868973</v>
      </c>
      <c r="AF913" s="10">
        <v>0</v>
      </c>
      <c r="AG913" s="3">
        <f t="shared" si="264"/>
        <v>0</v>
      </c>
      <c r="AH913" s="7">
        <v>5294.7</v>
      </c>
      <c r="AI913">
        <f t="shared" si="265"/>
        <v>360</v>
      </c>
      <c r="AJ913" t="e">
        <f>VLOOKUP(A913,'Borrower Details'!$A$1:$H$1493,8,FALSE)</f>
        <v>#N/A</v>
      </c>
      <c r="AK913" s="4" t="e">
        <f t="shared" si="266"/>
        <v>#N/A</v>
      </c>
      <c r="AL913" s="10">
        <v>7.375</v>
      </c>
      <c r="AM913" s="3">
        <f t="shared" si="267"/>
        <v>107146.07959999998</v>
      </c>
      <c r="AN913">
        <v>7.375</v>
      </c>
      <c r="AO913" s="7">
        <f t="shared" si="268"/>
        <v>784.67554325539425</v>
      </c>
      <c r="AP913" s="2">
        <f t="shared" si="269"/>
        <v>144.7744567446058</v>
      </c>
    </row>
    <row r="914" spans="1:42" x14ac:dyDescent="0.15">
      <c r="A914" s="8">
        <v>410335244</v>
      </c>
      <c r="B914" t="s">
        <v>36</v>
      </c>
      <c r="C914" t="s">
        <v>19</v>
      </c>
      <c r="D914" s="1">
        <v>39237</v>
      </c>
      <c r="E914" s="2">
        <v>670000</v>
      </c>
      <c r="F914" s="2">
        <v>595000</v>
      </c>
      <c r="G914" t="s">
        <v>15</v>
      </c>
      <c r="H914" s="2">
        <v>4490.97</v>
      </c>
      <c r="I914" s="2">
        <v>591125.4</v>
      </c>
      <c r="J914">
        <v>8.3000000000000004E-2</v>
      </c>
      <c r="K914">
        <v>10</v>
      </c>
      <c r="L914">
        <v>350</v>
      </c>
      <c r="M914" t="str">
        <f t="shared" si="255"/>
        <v>30 Year Fixed</v>
      </c>
      <c r="N914" s="2">
        <v>4088.62</v>
      </c>
      <c r="O914" t="str">
        <f t="shared" si="252"/>
        <v>Refi</v>
      </c>
      <c r="P914" s="3">
        <f t="shared" si="256"/>
        <v>0</v>
      </c>
      <c r="Q914" s="4">
        <v>599992</v>
      </c>
      <c r="R914" s="4" t="s">
        <v>41</v>
      </c>
      <c r="S914" s="6">
        <v>611</v>
      </c>
      <c r="T914">
        <v>7.625</v>
      </c>
      <c r="U914" s="7">
        <f t="shared" si="253"/>
        <v>4496.7025212947765</v>
      </c>
      <c r="V914" s="2">
        <f t="shared" si="257"/>
        <v>-5.7325212947762338</v>
      </c>
      <c r="W914" s="9">
        <f t="shared" si="258"/>
        <v>0</v>
      </c>
      <c r="X914" s="3">
        <v>599992</v>
      </c>
      <c r="Y914" s="3">
        <f t="shared" si="259"/>
        <v>-0.27684729057364166</v>
      </c>
      <c r="Z914" s="7">
        <f t="shared" si="260"/>
        <v>4496.7025212947765</v>
      </c>
      <c r="AA914" s="2">
        <f t="shared" si="254"/>
        <v>-5.7325212947762338</v>
      </c>
      <c r="AB914" s="8">
        <f t="shared" si="261"/>
        <v>1</v>
      </c>
      <c r="AC914" s="10">
        <v>6.875</v>
      </c>
      <c r="AD914" s="7">
        <f t="shared" si="262"/>
        <v>4191.5169944146701</v>
      </c>
      <c r="AE914" s="2">
        <f t="shared" si="263"/>
        <v>299.45300558533017</v>
      </c>
      <c r="AF914" s="10">
        <v>1</v>
      </c>
      <c r="AG914" s="3">
        <f t="shared" si="264"/>
        <v>5999.92</v>
      </c>
      <c r="AH914" s="7">
        <v>11900</v>
      </c>
      <c r="AI914">
        <f t="shared" si="265"/>
        <v>360</v>
      </c>
      <c r="AJ914" t="e">
        <f>VLOOKUP(A914,'Borrower Details'!$A$1:$H$1493,8,FALSE)</f>
        <v>#N/A</v>
      </c>
      <c r="AK914" s="4" t="e">
        <f t="shared" si="266"/>
        <v>#N/A</v>
      </c>
      <c r="AL914" s="10">
        <v>7.625</v>
      </c>
      <c r="AM914" s="3">
        <f t="shared" si="267"/>
        <v>599992.28099999996</v>
      </c>
      <c r="AN914">
        <v>7.625</v>
      </c>
      <c r="AO914" s="7">
        <f t="shared" si="268"/>
        <v>4496.7046272785365</v>
      </c>
      <c r="AP914" s="2">
        <f t="shared" si="269"/>
        <v>-5.7346272785362089</v>
      </c>
    </row>
    <row r="915" spans="1:42" x14ac:dyDescent="0.15">
      <c r="A915" s="8">
        <v>411253040</v>
      </c>
      <c r="B915" t="s">
        <v>35</v>
      </c>
      <c r="C915" t="s">
        <v>16</v>
      </c>
      <c r="D915" s="1">
        <v>39490</v>
      </c>
      <c r="E915" s="2">
        <v>72000</v>
      </c>
      <c r="F915" s="2">
        <v>64800</v>
      </c>
      <c r="G915" t="s">
        <v>17</v>
      </c>
      <c r="H915" s="2">
        <v>614.66</v>
      </c>
      <c r="I915" s="2">
        <v>64729.279999999999</v>
      </c>
      <c r="J915">
        <v>0.1095</v>
      </c>
      <c r="K915">
        <v>2</v>
      </c>
      <c r="L915">
        <v>357</v>
      </c>
      <c r="M915" t="str">
        <f t="shared" si="255"/>
        <v>30 Year Fixed</v>
      </c>
      <c r="N915" s="2">
        <v>590.87</v>
      </c>
      <c r="O915" t="str">
        <f t="shared" si="252"/>
        <v>Refi</v>
      </c>
      <c r="P915" s="3">
        <f t="shared" si="256"/>
        <v>0</v>
      </c>
      <c r="Q915" s="4">
        <v>65700</v>
      </c>
      <c r="R915" s="4" t="s">
        <v>41</v>
      </c>
      <c r="S915" s="6">
        <v>615</v>
      </c>
      <c r="T915">
        <v>7</v>
      </c>
      <c r="U915" s="7">
        <f t="shared" si="253"/>
        <v>464.47873933272297</v>
      </c>
      <c r="V915" s="2">
        <f t="shared" si="257"/>
        <v>150.181260667277</v>
      </c>
      <c r="W915" s="9">
        <f t="shared" si="258"/>
        <v>0</v>
      </c>
      <c r="X915" s="3">
        <v>65700</v>
      </c>
      <c r="Y915" s="3">
        <f t="shared" si="259"/>
        <v>-0.21596059112198418</v>
      </c>
      <c r="Z915" s="7">
        <f t="shared" si="260"/>
        <v>464.47873933272297</v>
      </c>
      <c r="AA915" s="2">
        <f t="shared" si="254"/>
        <v>150.181260667277</v>
      </c>
      <c r="AB915" s="8">
        <f t="shared" si="261"/>
        <v>0</v>
      </c>
      <c r="AC915" s="10">
        <v>7</v>
      </c>
      <c r="AD915" s="7">
        <f t="shared" si="262"/>
        <v>464.47873933272297</v>
      </c>
      <c r="AE915" s="2">
        <f t="shared" si="263"/>
        <v>150.181260667277</v>
      </c>
      <c r="AF915" s="10">
        <v>0</v>
      </c>
      <c r="AG915" s="3">
        <f t="shared" si="264"/>
        <v>0</v>
      </c>
      <c r="AH915" s="7">
        <v>3547.8</v>
      </c>
      <c r="AI915">
        <f t="shared" si="265"/>
        <v>360</v>
      </c>
      <c r="AJ915" t="e">
        <f>VLOOKUP(A915,'Borrower Details'!$A$1:$H$1493,8,FALSE)</f>
        <v>#N/A</v>
      </c>
      <c r="AK915" s="4" t="e">
        <f t="shared" si="266"/>
        <v>#N/A</v>
      </c>
      <c r="AL915" s="10">
        <v>7</v>
      </c>
      <c r="AM915" s="3">
        <f t="shared" si="267"/>
        <v>65700.219199999992</v>
      </c>
      <c r="AN915">
        <v>7</v>
      </c>
      <c r="AO915" s="7">
        <f t="shared" si="268"/>
        <v>464.48028900912573</v>
      </c>
      <c r="AP915" s="2">
        <f t="shared" si="269"/>
        <v>150.17971099087424</v>
      </c>
    </row>
    <row r="916" spans="1:42" x14ac:dyDescent="0.15">
      <c r="A916" s="8">
        <v>410523534</v>
      </c>
      <c r="B916" t="s">
        <v>38</v>
      </c>
      <c r="C916" t="s">
        <v>19</v>
      </c>
      <c r="D916" s="1">
        <v>39268</v>
      </c>
      <c r="E916" s="2">
        <v>300000</v>
      </c>
      <c r="F916" s="2">
        <v>255000</v>
      </c>
      <c r="G916" t="s">
        <v>15</v>
      </c>
      <c r="H916" s="2">
        <v>2144.1799999999998</v>
      </c>
      <c r="I916" s="2">
        <v>253834.72</v>
      </c>
      <c r="J916">
        <v>9.5000000000000001E-2</v>
      </c>
      <c r="K916">
        <v>9</v>
      </c>
      <c r="L916">
        <v>351</v>
      </c>
      <c r="M916" t="str">
        <f t="shared" si="255"/>
        <v>30 Year Fixed</v>
      </c>
      <c r="N916" s="2">
        <v>2009.52</v>
      </c>
      <c r="O916" t="str">
        <f t="shared" si="252"/>
        <v>Refi</v>
      </c>
      <c r="P916" s="3">
        <f t="shared" si="256"/>
        <v>0</v>
      </c>
      <c r="Q916" s="4">
        <v>257642</v>
      </c>
      <c r="R916" s="4" t="s">
        <v>41</v>
      </c>
      <c r="S916" s="6">
        <v>571</v>
      </c>
      <c r="T916">
        <v>7.625</v>
      </c>
      <c r="U916" s="7">
        <f t="shared" si="253"/>
        <v>1930.9247973163458</v>
      </c>
      <c r="V916" s="2">
        <f t="shared" si="257"/>
        <v>213.25520268365403</v>
      </c>
      <c r="W916" s="9">
        <f t="shared" si="258"/>
        <v>0</v>
      </c>
      <c r="X916" s="3">
        <v>257643</v>
      </c>
      <c r="Y916" s="3">
        <f t="shared" si="259"/>
        <v>0.74798029559315182</v>
      </c>
      <c r="Z916" s="7">
        <f t="shared" si="260"/>
        <v>1930.9322919204758</v>
      </c>
      <c r="AA916" s="2">
        <f t="shared" si="254"/>
        <v>213.24770807952405</v>
      </c>
      <c r="AB916" s="8">
        <f t="shared" si="261"/>
        <v>0</v>
      </c>
      <c r="AC916" s="10">
        <v>7.625</v>
      </c>
      <c r="AD916" s="7">
        <f t="shared" si="262"/>
        <v>1930.9322919204758</v>
      </c>
      <c r="AE916" s="2">
        <f t="shared" si="263"/>
        <v>213.24770807952405</v>
      </c>
      <c r="AF916" s="10">
        <v>0</v>
      </c>
      <c r="AG916" s="3">
        <f t="shared" si="264"/>
        <v>0</v>
      </c>
      <c r="AH916" s="7">
        <v>2550</v>
      </c>
      <c r="AI916">
        <f t="shared" si="265"/>
        <v>360</v>
      </c>
      <c r="AJ916" t="e">
        <f>VLOOKUP(A916,'Borrower Details'!$A$1:$H$1493,8,FALSE)</f>
        <v>#N/A</v>
      </c>
      <c r="AK916" s="4" t="e">
        <f t="shared" si="266"/>
        <v>#N/A</v>
      </c>
      <c r="AL916" s="10">
        <v>7.625</v>
      </c>
      <c r="AM916" s="3">
        <f t="shared" si="267"/>
        <v>257642.24079999997</v>
      </c>
      <c r="AN916">
        <v>7.625</v>
      </c>
      <c r="AO916" s="7">
        <f t="shared" si="268"/>
        <v>1930.9266020170198</v>
      </c>
      <c r="AP916" s="2">
        <f t="shared" si="269"/>
        <v>213.25339798298</v>
      </c>
    </row>
    <row r="917" spans="1:42" x14ac:dyDescent="0.15">
      <c r="A917" s="8">
        <v>410492102</v>
      </c>
      <c r="B917" t="s">
        <v>36</v>
      </c>
      <c r="C917" t="s">
        <v>19</v>
      </c>
      <c r="D917" s="1">
        <v>39294</v>
      </c>
      <c r="E917" s="2">
        <v>162000</v>
      </c>
      <c r="F917" s="2">
        <v>137700</v>
      </c>
      <c r="G917" t="s">
        <v>17</v>
      </c>
      <c r="H917" s="2">
        <v>1106.98</v>
      </c>
      <c r="I917" s="2">
        <v>136840.79999999999</v>
      </c>
      <c r="J917">
        <v>8.9899999999999994E-2</v>
      </c>
      <c r="K917">
        <v>9</v>
      </c>
      <c r="L917">
        <v>352</v>
      </c>
      <c r="M917" t="str">
        <f t="shared" si="255"/>
        <v>30 Year Fixed</v>
      </c>
      <c r="N917" s="2">
        <v>1025.17</v>
      </c>
      <c r="O917" t="str">
        <f t="shared" si="252"/>
        <v>Refi</v>
      </c>
      <c r="P917" s="3">
        <f t="shared" si="256"/>
        <v>0</v>
      </c>
      <c r="Q917" s="4">
        <v>138893</v>
      </c>
      <c r="R917" s="4" t="s">
        <v>41</v>
      </c>
      <c r="S917" s="6">
        <v>581</v>
      </c>
      <c r="T917">
        <v>7.125</v>
      </c>
      <c r="U917" s="7">
        <f t="shared" si="253"/>
        <v>993.61995190197979</v>
      </c>
      <c r="V917" s="2">
        <f t="shared" si="257"/>
        <v>113.36004809802023</v>
      </c>
      <c r="W917" s="9">
        <f t="shared" si="258"/>
        <v>0</v>
      </c>
      <c r="X917" s="3">
        <v>138894</v>
      </c>
      <c r="Y917" s="3">
        <f t="shared" si="259"/>
        <v>0.57931034485227428</v>
      </c>
      <c r="Z917" s="7">
        <f t="shared" si="260"/>
        <v>993.6271057538795</v>
      </c>
      <c r="AA917" s="2">
        <f t="shared" si="254"/>
        <v>113.35289424612051</v>
      </c>
      <c r="AB917" s="8">
        <f t="shared" si="261"/>
        <v>0</v>
      </c>
      <c r="AC917" s="10">
        <v>7.125</v>
      </c>
      <c r="AD917" s="7">
        <f t="shared" si="262"/>
        <v>993.6271057538795</v>
      </c>
      <c r="AE917" s="2">
        <f t="shared" si="263"/>
        <v>113.35289424612051</v>
      </c>
      <c r="AF917" s="10">
        <v>0</v>
      </c>
      <c r="AG917" s="3">
        <f t="shared" si="264"/>
        <v>0</v>
      </c>
      <c r="AH917" s="7">
        <v>2754</v>
      </c>
      <c r="AI917">
        <f t="shared" si="265"/>
        <v>360</v>
      </c>
      <c r="AJ917" t="e">
        <f>VLOOKUP(A917,'Borrower Details'!$A$1:$H$1493,8,FALSE)</f>
        <v>#N/A</v>
      </c>
      <c r="AK917" s="4" t="e">
        <f t="shared" si="266"/>
        <v>#N/A</v>
      </c>
      <c r="AL917" s="10">
        <v>7.125</v>
      </c>
      <c r="AM917" s="3">
        <f t="shared" si="267"/>
        <v>138893.41199999998</v>
      </c>
      <c r="AN917">
        <v>7.125</v>
      </c>
      <c r="AO917" s="7">
        <f t="shared" si="268"/>
        <v>993.62289928896234</v>
      </c>
      <c r="AP917" s="2">
        <f t="shared" si="269"/>
        <v>113.35710071103767</v>
      </c>
    </row>
    <row r="918" spans="1:42" x14ac:dyDescent="0.15">
      <c r="A918" s="8">
        <v>410170534</v>
      </c>
      <c r="B918" t="s">
        <v>38</v>
      </c>
      <c r="C918" t="s">
        <v>19</v>
      </c>
      <c r="D918" s="1">
        <v>39209</v>
      </c>
      <c r="E918" s="2">
        <v>112000</v>
      </c>
      <c r="F918" s="2">
        <v>95200</v>
      </c>
      <c r="G918" t="s">
        <v>17</v>
      </c>
      <c r="H918" s="2">
        <v>803.97</v>
      </c>
      <c r="I918" s="2">
        <v>94618.96</v>
      </c>
      <c r="J918">
        <v>9.5500000000000002E-2</v>
      </c>
      <c r="K918">
        <v>11</v>
      </c>
      <c r="L918">
        <v>348</v>
      </c>
      <c r="M918" t="str">
        <f t="shared" si="255"/>
        <v>30 Year Fixed</v>
      </c>
      <c r="N918" s="2">
        <v>753.01</v>
      </c>
      <c r="O918" t="str">
        <f t="shared" si="252"/>
        <v>Refi</v>
      </c>
      <c r="P918" s="3">
        <f t="shared" si="256"/>
        <v>0</v>
      </c>
      <c r="Q918" s="4">
        <v>96038</v>
      </c>
      <c r="R918" s="4" t="s">
        <v>41</v>
      </c>
      <c r="S918" s="6">
        <v>607</v>
      </c>
      <c r="T918">
        <v>7</v>
      </c>
      <c r="U918" s="7">
        <f t="shared" si="253"/>
        <v>678.9590436535168</v>
      </c>
      <c r="V918" s="2">
        <f t="shared" si="257"/>
        <v>125.01095634648323</v>
      </c>
      <c r="W918" s="9">
        <f t="shared" si="258"/>
        <v>0</v>
      </c>
      <c r="X918" s="3">
        <v>96038</v>
      </c>
      <c r="Y918" s="3">
        <f t="shared" si="259"/>
        <v>-0.24078817733970936</v>
      </c>
      <c r="Z918" s="7">
        <f t="shared" si="260"/>
        <v>678.9590436535168</v>
      </c>
      <c r="AA918" s="2">
        <f t="shared" si="254"/>
        <v>125.01095634648323</v>
      </c>
      <c r="AB918" s="8">
        <f t="shared" si="261"/>
        <v>0</v>
      </c>
      <c r="AC918" s="10">
        <v>7</v>
      </c>
      <c r="AD918" s="7">
        <f t="shared" si="262"/>
        <v>678.9590436535168</v>
      </c>
      <c r="AE918" s="2">
        <f t="shared" si="263"/>
        <v>125.01095634648323</v>
      </c>
      <c r="AF918" s="10">
        <v>0</v>
      </c>
      <c r="AG918" s="3">
        <f t="shared" si="264"/>
        <v>0</v>
      </c>
      <c r="AH918" s="7">
        <v>0</v>
      </c>
      <c r="AI918">
        <f t="shared" si="265"/>
        <v>360</v>
      </c>
      <c r="AJ918" t="e">
        <f>VLOOKUP(A918,'Borrower Details'!$A$1:$H$1493,8,FALSE)</f>
        <v>#N/A</v>
      </c>
      <c r="AK918" s="4" t="e">
        <f t="shared" si="266"/>
        <v>#N/A</v>
      </c>
      <c r="AL918" s="10">
        <v>7</v>
      </c>
      <c r="AM918" s="3">
        <f t="shared" si="267"/>
        <v>96038.244399999996</v>
      </c>
      <c r="AN918">
        <v>7</v>
      </c>
      <c r="AO918" s="7">
        <f t="shared" si="268"/>
        <v>678.96077148614825</v>
      </c>
      <c r="AP918" s="2">
        <f t="shared" si="269"/>
        <v>125.00922851385178</v>
      </c>
    </row>
    <row r="919" spans="1:42" x14ac:dyDescent="0.15">
      <c r="A919" s="8">
        <v>410265128</v>
      </c>
      <c r="B919" t="s">
        <v>37</v>
      </c>
      <c r="C919" t="s">
        <v>19</v>
      </c>
      <c r="D919" s="1">
        <v>39237</v>
      </c>
      <c r="E919" s="2">
        <v>120000</v>
      </c>
      <c r="F919" s="2">
        <v>107500</v>
      </c>
      <c r="G919" t="s">
        <v>17</v>
      </c>
      <c r="H919" s="2">
        <v>767.7</v>
      </c>
      <c r="I919" s="2">
        <v>107169.78</v>
      </c>
      <c r="J919">
        <v>8.2500000000000004E-2</v>
      </c>
      <c r="K919">
        <v>10</v>
      </c>
      <c r="L919">
        <v>349</v>
      </c>
      <c r="M919" t="str">
        <f t="shared" si="255"/>
        <v>30 Year Fixed</v>
      </c>
      <c r="N919" s="2">
        <v>736.79</v>
      </c>
      <c r="O919" t="str">
        <f t="shared" si="252"/>
        <v>Refi</v>
      </c>
      <c r="P919" s="3">
        <f t="shared" si="256"/>
        <v>0</v>
      </c>
      <c r="Q919" s="4">
        <v>108777</v>
      </c>
      <c r="R919" s="4" t="s">
        <v>41</v>
      </c>
      <c r="S919" s="6">
        <v>732</v>
      </c>
      <c r="T919">
        <v>6.75</v>
      </c>
      <c r="U919" s="7">
        <f t="shared" si="253"/>
        <v>750.84930150400601</v>
      </c>
      <c r="V919" s="2">
        <f t="shared" si="257"/>
        <v>16.850698495994038</v>
      </c>
      <c r="W919" s="9">
        <f t="shared" si="258"/>
        <v>0</v>
      </c>
      <c r="X919" s="3">
        <v>108778</v>
      </c>
      <c r="Y919" s="3">
        <f t="shared" si="259"/>
        <v>0.66334975371137261</v>
      </c>
      <c r="Z919" s="7">
        <f t="shared" si="260"/>
        <v>750.85620415163828</v>
      </c>
      <c r="AA919" s="2">
        <f t="shared" si="254"/>
        <v>16.843795848361765</v>
      </c>
      <c r="AB919" s="8">
        <f t="shared" si="261"/>
        <v>1</v>
      </c>
      <c r="AC919" s="10">
        <v>6.125</v>
      </c>
      <c r="AD919" s="7">
        <f t="shared" si="262"/>
        <v>706.27075941174917</v>
      </c>
      <c r="AE919" s="2">
        <f t="shared" si="263"/>
        <v>61.429240588250877</v>
      </c>
      <c r="AF919" s="10">
        <v>3</v>
      </c>
      <c r="AG919" s="3">
        <f t="shared" si="264"/>
        <v>3263.34</v>
      </c>
      <c r="AH919" s="7">
        <v>0</v>
      </c>
      <c r="AI919">
        <f t="shared" si="265"/>
        <v>360</v>
      </c>
      <c r="AJ919" t="e">
        <f>VLOOKUP(A919,'Borrower Details'!$A$1:$H$1493,8,FALSE)</f>
        <v>#N/A</v>
      </c>
      <c r="AK919" s="4" t="e">
        <f t="shared" si="266"/>
        <v>#N/A</v>
      </c>
      <c r="AL919" s="10">
        <v>6.75</v>
      </c>
      <c r="AM919" s="3">
        <f t="shared" si="267"/>
        <v>108777.32669999999</v>
      </c>
      <c r="AN919">
        <v>6.75</v>
      </c>
      <c r="AO919" s="7">
        <f t="shared" si="268"/>
        <v>750.85155659898737</v>
      </c>
      <c r="AP919" s="2">
        <f t="shared" si="269"/>
        <v>16.848443401012673</v>
      </c>
    </row>
    <row r="920" spans="1:42" x14ac:dyDescent="0.15">
      <c r="A920" s="8">
        <v>1158783</v>
      </c>
      <c r="B920" t="s">
        <v>35</v>
      </c>
      <c r="C920" t="s">
        <v>16</v>
      </c>
      <c r="D920" s="1">
        <v>39168</v>
      </c>
      <c r="E920" s="2">
        <v>155000</v>
      </c>
      <c r="F920" s="2">
        <v>139500</v>
      </c>
      <c r="G920" t="s">
        <v>15</v>
      </c>
      <c r="H920" s="2">
        <v>1208.78</v>
      </c>
      <c r="I920" s="2">
        <v>138625.38</v>
      </c>
      <c r="J920">
        <v>9.8500000000000004E-2</v>
      </c>
      <c r="K920">
        <v>13</v>
      </c>
      <c r="L920">
        <v>347</v>
      </c>
      <c r="M920" t="str">
        <f t="shared" si="255"/>
        <v>30 Year Fixed</v>
      </c>
      <c r="N920" s="2">
        <v>1137.8800000000001</v>
      </c>
      <c r="O920" t="str">
        <f t="shared" si="252"/>
        <v>Refi</v>
      </c>
      <c r="P920" s="3">
        <f t="shared" si="256"/>
        <v>0</v>
      </c>
      <c r="Q920" s="4">
        <v>140705</v>
      </c>
      <c r="R920" s="4" t="s">
        <v>41</v>
      </c>
      <c r="S920" s="6">
        <v>543</v>
      </c>
      <c r="T920">
        <v>7.625</v>
      </c>
      <c r="U920" s="7">
        <f t="shared" si="253"/>
        <v>1054.5282741416245</v>
      </c>
      <c r="V920" s="2">
        <f t="shared" si="257"/>
        <v>154.25172585837549</v>
      </c>
      <c r="W920" s="9">
        <f t="shared" si="258"/>
        <v>0</v>
      </c>
      <c r="X920" s="3">
        <v>140705</v>
      </c>
      <c r="Y920" s="3">
        <f t="shared" si="259"/>
        <v>0.23576354680699296</v>
      </c>
      <c r="Z920" s="7">
        <f t="shared" si="260"/>
        <v>1054.5282741416245</v>
      </c>
      <c r="AA920" s="2">
        <f t="shared" si="254"/>
        <v>154.25172585837549</v>
      </c>
      <c r="AB920" s="8">
        <f t="shared" si="261"/>
        <v>0</v>
      </c>
      <c r="AC920" s="10">
        <v>7.625</v>
      </c>
      <c r="AD920" s="7">
        <f t="shared" si="262"/>
        <v>1054.5282741416245</v>
      </c>
      <c r="AE920" s="2">
        <f t="shared" si="263"/>
        <v>154.25172585837549</v>
      </c>
      <c r="AF920" s="10">
        <v>0</v>
      </c>
      <c r="AG920" s="3">
        <f t="shared" si="264"/>
        <v>0</v>
      </c>
      <c r="AH920" s="7">
        <v>6870.375</v>
      </c>
      <c r="AI920">
        <f t="shared" si="265"/>
        <v>360</v>
      </c>
      <c r="AJ920" t="e">
        <f>VLOOKUP(A920,'Borrower Details'!$A$1:$H$1493,8,FALSE)</f>
        <v>#N/A</v>
      </c>
      <c r="AK920" s="4" t="e">
        <f t="shared" si="266"/>
        <v>#N/A</v>
      </c>
      <c r="AL920" s="10">
        <v>7.625</v>
      </c>
      <c r="AM920" s="3">
        <f t="shared" si="267"/>
        <v>140704.76069999998</v>
      </c>
      <c r="AN920">
        <v>7.625</v>
      </c>
      <c r="AO920" s="7">
        <f t="shared" si="268"/>
        <v>1054.5264806828561</v>
      </c>
      <c r="AP920" s="2">
        <f t="shared" si="269"/>
        <v>154.25351931714386</v>
      </c>
    </row>
    <row r="921" spans="1:42" x14ac:dyDescent="0.15">
      <c r="A921" s="8">
        <v>1172725</v>
      </c>
      <c r="B921" t="s">
        <v>38</v>
      </c>
      <c r="C921" t="s">
        <v>19</v>
      </c>
      <c r="D921" s="1">
        <v>39167</v>
      </c>
      <c r="E921" s="2">
        <v>193000</v>
      </c>
      <c r="F921" s="2">
        <v>154400</v>
      </c>
      <c r="G921" t="s">
        <v>15</v>
      </c>
      <c r="H921" s="2">
        <v>1036.0899999999999</v>
      </c>
      <c r="I921" s="2">
        <v>153743.73000000001</v>
      </c>
      <c r="J921">
        <v>7.6749999999999999E-2</v>
      </c>
      <c r="K921">
        <v>13</v>
      </c>
      <c r="L921">
        <v>347</v>
      </c>
      <c r="M921" t="str">
        <f t="shared" si="255"/>
        <v>30 Year Fixed</v>
      </c>
      <c r="N921" s="2">
        <v>983.32</v>
      </c>
      <c r="O921" t="str">
        <f t="shared" si="252"/>
        <v>Cash Out</v>
      </c>
      <c r="P921" s="3">
        <f t="shared" si="256"/>
        <v>7881.8857635468012</v>
      </c>
      <c r="Q921" s="4">
        <v>164050</v>
      </c>
      <c r="R921" s="4" t="s">
        <v>41</v>
      </c>
      <c r="S921" s="6">
        <v>565</v>
      </c>
      <c r="T921">
        <v>7.625</v>
      </c>
      <c r="U921" s="7">
        <f t="shared" si="253"/>
        <v>1229.4898075614478</v>
      </c>
      <c r="V921" s="2">
        <f t="shared" si="257"/>
        <v>-193.39980756144791</v>
      </c>
      <c r="W921" s="9">
        <f t="shared" si="258"/>
        <v>1</v>
      </c>
      <c r="X921" s="3">
        <v>156050</v>
      </c>
      <c r="Y921" s="3">
        <f t="shared" si="259"/>
        <v>0.11236453201854602</v>
      </c>
      <c r="Z921" s="7">
        <f t="shared" si="260"/>
        <v>1169.5329745197434</v>
      </c>
      <c r="AA921" s="2">
        <f t="shared" si="254"/>
        <v>-133.44297451974353</v>
      </c>
      <c r="AB921" s="8">
        <f t="shared" si="261"/>
        <v>1</v>
      </c>
      <c r="AC921" s="10">
        <v>6.5</v>
      </c>
      <c r="AD921" s="7">
        <f t="shared" si="262"/>
        <v>1051.3629839941068</v>
      </c>
      <c r="AE921" s="2">
        <f t="shared" si="263"/>
        <v>-15.27298399410688</v>
      </c>
      <c r="AF921" s="10">
        <v>2.375</v>
      </c>
      <c r="AG921" s="3">
        <f t="shared" si="264"/>
        <v>3706.1875</v>
      </c>
      <c r="AH921" s="7">
        <v>0</v>
      </c>
      <c r="AI921">
        <f t="shared" si="265"/>
        <v>360</v>
      </c>
      <c r="AJ921" t="e">
        <f>VLOOKUP(A921,'Borrower Details'!$A$1:$H$1493,8,FALSE)</f>
        <v>#N/A</v>
      </c>
      <c r="AK921" s="4" t="e">
        <f t="shared" si="266"/>
        <v>#N/A</v>
      </c>
      <c r="AL921" s="10">
        <v>7.625</v>
      </c>
      <c r="AM921" s="3">
        <f t="shared" si="267"/>
        <v>156049.88595</v>
      </c>
      <c r="AN921">
        <v>7.625</v>
      </c>
      <c r="AO921" s="7">
        <f t="shared" si="268"/>
        <v>1169.5321197601422</v>
      </c>
      <c r="AP921" s="2">
        <f t="shared" si="269"/>
        <v>-133.4421197601423</v>
      </c>
    </row>
    <row r="922" spans="1:42" x14ac:dyDescent="0.15">
      <c r="A922" s="8">
        <v>410768048</v>
      </c>
      <c r="B922" t="s">
        <v>37</v>
      </c>
      <c r="C922" t="s">
        <v>16</v>
      </c>
      <c r="D922" s="1">
        <v>39325</v>
      </c>
      <c r="E922" s="2">
        <v>150000</v>
      </c>
      <c r="F922" s="2">
        <v>142500</v>
      </c>
      <c r="G922" t="s">
        <v>20</v>
      </c>
      <c r="H922" s="2">
        <v>1468.52</v>
      </c>
      <c r="I922" s="2">
        <v>142153.29999999999</v>
      </c>
      <c r="J922">
        <v>0.12025</v>
      </c>
      <c r="K922">
        <v>8</v>
      </c>
      <c r="L922">
        <v>352</v>
      </c>
      <c r="M922" t="str">
        <f t="shared" si="255"/>
        <v>30 Year Fixed</v>
      </c>
      <c r="N922" s="2">
        <v>1424.49</v>
      </c>
      <c r="O922" t="str">
        <f t="shared" si="252"/>
        <v>Refi</v>
      </c>
      <c r="P922" s="3">
        <f t="shared" si="256"/>
        <v>0</v>
      </c>
      <c r="Q922" s="4">
        <v>144286</v>
      </c>
      <c r="R922" s="4" t="s">
        <v>41</v>
      </c>
      <c r="S922" s="6">
        <v>594</v>
      </c>
      <c r="T922">
        <v>7.375</v>
      </c>
      <c r="U922" s="7">
        <f t="shared" si="253"/>
        <v>1056.6667101289615</v>
      </c>
      <c r="V922" s="2">
        <f t="shared" si="257"/>
        <v>411.85328987103844</v>
      </c>
      <c r="W922" s="9">
        <f t="shared" si="258"/>
        <v>0</v>
      </c>
      <c r="X922" s="3">
        <v>144286</v>
      </c>
      <c r="Y922" s="3">
        <f t="shared" si="259"/>
        <v>0.39458128082333133</v>
      </c>
      <c r="Z922" s="7">
        <f t="shared" si="260"/>
        <v>1056.6667101289615</v>
      </c>
      <c r="AA922" s="2">
        <f t="shared" si="254"/>
        <v>411.85328987103844</v>
      </c>
      <c r="AB922" s="8">
        <f t="shared" si="261"/>
        <v>0</v>
      </c>
      <c r="AC922" s="10">
        <v>7.375</v>
      </c>
      <c r="AD922" s="7">
        <f t="shared" si="262"/>
        <v>1056.6667101289615</v>
      </c>
      <c r="AE922" s="2">
        <f t="shared" si="263"/>
        <v>411.85328987103844</v>
      </c>
      <c r="AF922" s="10">
        <v>0</v>
      </c>
      <c r="AG922" s="3">
        <f t="shared" si="264"/>
        <v>0</v>
      </c>
      <c r="AH922" s="7">
        <v>0</v>
      </c>
      <c r="AI922">
        <f t="shared" si="265"/>
        <v>360</v>
      </c>
      <c r="AJ922" t="e">
        <f>VLOOKUP(A922,'Borrower Details'!$A$1:$H$1493,8,FALSE)</f>
        <v>#N/A</v>
      </c>
      <c r="AK922" s="4" t="e">
        <f t="shared" si="266"/>
        <v>#N/A</v>
      </c>
      <c r="AL922" s="10">
        <v>7.375</v>
      </c>
      <c r="AM922" s="3">
        <f t="shared" si="267"/>
        <v>144285.59949999998</v>
      </c>
      <c r="AN922">
        <v>7.375</v>
      </c>
      <c r="AO922" s="7">
        <f t="shared" si="268"/>
        <v>1056.6637770999953</v>
      </c>
      <c r="AP922" s="2">
        <f t="shared" si="269"/>
        <v>411.8562229000047</v>
      </c>
    </row>
    <row r="923" spans="1:42" x14ac:dyDescent="0.15">
      <c r="A923" s="8">
        <v>410637268</v>
      </c>
      <c r="B923" t="s">
        <v>36</v>
      </c>
      <c r="C923" t="s">
        <v>19</v>
      </c>
      <c r="D923" s="1">
        <v>39288</v>
      </c>
      <c r="E923" s="2">
        <v>78000</v>
      </c>
      <c r="F923" s="2">
        <v>70200</v>
      </c>
      <c r="G923" t="s">
        <v>15</v>
      </c>
      <c r="H923" s="2">
        <v>562.33000000000004</v>
      </c>
      <c r="I923" s="2">
        <v>69799.179999999993</v>
      </c>
      <c r="J923">
        <v>8.9499999999999996E-2</v>
      </c>
      <c r="K923">
        <v>9</v>
      </c>
      <c r="L923">
        <v>350</v>
      </c>
      <c r="M923" t="str">
        <f t="shared" si="255"/>
        <v>30 Year Fixed</v>
      </c>
      <c r="N923" s="2">
        <v>520.59</v>
      </c>
      <c r="O923" t="str">
        <f t="shared" si="252"/>
        <v>Refi</v>
      </c>
      <c r="P923" s="3">
        <f t="shared" si="256"/>
        <v>0</v>
      </c>
      <c r="Q923" s="4">
        <v>70846</v>
      </c>
      <c r="R923" s="4" t="s">
        <v>41</v>
      </c>
      <c r="S923" s="6">
        <v>613</v>
      </c>
      <c r="T923">
        <v>7</v>
      </c>
      <c r="U923" s="7">
        <f t="shared" si="253"/>
        <v>500.8593724013104</v>
      </c>
      <c r="V923" s="2">
        <f t="shared" si="257"/>
        <v>61.470627598689646</v>
      </c>
      <c r="W923" s="9">
        <f t="shared" si="258"/>
        <v>0</v>
      </c>
      <c r="X923" s="3">
        <v>70846</v>
      </c>
      <c r="Y923" s="3">
        <f t="shared" si="259"/>
        <v>-0.16522167486255057</v>
      </c>
      <c r="Z923" s="7">
        <f t="shared" si="260"/>
        <v>500.8593724013104</v>
      </c>
      <c r="AA923" s="2">
        <f t="shared" si="254"/>
        <v>61.470627598689646</v>
      </c>
      <c r="AB923" s="8">
        <f t="shared" si="261"/>
        <v>0</v>
      </c>
      <c r="AC923" s="10">
        <v>7</v>
      </c>
      <c r="AD923" s="7">
        <f t="shared" si="262"/>
        <v>500.8593724013104</v>
      </c>
      <c r="AE923" s="2">
        <f t="shared" si="263"/>
        <v>61.470627598689646</v>
      </c>
      <c r="AF923" s="10">
        <v>0</v>
      </c>
      <c r="AG923" s="3">
        <f t="shared" si="264"/>
        <v>0</v>
      </c>
      <c r="AH923" s="7">
        <v>1404</v>
      </c>
      <c r="AI923">
        <f t="shared" si="265"/>
        <v>360</v>
      </c>
      <c r="AJ923" t="e">
        <f>VLOOKUP(A923,'Borrower Details'!$A$1:$H$1493,8,FALSE)</f>
        <v>#N/A</v>
      </c>
      <c r="AK923" s="4" t="e">
        <f t="shared" si="266"/>
        <v>#N/A</v>
      </c>
      <c r="AL923" s="10">
        <v>7</v>
      </c>
      <c r="AM923" s="3">
        <f t="shared" si="267"/>
        <v>70846.167699999991</v>
      </c>
      <c r="AN923">
        <v>7</v>
      </c>
      <c r="AO923" s="7">
        <f t="shared" si="268"/>
        <v>500.86055798859473</v>
      </c>
      <c r="AP923" s="2">
        <f t="shared" si="269"/>
        <v>61.469442011405306</v>
      </c>
    </row>
    <row r="924" spans="1:42" x14ac:dyDescent="0.15">
      <c r="A924" s="8">
        <v>1163609</v>
      </c>
      <c r="B924" t="s">
        <v>36</v>
      </c>
      <c r="C924" t="s">
        <v>19</v>
      </c>
      <c r="D924" s="1">
        <v>39153</v>
      </c>
      <c r="E924" s="2">
        <v>185000</v>
      </c>
      <c r="F924" s="2">
        <v>160000</v>
      </c>
      <c r="G924" t="s">
        <v>17</v>
      </c>
      <c r="H924" s="2">
        <v>1063.4100000000001</v>
      </c>
      <c r="I924" s="2">
        <v>158230.66</v>
      </c>
      <c r="J924">
        <v>6.9900000000000004E-2</v>
      </c>
      <c r="K924">
        <v>13</v>
      </c>
      <c r="L924">
        <v>347</v>
      </c>
      <c r="M924" t="str">
        <f t="shared" si="255"/>
        <v>30 Year Fixed</v>
      </c>
      <c r="N924" s="2">
        <v>921.69</v>
      </c>
      <c r="O924" t="str">
        <f t="shared" si="252"/>
        <v>Refi</v>
      </c>
      <c r="P924" s="3">
        <f t="shared" si="256"/>
        <v>0</v>
      </c>
      <c r="Q924" s="4">
        <v>160604</v>
      </c>
      <c r="R924" s="4" t="s">
        <v>41</v>
      </c>
      <c r="S924" s="6">
        <v>671</v>
      </c>
      <c r="T924">
        <v>6.75</v>
      </c>
      <c r="U924" s="7">
        <f t="shared" si="253"/>
        <v>1108.5928203457474</v>
      </c>
      <c r="V924" s="2">
        <f t="shared" si="257"/>
        <v>-45.182820345747359</v>
      </c>
      <c r="W924" s="9">
        <f t="shared" si="258"/>
        <v>0</v>
      </c>
      <c r="X924" s="3">
        <v>160604</v>
      </c>
      <c r="Y924" s="3">
        <f t="shared" si="259"/>
        <v>-0.1181280788150616</v>
      </c>
      <c r="Z924" s="7">
        <f t="shared" si="260"/>
        <v>1108.5928203457474</v>
      </c>
      <c r="AA924" s="2">
        <f t="shared" si="254"/>
        <v>-45.182820345747359</v>
      </c>
      <c r="AB924" s="8">
        <f t="shared" si="261"/>
        <v>1</v>
      </c>
      <c r="AC924" s="10">
        <v>6.125</v>
      </c>
      <c r="AD924" s="7">
        <f t="shared" si="262"/>
        <v>1042.765164321504</v>
      </c>
      <c r="AE924" s="2">
        <f t="shared" si="263"/>
        <v>20.644835678496065</v>
      </c>
      <c r="AF924" s="10">
        <v>3</v>
      </c>
      <c r="AG924" s="3">
        <f t="shared" si="264"/>
        <v>4818.12</v>
      </c>
      <c r="AH924" s="7">
        <v>3200</v>
      </c>
      <c r="AI924">
        <f t="shared" si="265"/>
        <v>360</v>
      </c>
      <c r="AJ924" t="e">
        <f>VLOOKUP(A924,'Borrower Details'!$A$1:$H$1493,8,FALSE)</f>
        <v>#N/A</v>
      </c>
      <c r="AK924" s="4" t="e">
        <f t="shared" si="266"/>
        <v>#N/A</v>
      </c>
      <c r="AL924" s="10">
        <v>6.75</v>
      </c>
      <c r="AM924" s="3">
        <f t="shared" si="267"/>
        <v>160604.11989999999</v>
      </c>
      <c r="AN924">
        <v>6.75</v>
      </c>
      <c r="AO924" s="7">
        <f t="shared" si="268"/>
        <v>1108.5936479731986</v>
      </c>
      <c r="AP924" s="2">
        <f t="shared" si="269"/>
        <v>-45.183647973198504</v>
      </c>
    </row>
    <row r="925" spans="1:42" x14ac:dyDescent="0.15">
      <c r="A925" s="8">
        <v>410257042</v>
      </c>
      <c r="B925" t="s">
        <v>35</v>
      </c>
      <c r="C925" t="s">
        <v>16</v>
      </c>
      <c r="D925" s="1">
        <v>39260</v>
      </c>
      <c r="E925" s="2">
        <v>150000</v>
      </c>
      <c r="F925" s="2">
        <v>120000</v>
      </c>
      <c r="G925" t="s">
        <v>17</v>
      </c>
      <c r="H925" s="2">
        <v>931.22</v>
      </c>
      <c r="I925" s="2">
        <v>119264.39</v>
      </c>
      <c r="J925">
        <v>8.5999999999999993E-2</v>
      </c>
      <c r="K925">
        <v>10</v>
      </c>
      <c r="L925">
        <v>350</v>
      </c>
      <c r="M925" t="str">
        <f t="shared" si="255"/>
        <v>30 Year Fixed</v>
      </c>
      <c r="N925" s="2">
        <v>854.73</v>
      </c>
      <c r="O925" t="str">
        <f t="shared" si="252"/>
        <v>Cash Out</v>
      </c>
      <c r="P925" s="3">
        <f t="shared" si="256"/>
        <v>6351.3735467980441</v>
      </c>
      <c r="Q925" s="4">
        <v>127500</v>
      </c>
      <c r="R925" s="4" t="s">
        <v>41</v>
      </c>
      <c r="S925" s="6">
        <v>587</v>
      </c>
      <c r="T925">
        <v>7.375</v>
      </c>
      <c r="U925" s="7">
        <f t="shared" si="253"/>
        <v>933.7358131866057</v>
      </c>
      <c r="V925" s="2">
        <f t="shared" si="257"/>
        <v>-2.5158131866056692</v>
      </c>
      <c r="W925" s="9">
        <f t="shared" si="258"/>
        <v>1</v>
      </c>
      <c r="X925" s="3">
        <v>127080</v>
      </c>
      <c r="Y925" s="3">
        <f t="shared" si="259"/>
        <v>5937.5804433497688</v>
      </c>
      <c r="Z925" s="7">
        <f t="shared" si="260"/>
        <v>930.65997756669697</v>
      </c>
      <c r="AA925" s="2">
        <f t="shared" si="254"/>
        <v>0.56002243330306101</v>
      </c>
      <c r="AB925" s="8">
        <f t="shared" si="261"/>
        <v>1</v>
      </c>
      <c r="AC925" s="10">
        <v>6.625</v>
      </c>
      <c r="AD925" s="7">
        <f t="shared" si="262"/>
        <v>866.65716933425961</v>
      </c>
      <c r="AE925" s="2">
        <f t="shared" si="263"/>
        <v>64.562830665740421</v>
      </c>
      <c r="AF925" s="10">
        <v>1.875</v>
      </c>
      <c r="AG925" s="3">
        <f t="shared" si="264"/>
        <v>2382.75</v>
      </c>
      <c r="AH925" s="7">
        <v>5160</v>
      </c>
      <c r="AI925">
        <f t="shared" si="265"/>
        <v>360</v>
      </c>
      <c r="AJ925" t="e">
        <f>VLOOKUP(A925,'Borrower Details'!$A$1:$H$1493,8,FALSE)</f>
        <v>#N/A</v>
      </c>
      <c r="AK925" s="4" t="e">
        <f t="shared" si="266"/>
        <v>#N/A</v>
      </c>
      <c r="AL925" s="10">
        <v>7.375</v>
      </c>
      <c r="AM925" s="3">
        <f t="shared" si="267"/>
        <v>121053.35584999999</v>
      </c>
      <c r="AN925">
        <v>7.375</v>
      </c>
      <c r="AO925" s="7">
        <f t="shared" si="268"/>
        <v>886.52434245935126</v>
      </c>
      <c r="AP925" s="2">
        <f t="shared" si="269"/>
        <v>44.695657540648767</v>
      </c>
    </row>
    <row r="926" spans="1:42" x14ac:dyDescent="0.15">
      <c r="A926" s="8">
        <v>410917058</v>
      </c>
      <c r="B926" t="s">
        <v>36</v>
      </c>
      <c r="C926" t="s">
        <v>18</v>
      </c>
      <c r="D926" s="1">
        <v>39342</v>
      </c>
      <c r="E926" s="2">
        <v>175000</v>
      </c>
      <c r="F926" s="2">
        <v>122500</v>
      </c>
      <c r="G926" t="s">
        <v>17</v>
      </c>
      <c r="H926" s="2">
        <v>1051.57</v>
      </c>
      <c r="I926" s="2">
        <v>122148.72</v>
      </c>
      <c r="J926">
        <v>9.74E-2</v>
      </c>
      <c r="K926">
        <v>7</v>
      </c>
      <c r="L926">
        <v>354</v>
      </c>
      <c r="M926" t="str">
        <f t="shared" si="255"/>
        <v>30 Year Fixed</v>
      </c>
      <c r="N926" s="2">
        <v>991.92</v>
      </c>
      <c r="O926" t="str">
        <f t="shared" si="252"/>
        <v>Cash Out</v>
      </c>
      <c r="P926" s="3">
        <f t="shared" si="256"/>
        <v>24403.004137931042</v>
      </c>
      <c r="Q926" s="4">
        <v>148750</v>
      </c>
      <c r="R926" s="4" t="s">
        <v>41</v>
      </c>
      <c r="S926" s="6">
        <v>542</v>
      </c>
      <c r="T926">
        <v>7.625</v>
      </c>
      <c r="U926" s="7">
        <f t="shared" si="253"/>
        <v>1114.8223643691883</v>
      </c>
      <c r="V926" s="2">
        <f t="shared" si="257"/>
        <v>-63.252364369188399</v>
      </c>
      <c r="W926" s="9">
        <f t="shared" si="258"/>
        <v>1</v>
      </c>
      <c r="X926" s="3">
        <v>140240</v>
      </c>
      <c r="Y926" s="3">
        <f t="shared" si="259"/>
        <v>16018.767684729071</v>
      </c>
      <c r="Z926" s="7">
        <f t="shared" si="260"/>
        <v>1051.0432832210754</v>
      </c>
      <c r="AA926" s="2">
        <f t="shared" si="254"/>
        <v>0.52671677892453772</v>
      </c>
      <c r="AB926" s="8">
        <f t="shared" si="261"/>
        <v>0</v>
      </c>
      <c r="AC926" s="10">
        <v>7.625</v>
      </c>
      <c r="AD926" s="7">
        <f t="shared" si="262"/>
        <v>1051.0432832210754</v>
      </c>
      <c r="AE926" s="2">
        <f t="shared" si="263"/>
        <v>0.52671677892453772</v>
      </c>
      <c r="AF926" s="10">
        <v>0</v>
      </c>
      <c r="AG926" s="3">
        <f t="shared" si="264"/>
        <v>0</v>
      </c>
      <c r="AH926" s="7">
        <v>2450</v>
      </c>
      <c r="AI926">
        <f t="shared" si="265"/>
        <v>360</v>
      </c>
      <c r="AJ926" t="e">
        <f>VLOOKUP(A926,'Borrower Details'!$A$1:$H$1493,8,FALSE)</f>
        <v>#N/A</v>
      </c>
      <c r="AK926" s="4" t="e">
        <f t="shared" si="266"/>
        <v>#N/A</v>
      </c>
      <c r="AL926" s="10">
        <v>7.625</v>
      </c>
      <c r="AM926" s="3">
        <f t="shared" si="267"/>
        <v>123980.95079999999</v>
      </c>
      <c r="AN926">
        <v>7.625</v>
      </c>
      <c r="AO926" s="7">
        <f t="shared" si="268"/>
        <v>929.18814593341858</v>
      </c>
      <c r="AP926" s="2">
        <f t="shared" si="269"/>
        <v>122.38185406658135</v>
      </c>
    </row>
    <row r="927" spans="1:42" x14ac:dyDescent="0.15">
      <c r="A927" s="8">
        <v>410472518</v>
      </c>
      <c r="B927" t="s">
        <v>37</v>
      </c>
      <c r="C927" t="s">
        <v>19</v>
      </c>
      <c r="D927" s="1">
        <v>39279</v>
      </c>
      <c r="E927" s="2">
        <v>220000</v>
      </c>
      <c r="F927" s="2">
        <v>198000</v>
      </c>
      <c r="G927" t="s">
        <v>15</v>
      </c>
      <c r="H927" s="2">
        <v>1536.51</v>
      </c>
      <c r="I927" s="2">
        <v>196786.29</v>
      </c>
      <c r="J927">
        <v>8.5999999999999993E-2</v>
      </c>
      <c r="K927">
        <v>9</v>
      </c>
      <c r="L927">
        <v>350</v>
      </c>
      <c r="M927" t="str">
        <f t="shared" si="255"/>
        <v>30 Year Fixed</v>
      </c>
      <c r="N927" s="2">
        <v>1410.3</v>
      </c>
      <c r="O927" t="str">
        <f t="shared" si="252"/>
        <v>Refi</v>
      </c>
      <c r="P927" s="3">
        <f t="shared" si="256"/>
        <v>0</v>
      </c>
      <c r="Q927" s="4">
        <v>199738</v>
      </c>
      <c r="R927" s="4" t="s">
        <v>41</v>
      </c>
      <c r="S927" s="6">
        <v>640</v>
      </c>
      <c r="T927">
        <v>6.75</v>
      </c>
      <c r="U927" s="7">
        <f t="shared" si="253"/>
        <v>1378.7210327900855</v>
      </c>
      <c r="V927" s="2">
        <f t="shared" si="257"/>
        <v>157.78896720991452</v>
      </c>
      <c r="W927" s="9">
        <f t="shared" si="258"/>
        <v>0</v>
      </c>
      <c r="X927" s="3">
        <v>199738</v>
      </c>
      <c r="Y927" s="3">
        <f t="shared" si="259"/>
        <v>-8.3103448268957436E-2</v>
      </c>
      <c r="Z927" s="7">
        <f t="shared" si="260"/>
        <v>1378.7210327900855</v>
      </c>
      <c r="AA927" s="2">
        <f t="shared" si="254"/>
        <v>157.78896720991452</v>
      </c>
      <c r="AB927" s="8">
        <f t="shared" si="261"/>
        <v>0</v>
      </c>
      <c r="AC927" s="10">
        <v>6.75</v>
      </c>
      <c r="AD927" s="7">
        <f t="shared" si="262"/>
        <v>1378.7210327900855</v>
      </c>
      <c r="AE927" s="2">
        <f t="shared" si="263"/>
        <v>157.78896720991452</v>
      </c>
      <c r="AF927" s="10">
        <v>0</v>
      </c>
      <c r="AG927" s="3">
        <f t="shared" si="264"/>
        <v>0</v>
      </c>
      <c r="AH927" s="7">
        <v>1980</v>
      </c>
      <c r="AI927">
        <f t="shared" si="265"/>
        <v>360</v>
      </c>
      <c r="AJ927" t="e">
        <f>VLOOKUP(A927,'Borrower Details'!$A$1:$H$1493,8,FALSE)</f>
        <v>#N/A</v>
      </c>
      <c r="AK927" s="4" t="e">
        <f t="shared" si="266"/>
        <v>#N/A</v>
      </c>
      <c r="AL927" s="10">
        <v>6.75</v>
      </c>
      <c r="AM927" s="3">
        <f t="shared" si="267"/>
        <v>199738.08434999999</v>
      </c>
      <c r="AN927">
        <v>6.75</v>
      </c>
      <c r="AO927" s="7">
        <f t="shared" si="268"/>
        <v>1378.7216150284132</v>
      </c>
      <c r="AP927" s="2">
        <f t="shared" si="269"/>
        <v>157.78838497158677</v>
      </c>
    </row>
    <row r="928" spans="1:42" x14ac:dyDescent="0.15">
      <c r="A928" s="8">
        <v>1148425</v>
      </c>
      <c r="B928" t="s">
        <v>37</v>
      </c>
      <c r="C928" t="s">
        <v>19</v>
      </c>
      <c r="D928" s="1">
        <v>39148</v>
      </c>
      <c r="E928" s="2">
        <v>115000</v>
      </c>
      <c r="F928" s="2">
        <v>103500</v>
      </c>
      <c r="G928" t="s">
        <v>17</v>
      </c>
      <c r="H928" s="2">
        <v>954.51</v>
      </c>
      <c r="I928" s="2">
        <v>102941.87</v>
      </c>
      <c r="J928">
        <v>0.106</v>
      </c>
      <c r="K928">
        <v>13</v>
      </c>
      <c r="L928">
        <v>347</v>
      </c>
      <c r="M928" t="str">
        <f t="shared" si="255"/>
        <v>30 Year Fixed</v>
      </c>
      <c r="N928" s="2">
        <v>909.32</v>
      </c>
      <c r="O928" t="str">
        <f t="shared" si="252"/>
        <v>Refi</v>
      </c>
      <c r="P928" s="3">
        <f t="shared" si="256"/>
        <v>0</v>
      </c>
      <c r="Q928" s="4">
        <v>104486</v>
      </c>
      <c r="R928" s="4" t="s">
        <v>41</v>
      </c>
      <c r="S928" s="6">
        <v>530</v>
      </c>
      <c r="T928">
        <v>7.625</v>
      </c>
      <c r="U928" s="7">
        <f t="shared" si="253"/>
        <v>783.08120714943868</v>
      </c>
      <c r="V928" s="2">
        <f t="shared" si="257"/>
        <v>171.42879285056131</v>
      </c>
      <c r="W928" s="9">
        <f t="shared" si="258"/>
        <v>0</v>
      </c>
      <c r="X928" s="3">
        <v>104486</v>
      </c>
      <c r="Y928" s="3">
        <f t="shared" si="259"/>
        <v>1.9211822800571099E-3</v>
      </c>
      <c r="Z928" s="7">
        <f t="shared" si="260"/>
        <v>783.08120714943868</v>
      </c>
      <c r="AA928" s="2">
        <f t="shared" si="254"/>
        <v>171.42879285056131</v>
      </c>
      <c r="AB928" s="8">
        <f t="shared" si="261"/>
        <v>0</v>
      </c>
      <c r="AC928" s="10">
        <v>7.625</v>
      </c>
      <c r="AD928" s="7">
        <f t="shared" si="262"/>
        <v>783.08120714943868</v>
      </c>
      <c r="AE928" s="2">
        <f t="shared" si="263"/>
        <v>171.42879285056131</v>
      </c>
      <c r="AF928" s="10">
        <v>0</v>
      </c>
      <c r="AG928" s="3">
        <f t="shared" si="264"/>
        <v>0</v>
      </c>
      <c r="AH928" s="7">
        <v>0</v>
      </c>
      <c r="AI928">
        <f t="shared" si="265"/>
        <v>360</v>
      </c>
      <c r="AJ928" t="e">
        <f>VLOOKUP(A928,'Borrower Details'!$A$1:$H$1493,8,FALSE)</f>
        <v>#N/A</v>
      </c>
      <c r="AK928" s="4" t="e">
        <f t="shared" si="266"/>
        <v>#N/A</v>
      </c>
      <c r="AL928" s="10">
        <v>7.625</v>
      </c>
      <c r="AM928" s="3">
        <f t="shared" si="267"/>
        <v>104485.99804999998</v>
      </c>
      <c r="AN928">
        <v>7.625</v>
      </c>
      <c r="AO928" s="7">
        <f t="shared" si="268"/>
        <v>783.08119253496045</v>
      </c>
      <c r="AP928" s="2">
        <f t="shared" si="269"/>
        <v>171.42880746503954</v>
      </c>
    </row>
    <row r="929" spans="1:42" x14ac:dyDescent="0.15">
      <c r="A929" s="8">
        <v>410535884</v>
      </c>
      <c r="B929" t="s">
        <v>36</v>
      </c>
      <c r="C929" t="s">
        <v>19</v>
      </c>
      <c r="D929" s="1">
        <v>39274</v>
      </c>
      <c r="E929" s="2">
        <v>285000</v>
      </c>
      <c r="F929" s="2">
        <v>211500</v>
      </c>
      <c r="G929" t="s">
        <v>17</v>
      </c>
      <c r="H929" s="2">
        <v>1364.77</v>
      </c>
      <c r="I929" s="2">
        <v>209807.5</v>
      </c>
      <c r="J929">
        <v>6.7000000000000004E-2</v>
      </c>
      <c r="K929">
        <v>9</v>
      </c>
      <c r="L929">
        <v>351</v>
      </c>
      <c r="M929" t="str">
        <f t="shared" si="255"/>
        <v>30 Year Fixed</v>
      </c>
      <c r="N929" s="2">
        <v>1171.43</v>
      </c>
      <c r="O929" t="str">
        <f t="shared" si="252"/>
        <v>Cash Out</v>
      </c>
      <c r="P929" s="3">
        <f t="shared" si="256"/>
        <v>28862.45073891629</v>
      </c>
      <c r="Q929" s="4">
        <v>242250</v>
      </c>
      <c r="R929" s="4" t="s">
        <v>41</v>
      </c>
      <c r="S929" s="6">
        <v>702</v>
      </c>
      <c r="T929">
        <v>6.75</v>
      </c>
      <c r="U929" s="7">
        <f t="shared" si="253"/>
        <v>1672.1663889364979</v>
      </c>
      <c r="V929" s="2">
        <f t="shared" si="257"/>
        <v>-307.39638893649794</v>
      </c>
      <c r="W929" s="9">
        <f t="shared" si="258"/>
        <v>1</v>
      </c>
      <c r="X929" s="3">
        <v>212955</v>
      </c>
      <c r="Y929" s="3">
        <f t="shared" si="259"/>
        <v>0.38177339904359542</v>
      </c>
      <c r="Z929" s="7">
        <f t="shared" si="260"/>
        <v>1469.9533265468397</v>
      </c>
      <c r="AA929" s="2">
        <f t="shared" si="254"/>
        <v>-105.18332654683968</v>
      </c>
      <c r="AB929" s="8">
        <f t="shared" si="261"/>
        <v>1</v>
      </c>
      <c r="AC929" s="10">
        <v>6.125</v>
      </c>
      <c r="AD929" s="7">
        <f t="shared" si="262"/>
        <v>1382.6682745640576</v>
      </c>
      <c r="AE929" s="2">
        <f t="shared" si="263"/>
        <v>-17.898274564057601</v>
      </c>
      <c r="AF929" s="10">
        <v>3</v>
      </c>
      <c r="AG929" s="3">
        <f t="shared" si="264"/>
        <v>6388.65</v>
      </c>
      <c r="AH929" s="7">
        <v>4230</v>
      </c>
      <c r="AI929">
        <f t="shared" si="265"/>
        <v>360</v>
      </c>
      <c r="AJ929" t="e">
        <f>VLOOKUP(A929,'Borrower Details'!$A$1:$H$1493,8,FALSE)</f>
        <v>#N/A</v>
      </c>
      <c r="AK929" s="4" t="e">
        <f t="shared" si="266"/>
        <v>#N/A</v>
      </c>
      <c r="AL929" s="10">
        <v>6.75</v>
      </c>
      <c r="AM929" s="3">
        <f t="shared" si="267"/>
        <v>212954.61249999999</v>
      </c>
      <c r="AN929">
        <v>6.75</v>
      </c>
      <c r="AO929" s="7">
        <f t="shared" si="268"/>
        <v>1469.9506517708821</v>
      </c>
      <c r="AP929" s="2">
        <f t="shared" si="269"/>
        <v>-105.18065177088215</v>
      </c>
    </row>
    <row r="930" spans="1:42" x14ac:dyDescent="0.15">
      <c r="A930" s="8">
        <v>411066442</v>
      </c>
      <c r="B930" t="s">
        <v>36</v>
      </c>
      <c r="C930" t="s">
        <v>16</v>
      </c>
      <c r="D930" s="1">
        <v>39385</v>
      </c>
      <c r="E930" s="2">
        <v>155000</v>
      </c>
      <c r="F930" s="2">
        <v>123750</v>
      </c>
      <c r="G930" t="s">
        <v>17</v>
      </c>
      <c r="H930" s="2">
        <v>985.95</v>
      </c>
      <c r="I930" s="2">
        <v>123327.22</v>
      </c>
      <c r="J930">
        <v>8.8900000000000007E-2</v>
      </c>
      <c r="K930">
        <v>6</v>
      </c>
      <c r="L930">
        <v>354</v>
      </c>
      <c r="M930" t="str">
        <f t="shared" si="255"/>
        <v>30 Year Fixed</v>
      </c>
      <c r="N930" s="2">
        <v>913.65</v>
      </c>
      <c r="O930" t="str">
        <f t="shared" si="252"/>
        <v>Cash Out</v>
      </c>
      <c r="P930" s="3">
        <f t="shared" si="256"/>
        <v>6475.7356650246365</v>
      </c>
      <c r="Q930" s="4">
        <v>131750</v>
      </c>
      <c r="R930" s="4" t="s">
        <v>41</v>
      </c>
      <c r="S930" s="6">
        <v>633</v>
      </c>
      <c r="T930">
        <v>6.75</v>
      </c>
      <c r="U930" s="7">
        <f t="shared" si="253"/>
        <v>909.42382556195503</v>
      </c>
      <c r="V930" s="2">
        <f t="shared" si="257"/>
        <v>76.526174438045018</v>
      </c>
      <c r="W930" s="9">
        <f t="shared" si="258"/>
        <v>0</v>
      </c>
      <c r="X930" s="3">
        <v>131750</v>
      </c>
      <c r="Y930" s="3">
        <f t="shared" si="259"/>
        <v>6475.7356650246365</v>
      </c>
      <c r="Z930" s="7">
        <f t="shared" si="260"/>
        <v>909.42382556195503</v>
      </c>
      <c r="AA930" s="2">
        <f t="shared" si="254"/>
        <v>76.526174438045018</v>
      </c>
      <c r="AB930" s="8">
        <f t="shared" si="261"/>
        <v>0</v>
      </c>
      <c r="AC930" s="10">
        <v>6.75</v>
      </c>
      <c r="AD930" s="7">
        <f t="shared" si="262"/>
        <v>909.42382556195503</v>
      </c>
      <c r="AE930" s="2">
        <f t="shared" si="263"/>
        <v>76.526174438045018</v>
      </c>
      <c r="AF930" s="10">
        <v>0</v>
      </c>
      <c r="AG930" s="3">
        <f t="shared" si="264"/>
        <v>0</v>
      </c>
      <c r="AH930" s="7">
        <v>2475</v>
      </c>
      <c r="AI930">
        <f t="shared" si="265"/>
        <v>360</v>
      </c>
      <c r="AJ930" t="e">
        <f>VLOOKUP(A930,'Borrower Details'!$A$1:$H$1493,8,FALSE)</f>
        <v>#N/A</v>
      </c>
      <c r="AK930" s="4" t="e">
        <f t="shared" si="266"/>
        <v>#N/A</v>
      </c>
      <c r="AL930" s="10">
        <v>6.75</v>
      </c>
      <c r="AM930" s="3">
        <f t="shared" si="267"/>
        <v>125177.12829999998</v>
      </c>
      <c r="AN930">
        <v>6.75</v>
      </c>
      <c r="AO930" s="7">
        <f t="shared" si="268"/>
        <v>864.05360828421738</v>
      </c>
      <c r="AP930" s="2">
        <f t="shared" si="269"/>
        <v>121.89639171578267</v>
      </c>
    </row>
    <row r="931" spans="1:42" x14ac:dyDescent="0.15">
      <c r="A931" s="8">
        <v>1176257</v>
      </c>
      <c r="B931" t="s">
        <v>37</v>
      </c>
      <c r="C931" t="s">
        <v>18</v>
      </c>
      <c r="D931" s="1">
        <v>39171</v>
      </c>
      <c r="E931" s="2">
        <v>230000</v>
      </c>
      <c r="F931" s="2">
        <v>218500</v>
      </c>
      <c r="G931" t="s">
        <v>15</v>
      </c>
      <c r="H931" s="2">
        <v>1732.67</v>
      </c>
      <c r="I931" s="2">
        <v>217867.7</v>
      </c>
      <c r="J931">
        <v>9.2799999999999994E-2</v>
      </c>
      <c r="K931">
        <v>13</v>
      </c>
      <c r="L931">
        <v>346</v>
      </c>
      <c r="M931" t="str">
        <f t="shared" si="255"/>
        <v>30 Year Fixed</v>
      </c>
      <c r="N931" s="2">
        <v>1685.21</v>
      </c>
      <c r="O931" t="str">
        <f t="shared" si="252"/>
        <v>Refi</v>
      </c>
      <c r="P931" s="3">
        <f t="shared" si="256"/>
        <v>0</v>
      </c>
      <c r="Q931" s="4">
        <v>221136</v>
      </c>
      <c r="R931" s="4" t="s">
        <v>41</v>
      </c>
      <c r="S931" s="6">
        <v>578</v>
      </c>
      <c r="T931">
        <v>7.625</v>
      </c>
      <c r="U931" s="7">
        <f t="shared" si="253"/>
        <v>1657.3267789387887</v>
      </c>
      <c r="V931" s="2">
        <f t="shared" si="257"/>
        <v>75.343221061211352</v>
      </c>
      <c r="W931" s="9">
        <f t="shared" si="258"/>
        <v>0</v>
      </c>
      <c r="X931" s="3">
        <v>221136</v>
      </c>
      <c r="Y931" s="3">
        <f t="shared" si="259"/>
        <v>0.28029556651017629</v>
      </c>
      <c r="Z931" s="7">
        <f t="shared" si="260"/>
        <v>1657.3267789387887</v>
      </c>
      <c r="AA931" s="2">
        <f t="shared" si="254"/>
        <v>75.343221061211352</v>
      </c>
      <c r="AB931" s="8">
        <f t="shared" si="261"/>
        <v>1</v>
      </c>
      <c r="AC931" s="10">
        <v>6.875</v>
      </c>
      <c r="AD931" s="7">
        <f t="shared" si="262"/>
        <v>1544.8461014094898</v>
      </c>
      <c r="AE931" s="2">
        <f t="shared" si="263"/>
        <v>187.82389859051023</v>
      </c>
      <c r="AF931" s="10">
        <v>1</v>
      </c>
      <c r="AG931" s="3">
        <f t="shared" si="264"/>
        <v>2211.36</v>
      </c>
      <c r="AH931" s="7">
        <v>2185</v>
      </c>
      <c r="AI931">
        <f t="shared" si="265"/>
        <v>360</v>
      </c>
      <c r="AJ931" t="e">
        <f>VLOOKUP(A931,'Borrower Details'!$A$1:$H$1493,8,FALSE)</f>
        <v>#N/A</v>
      </c>
      <c r="AK931" s="4" t="e">
        <f t="shared" si="266"/>
        <v>#N/A</v>
      </c>
      <c r="AL931" s="10">
        <v>7.625</v>
      </c>
      <c r="AM931" s="3">
        <f t="shared" si="267"/>
        <v>221135.71549999999</v>
      </c>
      <c r="AN931">
        <v>7.625</v>
      </c>
      <c r="AO931" s="7">
        <f t="shared" si="268"/>
        <v>1657.3246467239137</v>
      </c>
      <c r="AP931" s="2">
        <f t="shared" si="269"/>
        <v>75.345353276086371</v>
      </c>
    </row>
    <row r="932" spans="1:42" x14ac:dyDescent="0.15">
      <c r="A932" s="8">
        <v>410811848</v>
      </c>
      <c r="B932" t="s">
        <v>35</v>
      </c>
      <c r="C932" t="s">
        <v>16</v>
      </c>
      <c r="D932" s="1">
        <v>39311</v>
      </c>
      <c r="E932" s="2">
        <v>63000</v>
      </c>
      <c r="F932" s="2">
        <v>53550</v>
      </c>
      <c r="G932" t="s">
        <v>17</v>
      </c>
      <c r="H932" s="2">
        <v>522.15</v>
      </c>
      <c r="I932" s="2">
        <v>53402.080000000002</v>
      </c>
      <c r="J932">
        <v>0.113</v>
      </c>
      <c r="K932">
        <v>8</v>
      </c>
      <c r="L932">
        <v>352</v>
      </c>
      <c r="M932" t="str">
        <f t="shared" si="255"/>
        <v>30 Year Fixed</v>
      </c>
      <c r="N932" s="2">
        <v>502.87</v>
      </c>
      <c r="O932" t="str">
        <f t="shared" si="252"/>
        <v>Refi</v>
      </c>
      <c r="P932" s="3">
        <f t="shared" si="256"/>
        <v>0</v>
      </c>
      <c r="Q932" s="4">
        <v>54203</v>
      </c>
      <c r="R932" s="4" t="s">
        <v>41</v>
      </c>
      <c r="S932" s="6">
        <v>563</v>
      </c>
      <c r="T932">
        <v>7.625</v>
      </c>
      <c r="U932" s="7">
        <f t="shared" si="253"/>
        <v>406.23002766993693</v>
      </c>
      <c r="V932" s="2">
        <f t="shared" si="257"/>
        <v>115.91997233006305</v>
      </c>
      <c r="W932" s="9">
        <f t="shared" si="258"/>
        <v>0</v>
      </c>
      <c r="X932" s="3">
        <v>54203</v>
      </c>
      <c r="Y932" s="3">
        <f t="shared" si="259"/>
        <v>-0.10955665024084738</v>
      </c>
      <c r="Z932" s="7">
        <f t="shared" si="260"/>
        <v>406.23002766993693</v>
      </c>
      <c r="AA932" s="2">
        <f t="shared" si="254"/>
        <v>115.91997233006305</v>
      </c>
      <c r="AB932" s="8">
        <f t="shared" si="261"/>
        <v>0</v>
      </c>
      <c r="AC932" s="10">
        <v>7.625</v>
      </c>
      <c r="AD932" s="7">
        <f t="shared" si="262"/>
        <v>406.23002766993693</v>
      </c>
      <c r="AE932" s="2">
        <f t="shared" si="263"/>
        <v>115.91997233006305</v>
      </c>
      <c r="AF932" s="10">
        <v>0</v>
      </c>
      <c r="AG932" s="3">
        <f t="shared" si="264"/>
        <v>0</v>
      </c>
      <c r="AH932" s="7">
        <v>3025.5750000000003</v>
      </c>
      <c r="AI932">
        <f t="shared" si="265"/>
        <v>360</v>
      </c>
      <c r="AJ932" t="e">
        <f>VLOOKUP(A932,'Borrower Details'!$A$1:$H$1493,8,FALSE)</f>
        <v>#N/A</v>
      </c>
      <c r="AK932" s="4" t="e">
        <f t="shared" si="266"/>
        <v>#N/A</v>
      </c>
      <c r="AL932" s="10">
        <v>7.625</v>
      </c>
      <c r="AM932" s="3">
        <f t="shared" si="267"/>
        <v>54203.111199999999</v>
      </c>
      <c r="AN932">
        <v>7.625</v>
      </c>
      <c r="AO932" s="7">
        <f t="shared" si="268"/>
        <v>406.23086106991616</v>
      </c>
      <c r="AP932" s="2">
        <f t="shared" si="269"/>
        <v>115.91913893008382</v>
      </c>
    </row>
    <row r="933" spans="1:42" x14ac:dyDescent="0.15">
      <c r="A933" s="8">
        <v>410708416</v>
      </c>
      <c r="B933" t="s">
        <v>36</v>
      </c>
      <c r="C933" t="s">
        <v>19</v>
      </c>
      <c r="D933" s="1">
        <v>39290</v>
      </c>
      <c r="E933" s="2">
        <v>187000</v>
      </c>
      <c r="F933" s="2">
        <v>140250</v>
      </c>
      <c r="G933" t="s">
        <v>17</v>
      </c>
      <c r="H933" s="2">
        <v>1038.9000000000001</v>
      </c>
      <c r="I933" s="2">
        <v>139397.32999999999</v>
      </c>
      <c r="J933">
        <v>8.1000000000000003E-2</v>
      </c>
      <c r="K933">
        <v>9</v>
      </c>
      <c r="L933">
        <v>351</v>
      </c>
      <c r="M933" t="str">
        <f t="shared" si="255"/>
        <v>30 Year Fixed</v>
      </c>
      <c r="N933" s="2">
        <v>940.93</v>
      </c>
      <c r="O933" t="str">
        <f t="shared" si="252"/>
        <v>Cash Out</v>
      </c>
      <c r="P933" s="3">
        <f t="shared" si="256"/>
        <v>17203.655221674911</v>
      </c>
      <c r="Q933" s="4">
        <v>158950</v>
      </c>
      <c r="R933" s="4" t="s">
        <v>41</v>
      </c>
      <c r="S933" s="6">
        <v>584</v>
      </c>
      <c r="T933">
        <v>7.375</v>
      </c>
      <c r="U933" s="7">
        <f t="shared" si="253"/>
        <v>1164.0573137726351</v>
      </c>
      <c r="V933" s="2">
        <f t="shared" si="257"/>
        <v>-125.15731377263501</v>
      </c>
      <c r="W933" s="9">
        <f t="shared" si="258"/>
        <v>1</v>
      </c>
      <c r="X933" s="3">
        <v>141790</v>
      </c>
      <c r="Y933" s="3">
        <f t="shared" si="259"/>
        <v>297.25128078821581</v>
      </c>
      <c r="Z933" s="7">
        <f t="shared" si="260"/>
        <v>1038.387458444932</v>
      </c>
      <c r="AA933" s="2">
        <f t="shared" si="254"/>
        <v>0.51254155506808274</v>
      </c>
      <c r="AB933" s="8">
        <f t="shared" si="261"/>
        <v>1</v>
      </c>
      <c r="AC933" s="10">
        <v>6.625</v>
      </c>
      <c r="AD933" s="7">
        <f t="shared" si="262"/>
        <v>966.97607837507599</v>
      </c>
      <c r="AE933" s="2">
        <f t="shared" si="263"/>
        <v>71.923921624924105</v>
      </c>
      <c r="AF933" s="10">
        <v>1.875</v>
      </c>
      <c r="AG933" s="3">
        <f t="shared" si="264"/>
        <v>2658.5625</v>
      </c>
      <c r="AH933" s="7">
        <v>2805</v>
      </c>
      <c r="AI933">
        <f t="shared" si="265"/>
        <v>360</v>
      </c>
      <c r="AJ933" t="e">
        <f>VLOOKUP(A933,'Borrower Details'!$A$1:$H$1493,8,FALSE)</f>
        <v>#N/A</v>
      </c>
      <c r="AK933" s="4" t="e">
        <f t="shared" si="266"/>
        <v>#N/A</v>
      </c>
      <c r="AL933" s="10">
        <v>7.375</v>
      </c>
      <c r="AM933" s="3">
        <f t="shared" si="267"/>
        <v>141488.28994999998</v>
      </c>
      <c r="AN933">
        <v>7.375</v>
      </c>
      <c r="AO933" s="7">
        <f t="shared" si="268"/>
        <v>1036.1779095909449</v>
      </c>
      <c r="AP933" s="2">
        <f t="shared" si="269"/>
        <v>2.7220904090552267</v>
      </c>
    </row>
    <row r="934" spans="1:42" x14ac:dyDescent="0.15">
      <c r="A934" s="8">
        <v>410513436</v>
      </c>
      <c r="B934" t="s">
        <v>35</v>
      </c>
      <c r="C934" t="s">
        <v>16</v>
      </c>
      <c r="D934" s="1">
        <v>39287</v>
      </c>
      <c r="E934" s="2">
        <v>155000</v>
      </c>
      <c r="F934" s="2">
        <v>131750</v>
      </c>
      <c r="G934" t="s">
        <v>15</v>
      </c>
      <c r="H934" s="2">
        <v>1127.1099999999999</v>
      </c>
      <c r="I934" s="2">
        <v>131172.41</v>
      </c>
      <c r="J934">
        <v>9.7000000000000003E-2</v>
      </c>
      <c r="K934">
        <v>9</v>
      </c>
      <c r="L934">
        <v>351</v>
      </c>
      <c r="M934" t="str">
        <f t="shared" si="255"/>
        <v>30 Year Fixed</v>
      </c>
      <c r="N934" s="2">
        <v>1060.31</v>
      </c>
      <c r="O934" t="str">
        <f t="shared" si="252"/>
        <v>Refi</v>
      </c>
      <c r="P934" s="3">
        <f t="shared" si="256"/>
        <v>0</v>
      </c>
      <c r="Q934" s="4">
        <v>133140</v>
      </c>
      <c r="R934" s="4" t="s">
        <v>41</v>
      </c>
      <c r="S934" s="6">
        <v>529</v>
      </c>
      <c r="T934">
        <v>7.625</v>
      </c>
      <c r="U934" s="7">
        <f t="shared" si="253"/>
        <v>997.83159389656294</v>
      </c>
      <c r="V934" s="2">
        <f t="shared" si="257"/>
        <v>129.27840610343696</v>
      </c>
      <c r="W934" s="9">
        <f t="shared" si="258"/>
        <v>0</v>
      </c>
      <c r="X934" s="3">
        <v>133140</v>
      </c>
      <c r="Y934" s="3">
        <f t="shared" si="259"/>
        <v>3.7931034457869828E-3</v>
      </c>
      <c r="Z934" s="7">
        <f t="shared" si="260"/>
        <v>997.83159389656294</v>
      </c>
      <c r="AA934" s="2">
        <f t="shared" si="254"/>
        <v>129.27840610343696</v>
      </c>
      <c r="AB934" s="8">
        <f t="shared" si="261"/>
        <v>0</v>
      </c>
      <c r="AC934" s="10">
        <v>7.625</v>
      </c>
      <c r="AD934" s="7">
        <f t="shared" si="262"/>
        <v>997.83159389656294</v>
      </c>
      <c r="AE934" s="2">
        <f t="shared" si="263"/>
        <v>129.27840610343696</v>
      </c>
      <c r="AF934" s="10">
        <v>0</v>
      </c>
      <c r="AG934" s="3">
        <f t="shared" si="264"/>
        <v>0</v>
      </c>
      <c r="AH934" s="7">
        <v>6389.875</v>
      </c>
      <c r="AI934">
        <f t="shared" si="265"/>
        <v>360</v>
      </c>
      <c r="AJ934" t="e">
        <f>VLOOKUP(A934,'Borrower Details'!$A$1:$H$1493,8,FALSE)</f>
        <v>#N/A</v>
      </c>
      <c r="AK934" s="4" t="e">
        <f t="shared" si="266"/>
        <v>#N/A</v>
      </c>
      <c r="AL934" s="10">
        <v>7.625</v>
      </c>
      <c r="AM934" s="3">
        <f t="shared" si="267"/>
        <v>133139.99614999999</v>
      </c>
      <c r="AN934">
        <v>7.625</v>
      </c>
      <c r="AO934" s="7">
        <f t="shared" si="268"/>
        <v>997.83156504233693</v>
      </c>
      <c r="AP934" s="2">
        <f t="shared" si="269"/>
        <v>129.27843495766297</v>
      </c>
    </row>
    <row r="935" spans="1:42" x14ac:dyDescent="0.15">
      <c r="A935" s="8">
        <v>410527584</v>
      </c>
      <c r="B935" t="s">
        <v>36</v>
      </c>
      <c r="C935" t="s">
        <v>19</v>
      </c>
      <c r="D935" s="1">
        <v>39262</v>
      </c>
      <c r="E935" s="2">
        <v>390000</v>
      </c>
      <c r="F935" s="2">
        <v>370500</v>
      </c>
      <c r="G935" t="s">
        <v>15</v>
      </c>
      <c r="H935" s="2">
        <v>2886.45</v>
      </c>
      <c r="I935" s="2">
        <v>369704.99</v>
      </c>
      <c r="J935">
        <v>9.0999999999999998E-2</v>
      </c>
      <c r="K935">
        <v>10</v>
      </c>
      <c r="L935">
        <v>350</v>
      </c>
      <c r="M935" t="str">
        <f t="shared" si="255"/>
        <v>30 Year Fixed</v>
      </c>
      <c r="N935" s="2">
        <v>2803.6</v>
      </c>
      <c r="O935" t="str">
        <f t="shared" si="252"/>
        <v>Refi</v>
      </c>
      <c r="P935" s="3">
        <f t="shared" si="256"/>
        <v>0</v>
      </c>
      <c r="Q935" s="4">
        <v>375251</v>
      </c>
      <c r="R935" s="4" t="s">
        <v>41</v>
      </c>
      <c r="S935" s="6">
        <v>610</v>
      </c>
      <c r="T935">
        <v>7.625</v>
      </c>
      <c r="U935" s="7">
        <f t="shared" si="253"/>
        <v>2812.3576944665697</v>
      </c>
      <c r="V935" s="2">
        <f t="shared" si="257"/>
        <v>74.092305533430135</v>
      </c>
      <c r="W935" s="9">
        <f t="shared" si="258"/>
        <v>0</v>
      </c>
      <c r="X935" s="3">
        <v>375251</v>
      </c>
      <c r="Y935" s="3">
        <f t="shared" si="259"/>
        <v>0.42871921189362183</v>
      </c>
      <c r="Z935" s="7">
        <f t="shared" si="260"/>
        <v>2812.3576944665697</v>
      </c>
      <c r="AA935" s="2">
        <f t="shared" si="254"/>
        <v>74.092305533430135</v>
      </c>
      <c r="AB935" s="8">
        <f t="shared" si="261"/>
        <v>1</v>
      </c>
      <c r="AC935" s="10">
        <v>6.875</v>
      </c>
      <c r="AD935" s="7">
        <f t="shared" si="262"/>
        <v>2621.4865259388448</v>
      </c>
      <c r="AE935" s="2">
        <f t="shared" si="263"/>
        <v>264.96347406115501</v>
      </c>
      <c r="AF935" s="10">
        <v>1</v>
      </c>
      <c r="AG935" s="3">
        <f t="shared" si="264"/>
        <v>3752.51</v>
      </c>
      <c r="AH935" s="7">
        <v>7410</v>
      </c>
      <c r="AI935">
        <f t="shared" si="265"/>
        <v>360</v>
      </c>
      <c r="AJ935" t="e">
        <f>VLOOKUP(A935,'Borrower Details'!$A$1:$H$1493,8,FALSE)</f>
        <v>#N/A</v>
      </c>
      <c r="AK935" s="4" t="e">
        <f t="shared" si="266"/>
        <v>#N/A</v>
      </c>
      <c r="AL935" s="10">
        <v>7.625</v>
      </c>
      <c r="AM935" s="3">
        <f t="shared" si="267"/>
        <v>375250.56484999997</v>
      </c>
      <c r="AN935">
        <v>7.625</v>
      </c>
      <c r="AO935" s="7">
        <f t="shared" si="268"/>
        <v>2812.3544331895823</v>
      </c>
      <c r="AP935" s="2">
        <f t="shared" si="269"/>
        <v>74.095566810417495</v>
      </c>
    </row>
    <row r="936" spans="1:42" x14ac:dyDescent="0.15">
      <c r="A936" s="8">
        <v>411091598</v>
      </c>
      <c r="B936" t="s">
        <v>37</v>
      </c>
      <c r="C936" t="s">
        <v>18</v>
      </c>
      <c r="D936" s="1">
        <v>39401</v>
      </c>
      <c r="E936" s="2">
        <v>251000</v>
      </c>
      <c r="F936" s="2">
        <v>200800</v>
      </c>
      <c r="G936" t="s">
        <v>17</v>
      </c>
      <c r="H936" s="2">
        <v>1747.35</v>
      </c>
      <c r="I936" s="2">
        <v>200244.15</v>
      </c>
      <c r="J936">
        <v>9.9000000000000005E-2</v>
      </c>
      <c r="K936">
        <v>5</v>
      </c>
      <c r="L936">
        <v>354</v>
      </c>
      <c r="M936" t="str">
        <f t="shared" si="255"/>
        <v>30 Year Fixed</v>
      </c>
      <c r="N936" s="2">
        <v>1652.01</v>
      </c>
      <c r="O936" t="str">
        <f t="shared" si="252"/>
        <v>Cash Out</v>
      </c>
      <c r="P936" s="3">
        <f t="shared" si="256"/>
        <v>9952.8943349753972</v>
      </c>
      <c r="Q936" s="4">
        <v>213350</v>
      </c>
      <c r="R936" s="4" t="s">
        <v>41</v>
      </c>
      <c r="S936" s="6">
        <v>611</v>
      </c>
      <c r="T936">
        <v>6.875</v>
      </c>
      <c r="U936" s="7">
        <f t="shared" si="253"/>
        <v>1490.4534573100473</v>
      </c>
      <c r="V936" s="2">
        <f t="shared" si="257"/>
        <v>256.89654268995264</v>
      </c>
      <c r="W936" s="9">
        <f t="shared" si="258"/>
        <v>0</v>
      </c>
      <c r="X936" s="3">
        <v>213350</v>
      </c>
      <c r="Y936" s="3">
        <f t="shared" si="259"/>
        <v>9952.8943349753972</v>
      </c>
      <c r="Z936" s="7">
        <f t="shared" si="260"/>
        <v>1490.4534573100473</v>
      </c>
      <c r="AA936" s="2">
        <f t="shared" si="254"/>
        <v>256.89654268995264</v>
      </c>
      <c r="AB936" s="8">
        <f t="shared" si="261"/>
        <v>0</v>
      </c>
      <c r="AC936" s="10">
        <v>6.875</v>
      </c>
      <c r="AD936" s="7">
        <f t="shared" si="262"/>
        <v>1490.4534573100473</v>
      </c>
      <c r="AE936" s="2">
        <f t="shared" si="263"/>
        <v>256.89654268995264</v>
      </c>
      <c r="AF936" s="10">
        <v>0</v>
      </c>
      <c r="AG936" s="3">
        <f t="shared" si="264"/>
        <v>0</v>
      </c>
      <c r="AH936" s="7">
        <v>2008</v>
      </c>
      <c r="AI936">
        <f t="shared" si="265"/>
        <v>360</v>
      </c>
      <c r="AJ936" t="e">
        <f>VLOOKUP(A936,'Borrower Details'!$A$1:$H$1493,8,FALSE)</f>
        <v>#N/A</v>
      </c>
      <c r="AK936" s="4" t="e">
        <f t="shared" si="266"/>
        <v>#N/A</v>
      </c>
      <c r="AL936" s="10">
        <v>6.875</v>
      </c>
      <c r="AM936" s="3">
        <f t="shared" si="267"/>
        <v>203247.81224999999</v>
      </c>
      <c r="AN936">
        <v>6.875</v>
      </c>
      <c r="AO936" s="7">
        <f t="shared" si="268"/>
        <v>1419.8800302728655</v>
      </c>
      <c r="AP936" s="2">
        <f t="shared" si="269"/>
        <v>327.46996972713441</v>
      </c>
    </row>
    <row r="937" spans="1:42" x14ac:dyDescent="0.15">
      <c r="A937" s="8">
        <v>1172003</v>
      </c>
      <c r="B937" t="s">
        <v>36</v>
      </c>
      <c r="C937" t="s">
        <v>19</v>
      </c>
      <c r="D937" s="1">
        <v>39171</v>
      </c>
      <c r="E937" s="2">
        <v>260000</v>
      </c>
      <c r="F937" s="2">
        <v>224010</v>
      </c>
      <c r="G937" t="s">
        <v>17</v>
      </c>
      <c r="H937" s="2">
        <v>1532.41</v>
      </c>
      <c r="I937" s="2">
        <v>223103.85</v>
      </c>
      <c r="J937">
        <v>7.85E-2</v>
      </c>
      <c r="K937">
        <v>13</v>
      </c>
      <c r="L937">
        <v>347</v>
      </c>
      <c r="M937" t="str">
        <f t="shared" si="255"/>
        <v>30 Year Fixed</v>
      </c>
      <c r="N937" s="2">
        <v>1459.47</v>
      </c>
      <c r="O937" t="str">
        <f t="shared" si="252"/>
        <v>Refi</v>
      </c>
      <c r="P937" s="3">
        <f t="shared" si="256"/>
        <v>0</v>
      </c>
      <c r="Q937" s="4">
        <v>226450</v>
      </c>
      <c r="R937" s="4" t="s">
        <v>41</v>
      </c>
      <c r="S937" s="6">
        <v>650</v>
      </c>
      <c r="T937">
        <v>6.75</v>
      </c>
      <c r="U937" s="7">
        <f t="shared" si="253"/>
        <v>1563.104556345387</v>
      </c>
      <c r="V937" s="2">
        <f t="shared" si="257"/>
        <v>-30.6945563453869</v>
      </c>
      <c r="W937" s="9">
        <f t="shared" si="258"/>
        <v>0</v>
      </c>
      <c r="X937" s="3">
        <v>226451</v>
      </c>
      <c r="Y937" s="3">
        <f t="shared" si="259"/>
        <v>0.58349753695074469</v>
      </c>
      <c r="Z937" s="7">
        <f t="shared" si="260"/>
        <v>1563.1114589930191</v>
      </c>
      <c r="AA937" s="2">
        <f t="shared" si="254"/>
        <v>-30.70145899301906</v>
      </c>
      <c r="AB937" s="8">
        <f t="shared" si="261"/>
        <v>1</v>
      </c>
      <c r="AC937" s="10">
        <v>6.125</v>
      </c>
      <c r="AD937" s="7">
        <f t="shared" si="262"/>
        <v>1470.2947263192007</v>
      </c>
      <c r="AE937" s="2">
        <f t="shared" si="263"/>
        <v>62.115273680799419</v>
      </c>
      <c r="AF937" s="10">
        <v>3</v>
      </c>
      <c r="AG937" s="3">
        <f t="shared" si="264"/>
        <v>6793.53</v>
      </c>
      <c r="AH937" s="7">
        <v>4480.2</v>
      </c>
      <c r="AI937">
        <f t="shared" si="265"/>
        <v>360</v>
      </c>
      <c r="AJ937" t="e">
        <f>VLOOKUP(A937,'Borrower Details'!$A$1:$H$1493,8,FALSE)</f>
        <v>#N/A</v>
      </c>
      <c r="AK937" s="4" t="e">
        <f t="shared" si="266"/>
        <v>#N/A</v>
      </c>
      <c r="AL937" s="10">
        <v>6.75</v>
      </c>
      <c r="AM937" s="3">
        <f t="shared" si="267"/>
        <v>226450.40774999998</v>
      </c>
      <c r="AN937">
        <v>6.75</v>
      </c>
      <c r="AO937" s="7">
        <f t="shared" si="268"/>
        <v>1563.1073708999588</v>
      </c>
      <c r="AP937" s="2">
        <f t="shared" si="269"/>
        <v>-30.697370899958742</v>
      </c>
    </row>
    <row r="938" spans="1:42" x14ac:dyDescent="0.15">
      <c r="A938" s="8">
        <v>411178874</v>
      </c>
      <c r="B938" t="s">
        <v>36</v>
      </c>
      <c r="C938" t="s">
        <v>18</v>
      </c>
      <c r="D938" s="1">
        <v>39442</v>
      </c>
      <c r="E938" s="2">
        <v>230000</v>
      </c>
      <c r="F938" s="2">
        <v>139000</v>
      </c>
      <c r="G938" t="s">
        <v>17</v>
      </c>
      <c r="H938" s="2">
        <v>1024.79</v>
      </c>
      <c r="I938" s="2">
        <v>138626.95000000001</v>
      </c>
      <c r="J938">
        <v>8.0500000000000002E-2</v>
      </c>
      <c r="K938">
        <v>4</v>
      </c>
      <c r="L938">
        <v>356</v>
      </c>
      <c r="M938" t="str">
        <f t="shared" si="255"/>
        <v>30 Year Fixed</v>
      </c>
      <c r="N938" s="2">
        <v>929.96</v>
      </c>
      <c r="O938" t="str">
        <f t="shared" si="252"/>
        <v>Cash Out</v>
      </c>
      <c r="P938" s="3">
        <f t="shared" si="256"/>
        <v>53983.887438423641</v>
      </c>
      <c r="Q938" s="4">
        <v>195500</v>
      </c>
      <c r="R938" s="4" t="s">
        <v>41</v>
      </c>
      <c r="S938" s="6">
        <v>600</v>
      </c>
      <c r="T938">
        <v>6.875</v>
      </c>
      <c r="U938" s="7">
        <f t="shared" si="253"/>
        <v>1365.7541640689676</v>
      </c>
      <c r="V938" s="2">
        <f t="shared" si="257"/>
        <v>-340.96416406896765</v>
      </c>
      <c r="W938" s="9">
        <f t="shared" si="258"/>
        <v>1</v>
      </c>
      <c r="X938" s="3">
        <v>146620</v>
      </c>
      <c r="Y938" s="3">
        <f t="shared" si="259"/>
        <v>5826.2519704433507</v>
      </c>
      <c r="Z938" s="7">
        <f t="shared" si="260"/>
        <v>1024.2806932777087</v>
      </c>
      <c r="AA938" s="2">
        <f t="shared" si="254"/>
        <v>0.50930672229128504</v>
      </c>
      <c r="AB938" s="8">
        <f t="shared" si="261"/>
        <v>1</v>
      </c>
      <c r="AC938" s="10">
        <v>6.25</v>
      </c>
      <c r="AD938" s="7">
        <f t="shared" si="262"/>
        <v>963.85622593184485</v>
      </c>
      <c r="AE938" s="2">
        <f t="shared" si="263"/>
        <v>60.933774068155117</v>
      </c>
      <c r="AF938" s="10">
        <v>2.5</v>
      </c>
      <c r="AG938" s="3">
        <f t="shared" si="264"/>
        <v>3665.5</v>
      </c>
      <c r="AH938" s="7">
        <v>2780</v>
      </c>
      <c r="AI938">
        <f t="shared" si="265"/>
        <v>360</v>
      </c>
      <c r="AJ938" t="e">
        <f>VLOOKUP(A938,'Borrower Details'!$A$1:$H$1493,8,FALSE)</f>
        <v>#N/A</v>
      </c>
      <c r="AK938" s="4" t="e">
        <f t="shared" si="266"/>
        <v>#N/A</v>
      </c>
      <c r="AL938" s="10">
        <v>6.875</v>
      </c>
      <c r="AM938" s="3">
        <f t="shared" si="267"/>
        <v>140706.35425</v>
      </c>
      <c r="AN938">
        <v>6.875</v>
      </c>
      <c r="AO938" s="7">
        <f t="shared" si="268"/>
        <v>982.96823134476108</v>
      </c>
      <c r="AP938" s="2">
        <f t="shared" si="269"/>
        <v>41.821768655238884</v>
      </c>
    </row>
    <row r="939" spans="1:42" x14ac:dyDescent="0.15">
      <c r="A939" s="8">
        <v>410715296</v>
      </c>
      <c r="B939" t="s">
        <v>36</v>
      </c>
      <c r="C939" t="s">
        <v>18</v>
      </c>
      <c r="D939" s="1">
        <v>39316</v>
      </c>
      <c r="E939" s="2">
        <v>112000</v>
      </c>
      <c r="F939" s="2">
        <v>95200</v>
      </c>
      <c r="G939" t="s">
        <v>17</v>
      </c>
      <c r="H939" s="2">
        <v>924.65</v>
      </c>
      <c r="I939" s="2">
        <v>94934.2</v>
      </c>
      <c r="J939">
        <v>0.1125</v>
      </c>
      <c r="K939">
        <v>8</v>
      </c>
      <c r="L939">
        <v>352</v>
      </c>
      <c r="M939" t="str">
        <f t="shared" si="255"/>
        <v>30 Year Fixed</v>
      </c>
      <c r="N939" s="2">
        <v>890.01</v>
      </c>
      <c r="O939" t="str">
        <f t="shared" si="252"/>
        <v>Refi</v>
      </c>
      <c r="P939" s="3">
        <f t="shared" si="256"/>
        <v>0</v>
      </c>
      <c r="Q939" s="4">
        <v>96358</v>
      </c>
      <c r="R939" s="4" t="s">
        <v>41</v>
      </c>
      <c r="S939" s="6">
        <v>553</v>
      </c>
      <c r="T939">
        <v>7.625</v>
      </c>
      <c r="U939" s="7">
        <f t="shared" si="253"/>
        <v>722.16506477906728</v>
      </c>
      <c r="V939" s="2">
        <f t="shared" si="257"/>
        <v>202.4849352209327</v>
      </c>
      <c r="W939" s="9">
        <f t="shared" si="258"/>
        <v>0</v>
      </c>
      <c r="X939" s="3">
        <v>96358</v>
      </c>
      <c r="Y939" s="3">
        <f t="shared" si="259"/>
        <v>-0.20985221673618071</v>
      </c>
      <c r="Z939" s="7">
        <f t="shared" si="260"/>
        <v>722.16506477906728</v>
      </c>
      <c r="AA939" s="2">
        <f t="shared" si="254"/>
        <v>202.4849352209327</v>
      </c>
      <c r="AB939" s="8">
        <f t="shared" si="261"/>
        <v>0</v>
      </c>
      <c r="AC939" s="10">
        <v>7.625</v>
      </c>
      <c r="AD939" s="7">
        <f t="shared" si="262"/>
        <v>722.16506477906728</v>
      </c>
      <c r="AE939" s="2">
        <f t="shared" si="263"/>
        <v>202.4849352209327</v>
      </c>
      <c r="AF939" s="10">
        <v>0</v>
      </c>
      <c r="AG939" s="3">
        <f t="shared" si="264"/>
        <v>0</v>
      </c>
      <c r="AH939" s="7">
        <v>1904</v>
      </c>
      <c r="AI939">
        <f t="shared" si="265"/>
        <v>360</v>
      </c>
      <c r="AJ939" t="e">
        <f>VLOOKUP(A939,'Borrower Details'!$A$1:$H$1493,8,FALSE)</f>
        <v>#N/A</v>
      </c>
      <c r="AK939" s="4" t="e">
        <f t="shared" si="266"/>
        <v>#N/A</v>
      </c>
      <c r="AL939" s="10">
        <v>7.625</v>
      </c>
      <c r="AM939" s="3">
        <f t="shared" si="267"/>
        <v>96358.212999999989</v>
      </c>
      <c r="AN939">
        <v>7.625</v>
      </c>
      <c r="AO939" s="7">
        <f t="shared" si="268"/>
        <v>722.16666112974679</v>
      </c>
      <c r="AP939" s="2">
        <f t="shared" si="269"/>
        <v>202.48333887025319</v>
      </c>
    </row>
    <row r="940" spans="1:42" x14ac:dyDescent="0.15">
      <c r="A940" s="8">
        <v>411099518</v>
      </c>
      <c r="B940" t="s">
        <v>37</v>
      </c>
      <c r="C940" t="s">
        <v>16</v>
      </c>
      <c r="D940" s="1">
        <v>39421</v>
      </c>
      <c r="E940" s="2">
        <v>205000</v>
      </c>
      <c r="F940" s="2">
        <v>150000</v>
      </c>
      <c r="G940" t="s">
        <v>17</v>
      </c>
      <c r="H940" s="2">
        <v>1427.36</v>
      </c>
      <c r="I940" s="2">
        <v>149782.59</v>
      </c>
      <c r="J940">
        <v>0.1099</v>
      </c>
      <c r="K940">
        <v>4</v>
      </c>
      <c r="L940">
        <v>356</v>
      </c>
      <c r="M940" t="str">
        <f t="shared" si="255"/>
        <v>30 Year Fixed</v>
      </c>
      <c r="N940" s="2">
        <v>1371.76</v>
      </c>
      <c r="O940" t="str">
        <f t="shared" si="252"/>
        <v>Cash Out</v>
      </c>
      <c r="P940" s="3">
        <f t="shared" si="256"/>
        <v>21892.28684729067</v>
      </c>
      <c r="Q940" s="4">
        <v>174250</v>
      </c>
      <c r="R940" s="4" t="s">
        <v>41</v>
      </c>
      <c r="S940" s="6">
        <v>529</v>
      </c>
      <c r="T940">
        <v>7.625</v>
      </c>
      <c r="U940" s="7">
        <f t="shared" si="253"/>
        <v>1305.9347696896207</v>
      </c>
      <c r="V940" s="2">
        <f t="shared" si="257"/>
        <v>121.42523031037922</v>
      </c>
      <c r="W940" s="9">
        <f t="shared" si="258"/>
        <v>0</v>
      </c>
      <c r="X940" s="3">
        <v>174250</v>
      </c>
      <c r="Y940" s="3">
        <f t="shared" si="259"/>
        <v>21892.28684729067</v>
      </c>
      <c r="Z940" s="7">
        <f t="shared" si="260"/>
        <v>1305.9347696896207</v>
      </c>
      <c r="AA940" s="2">
        <f t="shared" si="254"/>
        <v>121.42523031037922</v>
      </c>
      <c r="AB940" s="8">
        <f t="shared" si="261"/>
        <v>0</v>
      </c>
      <c r="AC940" s="10">
        <v>7.625</v>
      </c>
      <c r="AD940" s="7">
        <f t="shared" si="262"/>
        <v>1305.9347696896207</v>
      </c>
      <c r="AE940" s="2">
        <f t="shared" si="263"/>
        <v>121.42523031037922</v>
      </c>
      <c r="AF940" s="10">
        <v>0</v>
      </c>
      <c r="AG940" s="3">
        <f t="shared" si="264"/>
        <v>0</v>
      </c>
      <c r="AH940" s="7">
        <v>0</v>
      </c>
      <c r="AI940">
        <f t="shared" si="265"/>
        <v>360</v>
      </c>
      <c r="AJ940" t="e">
        <f>VLOOKUP(A940,'Borrower Details'!$A$1:$H$1493,8,FALSE)</f>
        <v>#N/A</v>
      </c>
      <c r="AK940" s="4" t="e">
        <f t="shared" si="266"/>
        <v>#N/A</v>
      </c>
      <c r="AL940" s="10">
        <v>7.625</v>
      </c>
      <c r="AM940" s="3">
        <f t="shared" si="267"/>
        <v>152029.32884999999</v>
      </c>
      <c r="AN940">
        <v>7.625</v>
      </c>
      <c r="AO940" s="7">
        <f t="shared" si="268"/>
        <v>1139.399635912725</v>
      </c>
      <c r="AP940" s="2">
        <f t="shared" si="269"/>
        <v>287.96036408727491</v>
      </c>
    </row>
    <row r="941" spans="1:42" x14ac:dyDescent="0.15">
      <c r="A941" s="8">
        <v>411103476</v>
      </c>
      <c r="B941" t="s">
        <v>35</v>
      </c>
      <c r="C941" t="s">
        <v>16</v>
      </c>
      <c r="D941" s="1">
        <v>39406</v>
      </c>
      <c r="E941" s="2">
        <v>132000</v>
      </c>
      <c r="F941" s="2">
        <v>112200</v>
      </c>
      <c r="G941" t="s">
        <v>17</v>
      </c>
      <c r="H941" s="2">
        <v>1055.81</v>
      </c>
      <c r="I941" s="2">
        <v>111946.31</v>
      </c>
      <c r="J941">
        <v>0.1085</v>
      </c>
      <c r="K941">
        <v>5</v>
      </c>
      <c r="L941">
        <v>354</v>
      </c>
      <c r="M941" t="str">
        <f t="shared" si="255"/>
        <v>30 Year Fixed</v>
      </c>
      <c r="N941" s="2">
        <v>1012.18</v>
      </c>
      <c r="O941" t="str">
        <f t="shared" si="252"/>
        <v>Refi</v>
      </c>
      <c r="P941" s="3">
        <f t="shared" si="256"/>
        <v>0</v>
      </c>
      <c r="Q941" s="4">
        <v>113626</v>
      </c>
      <c r="R941" s="4" t="s">
        <v>41</v>
      </c>
      <c r="S941" s="6">
        <v>608</v>
      </c>
      <c r="T941">
        <v>6.875</v>
      </c>
      <c r="U941" s="7">
        <f t="shared" si="253"/>
        <v>793.78610049360884</v>
      </c>
      <c r="V941" s="2">
        <f t="shared" si="257"/>
        <v>262.0238995063911</v>
      </c>
      <c r="W941" s="9">
        <f t="shared" si="258"/>
        <v>0</v>
      </c>
      <c r="X941" s="3">
        <v>113626</v>
      </c>
      <c r="Y941" s="3">
        <f t="shared" si="259"/>
        <v>0.488029556669062</v>
      </c>
      <c r="Z941" s="7">
        <f t="shared" si="260"/>
        <v>793.78610049360884</v>
      </c>
      <c r="AA941" s="2">
        <f t="shared" si="254"/>
        <v>262.0238995063911</v>
      </c>
      <c r="AB941" s="8">
        <f t="shared" si="261"/>
        <v>0</v>
      </c>
      <c r="AC941" s="10">
        <v>6.875</v>
      </c>
      <c r="AD941" s="7">
        <f t="shared" si="262"/>
        <v>793.78610049360884</v>
      </c>
      <c r="AE941" s="2">
        <f t="shared" si="263"/>
        <v>262.0238995063911</v>
      </c>
      <c r="AF941" s="10">
        <v>0</v>
      </c>
      <c r="AG941" s="3">
        <f t="shared" si="264"/>
        <v>0</v>
      </c>
      <c r="AH941" s="7">
        <v>6086.85</v>
      </c>
      <c r="AI941">
        <f t="shared" si="265"/>
        <v>360</v>
      </c>
      <c r="AJ941" t="e">
        <f>VLOOKUP(A941,'Borrower Details'!$A$1:$H$1493,8,FALSE)</f>
        <v>#N/A</v>
      </c>
      <c r="AK941" s="4" t="e">
        <f t="shared" si="266"/>
        <v>#N/A</v>
      </c>
      <c r="AL941" s="10">
        <v>6.875</v>
      </c>
      <c r="AM941" s="3">
        <f t="shared" si="267"/>
        <v>113625.50464999999</v>
      </c>
      <c r="AN941">
        <v>6.875</v>
      </c>
      <c r="AO941" s="7">
        <f t="shared" si="268"/>
        <v>793.78264000089689</v>
      </c>
      <c r="AP941" s="2">
        <f t="shared" si="269"/>
        <v>262.02735999910306</v>
      </c>
    </row>
    <row r="942" spans="1:42" x14ac:dyDescent="0.15">
      <c r="A942" s="8">
        <v>410634356</v>
      </c>
      <c r="B942" t="s">
        <v>37</v>
      </c>
      <c r="C942" t="s">
        <v>19</v>
      </c>
      <c r="D942" s="1">
        <v>39293</v>
      </c>
      <c r="E942" s="2">
        <v>185000</v>
      </c>
      <c r="F942" s="2">
        <v>157250</v>
      </c>
      <c r="G942" t="s">
        <v>17</v>
      </c>
      <c r="H942" s="2">
        <v>1152.75</v>
      </c>
      <c r="I942" s="2">
        <v>156272.73000000001</v>
      </c>
      <c r="J942">
        <v>7.9899999999999999E-2</v>
      </c>
      <c r="K942">
        <v>9</v>
      </c>
      <c r="L942">
        <v>351</v>
      </c>
      <c r="M942" t="str">
        <f t="shared" si="255"/>
        <v>30 Year Fixed</v>
      </c>
      <c r="N942" s="2">
        <v>1040.52</v>
      </c>
      <c r="O942" t="str">
        <f t="shared" si="252"/>
        <v>Refi</v>
      </c>
      <c r="P942" s="3">
        <f t="shared" si="256"/>
        <v>0</v>
      </c>
      <c r="Q942" s="4">
        <v>158617</v>
      </c>
      <c r="R942" s="4" t="s">
        <v>41</v>
      </c>
      <c r="S942" s="6">
        <v>644</v>
      </c>
      <c r="T942">
        <v>6.75</v>
      </c>
      <c r="U942" s="7">
        <f t="shared" si="253"/>
        <v>1094.8772595002704</v>
      </c>
      <c r="V942" s="2">
        <f t="shared" si="257"/>
        <v>57.872740499729616</v>
      </c>
      <c r="W942" s="9">
        <f t="shared" si="258"/>
        <v>0</v>
      </c>
      <c r="X942" s="3">
        <v>158617</v>
      </c>
      <c r="Y942" s="3">
        <f t="shared" si="259"/>
        <v>0.17640394088812172</v>
      </c>
      <c r="Z942" s="7">
        <f t="shared" si="260"/>
        <v>1094.8772595002704</v>
      </c>
      <c r="AA942" s="2">
        <f t="shared" si="254"/>
        <v>57.872740499729616</v>
      </c>
      <c r="AB942" s="8">
        <f t="shared" si="261"/>
        <v>1</v>
      </c>
      <c r="AC942" s="10">
        <v>6.125</v>
      </c>
      <c r="AD942" s="7">
        <f t="shared" si="262"/>
        <v>1029.8640262333693</v>
      </c>
      <c r="AE942" s="2">
        <f t="shared" si="263"/>
        <v>122.88597376663074</v>
      </c>
      <c r="AF942" s="10">
        <v>3</v>
      </c>
      <c r="AG942" s="3">
        <f t="shared" si="264"/>
        <v>4758.51</v>
      </c>
      <c r="AH942" s="7">
        <v>1572.5</v>
      </c>
      <c r="AI942">
        <f t="shared" si="265"/>
        <v>360</v>
      </c>
      <c r="AJ942" t="e">
        <f>VLOOKUP(A942,'Borrower Details'!$A$1:$H$1493,8,FALSE)</f>
        <v>#N/A</v>
      </c>
      <c r="AK942" s="4" t="e">
        <f t="shared" si="266"/>
        <v>#N/A</v>
      </c>
      <c r="AL942" s="10">
        <v>6.75</v>
      </c>
      <c r="AM942" s="3">
        <f t="shared" si="267"/>
        <v>158616.82094999999</v>
      </c>
      <c r="AN942">
        <v>6.75</v>
      </c>
      <c r="AO942" s="7">
        <f t="shared" si="268"/>
        <v>1094.8760235812117</v>
      </c>
      <c r="AP942" s="2">
        <f t="shared" si="269"/>
        <v>57.873976418788288</v>
      </c>
    </row>
    <row r="943" spans="1:42" x14ac:dyDescent="0.15">
      <c r="A943" s="8">
        <v>410609580</v>
      </c>
      <c r="B943" t="s">
        <v>37</v>
      </c>
      <c r="C943" t="s">
        <v>18</v>
      </c>
      <c r="D943" s="1">
        <v>39287</v>
      </c>
      <c r="E943" s="2">
        <v>107000</v>
      </c>
      <c r="F943" s="2">
        <v>93000</v>
      </c>
      <c r="G943" t="s">
        <v>17</v>
      </c>
      <c r="H943" s="2">
        <v>841.12</v>
      </c>
      <c r="I943" s="2">
        <v>92832.9</v>
      </c>
      <c r="J943">
        <v>0.107</v>
      </c>
      <c r="K943">
        <v>9</v>
      </c>
      <c r="L943">
        <v>351</v>
      </c>
      <c r="M943" t="str">
        <f t="shared" si="255"/>
        <v>30 Year Fixed</v>
      </c>
      <c r="N943" s="2">
        <v>827.76</v>
      </c>
      <c r="O943" t="str">
        <f t="shared" si="252"/>
        <v>Refi</v>
      </c>
      <c r="P943" s="3">
        <f t="shared" si="256"/>
        <v>0</v>
      </c>
      <c r="Q943" s="4">
        <v>94225</v>
      </c>
      <c r="R943" s="4" t="s">
        <v>41</v>
      </c>
      <c r="S943" s="6">
        <v>574</v>
      </c>
      <c r="T943">
        <v>7.625</v>
      </c>
      <c r="U943" s="7">
        <f t="shared" si="253"/>
        <v>706.1790741693228</v>
      </c>
      <c r="V943" s="2">
        <f t="shared" si="257"/>
        <v>134.9409258306772</v>
      </c>
      <c r="W943" s="9">
        <f t="shared" si="258"/>
        <v>0</v>
      </c>
      <c r="X943" s="3">
        <v>94225</v>
      </c>
      <c r="Y943" s="3">
        <f t="shared" si="259"/>
        <v>-0.38768472905212548</v>
      </c>
      <c r="Z943" s="7">
        <f t="shared" si="260"/>
        <v>706.1790741693228</v>
      </c>
      <c r="AA943" s="2">
        <f t="shared" si="254"/>
        <v>134.9409258306772</v>
      </c>
      <c r="AB943" s="8">
        <f t="shared" si="261"/>
        <v>0</v>
      </c>
      <c r="AC943" s="10">
        <v>7.625</v>
      </c>
      <c r="AD943" s="7">
        <f t="shared" si="262"/>
        <v>706.1790741693228</v>
      </c>
      <c r="AE943" s="2">
        <f t="shared" si="263"/>
        <v>134.9409258306772</v>
      </c>
      <c r="AF943" s="10">
        <v>0</v>
      </c>
      <c r="AG943" s="3">
        <f t="shared" si="264"/>
        <v>0</v>
      </c>
      <c r="AH943" s="7">
        <v>0</v>
      </c>
      <c r="AI943">
        <f t="shared" si="265"/>
        <v>360</v>
      </c>
      <c r="AJ943" t="e">
        <f>VLOOKUP(A943,'Borrower Details'!$A$1:$H$1493,8,FALSE)</f>
        <v>#N/A</v>
      </c>
      <c r="AK943" s="4" t="e">
        <f t="shared" si="266"/>
        <v>#N/A</v>
      </c>
      <c r="AL943" s="10">
        <v>7.625</v>
      </c>
      <c r="AM943" s="3">
        <f t="shared" si="267"/>
        <v>94225.393499999991</v>
      </c>
      <c r="AN943">
        <v>7.625</v>
      </c>
      <c r="AO943" s="7">
        <f t="shared" si="268"/>
        <v>706.18202329604799</v>
      </c>
      <c r="AP943" s="2">
        <f t="shared" si="269"/>
        <v>134.93797670395202</v>
      </c>
    </row>
    <row r="944" spans="1:42" x14ac:dyDescent="0.15">
      <c r="A944" s="8">
        <v>411251374</v>
      </c>
      <c r="B944" t="s">
        <v>35</v>
      </c>
      <c r="C944" t="s">
        <v>16</v>
      </c>
      <c r="D944" s="1">
        <v>39471</v>
      </c>
      <c r="E944" s="2">
        <v>133000</v>
      </c>
      <c r="F944" s="2">
        <v>113050</v>
      </c>
      <c r="G944" t="s">
        <v>17</v>
      </c>
      <c r="H944" s="2">
        <v>1118.67</v>
      </c>
      <c r="I944" s="2">
        <v>112940.31</v>
      </c>
      <c r="J944">
        <v>0.1149</v>
      </c>
      <c r="K944">
        <v>3</v>
      </c>
      <c r="L944">
        <v>357</v>
      </c>
      <c r="M944" t="str">
        <f t="shared" si="255"/>
        <v>30 Year Fixed</v>
      </c>
      <c r="N944" s="2">
        <v>1081.4000000000001</v>
      </c>
      <c r="O944" t="str">
        <f t="shared" si="252"/>
        <v>Refi</v>
      </c>
      <c r="P944" s="3">
        <f t="shared" si="256"/>
        <v>0</v>
      </c>
      <c r="Q944" s="4">
        <v>114634</v>
      </c>
      <c r="R944" s="4" t="s">
        <v>41</v>
      </c>
      <c r="S944" s="6">
        <v>550</v>
      </c>
      <c r="T944">
        <v>7.625</v>
      </c>
      <c r="U944" s="7">
        <f t="shared" si="253"/>
        <v>859.13644986284055</v>
      </c>
      <c r="V944" s="2">
        <f t="shared" si="257"/>
        <v>259.53355013715952</v>
      </c>
      <c r="W944" s="9">
        <f t="shared" si="258"/>
        <v>0</v>
      </c>
      <c r="X944" s="3">
        <v>114634</v>
      </c>
      <c r="Y944" s="3">
        <f t="shared" si="259"/>
        <v>-0.40852216747589409</v>
      </c>
      <c r="Z944" s="7">
        <f t="shared" si="260"/>
        <v>859.13644986284055</v>
      </c>
      <c r="AA944" s="2">
        <f t="shared" si="254"/>
        <v>259.53355013715952</v>
      </c>
      <c r="AB944" s="8">
        <f t="shared" si="261"/>
        <v>0</v>
      </c>
      <c r="AC944" s="10">
        <v>7.625</v>
      </c>
      <c r="AD944" s="7">
        <f t="shared" si="262"/>
        <v>859.13644986284055</v>
      </c>
      <c r="AE944" s="2">
        <f t="shared" si="263"/>
        <v>259.53355013715952</v>
      </c>
      <c r="AF944" s="10">
        <v>0</v>
      </c>
      <c r="AG944" s="3">
        <f t="shared" si="264"/>
        <v>0</v>
      </c>
      <c r="AH944" s="7">
        <v>6494.7224999999999</v>
      </c>
      <c r="AI944">
        <f t="shared" si="265"/>
        <v>360</v>
      </c>
      <c r="AJ944" t="e">
        <f>VLOOKUP(A944,'Borrower Details'!$A$1:$H$1493,8,FALSE)</f>
        <v>#N/A</v>
      </c>
      <c r="AK944" s="4" t="e">
        <f t="shared" si="266"/>
        <v>#N/A</v>
      </c>
      <c r="AL944" s="10">
        <v>7.625</v>
      </c>
      <c r="AM944" s="3">
        <f t="shared" si="267"/>
        <v>114634.41464999999</v>
      </c>
      <c r="AN944">
        <v>7.625</v>
      </c>
      <c r="AO944" s="7">
        <f t="shared" si="268"/>
        <v>859.13955750044306</v>
      </c>
      <c r="AP944" s="2">
        <f t="shared" si="269"/>
        <v>259.53044249955701</v>
      </c>
    </row>
    <row r="945" spans="1:42" x14ac:dyDescent="0.15">
      <c r="A945" s="8">
        <v>410785646</v>
      </c>
      <c r="B945" t="s">
        <v>38</v>
      </c>
      <c r="C945" t="s">
        <v>18</v>
      </c>
      <c r="D945" s="1">
        <v>39307</v>
      </c>
      <c r="E945" s="2">
        <v>161000</v>
      </c>
      <c r="F945" s="2">
        <v>142200</v>
      </c>
      <c r="G945" t="s">
        <v>20</v>
      </c>
      <c r="H945" s="2">
        <v>1229.8599999999999</v>
      </c>
      <c r="I945" s="2">
        <v>141424.76999999999</v>
      </c>
      <c r="J945">
        <v>0.10199999999999999</v>
      </c>
      <c r="K945">
        <v>8</v>
      </c>
      <c r="L945">
        <v>352</v>
      </c>
      <c r="M945" t="str">
        <f t="shared" si="255"/>
        <v>30 Year Fixed</v>
      </c>
      <c r="N945" s="2">
        <v>1202.1099999999999</v>
      </c>
      <c r="O945" t="str">
        <f t="shared" si="252"/>
        <v>Refi</v>
      </c>
      <c r="P945" s="3">
        <f t="shared" si="256"/>
        <v>0</v>
      </c>
      <c r="Q945" s="4">
        <v>143546</v>
      </c>
      <c r="R945" s="4" t="s">
        <v>41</v>
      </c>
      <c r="S945" s="6">
        <v>586</v>
      </c>
      <c r="T945">
        <v>7.375</v>
      </c>
      <c r="U945" s="7">
        <f t="shared" si="253"/>
        <v>1051.247380703408</v>
      </c>
      <c r="V945" s="2">
        <f t="shared" si="257"/>
        <v>178.6126192965919</v>
      </c>
      <c r="W945" s="9">
        <f t="shared" si="258"/>
        <v>0</v>
      </c>
      <c r="X945" s="3">
        <v>143546</v>
      </c>
      <c r="Y945" s="3">
        <f t="shared" si="259"/>
        <v>-0.13945812804740854</v>
      </c>
      <c r="Z945" s="7">
        <f t="shared" si="260"/>
        <v>1051.247380703408</v>
      </c>
      <c r="AA945" s="2">
        <f t="shared" si="254"/>
        <v>178.6126192965919</v>
      </c>
      <c r="AB945" s="8">
        <f t="shared" si="261"/>
        <v>0</v>
      </c>
      <c r="AC945" s="10">
        <v>7.375</v>
      </c>
      <c r="AD945" s="7">
        <f t="shared" si="262"/>
        <v>1051.247380703408</v>
      </c>
      <c r="AE945" s="2">
        <f t="shared" si="263"/>
        <v>178.6126192965919</v>
      </c>
      <c r="AF945" s="10">
        <v>0</v>
      </c>
      <c r="AG945" s="3">
        <f t="shared" si="264"/>
        <v>0</v>
      </c>
      <c r="AH945" s="7">
        <v>0</v>
      </c>
      <c r="AI945">
        <f t="shared" si="265"/>
        <v>360</v>
      </c>
      <c r="AJ945" t="e">
        <f>VLOOKUP(A945,'Borrower Details'!$A$1:$H$1493,8,FALSE)</f>
        <v>#N/A</v>
      </c>
      <c r="AK945" s="4" t="e">
        <f t="shared" si="266"/>
        <v>#N/A</v>
      </c>
      <c r="AL945" s="10">
        <v>7.375</v>
      </c>
      <c r="AM945" s="3">
        <f t="shared" si="267"/>
        <v>143546.14154999997</v>
      </c>
      <c r="AN945">
        <v>7.375</v>
      </c>
      <c r="AO945" s="7">
        <f t="shared" si="268"/>
        <v>1051.2484173332457</v>
      </c>
      <c r="AP945" s="2">
        <f t="shared" si="269"/>
        <v>178.6115826667542</v>
      </c>
    </row>
    <row r="946" spans="1:42" x14ac:dyDescent="0.15">
      <c r="A946" s="8">
        <v>411119498</v>
      </c>
      <c r="B946" t="s">
        <v>36</v>
      </c>
      <c r="C946" t="s">
        <v>16</v>
      </c>
      <c r="D946" s="1">
        <v>39407</v>
      </c>
      <c r="E946" s="2">
        <v>195000</v>
      </c>
      <c r="F946" s="2">
        <v>146250</v>
      </c>
      <c r="G946" t="s">
        <v>17</v>
      </c>
      <c r="H946" s="2">
        <v>1272.6600000000001</v>
      </c>
      <c r="I946" s="2">
        <v>146050.07</v>
      </c>
      <c r="J946">
        <v>9.9000000000000005E-2</v>
      </c>
      <c r="K946">
        <v>5</v>
      </c>
      <c r="L946">
        <v>357</v>
      </c>
      <c r="M946" t="str">
        <f t="shared" si="255"/>
        <v>30 Year Fixed</v>
      </c>
      <c r="N946" s="2">
        <v>1204.9100000000001</v>
      </c>
      <c r="O946" t="str">
        <f t="shared" si="252"/>
        <v>Cash Out</v>
      </c>
      <c r="P946" s="3">
        <f t="shared" si="256"/>
        <v>17250.422610837442</v>
      </c>
      <c r="Q946" s="4">
        <v>165750</v>
      </c>
      <c r="R946" s="4" t="s">
        <v>41</v>
      </c>
      <c r="S946" s="6">
        <v>541</v>
      </c>
      <c r="T946">
        <v>7.625</v>
      </c>
      <c r="U946" s="7">
        <f t="shared" si="253"/>
        <v>1242.2306345828099</v>
      </c>
      <c r="V946" s="2">
        <f t="shared" si="257"/>
        <v>30.429365417190184</v>
      </c>
      <c r="W946" s="9">
        <f t="shared" si="258"/>
        <v>0</v>
      </c>
      <c r="X946" s="3">
        <v>165750</v>
      </c>
      <c r="Y946" s="3">
        <f t="shared" si="259"/>
        <v>17250.422610837442</v>
      </c>
      <c r="Z946" s="7">
        <f t="shared" si="260"/>
        <v>1242.2306345828099</v>
      </c>
      <c r="AA946" s="2">
        <f t="shared" si="254"/>
        <v>30.429365417190184</v>
      </c>
      <c r="AB946" s="8">
        <f t="shared" si="261"/>
        <v>0</v>
      </c>
      <c r="AC946" s="10">
        <v>7.625</v>
      </c>
      <c r="AD946" s="7">
        <f t="shared" si="262"/>
        <v>1242.2306345828099</v>
      </c>
      <c r="AE946" s="2">
        <f t="shared" si="263"/>
        <v>30.429365417190184</v>
      </c>
      <c r="AF946" s="10">
        <v>0</v>
      </c>
      <c r="AG946" s="3">
        <f t="shared" si="264"/>
        <v>0</v>
      </c>
      <c r="AH946" s="7">
        <v>2925</v>
      </c>
      <c r="AI946">
        <f t="shared" si="265"/>
        <v>360</v>
      </c>
      <c r="AJ946" t="e">
        <f>VLOOKUP(A946,'Borrower Details'!$A$1:$H$1493,8,FALSE)</f>
        <v>#N/A</v>
      </c>
      <c r="AK946" s="4" t="e">
        <f t="shared" si="266"/>
        <v>#N/A</v>
      </c>
      <c r="AL946" s="10">
        <v>7.625</v>
      </c>
      <c r="AM946" s="3">
        <f t="shared" si="267"/>
        <v>148240.82105</v>
      </c>
      <c r="AN946">
        <v>7.625</v>
      </c>
      <c r="AO946" s="7">
        <f t="shared" si="268"/>
        <v>1111.0062697075009</v>
      </c>
      <c r="AP946" s="2">
        <f t="shared" si="269"/>
        <v>161.65373029249918</v>
      </c>
    </row>
    <row r="947" spans="1:42" x14ac:dyDescent="0.15">
      <c r="A947" s="8">
        <v>411155518</v>
      </c>
      <c r="B947" t="s">
        <v>35</v>
      </c>
      <c r="C947" t="s">
        <v>16</v>
      </c>
      <c r="D947" s="1">
        <v>39428</v>
      </c>
      <c r="E947" s="2">
        <v>73000</v>
      </c>
      <c r="F947" s="2">
        <v>52000</v>
      </c>
      <c r="G947" t="s">
        <v>17</v>
      </c>
      <c r="H947" s="2">
        <v>533.63</v>
      </c>
      <c r="I947" s="2">
        <v>51314.76</v>
      </c>
      <c r="J947">
        <v>9.1999999999999998E-2</v>
      </c>
      <c r="K947">
        <v>4</v>
      </c>
      <c r="L947">
        <v>175</v>
      </c>
      <c r="M947" t="str">
        <f t="shared" si="255"/>
        <v>15 Year Fixed</v>
      </c>
      <c r="N947" s="2">
        <v>393.41</v>
      </c>
      <c r="O947" t="str">
        <f t="shared" si="252"/>
        <v>Cash Out</v>
      </c>
      <c r="P947" s="3">
        <f t="shared" si="256"/>
        <v>9818.2449261083748</v>
      </c>
      <c r="Q947" s="4">
        <v>62050</v>
      </c>
      <c r="R947" s="4" t="s">
        <v>41</v>
      </c>
      <c r="S947" s="6">
        <v>657</v>
      </c>
      <c r="T947">
        <v>6.5</v>
      </c>
      <c r="U947" s="7">
        <f t="shared" si="253"/>
        <v>566.37628683368291</v>
      </c>
      <c r="V947" s="2">
        <f t="shared" si="257"/>
        <v>-32.746286833682916</v>
      </c>
      <c r="W947" s="9">
        <f t="shared" si="258"/>
        <v>1</v>
      </c>
      <c r="X947" s="3">
        <v>58400</v>
      </c>
      <c r="Y947" s="3">
        <f t="shared" si="259"/>
        <v>6222.185812807882</v>
      </c>
      <c r="Z947" s="7">
        <f t="shared" si="260"/>
        <v>533.06003466699576</v>
      </c>
      <c r="AA947" s="2">
        <f t="shared" si="254"/>
        <v>0.5699653330042338</v>
      </c>
      <c r="AB947" s="8">
        <f t="shared" si="261"/>
        <v>0</v>
      </c>
      <c r="AC947" s="10">
        <v>6.5</v>
      </c>
      <c r="AD947" s="7">
        <f t="shared" si="262"/>
        <v>533.06003466699576</v>
      </c>
      <c r="AE947" s="2">
        <f t="shared" si="263"/>
        <v>0.5699653330042338</v>
      </c>
      <c r="AF947" s="10">
        <v>0</v>
      </c>
      <c r="AG947" s="3">
        <f t="shared" si="264"/>
        <v>0</v>
      </c>
      <c r="AH947" s="7">
        <v>2392</v>
      </c>
      <c r="AI947">
        <f t="shared" si="265"/>
        <v>180</v>
      </c>
      <c r="AJ947" t="e">
        <f>VLOOKUP(A947,'Borrower Details'!$A$1:$H$1493,8,FALSE)</f>
        <v>#N/A</v>
      </c>
      <c r="AK947" s="4" t="e">
        <f t="shared" si="266"/>
        <v>#N/A</v>
      </c>
      <c r="AL947" s="10">
        <v>6.5</v>
      </c>
      <c r="AM947" s="3">
        <f t="shared" si="267"/>
        <v>52084.481399999997</v>
      </c>
      <c r="AN947">
        <v>6.5</v>
      </c>
      <c r="AO947" s="7">
        <f t="shared" si="268"/>
        <v>475.41362090233724</v>
      </c>
      <c r="AP947" s="2">
        <f t="shared" si="269"/>
        <v>58.216379097662752</v>
      </c>
    </row>
    <row r="948" spans="1:42" x14ac:dyDescent="0.15">
      <c r="A948" s="8">
        <v>411231350</v>
      </c>
      <c r="B948" t="s">
        <v>36</v>
      </c>
      <c r="C948" t="s">
        <v>16</v>
      </c>
      <c r="D948" s="1">
        <v>39462</v>
      </c>
      <c r="E948" s="2">
        <v>165000</v>
      </c>
      <c r="F948" s="2">
        <v>100000</v>
      </c>
      <c r="G948" t="s">
        <v>17</v>
      </c>
      <c r="H948" s="2">
        <v>790.28</v>
      </c>
      <c r="I948" s="2">
        <v>99827.91</v>
      </c>
      <c r="J948">
        <v>8.7999999999999995E-2</v>
      </c>
      <c r="K948">
        <v>3</v>
      </c>
      <c r="L948">
        <v>357</v>
      </c>
      <c r="M948" t="str">
        <f t="shared" si="255"/>
        <v>30 Year Fixed</v>
      </c>
      <c r="N948" s="2">
        <v>732.07</v>
      </c>
      <c r="O948" t="str">
        <f t="shared" si="252"/>
        <v>Cash Out</v>
      </c>
      <c r="P948" s="3">
        <f t="shared" si="256"/>
        <v>38349.429901477852</v>
      </c>
      <c r="Q948" s="4">
        <v>140250</v>
      </c>
      <c r="R948" s="4" t="s">
        <v>41</v>
      </c>
      <c r="S948" s="6">
        <v>577</v>
      </c>
      <c r="T948">
        <v>7.625</v>
      </c>
      <c r="U948" s="7">
        <f t="shared" si="253"/>
        <v>1051.1182292623776</v>
      </c>
      <c r="V948" s="2">
        <f t="shared" si="257"/>
        <v>-260.83822926237758</v>
      </c>
      <c r="W948" s="9">
        <f t="shared" si="258"/>
        <v>1</v>
      </c>
      <c r="X948" s="3">
        <v>105370</v>
      </c>
      <c r="Y948" s="3">
        <f t="shared" si="259"/>
        <v>3984.8978817734023</v>
      </c>
      <c r="Z948" s="7">
        <f t="shared" si="260"/>
        <v>789.70643720054704</v>
      </c>
      <c r="AA948" s="2">
        <f t="shared" si="254"/>
        <v>0.57356279945292954</v>
      </c>
      <c r="AB948" s="8">
        <f t="shared" si="261"/>
        <v>1</v>
      </c>
      <c r="AC948" s="10">
        <v>6.875</v>
      </c>
      <c r="AD948" s="7">
        <f t="shared" si="262"/>
        <v>736.11005763655828</v>
      </c>
      <c r="AE948" s="2">
        <f t="shared" si="263"/>
        <v>54.169942363441692</v>
      </c>
      <c r="AF948" s="10">
        <v>1</v>
      </c>
      <c r="AG948" s="3">
        <f t="shared" si="264"/>
        <v>1053.7</v>
      </c>
      <c r="AH948" s="7">
        <v>2000</v>
      </c>
      <c r="AI948">
        <f t="shared" si="265"/>
        <v>360</v>
      </c>
      <c r="AJ948" t="e">
        <f>VLOOKUP(A948,'Borrower Details'!$A$1:$H$1493,8,FALSE)</f>
        <v>#N/A</v>
      </c>
      <c r="AK948" s="4" t="e">
        <f t="shared" si="266"/>
        <v>#N/A</v>
      </c>
      <c r="AL948" s="10">
        <v>7.625</v>
      </c>
      <c r="AM948" s="3">
        <f t="shared" si="267"/>
        <v>101325.32865</v>
      </c>
      <c r="AN948">
        <v>7.625</v>
      </c>
      <c r="AO948" s="7">
        <f t="shared" si="268"/>
        <v>759.3932265954827</v>
      </c>
      <c r="AP948" s="2">
        <f t="shared" si="269"/>
        <v>30.886773404517271</v>
      </c>
    </row>
    <row r="949" spans="1:42" x14ac:dyDescent="0.15">
      <c r="A949" s="8">
        <v>1145497</v>
      </c>
      <c r="B949" t="s">
        <v>35</v>
      </c>
      <c r="C949" t="s">
        <v>16</v>
      </c>
      <c r="D949" s="1">
        <v>39146</v>
      </c>
      <c r="E949" s="2">
        <v>142600</v>
      </c>
      <c r="F949" s="2">
        <v>135470</v>
      </c>
      <c r="G949" t="s">
        <v>17</v>
      </c>
      <c r="H949" s="2">
        <v>1008.24</v>
      </c>
      <c r="I949" s="2">
        <v>134179.59</v>
      </c>
      <c r="J949">
        <v>8.1500000000000003E-2</v>
      </c>
      <c r="K949">
        <v>13</v>
      </c>
      <c r="L949">
        <v>346</v>
      </c>
      <c r="M949" t="str">
        <f t="shared" si="255"/>
        <v>30 Year Fixed</v>
      </c>
      <c r="N949" s="2">
        <v>911.3</v>
      </c>
      <c r="O949" t="str">
        <f t="shared" si="252"/>
        <v>Refi</v>
      </c>
      <c r="P949" s="3">
        <f t="shared" si="256"/>
        <v>0</v>
      </c>
      <c r="Q949" s="4">
        <v>136192</v>
      </c>
      <c r="R949" s="4" t="s">
        <v>41</v>
      </c>
      <c r="S949" s="6">
        <v>624</v>
      </c>
      <c r="T949">
        <v>6.75</v>
      </c>
      <c r="U949" s="7">
        <f t="shared" si="253"/>
        <v>940.08538634484842</v>
      </c>
      <c r="V949" s="2">
        <f t="shared" si="257"/>
        <v>68.154613655151593</v>
      </c>
      <c r="W949" s="9">
        <f t="shared" si="258"/>
        <v>0</v>
      </c>
      <c r="X949" s="3">
        <v>136193</v>
      </c>
      <c r="Y949" s="3">
        <f t="shared" si="259"/>
        <v>0.70556650246726349</v>
      </c>
      <c r="Z949" s="7">
        <f t="shared" si="260"/>
        <v>940.09228899248069</v>
      </c>
      <c r="AA949" s="2">
        <f t="shared" si="254"/>
        <v>68.14771100751932</v>
      </c>
      <c r="AB949" s="8">
        <f t="shared" si="261"/>
        <v>0</v>
      </c>
      <c r="AC949" s="10">
        <v>6.75</v>
      </c>
      <c r="AD949" s="7">
        <f t="shared" si="262"/>
        <v>940.09228899248069</v>
      </c>
      <c r="AE949" s="2">
        <f t="shared" si="263"/>
        <v>68.14771100751932</v>
      </c>
      <c r="AF949" s="10">
        <v>0</v>
      </c>
      <c r="AG949" s="3">
        <f t="shared" si="264"/>
        <v>0</v>
      </c>
      <c r="AH949" s="7">
        <v>5520.4025000000001</v>
      </c>
      <c r="AI949">
        <f t="shared" si="265"/>
        <v>360</v>
      </c>
      <c r="AJ949" t="e">
        <f>VLOOKUP(A949,'Borrower Details'!$A$1:$H$1493,8,FALSE)</f>
        <v>#N/A</v>
      </c>
      <c r="AK949" s="4" t="e">
        <f t="shared" si="266"/>
        <v>#N/A</v>
      </c>
      <c r="AL949" s="10">
        <v>6.75</v>
      </c>
      <c r="AM949" s="3">
        <f t="shared" si="267"/>
        <v>136192.28384999998</v>
      </c>
      <c r="AN949">
        <v>6.75</v>
      </c>
      <c r="AO949" s="7">
        <f t="shared" si="268"/>
        <v>940.08734566137878</v>
      </c>
      <c r="AP949" s="2">
        <f t="shared" si="269"/>
        <v>68.152654338621232</v>
      </c>
    </row>
    <row r="950" spans="1:42" x14ac:dyDescent="0.15">
      <c r="A950" s="8">
        <v>411129430</v>
      </c>
      <c r="B950" t="s">
        <v>37</v>
      </c>
      <c r="C950" t="s">
        <v>16</v>
      </c>
      <c r="D950" s="1">
        <v>39427</v>
      </c>
      <c r="E950" s="2">
        <v>475000</v>
      </c>
      <c r="F950" s="2">
        <v>185000</v>
      </c>
      <c r="G950" t="s">
        <v>20</v>
      </c>
      <c r="H950" s="2">
        <v>1603.04</v>
      </c>
      <c r="I950" s="2">
        <v>184570.51</v>
      </c>
      <c r="J950">
        <v>9.8500000000000004E-2</v>
      </c>
      <c r="K950">
        <v>4</v>
      </c>
      <c r="L950">
        <v>355</v>
      </c>
      <c r="M950" t="str">
        <f t="shared" si="255"/>
        <v>30 Year Fixed</v>
      </c>
      <c r="N950" s="2">
        <v>1515.02</v>
      </c>
      <c r="O950" t="str">
        <f t="shared" si="252"/>
        <v>Cash Out</v>
      </c>
      <c r="P950" s="3">
        <f t="shared" si="256"/>
        <v>213212.74123152712</v>
      </c>
      <c r="Q950" s="4">
        <v>403750</v>
      </c>
      <c r="R950" s="4" t="s">
        <v>41</v>
      </c>
      <c r="S950" s="6">
        <v>559</v>
      </c>
      <c r="T950">
        <v>7.625</v>
      </c>
      <c r="U950" s="7">
        <f t="shared" si="253"/>
        <v>3025.9464175735111</v>
      </c>
      <c r="V950" s="2">
        <f t="shared" si="257"/>
        <v>-1422.9064175735111</v>
      </c>
      <c r="W950" s="9">
        <f t="shared" si="258"/>
        <v>1</v>
      </c>
      <c r="X950" s="3">
        <v>213820</v>
      </c>
      <c r="Y950" s="3">
        <f t="shared" si="259"/>
        <v>26089.588522167498</v>
      </c>
      <c r="Z950" s="7">
        <f t="shared" si="260"/>
        <v>1602.4962551221502</v>
      </c>
      <c r="AA950" s="2">
        <f t="shared" si="254"/>
        <v>0.54374487784980374</v>
      </c>
      <c r="AB950" s="8">
        <f t="shared" si="261"/>
        <v>0</v>
      </c>
      <c r="AC950" s="10">
        <v>7.625</v>
      </c>
      <c r="AD950" s="7">
        <f t="shared" si="262"/>
        <v>1602.4962551221502</v>
      </c>
      <c r="AE950" s="2">
        <f t="shared" si="263"/>
        <v>0.54374487784980374</v>
      </c>
      <c r="AF950" s="10">
        <v>0</v>
      </c>
      <c r="AG950" s="3">
        <f t="shared" si="264"/>
        <v>0</v>
      </c>
      <c r="AH950" s="7">
        <v>1850</v>
      </c>
      <c r="AI950">
        <f t="shared" si="265"/>
        <v>360</v>
      </c>
      <c r="AJ950" t="e">
        <f>VLOOKUP(A950,'Borrower Details'!$A$1:$H$1493,8,FALSE)</f>
        <v>#N/A</v>
      </c>
      <c r="AK950" s="4" t="e">
        <f t="shared" si="266"/>
        <v>#N/A</v>
      </c>
      <c r="AL950" s="10">
        <v>7.625</v>
      </c>
      <c r="AM950" s="3">
        <f t="shared" si="267"/>
        <v>187339.06764999998</v>
      </c>
      <c r="AN950">
        <v>7.625</v>
      </c>
      <c r="AO950" s="7">
        <f t="shared" si="268"/>
        <v>1404.0321501599483</v>
      </c>
      <c r="AP950" s="2">
        <f t="shared" si="269"/>
        <v>199.00784984005168</v>
      </c>
    </row>
    <row r="951" spans="1:42" x14ac:dyDescent="0.15">
      <c r="A951" s="8">
        <v>1182482</v>
      </c>
      <c r="B951" t="s">
        <v>36</v>
      </c>
      <c r="C951" t="s">
        <v>18</v>
      </c>
      <c r="D951" s="1">
        <v>39181</v>
      </c>
      <c r="E951" s="2">
        <v>202000</v>
      </c>
      <c r="F951" s="2">
        <v>169980</v>
      </c>
      <c r="G951" t="s">
        <v>15</v>
      </c>
      <c r="H951" s="2">
        <v>1108.0999999999999</v>
      </c>
      <c r="I951" s="2">
        <v>169672.24</v>
      </c>
      <c r="J951">
        <v>7.6499999999999999E-2</v>
      </c>
      <c r="K951">
        <v>12</v>
      </c>
      <c r="L951">
        <v>348</v>
      </c>
      <c r="M951" t="str">
        <f t="shared" si="255"/>
        <v>30 Year Fixed</v>
      </c>
      <c r="N951" s="2">
        <v>1081.6600000000001</v>
      </c>
      <c r="O951" t="str">
        <f t="shared" si="252"/>
        <v>Refi</v>
      </c>
      <c r="P951" s="3">
        <f t="shared" si="256"/>
        <v>0</v>
      </c>
      <c r="Q951" s="4">
        <v>172217</v>
      </c>
      <c r="R951" s="4" t="s">
        <v>41</v>
      </c>
      <c r="S951" s="6">
        <v>618</v>
      </c>
      <c r="T951">
        <v>6.875</v>
      </c>
      <c r="U951" s="7">
        <f t="shared" si="253"/>
        <v>1203.1001783808974</v>
      </c>
      <c r="V951" s="2">
        <f t="shared" si="257"/>
        <v>-95.000178380897523</v>
      </c>
      <c r="W951" s="9">
        <f t="shared" si="258"/>
        <v>0</v>
      </c>
      <c r="X951" s="3">
        <v>172217</v>
      </c>
      <c r="Y951" s="3">
        <f t="shared" si="259"/>
        <v>-0.31881773396162316</v>
      </c>
      <c r="Z951" s="7">
        <f t="shared" si="260"/>
        <v>1203.1001783808974</v>
      </c>
      <c r="AA951" s="2">
        <f t="shared" si="254"/>
        <v>-95.000178380897523</v>
      </c>
      <c r="AB951" s="8">
        <f t="shared" si="261"/>
        <v>1</v>
      </c>
      <c r="AC951" s="10">
        <v>6.25</v>
      </c>
      <c r="AD951" s="7">
        <f t="shared" si="262"/>
        <v>1132.1267743916555</v>
      </c>
      <c r="AE951" s="2">
        <f t="shared" si="263"/>
        <v>-24.026774391655636</v>
      </c>
      <c r="AF951" s="10">
        <v>2.5</v>
      </c>
      <c r="AG951" s="3">
        <f t="shared" si="264"/>
        <v>4305.4250000000002</v>
      </c>
      <c r="AH951" s="7">
        <v>3399.6</v>
      </c>
      <c r="AI951">
        <f t="shared" si="265"/>
        <v>360</v>
      </c>
      <c r="AJ951" t="e">
        <f>VLOOKUP(A951,'Borrower Details'!$A$1:$H$1493,8,FALSE)</f>
        <v>#N/A</v>
      </c>
      <c r="AK951" s="4" t="e">
        <f t="shared" si="266"/>
        <v>#N/A</v>
      </c>
      <c r="AL951" s="10">
        <v>6.875</v>
      </c>
      <c r="AM951" s="3">
        <f t="shared" si="267"/>
        <v>172217.32359999997</v>
      </c>
      <c r="AN951">
        <v>6.875</v>
      </c>
      <c r="AO951" s="7">
        <f t="shared" si="268"/>
        <v>1203.1024390358716</v>
      </c>
      <c r="AP951" s="2">
        <f t="shared" si="269"/>
        <v>-95.002439035871703</v>
      </c>
    </row>
    <row r="952" spans="1:42" x14ac:dyDescent="0.15">
      <c r="A952" s="8">
        <v>410098982</v>
      </c>
      <c r="B952" t="s">
        <v>36</v>
      </c>
      <c r="C952" t="s">
        <v>19</v>
      </c>
      <c r="D952" s="1">
        <v>39202</v>
      </c>
      <c r="E952" s="2">
        <v>225000</v>
      </c>
      <c r="F952" s="2">
        <v>125000</v>
      </c>
      <c r="G952" t="s">
        <v>17</v>
      </c>
      <c r="H952" s="2">
        <v>983.38</v>
      </c>
      <c r="I952" s="2">
        <v>124063.39</v>
      </c>
      <c r="J952">
        <v>8.7499999999999994E-2</v>
      </c>
      <c r="K952">
        <v>12</v>
      </c>
      <c r="L952">
        <v>348</v>
      </c>
      <c r="M952" t="str">
        <f t="shared" si="255"/>
        <v>30 Year Fixed</v>
      </c>
      <c r="N952" s="2">
        <v>904.63</v>
      </c>
      <c r="O952" t="str">
        <f t="shared" si="252"/>
        <v>Cash Out</v>
      </c>
      <c r="P952" s="3">
        <f t="shared" si="256"/>
        <v>64360.255320197073</v>
      </c>
      <c r="Q952" s="4">
        <v>191250</v>
      </c>
      <c r="R952" s="4" t="s">
        <v>41</v>
      </c>
      <c r="S952" s="6">
        <v>576</v>
      </c>
      <c r="T952">
        <v>7.625</v>
      </c>
      <c r="U952" s="7">
        <f t="shared" si="253"/>
        <v>1433.343039903242</v>
      </c>
      <c r="V952" s="2">
        <f t="shared" si="257"/>
        <v>-449.96303990324202</v>
      </c>
      <c r="W952" s="9">
        <f t="shared" si="258"/>
        <v>1</v>
      </c>
      <c r="X952" s="3">
        <v>131140</v>
      </c>
      <c r="Y952" s="3">
        <f t="shared" si="259"/>
        <v>5138.5804433497688</v>
      </c>
      <c r="Z952" s="7">
        <f t="shared" si="260"/>
        <v>982.84238563613678</v>
      </c>
      <c r="AA952" s="2">
        <f t="shared" si="254"/>
        <v>0.53761436386321293</v>
      </c>
      <c r="AB952" s="8">
        <f t="shared" si="261"/>
        <v>1</v>
      </c>
      <c r="AC952" s="10">
        <v>6.875</v>
      </c>
      <c r="AD952" s="7">
        <f t="shared" si="262"/>
        <v>916.13811292073876</v>
      </c>
      <c r="AE952" s="2">
        <f t="shared" si="263"/>
        <v>67.241887079261232</v>
      </c>
      <c r="AF952" s="10">
        <v>1</v>
      </c>
      <c r="AG952" s="3">
        <f t="shared" si="264"/>
        <v>1311.4</v>
      </c>
      <c r="AH952" s="7">
        <v>2500</v>
      </c>
      <c r="AI952">
        <f t="shared" si="265"/>
        <v>360</v>
      </c>
      <c r="AJ952" t="e">
        <f>VLOOKUP(A952,'Borrower Details'!$A$1:$H$1493,8,FALSE)</f>
        <v>#N/A</v>
      </c>
      <c r="AK952" s="4" t="e">
        <f t="shared" si="266"/>
        <v>#N/A</v>
      </c>
      <c r="AL952" s="10">
        <v>7.625</v>
      </c>
      <c r="AM952" s="3">
        <f t="shared" si="267"/>
        <v>125924.34084999999</v>
      </c>
      <c r="AN952">
        <v>7.625</v>
      </c>
      <c r="AO952" s="7">
        <f t="shared" si="268"/>
        <v>943.75308502876339</v>
      </c>
      <c r="AP952" s="2">
        <f t="shared" si="269"/>
        <v>39.626914971236602</v>
      </c>
    </row>
    <row r="953" spans="1:42" x14ac:dyDescent="0.15">
      <c r="A953" s="8">
        <v>1156362</v>
      </c>
      <c r="B953" t="s">
        <v>35</v>
      </c>
      <c r="C953" t="s">
        <v>16</v>
      </c>
      <c r="D953" s="1">
        <v>39147</v>
      </c>
      <c r="E953" s="2">
        <v>118000</v>
      </c>
      <c r="F953" s="2">
        <v>100300</v>
      </c>
      <c r="G953" t="s">
        <v>15</v>
      </c>
      <c r="H953" s="2">
        <v>722.04</v>
      </c>
      <c r="I953" s="2">
        <v>99257.56</v>
      </c>
      <c r="J953">
        <v>7.8E-2</v>
      </c>
      <c r="K953">
        <v>13</v>
      </c>
      <c r="L953">
        <v>347</v>
      </c>
      <c r="M953" t="str">
        <f t="shared" si="255"/>
        <v>30 Year Fixed</v>
      </c>
      <c r="N953" s="2">
        <v>645.16999999999996</v>
      </c>
      <c r="O953" t="str">
        <f t="shared" si="252"/>
        <v>Refi</v>
      </c>
      <c r="P953" s="3">
        <f t="shared" si="256"/>
        <v>0</v>
      </c>
      <c r="Q953" s="4">
        <v>100746</v>
      </c>
      <c r="R953" s="4" t="s">
        <v>41</v>
      </c>
      <c r="S953" s="6">
        <v>634</v>
      </c>
      <c r="T953">
        <v>6.75</v>
      </c>
      <c r="U953" s="7">
        <f t="shared" si="253"/>
        <v>695.41413836861261</v>
      </c>
      <c r="V953" s="2">
        <f t="shared" si="257"/>
        <v>26.625861631387352</v>
      </c>
      <c r="W953" s="9">
        <f t="shared" si="258"/>
        <v>0</v>
      </c>
      <c r="X953" s="3">
        <v>100747</v>
      </c>
      <c r="Y953" s="3">
        <f t="shared" si="259"/>
        <v>0.56807881774147972</v>
      </c>
      <c r="Z953" s="7">
        <f t="shared" si="260"/>
        <v>695.42104101624511</v>
      </c>
      <c r="AA953" s="2">
        <f t="shared" si="254"/>
        <v>26.618958983754851</v>
      </c>
      <c r="AB953" s="8">
        <f t="shared" si="261"/>
        <v>1</v>
      </c>
      <c r="AC953" s="10">
        <v>6.125</v>
      </c>
      <c r="AD953" s="7">
        <f t="shared" si="262"/>
        <v>654.12730697802408</v>
      </c>
      <c r="AE953" s="2">
        <f t="shared" si="263"/>
        <v>67.912693021975883</v>
      </c>
      <c r="AF953" s="10">
        <v>3</v>
      </c>
      <c r="AG953" s="3">
        <f t="shared" si="264"/>
        <v>3022.41</v>
      </c>
      <c r="AH953" s="7">
        <v>3911.7</v>
      </c>
      <c r="AI953">
        <f t="shared" si="265"/>
        <v>360</v>
      </c>
      <c r="AJ953" t="e">
        <f>VLOOKUP(A953,'Borrower Details'!$A$1:$H$1493,8,FALSE)</f>
        <v>#N/A</v>
      </c>
      <c r="AK953" s="4" t="e">
        <f t="shared" si="266"/>
        <v>#N/A</v>
      </c>
      <c r="AL953" s="10">
        <v>6.75</v>
      </c>
      <c r="AM953" s="3">
        <f t="shared" si="267"/>
        <v>100746.42339999999</v>
      </c>
      <c r="AN953">
        <v>6.75</v>
      </c>
      <c r="AO953" s="7">
        <f t="shared" si="268"/>
        <v>695.41706094962012</v>
      </c>
      <c r="AP953" s="2">
        <f t="shared" si="269"/>
        <v>26.622939050379841</v>
      </c>
    </row>
    <row r="954" spans="1:42" x14ac:dyDescent="0.15">
      <c r="A954" s="8">
        <v>1153835</v>
      </c>
      <c r="B954" t="s">
        <v>36</v>
      </c>
      <c r="C954" t="s">
        <v>19</v>
      </c>
      <c r="D954" s="1">
        <v>39141</v>
      </c>
      <c r="E954" s="2">
        <v>465000</v>
      </c>
      <c r="F954" s="2">
        <v>441750</v>
      </c>
      <c r="G954" t="s">
        <v>15</v>
      </c>
      <c r="H954" s="2">
        <v>3347.45</v>
      </c>
      <c r="I954" s="2">
        <v>441092.2</v>
      </c>
      <c r="J954">
        <v>8.9899999999999994E-2</v>
      </c>
      <c r="K954">
        <v>14</v>
      </c>
      <c r="L954">
        <v>346</v>
      </c>
      <c r="M954" t="str">
        <f t="shared" si="255"/>
        <v>30 Year Fixed</v>
      </c>
      <c r="N954" s="2">
        <v>3304.52</v>
      </c>
      <c r="O954" t="str">
        <f t="shared" si="252"/>
        <v>Refi</v>
      </c>
      <c r="P954" s="3">
        <f t="shared" si="256"/>
        <v>0</v>
      </c>
      <c r="Q954" s="4">
        <v>447709</v>
      </c>
      <c r="R954" s="4" t="s">
        <v>41</v>
      </c>
      <c r="S954" s="6">
        <v>623</v>
      </c>
      <c r="T954">
        <v>7.375</v>
      </c>
      <c r="U954" s="7">
        <f t="shared" si="253"/>
        <v>3278.7602132232319</v>
      </c>
      <c r="V954" s="2">
        <f t="shared" si="257"/>
        <v>68.68978677676796</v>
      </c>
      <c r="W954" s="9">
        <f t="shared" si="258"/>
        <v>0</v>
      </c>
      <c r="X954" s="3">
        <v>447709</v>
      </c>
      <c r="Y954" s="3">
        <f t="shared" si="259"/>
        <v>0.4108374384813942</v>
      </c>
      <c r="Z954" s="7">
        <f t="shared" si="260"/>
        <v>3278.7602132232319</v>
      </c>
      <c r="AA954" s="2">
        <f t="shared" si="254"/>
        <v>68.68978677676796</v>
      </c>
      <c r="AB954" s="8">
        <f t="shared" si="261"/>
        <v>1</v>
      </c>
      <c r="AC954" s="10">
        <v>6.625</v>
      </c>
      <c r="AD954" s="7">
        <f t="shared" si="262"/>
        <v>3053.2752173864656</v>
      </c>
      <c r="AE954" s="2">
        <f t="shared" si="263"/>
        <v>294.17478261353426</v>
      </c>
      <c r="AF954" s="10">
        <v>1.875</v>
      </c>
      <c r="AG954" s="3">
        <f t="shared" si="264"/>
        <v>8394.5437500000007</v>
      </c>
      <c r="AH954" s="7">
        <v>8835</v>
      </c>
      <c r="AI954">
        <f t="shared" si="265"/>
        <v>360</v>
      </c>
      <c r="AJ954" t="e">
        <f>VLOOKUP(A954,'Borrower Details'!$A$1:$H$1493,8,FALSE)</f>
        <v>#N/A</v>
      </c>
      <c r="AK954" s="4" t="e">
        <f t="shared" si="266"/>
        <v>#N/A</v>
      </c>
      <c r="AL954" s="10">
        <v>7.375</v>
      </c>
      <c r="AM954" s="3">
        <f t="shared" si="267"/>
        <v>447708.58299999998</v>
      </c>
      <c r="AN954">
        <v>7.375</v>
      </c>
      <c r="AO954" s="7">
        <f t="shared" si="268"/>
        <v>3278.7571593578659</v>
      </c>
      <c r="AP954" s="2">
        <f t="shared" si="269"/>
        <v>68.692840642133888</v>
      </c>
    </row>
    <row r="955" spans="1:42" x14ac:dyDescent="0.15">
      <c r="A955" s="8">
        <v>410101430</v>
      </c>
      <c r="B955" t="s">
        <v>35</v>
      </c>
      <c r="C955" t="s">
        <v>16</v>
      </c>
      <c r="D955" s="1">
        <v>39198</v>
      </c>
      <c r="E955" s="2">
        <v>141000</v>
      </c>
      <c r="F955" s="2">
        <v>125100</v>
      </c>
      <c r="G955" t="s">
        <v>17</v>
      </c>
      <c r="H955" s="2">
        <v>939.84</v>
      </c>
      <c r="I955" s="2">
        <v>124105.62</v>
      </c>
      <c r="J955">
        <v>8.2500000000000004E-2</v>
      </c>
      <c r="K955">
        <v>12</v>
      </c>
      <c r="L955">
        <v>348</v>
      </c>
      <c r="M955" t="str">
        <f t="shared" si="255"/>
        <v>30 Year Fixed</v>
      </c>
      <c r="N955" s="2">
        <v>853.23</v>
      </c>
      <c r="O955" t="str">
        <f t="shared" si="252"/>
        <v>Refi</v>
      </c>
      <c r="P955" s="3">
        <f t="shared" si="256"/>
        <v>0</v>
      </c>
      <c r="Q955" s="4">
        <v>125967</v>
      </c>
      <c r="R955" s="4" t="s">
        <v>41</v>
      </c>
      <c r="S955" s="6">
        <v>665</v>
      </c>
      <c r="T955">
        <v>6.75</v>
      </c>
      <c r="U955" s="7">
        <f t="shared" si="253"/>
        <v>869.50581430408192</v>
      </c>
      <c r="V955" s="2">
        <f t="shared" si="257"/>
        <v>70.334185695918109</v>
      </c>
      <c r="W955" s="9">
        <f t="shared" si="258"/>
        <v>0</v>
      </c>
      <c r="X955" s="3">
        <v>125968</v>
      </c>
      <c r="Y955" s="3">
        <f t="shared" si="259"/>
        <v>0.78394088671484496</v>
      </c>
      <c r="Z955" s="7">
        <f t="shared" si="260"/>
        <v>869.5127169517142</v>
      </c>
      <c r="AA955" s="2">
        <f t="shared" si="254"/>
        <v>70.327283048285835</v>
      </c>
      <c r="AB955" s="8">
        <f t="shared" si="261"/>
        <v>0</v>
      </c>
      <c r="AC955" s="10">
        <v>6.75</v>
      </c>
      <c r="AD955" s="7">
        <f t="shared" si="262"/>
        <v>869.5127169517142</v>
      </c>
      <c r="AE955" s="2">
        <f t="shared" si="263"/>
        <v>70.327283048285835</v>
      </c>
      <c r="AF955" s="10">
        <v>0</v>
      </c>
      <c r="AG955" s="3">
        <f t="shared" si="264"/>
        <v>0</v>
      </c>
      <c r="AH955" s="7">
        <v>5160.375</v>
      </c>
      <c r="AI955">
        <f t="shared" si="265"/>
        <v>360</v>
      </c>
      <c r="AJ955" t="e">
        <f>VLOOKUP(A955,'Borrower Details'!$A$1:$H$1493,8,FALSE)</f>
        <v>#N/A</v>
      </c>
      <c r="AK955" s="4" t="e">
        <f t="shared" si="266"/>
        <v>#N/A</v>
      </c>
      <c r="AL955" s="10">
        <v>6.75</v>
      </c>
      <c r="AM955" s="3">
        <f t="shared" si="267"/>
        <v>125967.20429999998</v>
      </c>
      <c r="AN955">
        <v>6.75</v>
      </c>
      <c r="AO955" s="7">
        <f t="shared" si="268"/>
        <v>869.50722451499303</v>
      </c>
      <c r="AP955" s="2">
        <f t="shared" si="269"/>
        <v>70.332775485007005</v>
      </c>
    </row>
    <row r="956" spans="1:42" x14ac:dyDescent="0.15">
      <c r="A956" s="8">
        <v>410058598</v>
      </c>
      <c r="B956" t="s">
        <v>35</v>
      </c>
      <c r="C956" t="s">
        <v>16</v>
      </c>
      <c r="D956" s="1">
        <v>39202</v>
      </c>
      <c r="E956" s="2">
        <v>160000</v>
      </c>
      <c r="F956" s="2">
        <v>127000</v>
      </c>
      <c r="G956" t="s">
        <v>17</v>
      </c>
      <c r="H956" s="2">
        <v>823.72</v>
      </c>
      <c r="I956" s="2">
        <v>125515.89</v>
      </c>
      <c r="J956">
        <v>6.7500000000000004E-2</v>
      </c>
      <c r="K956">
        <v>12</v>
      </c>
      <c r="L956">
        <v>348</v>
      </c>
      <c r="M956" t="str">
        <f t="shared" si="255"/>
        <v>30 Year Fixed</v>
      </c>
      <c r="N956" s="2">
        <v>706.03</v>
      </c>
      <c r="O956" t="str">
        <f t="shared" si="252"/>
        <v>Cash Out</v>
      </c>
      <c r="P956" s="3">
        <f t="shared" si="256"/>
        <v>8474.257783251247</v>
      </c>
      <c r="Q956" s="4">
        <v>136000</v>
      </c>
      <c r="R956" s="4" t="s">
        <v>41</v>
      </c>
      <c r="S956" s="6">
        <v>700</v>
      </c>
      <c r="T956">
        <v>6.75</v>
      </c>
      <c r="U956" s="7">
        <f t="shared" si="253"/>
        <v>938.76007799943739</v>
      </c>
      <c r="V956" s="2">
        <f t="shared" si="257"/>
        <v>-115.04007799943736</v>
      </c>
      <c r="W956" s="9">
        <f t="shared" si="258"/>
        <v>1</v>
      </c>
      <c r="X956" s="3">
        <v>127399</v>
      </c>
      <c r="Y956" s="3">
        <f t="shared" si="259"/>
        <v>0.36615763547888491</v>
      </c>
      <c r="Z956" s="7">
        <f t="shared" si="260"/>
        <v>879.39040571360533</v>
      </c>
      <c r="AA956" s="2">
        <f t="shared" si="254"/>
        <v>-55.670405713605305</v>
      </c>
      <c r="AB956" s="8">
        <f t="shared" si="261"/>
        <v>1</v>
      </c>
      <c r="AC956" s="10">
        <v>6.125</v>
      </c>
      <c r="AD956" s="7">
        <f t="shared" si="262"/>
        <v>827.17266798706942</v>
      </c>
      <c r="AE956" s="2">
        <f t="shared" si="263"/>
        <v>-3.4526679870693897</v>
      </c>
      <c r="AF956" s="10">
        <v>3</v>
      </c>
      <c r="AG956" s="3">
        <f t="shared" si="264"/>
        <v>3821.97</v>
      </c>
      <c r="AH956" s="7">
        <v>4286.25</v>
      </c>
      <c r="AI956">
        <f t="shared" si="265"/>
        <v>360</v>
      </c>
      <c r="AJ956" t="e">
        <f>VLOOKUP(A956,'Borrower Details'!$A$1:$H$1493,8,FALSE)</f>
        <v>#N/A</v>
      </c>
      <c r="AK956" s="4" t="e">
        <f t="shared" si="266"/>
        <v>#N/A</v>
      </c>
      <c r="AL956" s="10">
        <v>6.75</v>
      </c>
      <c r="AM956" s="3">
        <f t="shared" si="267"/>
        <v>127398.62834999998</v>
      </c>
      <c r="AN956">
        <v>6.75</v>
      </c>
      <c r="AO956" s="7">
        <f t="shared" si="268"/>
        <v>879.38784034461264</v>
      </c>
      <c r="AP956" s="2">
        <f t="shared" si="269"/>
        <v>-55.667840344612614</v>
      </c>
    </row>
    <row r="957" spans="1:42" x14ac:dyDescent="0.15">
      <c r="A957" s="8">
        <v>410326102</v>
      </c>
      <c r="B957" t="s">
        <v>36</v>
      </c>
      <c r="C957" t="s">
        <v>18</v>
      </c>
      <c r="D957" s="1">
        <v>39245</v>
      </c>
      <c r="E957" s="2">
        <v>540000</v>
      </c>
      <c r="F957" s="2">
        <v>474000</v>
      </c>
      <c r="G957" t="s">
        <v>15</v>
      </c>
      <c r="H957" s="2">
        <v>3478.39</v>
      </c>
      <c r="I957" s="2">
        <v>473623.86</v>
      </c>
      <c r="J957">
        <v>8.6900000000000005E-2</v>
      </c>
      <c r="K957">
        <v>10</v>
      </c>
      <c r="L957">
        <v>352</v>
      </c>
      <c r="M957" t="str">
        <f t="shared" si="255"/>
        <v>30 Year Fixed</v>
      </c>
      <c r="N957" s="2">
        <v>3429.83</v>
      </c>
      <c r="O957" t="str">
        <f t="shared" si="252"/>
        <v>Refi</v>
      </c>
      <c r="P957" s="3">
        <f t="shared" si="256"/>
        <v>0</v>
      </c>
      <c r="Q957" s="4">
        <v>480728</v>
      </c>
      <c r="R957" s="4" t="s">
        <v>41</v>
      </c>
      <c r="S957" s="6">
        <v>618</v>
      </c>
      <c r="T957">
        <v>7.625</v>
      </c>
      <c r="U957" s="7">
        <f t="shared" si="253"/>
        <v>3602.8660543090496</v>
      </c>
      <c r="V957" s="2">
        <f t="shared" si="257"/>
        <v>-124.47605430904969</v>
      </c>
      <c r="W957" s="9">
        <f t="shared" si="258"/>
        <v>0</v>
      </c>
      <c r="X957" s="3">
        <v>480728</v>
      </c>
      <c r="Y957" s="3">
        <f t="shared" si="259"/>
        <v>-0.21467980288434774</v>
      </c>
      <c r="Z957" s="7">
        <f t="shared" si="260"/>
        <v>3602.8660543090496</v>
      </c>
      <c r="AA957" s="2">
        <f t="shared" si="254"/>
        <v>-124.47605430904969</v>
      </c>
      <c r="AB957" s="8">
        <f t="shared" si="261"/>
        <v>1</v>
      </c>
      <c r="AC957" s="10">
        <v>6.875</v>
      </c>
      <c r="AD957" s="7">
        <f t="shared" si="262"/>
        <v>3358.3440807393695</v>
      </c>
      <c r="AE957" s="2">
        <f t="shared" si="263"/>
        <v>120.0459192606304</v>
      </c>
      <c r="AF957" s="10">
        <v>1</v>
      </c>
      <c r="AG957" s="3">
        <f t="shared" si="264"/>
        <v>4807.28</v>
      </c>
      <c r="AH957" s="7">
        <v>9480</v>
      </c>
      <c r="AI957">
        <f t="shared" si="265"/>
        <v>360</v>
      </c>
      <c r="AJ957" t="e">
        <f>VLOOKUP(A957,'Borrower Details'!$A$1:$H$1493,8,FALSE)</f>
        <v>#N/A</v>
      </c>
      <c r="AK957" s="4" t="e">
        <f t="shared" si="266"/>
        <v>#N/A</v>
      </c>
      <c r="AL957" s="10">
        <v>7.625</v>
      </c>
      <c r="AM957" s="3">
        <f t="shared" si="267"/>
        <v>480728.21789999993</v>
      </c>
      <c r="AN957">
        <v>7.625</v>
      </c>
      <c r="AO957" s="7">
        <f t="shared" si="268"/>
        <v>3602.8676873832892</v>
      </c>
      <c r="AP957" s="2">
        <f t="shared" si="269"/>
        <v>-124.47768738328932</v>
      </c>
    </row>
    <row r="958" spans="1:42" x14ac:dyDescent="0.15">
      <c r="A958" s="8">
        <v>1182890</v>
      </c>
      <c r="B958" t="s">
        <v>36</v>
      </c>
      <c r="C958" t="s">
        <v>19</v>
      </c>
      <c r="D958" s="1">
        <v>39183</v>
      </c>
      <c r="E958" s="2">
        <v>161000</v>
      </c>
      <c r="F958" s="2">
        <v>133500</v>
      </c>
      <c r="G958" t="s">
        <v>17</v>
      </c>
      <c r="H958" s="2">
        <v>947.21</v>
      </c>
      <c r="I958" s="2">
        <v>132183.82</v>
      </c>
      <c r="J958">
        <v>7.6499999999999999E-2</v>
      </c>
      <c r="K958">
        <v>12</v>
      </c>
      <c r="L958">
        <v>349</v>
      </c>
      <c r="M958" t="str">
        <f t="shared" si="255"/>
        <v>30 Year Fixed</v>
      </c>
      <c r="N958" s="2">
        <v>842.67</v>
      </c>
      <c r="O958" t="str">
        <f t="shared" si="252"/>
        <v>Cash Out</v>
      </c>
      <c r="P958" s="3">
        <f t="shared" si="256"/>
        <v>2643.7662068965437</v>
      </c>
      <c r="Q958" s="4">
        <v>136850</v>
      </c>
      <c r="R958" s="4" t="s">
        <v>41</v>
      </c>
      <c r="S958" s="6">
        <v>649</v>
      </c>
      <c r="T958">
        <v>6.75</v>
      </c>
      <c r="U958" s="7">
        <f t="shared" si="253"/>
        <v>944.62732848693395</v>
      </c>
      <c r="V958" s="2">
        <f t="shared" si="257"/>
        <v>2.5826715130660887</v>
      </c>
      <c r="W958" s="9">
        <f t="shared" si="258"/>
        <v>0</v>
      </c>
      <c r="X958" s="3">
        <v>136850</v>
      </c>
      <c r="Y958" s="3">
        <f t="shared" si="259"/>
        <v>2643.7662068965437</v>
      </c>
      <c r="Z958" s="7">
        <f t="shared" si="260"/>
        <v>944.62732848693395</v>
      </c>
      <c r="AA958" s="2">
        <f t="shared" si="254"/>
        <v>2.5826715130660887</v>
      </c>
      <c r="AB958" s="8">
        <f t="shared" si="261"/>
        <v>1</v>
      </c>
      <c r="AC958" s="10">
        <v>6.125</v>
      </c>
      <c r="AD958" s="7">
        <f t="shared" si="262"/>
        <v>888.53585674950705</v>
      </c>
      <c r="AE958" s="2">
        <f t="shared" si="263"/>
        <v>58.674143250492989</v>
      </c>
      <c r="AF958" s="10">
        <v>3</v>
      </c>
      <c r="AG958" s="3">
        <f t="shared" si="264"/>
        <v>4105.5</v>
      </c>
      <c r="AH958" s="7">
        <v>2670</v>
      </c>
      <c r="AI958">
        <f t="shared" si="265"/>
        <v>360</v>
      </c>
      <c r="AJ958" t="e">
        <f>VLOOKUP(A958,'Borrower Details'!$A$1:$H$1493,8,FALSE)</f>
        <v>#N/A</v>
      </c>
      <c r="AK958" s="4" t="e">
        <f t="shared" si="266"/>
        <v>#N/A</v>
      </c>
      <c r="AL958" s="10">
        <v>6.75</v>
      </c>
      <c r="AM958" s="3">
        <f t="shared" si="267"/>
        <v>134166.5773</v>
      </c>
      <c r="AN958">
        <v>6.75</v>
      </c>
      <c r="AO958" s="7">
        <f t="shared" si="268"/>
        <v>926.10460714018791</v>
      </c>
      <c r="AP958" s="2">
        <f t="shared" si="269"/>
        <v>21.105392859812127</v>
      </c>
    </row>
    <row r="959" spans="1:42" x14ac:dyDescent="0.15">
      <c r="A959" s="8">
        <v>410407720</v>
      </c>
      <c r="B959" t="s">
        <v>36</v>
      </c>
      <c r="C959" t="s">
        <v>18</v>
      </c>
      <c r="D959" s="1">
        <v>39244</v>
      </c>
      <c r="E959" s="2">
        <v>246000</v>
      </c>
      <c r="F959" s="2">
        <v>165000</v>
      </c>
      <c r="G959" t="s">
        <v>17</v>
      </c>
      <c r="H959" s="2">
        <v>1239.5899999999999</v>
      </c>
      <c r="I959" s="2">
        <v>163914.70000000001</v>
      </c>
      <c r="J959">
        <v>8.2500000000000004E-2</v>
      </c>
      <c r="K959">
        <v>10</v>
      </c>
      <c r="L959">
        <v>350</v>
      </c>
      <c r="M959" t="str">
        <f t="shared" si="255"/>
        <v>30 Year Fixed</v>
      </c>
      <c r="N959" s="2">
        <v>1126.9100000000001</v>
      </c>
      <c r="O959" t="str">
        <f t="shared" si="252"/>
        <v>Cash Out</v>
      </c>
      <c r="P959" s="3">
        <f t="shared" si="256"/>
        <v>42095.152216748771</v>
      </c>
      <c r="Q959" s="4">
        <v>209100</v>
      </c>
      <c r="R959" s="4" t="s">
        <v>41</v>
      </c>
      <c r="S959" s="6">
        <v>586</v>
      </c>
      <c r="T959">
        <v>7.375</v>
      </c>
      <c r="U959" s="7">
        <f t="shared" si="253"/>
        <v>1531.3267336260333</v>
      </c>
      <c r="V959" s="2">
        <f t="shared" si="257"/>
        <v>-291.73673362603336</v>
      </c>
      <c r="W959" s="9">
        <f t="shared" si="258"/>
        <v>1</v>
      </c>
      <c r="X959" s="3">
        <v>169190</v>
      </c>
      <c r="Y959" s="3">
        <f t="shared" si="259"/>
        <v>2774.9551724137855</v>
      </c>
      <c r="Z959" s="7">
        <f t="shared" si="260"/>
        <v>1239.0491155532693</v>
      </c>
      <c r="AA959" s="2">
        <f t="shared" si="254"/>
        <v>0.54088444673061531</v>
      </c>
      <c r="AB959" s="8">
        <f t="shared" si="261"/>
        <v>1</v>
      </c>
      <c r="AC959" s="10">
        <v>6.625</v>
      </c>
      <c r="AD959" s="7">
        <f t="shared" si="262"/>
        <v>1153.8379483763249</v>
      </c>
      <c r="AE959" s="2">
        <f t="shared" si="263"/>
        <v>85.752051623675015</v>
      </c>
      <c r="AF959" s="10">
        <v>1.875</v>
      </c>
      <c r="AG959" s="3">
        <f t="shared" si="264"/>
        <v>3172.3125</v>
      </c>
      <c r="AH959" s="7">
        <v>3300</v>
      </c>
      <c r="AI959">
        <f t="shared" si="265"/>
        <v>360</v>
      </c>
      <c r="AJ959" t="e">
        <f>VLOOKUP(A959,'Borrower Details'!$A$1:$H$1493,8,FALSE)</f>
        <v>#N/A</v>
      </c>
      <c r="AK959" s="4" t="e">
        <f t="shared" si="266"/>
        <v>#N/A</v>
      </c>
      <c r="AL959" s="10">
        <v>7.375</v>
      </c>
      <c r="AM959" s="3">
        <f t="shared" si="267"/>
        <v>166373.42050000001</v>
      </c>
      <c r="AN959">
        <v>7.375</v>
      </c>
      <c r="AO959" s="7">
        <f t="shared" si="268"/>
        <v>1218.4221261427813</v>
      </c>
      <c r="AP959" s="2">
        <f t="shared" si="269"/>
        <v>21.167873857218638</v>
      </c>
    </row>
    <row r="960" spans="1:42" x14ac:dyDescent="0.15">
      <c r="A960" s="8">
        <v>410586242</v>
      </c>
      <c r="B960" t="s">
        <v>37</v>
      </c>
      <c r="C960" t="s">
        <v>18</v>
      </c>
      <c r="D960" s="1">
        <v>39289</v>
      </c>
      <c r="E960" s="2">
        <v>186000</v>
      </c>
      <c r="F960" s="2">
        <v>176700</v>
      </c>
      <c r="G960" t="s">
        <v>20</v>
      </c>
      <c r="H960" s="2">
        <v>1424.51</v>
      </c>
      <c r="I960" s="2">
        <v>176393.49</v>
      </c>
      <c r="J960">
        <v>9.4500000000000001E-2</v>
      </c>
      <c r="K960">
        <v>9</v>
      </c>
      <c r="L960">
        <v>351</v>
      </c>
      <c r="M960" t="str">
        <f t="shared" si="255"/>
        <v>30 Year Fixed</v>
      </c>
      <c r="N960" s="2">
        <v>1389.1</v>
      </c>
      <c r="O960" t="str">
        <f t="shared" si="252"/>
        <v>Refi</v>
      </c>
      <c r="P960" s="3">
        <f t="shared" si="256"/>
        <v>0</v>
      </c>
      <c r="Q960" s="4">
        <v>179039</v>
      </c>
      <c r="R960" s="4" t="s">
        <v>41</v>
      </c>
      <c r="S960" s="6">
        <v>603</v>
      </c>
      <c r="T960">
        <v>6.875</v>
      </c>
      <c r="U960" s="7">
        <f t="shared" si="253"/>
        <v>1250.758362049841</v>
      </c>
      <c r="V960" s="2">
        <f t="shared" si="257"/>
        <v>173.75163795015897</v>
      </c>
      <c r="W960" s="9">
        <f t="shared" si="258"/>
        <v>0</v>
      </c>
      <c r="X960" s="3">
        <v>179039</v>
      </c>
      <c r="Y960" s="3">
        <f t="shared" si="259"/>
        <v>-0.38655172410653904</v>
      </c>
      <c r="Z960" s="7">
        <f t="shared" si="260"/>
        <v>1250.758362049841</v>
      </c>
      <c r="AA960" s="2">
        <f t="shared" si="254"/>
        <v>173.75163795015897</v>
      </c>
      <c r="AB960" s="8">
        <f t="shared" si="261"/>
        <v>0</v>
      </c>
      <c r="AC960" s="10">
        <v>6.875</v>
      </c>
      <c r="AD960" s="7">
        <f t="shared" si="262"/>
        <v>1250.758362049841</v>
      </c>
      <c r="AE960" s="2">
        <f t="shared" si="263"/>
        <v>173.75163795015897</v>
      </c>
      <c r="AF960" s="10">
        <v>0</v>
      </c>
      <c r="AG960" s="3">
        <f t="shared" si="264"/>
        <v>0</v>
      </c>
      <c r="AH960" s="7">
        <v>1767</v>
      </c>
      <c r="AI960">
        <f t="shared" si="265"/>
        <v>360</v>
      </c>
      <c r="AJ960" t="e">
        <f>VLOOKUP(A960,'Borrower Details'!$A$1:$H$1493,8,FALSE)</f>
        <v>#N/A</v>
      </c>
      <c r="AK960" s="4" t="e">
        <f t="shared" si="266"/>
        <v>#N/A</v>
      </c>
      <c r="AL960" s="10">
        <v>6.875</v>
      </c>
      <c r="AM960" s="3">
        <f t="shared" si="267"/>
        <v>179039.39234999998</v>
      </c>
      <c r="AN960">
        <v>6.875</v>
      </c>
      <c r="AO960" s="7">
        <f t="shared" si="268"/>
        <v>1250.761102989208</v>
      </c>
      <c r="AP960" s="2">
        <f t="shared" si="269"/>
        <v>173.74889701079201</v>
      </c>
    </row>
    <row r="961" spans="1:42" x14ac:dyDescent="0.15">
      <c r="A961" s="8">
        <v>1166700</v>
      </c>
      <c r="B961" t="s">
        <v>36</v>
      </c>
      <c r="C961" t="s">
        <v>18</v>
      </c>
      <c r="D961" s="1">
        <v>39164</v>
      </c>
      <c r="E961" s="2">
        <v>165000</v>
      </c>
      <c r="F961" s="2">
        <v>123750</v>
      </c>
      <c r="G961" t="s">
        <v>15</v>
      </c>
      <c r="H961" s="2">
        <v>819.17</v>
      </c>
      <c r="I961" s="2">
        <v>122260.42</v>
      </c>
      <c r="J961">
        <v>6.9500000000000006E-2</v>
      </c>
      <c r="K961">
        <v>13</v>
      </c>
      <c r="L961">
        <v>346</v>
      </c>
      <c r="M961" t="str">
        <f t="shared" si="255"/>
        <v>30 Year Fixed</v>
      </c>
      <c r="N961" s="2">
        <v>708.73</v>
      </c>
      <c r="O961" t="str">
        <f t="shared" si="252"/>
        <v>Cash Out</v>
      </c>
      <c r="P961" s="3">
        <f t="shared" si="256"/>
        <v>15916.919901477857</v>
      </c>
      <c r="Q961" s="4">
        <v>140250</v>
      </c>
      <c r="R961" s="4" t="s">
        <v>41</v>
      </c>
      <c r="S961" s="6">
        <v>595</v>
      </c>
      <c r="T961">
        <v>7.375</v>
      </c>
      <c r="U961" s="7">
        <f t="shared" si="253"/>
        <v>1027.1093945052662</v>
      </c>
      <c r="V961" s="2">
        <f t="shared" si="257"/>
        <v>-207.93939450526625</v>
      </c>
      <c r="W961" s="9">
        <f t="shared" si="258"/>
        <v>1</v>
      </c>
      <c r="X961" s="3">
        <v>124094</v>
      </c>
      <c r="Y961" s="3">
        <f t="shared" si="259"/>
        <v>-0.32147783250547945</v>
      </c>
      <c r="Z961" s="7">
        <f t="shared" si="260"/>
        <v>908.79225099277369</v>
      </c>
      <c r="AA961" s="2">
        <f t="shared" si="254"/>
        <v>-89.622250992773729</v>
      </c>
      <c r="AB961" s="8">
        <f t="shared" si="261"/>
        <v>1</v>
      </c>
      <c r="AC961" s="10">
        <v>6.625</v>
      </c>
      <c r="AD961" s="7">
        <f t="shared" si="262"/>
        <v>846.29331736988979</v>
      </c>
      <c r="AE961" s="2">
        <f t="shared" si="263"/>
        <v>-27.123317369889833</v>
      </c>
      <c r="AF961" s="10">
        <v>1.875</v>
      </c>
      <c r="AG961" s="3">
        <f t="shared" si="264"/>
        <v>2326.7624999999998</v>
      </c>
      <c r="AH961" s="7">
        <v>2475</v>
      </c>
      <c r="AI961">
        <f t="shared" si="265"/>
        <v>360</v>
      </c>
      <c r="AJ961" t="e">
        <f>VLOOKUP(A961,'Borrower Details'!$A$1:$H$1493,8,FALSE)</f>
        <v>#N/A</v>
      </c>
      <c r="AK961" s="4" t="e">
        <f t="shared" si="266"/>
        <v>#N/A</v>
      </c>
      <c r="AL961" s="10">
        <v>7.375</v>
      </c>
      <c r="AM961" s="3">
        <f t="shared" si="267"/>
        <v>124094.32629999999</v>
      </c>
      <c r="AN961">
        <v>7.375</v>
      </c>
      <c r="AO961" s="7">
        <f t="shared" si="268"/>
        <v>908.79464062411353</v>
      </c>
      <c r="AP961" s="2">
        <f t="shared" si="269"/>
        <v>-89.624640624113567</v>
      </c>
    </row>
    <row r="962" spans="1:42" x14ac:dyDescent="0.15">
      <c r="A962" s="8">
        <v>410571038</v>
      </c>
      <c r="B962" t="s">
        <v>35</v>
      </c>
      <c r="C962" t="s">
        <v>16</v>
      </c>
      <c r="D962" s="1">
        <v>39283</v>
      </c>
      <c r="E962" s="2">
        <v>150000</v>
      </c>
      <c r="F962" s="2">
        <v>142500</v>
      </c>
      <c r="G962" t="s">
        <v>15</v>
      </c>
      <c r="H962" s="2">
        <v>1183.04</v>
      </c>
      <c r="I962" s="2">
        <v>142410.72</v>
      </c>
      <c r="J962">
        <v>9.8900000000000002E-2</v>
      </c>
      <c r="K962">
        <v>9</v>
      </c>
      <c r="L962">
        <v>350</v>
      </c>
      <c r="M962" t="str">
        <f t="shared" si="255"/>
        <v>30 Year Fixed</v>
      </c>
      <c r="N962" s="2">
        <v>1173.7</v>
      </c>
      <c r="O962" t="str">
        <f t="shared" ref="O962:O1025" si="270">IF((0.85*E962)&gt;(I962*1.015),"Cash Out","Refi")</f>
        <v>Refi</v>
      </c>
      <c r="P962" s="3">
        <f t="shared" si="256"/>
        <v>0</v>
      </c>
      <c r="Q962" s="4">
        <v>144547</v>
      </c>
      <c r="R962" s="4" t="s">
        <v>41</v>
      </c>
      <c r="S962" s="6">
        <v>615</v>
      </c>
      <c r="T962">
        <v>6.875</v>
      </c>
      <c r="U962" s="7">
        <f t="shared" ref="U962:U1025" si="271">(Q962*((T962/1200)/(1-(1+(T962/1200))^-AI962)))+((Q962*0.005)/12)</f>
        <v>1009.7988089702153</v>
      </c>
      <c r="V962" s="2">
        <f t="shared" si="257"/>
        <v>173.24119102978466</v>
      </c>
      <c r="W962" s="9">
        <f t="shared" si="258"/>
        <v>0</v>
      </c>
      <c r="X962" s="3">
        <v>144547</v>
      </c>
      <c r="Y962" s="3">
        <f t="shared" si="259"/>
        <v>0.11743842365103774</v>
      </c>
      <c r="Z962" s="7">
        <f t="shared" si="260"/>
        <v>1009.7988089702153</v>
      </c>
      <c r="AA962" s="2">
        <f t="shared" ref="AA962:AA1025" si="272">H962-Z962</f>
        <v>173.24119102978466</v>
      </c>
      <c r="AB962" s="8">
        <f t="shared" si="261"/>
        <v>0</v>
      </c>
      <c r="AC962" s="10">
        <v>6.875</v>
      </c>
      <c r="AD962" s="7">
        <f t="shared" si="262"/>
        <v>1009.7988089702153</v>
      </c>
      <c r="AE962" s="2">
        <f t="shared" si="263"/>
        <v>173.24119102978466</v>
      </c>
      <c r="AF962" s="10">
        <v>0</v>
      </c>
      <c r="AG962" s="3">
        <f t="shared" si="264"/>
        <v>0</v>
      </c>
      <c r="AH962" s="7">
        <v>7046.6249999999991</v>
      </c>
      <c r="AI962">
        <f t="shared" si="265"/>
        <v>360</v>
      </c>
      <c r="AJ962" t="e">
        <f>VLOOKUP(A962,'Borrower Details'!$A$1:$H$1493,8,FALSE)</f>
        <v>#N/A</v>
      </c>
      <c r="AK962" s="4" t="e">
        <f t="shared" si="266"/>
        <v>#N/A</v>
      </c>
      <c r="AL962" s="10">
        <v>6.875</v>
      </c>
      <c r="AM962" s="3">
        <f t="shared" si="267"/>
        <v>144546.88079999998</v>
      </c>
      <c r="AN962">
        <v>6.875</v>
      </c>
      <c r="AO962" s="7">
        <f t="shared" si="268"/>
        <v>1009.7979762444025</v>
      </c>
      <c r="AP962" s="2">
        <f t="shared" si="269"/>
        <v>173.24202375559742</v>
      </c>
    </row>
    <row r="963" spans="1:42" x14ac:dyDescent="0.15">
      <c r="A963" s="8">
        <v>1182226</v>
      </c>
      <c r="B963" t="s">
        <v>37</v>
      </c>
      <c r="C963" t="s">
        <v>19</v>
      </c>
      <c r="D963" s="1">
        <v>39217</v>
      </c>
      <c r="E963" s="2">
        <v>73000</v>
      </c>
      <c r="F963" s="2">
        <v>61625</v>
      </c>
      <c r="G963" t="s">
        <v>17</v>
      </c>
      <c r="H963" s="2">
        <v>515.92999999999995</v>
      </c>
      <c r="I963" s="2">
        <v>61072.91</v>
      </c>
      <c r="J963">
        <v>9.4500000000000001E-2</v>
      </c>
      <c r="K963">
        <v>11</v>
      </c>
      <c r="L963">
        <v>349</v>
      </c>
      <c r="M963" t="str">
        <f t="shared" ref="M963:M1026" si="273">(IF((L963+K963)&lt;180,"15 Year Fixed","30 Year Fixed"))</f>
        <v>30 Year Fixed</v>
      </c>
      <c r="N963" s="2">
        <v>480.95</v>
      </c>
      <c r="O963" t="str">
        <f t="shared" si="270"/>
        <v>Cash Out</v>
      </c>
      <c r="P963" s="3">
        <f t="shared" ref="P963:P1026" si="274">IF((0.85*E963)&gt;(I963*1.015),((0.85*E963)/1.015)-(I963),0)</f>
        <v>60.094926108373329</v>
      </c>
      <c r="Q963" s="4">
        <v>62050</v>
      </c>
      <c r="R963" s="4" t="s">
        <v>41</v>
      </c>
      <c r="S963" s="6">
        <v>656</v>
      </c>
      <c r="T963">
        <v>6.875</v>
      </c>
      <c r="U963" s="7">
        <f t="shared" si="271"/>
        <v>433.47849555232455</v>
      </c>
      <c r="V963" s="2">
        <f t="shared" ref="V963:V1026" si="275">H963-U963</f>
        <v>82.451504447675404</v>
      </c>
      <c r="W963" s="9">
        <f t="shared" ref="W963:W1026" si="276">IF(AND(O963="Cash Out",V963&lt;0),1,0)</f>
        <v>0</v>
      </c>
      <c r="X963" s="3">
        <v>62050</v>
      </c>
      <c r="Y963" s="3">
        <f t="shared" ref="Y963:Y1026" si="277">(X963/1.015)-(I963)</f>
        <v>60.094926108373329</v>
      </c>
      <c r="Z963" s="7">
        <f t="shared" ref="Z963:Z1026" si="278">(X963*((AL963/1200)/(1-(1+(AL963/1200))^-AI963)))+((X963*0.005)/12)</f>
        <v>433.47849555232455</v>
      </c>
      <c r="AA963" s="2">
        <f t="shared" si="272"/>
        <v>82.451504447675404</v>
      </c>
      <c r="AB963" s="8">
        <f t="shared" ref="AB963:AB1026" si="279">IF(I963=0,0,IF(AND(AH963&gt;0,(AP963/AO963)&lt;0.07),1,IF(AND(AH963=0,(AP963/AO963)&lt;0.1),1,0)))</f>
        <v>0</v>
      </c>
      <c r="AC963" s="10">
        <v>6.875</v>
      </c>
      <c r="AD963" s="7">
        <f t="shared" ref="AD963:AD1026" si="280">(X963*((AC963/1200)/(1-(1+(AC963/1200))^-AI963)))+((X963*0.005)/12)</f>
        <v>433.47849555232455</v>
      </c>
      <c r="AE963" s="2">
        <f t="shared" ref="AE963:AE1026" si="281">H963-AD963</f>
        <v>82.451504447675404</v>
      </c>
      <c r="AF963" s="10">
        <v>0</v>
      </c>
      <c r="AG963" s="3">
        <f t="shared" ref="AG963:AG1026" si="282">AF963*X963/100</f>
        <v>0</v>
      </c>
      <c r="AH963" s="7">
        <v>0</v>
      </c>
      <c r="AI963">
        <f t="shared" ref="AI963:AI1026" si="283">IF(M963="30 Year Fixed",360,180)</f>
        <v>360</v>
      </c>
      <c r="AJ963" t="e">
        <f>VLOOKUP(A963,'Borrower Details'!$A$1:$H$1493,8,FALSE)</f>
        <v>#N/A</v>
      </c>
      <c r="AK963" s="4" t="e">
        <f t="shared" ref="AK963:AK1026" si="284">IF(AJ963&gt;360,PV((J963/12),AJ963-AI963,-H963),"NA")</f>
        <v>#N/A</v>
      </c>
      <c r="AL963" s="10">
        <v>6.875</v>
      </c>
      <c r="AM963" s="3">
        <f t="shared" ref="AM963:AM1026" si="285">I963*1.015</f>
        <v>61989.003649999999</v>
      </c>
      <c r="AN963">
        <v>6.875</v>
      </c>
      <c r="AO963" s="7">
        <f t="shared" ref="AO963:AO1026" si="286">(AM963*((AN963/1200)/(1-(1+(AN963/1200))^-AI963)))+((AM963*0.005)/12)</f>
        <v>433.05237780805084</v>
      </c>
      <c r="AP963" s="2">
        <f t="shared" ref="AP963:AP1026" si="287">H963-AO963</f>
        <v>82.877622191949115</v>
      </c>
    </row>
    <row r="964" spans="1:42" x14ac:dyDescent="0.15">
      <c r="A964" s="8">
        <v>1147346</v>
      </c>
      <c r="B964" t="s">
        <v>37</v>
      </c>
      <c r="C964" t="s">
        <v>19</v>
      </c>
      <c r="D964" s="1">
        <v>39139</v>
      </c>
      <c r="E964" s="2">
        <v>228000</v>
      </c>
      <c r="F964" s="2">
        <v>171000</v>
      </c>
      <c r="G964" t="s">
        <v>15</v>
      </c>
      <c r="H964" s="2">
        <v>1302.75</v>
      </c>
      <c r="I964" s="2">
        <v>169566.01</v>
      </c>
      <c r="J964">
        <v>8.4000000000000005E-2</v>
      </c>
      <c r="K964">
        <v>14</v>
      </c>
      <c r="L964">
        <v>347</v>
      </c>
      <c r="M964" t="str">
        <f t="shared" si="273"/>
        <v>30 Year Fixed</v>
      </c>
      <c r="N964" s="2">
        <v>1186.96</v>
      </c>
      <c r="O964" t="str">
        <f t="shared" si="270"/>
        <v>Cash Out</v>
      </c>
      <c r="P964" s="3">
        <f t="shared" si="274"/>
        <v>21369.950591133005</v>
      </c>
      <c r="Q964" s="4">
        <v>193800</v>
      </c>
      <c r="R964" s="4" t="s">
        <v>41</v>
      </c>
      <c r="S964" s="6">
        <v>517</v>
      </c>
      <c r="T964">
        <v>7.625</v>
      </c>
      <c r="U964" s="7">
        <f t="shared" si="271"/>
        <v>1452.4542804352852</v>
      </c>
      <c r="V964" s="2">
        <f t="shared" si="275"/>
        <v>-149.70428043528523</v>
      </c>
      <c r="W964" s="9">
        <f t="shared" si="276"/>
        <v>1</v>
      </c>
      <c r="X964" s="3">
        <v>173750</v>
      </c>
      <c r="Y964" s="3">
        <f t="shared" si="277"/>
        <v>1616.2560098522226</v>
      </c>
      <c r="Z964" s="7">
        <f t="shared" si="278"/>
        <v>1302.1874676245141</v>
      </c>
      <c r="AA964" s="2">
        <f t="shared" si="272"/>
        <v>0.5625323754859437</v>
      </c>
      <c r="AB964" s="8">
        <f t="shared" si="279"/>
        <v>1</v>
      </c>
      <c r="AC964" s="10">
        <v>6.875</v>
      </c>
      <c r="AD964" s="7">
        <f t="shared" si="280"/>
        <v>1213.8096470945429</v>
      </c>
      <c r="AE964" s="2">
        <f t="shared" si="281"/>
        <v>88.940352905457075</v>
      </c>
      <c r="AF964" s="10">
        <v>1.75</v>
      </c>
      <c r="AG964" s="3">
        <f t="shared" si="282"/>
        <v>3040.625</v>
      </c>
      <c r="AH964" s="7">
        <v>1710</v>
      </c>
      <c r="AI964">
        <f t="shared" si="283"/>
        <v>360</v>
      </c>
      <c r="AJ964" t="e">
        <f>VLOOKUP(A964,'Borrower Details'!$A$1:$H$1493,8,FALSE)</f>
        <v>#N/A</v>
      </c>
      <c r="AK964" s="4" t="e">
        <f t="shared" si="284"/>
        <v>#N/A</v>
      </c>
      <c r="AL964" s="10">
        <v>7.625</v>
      </c>
      <c r="AM964" s="3">
        <f t="shared" si="285"/>
        <v>172109.50015000001</v>
      </c>
      <c r="AN964">
        <v>7.625</v>
      </c>
      <c r="AO964" s="7">
        <f t="shared" si="286"/>
        <v>1289.8925706730904</v>
      </c>
      <c r="AP964" s="2">
        <f t="shared" si="287"/>
        <v>12.857429326909596</v>
      </c>
    </row>
    <row r="965" spans="1:42" x14ac:dyDescent="0.15">
      <c r="A965" s="8">
        <v>410764096</v>
      </c>
      <c r="B965" t="s">
        <v>37</v>
      </c>
      <c r="C965" t="s">
        <v>16</v>
      </c>
      <c r="D965" s="1">
        <v>39307</v>
      </c>
      <c r="E965" s="2">
        <v>330000</v>
      </c>
      <c r="F965" s="2">
        <v>280500</v>
      </c>
      <c r="G965" t="s">
        <v>20</v>
      </c>
      <c r="H965" s="2">
        <v>2389.36</v>
      </c>
      <c r="I965" s="2">
        <v>279383.59000000003</v>
      </c>
      <c r="J965">
        <v>9.6500000000000002E-2</v>
      </c>
      <c r="K965">
        <v>8</v>
      </c>
      <c r="L965">
        <v>352</v>
      </c>
      <c r="M965" t="str">
        <f t="shared" si="273"/>
        <v>30 Year Fixed</v>
      </c>
      <c r="N965" s="2">
        <v>2246.71</v>
      </c>
      <c r="O965" t="str">
        <f t="shared" si="270"/>
        <v>Refi</v>
      </c>
      <c r="P965" s="3">
        <f t="shared" si="274"/>
        <v>0</v>
      </c>
      <c r="Q965" s="4">
        <v>283574</v>
      </c>
      <c r="R965" s="4" t="s">
        <v>41</v>
      </c>
      <c r="S965" s="6">
        <v>575</v>
      </c>
      <c r="T965">
        <v>7.625</v>
      </c>
      <c r="U965" s="7">
        <f t="shared" si="271"/>
        <v>2125.2748716210299</v>
      </c>
      <c r="V965" s="2">
        <f t="shared" si="275"/>
        <v>264.08512837897024</v>
      </c>
      <c r="W965" s="9">
        <f t="shared" si="276"/>
        <v>0</v>
      </c>
      <c r="X965" s="3">
        <v>283575</v>
      </c>
      <c r="Y965" s="3">
        <f t="shared" si="277"/>
        <v>0.64645320194540545</v>
      </c>
      <c r="Z965" s="7">
        <f t="shared" si="278"/>
        <v>2125.2823662251603</v>
      </c>
      <c r="AA965" s="2">
        <f t="shared" si="272"/>
        <v>264.0776337748398</v>
      </c>
      <c r="AB965" s="8">
        <f t="shared" si="279"/>
        <v>0</v>
      </c>
      <c r="AC965" s="10">
        <v>7.625</v>
      </c>
      <c r="AD965" s="7">
        <f t="shared" si="280"/>
        <v>2125.2823662251603</v>
      </c>
      <c r="AE965" s="2">
        <f t="shared" si="281"/>
        <v>264.0776337748398</v>
      </c>
      <c r="AF965" s="10">
        <v>0</v>
      </c>
      <c r="AG965" s="3">
        <f t="shared" si="282"/>
        <v>0</v>
      </c>
      <c r="AH965" s="7">
        <v>2805</v>
      </c>
      <c r="AI965">
        <f t="shared" si="283"/>
        <v>360</v>
      </c>
      <c r="AJ965" t="e">
        <f>VLOOKUP(A965,'Borrower Details'!$A$1:$H$1493,8,FALSE)</f>
        <v>#N/A</v>
      </c>
      <c r="AK965" s="4" t="e">
        <f t="shared" si="284"/>
        <v>#N/A</v>
      </c>
      <c r="AL965" s="10">
        <v>7.625</v>
      </c>
      <c r="AM965" s="3">
        <f t="shared" si="285"/>
        <v>283574.34385</v>
      </c>
      <c r="AN965">
        <v>7.625</v>
      </c>
      <c r="AO965" s="7">
        <f t="shared" si="286"/>
        <v>2125.2774486406602</v>
      </c>
      <c r="AP965" s="2">
        <f t="shared" si="287"/>
        <v>264.08255135933996</v>
      </c>
    </row>
    <row r="966" spans="1:42" x14ac:dyDescent="0.15">
      <c r="A966" s="8">
        <v>1155167</v>
      </c>
      <c r="B966" t="s">
        <v>35</v>
      </c>
      <c r="C966" t="s">
        <v>16</v>
      </c>
      <c r="D966" s="1">
        <v>39149</v>
      </c>
      <c r="E966" s="2">
        <v>120000</v>
      </c>
      <c r="F966" s="2">
        <v>85025</v>
      </c>
      <c r="G966" t="s">
        <v>15</v>
      </c>
      <c r="H966" s="2">
        <v>711.84</v>
      </c>
      <c r="I966" s="2">
        <v>84494.87</v>
      </c>
      <c r="J966">
        <v>9.4500000000000001E-2</v>
      </c>
      <c r="K966">
        <v>13</v>
      </c>
      <c r="L966">
        <v>348</v>
      </c>
      <c r="M966" t="str">
        <f t="shared" si="273"/>
        <v>30 Year Fixed</v>
      </c>
      <c r="N966" s="2">
        <v>665.4</v>
      </c>
      <c r="O966" t="str">
        <f t="shared" si="270"/>
        <v>Cash Out</v>
      </c>
      <c r="P966" s="3">
        <f t="shared" si="274"/>
        <v>15997.740837438439</v>
      </c>
      <c r="Q966" s="4">
        <v>102000</v>
      </c>
      <c r="R966" s="4" t="s">
        <v>41</v>
      </c>
      <c r="S966" s="6">
        <v>583</v>
      </c>
      <c r="T966">
        <v>7.375</v>
      </c>
      <c r="U966" s="7">
        <f t="shared" si="271"/>
        <v>746.98865054928456</v>
      </c>
      <c r="V966" s="2">
        <f t="shared" si="275"/>
        <v>-35.148650549284525</v>
      </c>
      <c r="W966" s="9">
        <f t="shared" si="276"/>
        <v>1</v>
      </c>
      <c r="X966" s="3">
        <v>97130</v>
      </c>
      <c r="Y966" s="3">
        <f t="shared" si="277"/>
        <v>11199.711280788193</v>
      </c>
      <c r="Z966" s="7">
        <f t="shared" si="278"/>
        <v>727.95089916759161</v>
      </c>
      <c r="AA966" s="2">
        <f t="shared" si="272"/>
        <v>-16.110899167591583</v>
      </c>
      <c r="AB966" s="8">
        <f t="shared" si="279"/>
        <v>0</v>
      </c>
      <c r="AC966" s="10">
        <v>7.625</v>
      </c>
      <c r="AD966" s="7">
        <f t="shared" si="280"/>
        <v>727.95089916759161</v>
      </c>
      <c r="AE966" s="2">
        <f t="shared" si="281"/>
        <v>-16.110899167591583</v>
      </c>
      <c r="AF966" s="10">
        <v>0</v>
      </c>
      <c r="AG966" s="3">
        <f t="shared" si="282"/>
        <v>0</v>
      </c>
      <c r="AH966" s="7">
        <v>4017.4312500000001</v>
      </c>
      <c r="AI966">
        <f t="shared" si="283"/>
        <v>360</v>
      </c>
      <c r="AJ966" t="e">
        <f>VLOOKUP(A966,'Borrower Details'!$A$1:$H$1493,8,FALSE)</f>
        <v>#N/A</v>
      </c>
      <c r="AK966" s="4" t="e">
        <f t="shared" si="284"/>
        <v>#N/A</v>
      </c>
      <c r="AL966" s="10">
        <v>7.625</v>
      </c>
      <c r="AM966" s="3">
        <f t="shared" si="285"/>
        <v>85762.293049999993</v>
      </c>
      <c r="AN966">
        <v>7.625</v>
      </c>
      <c r="AO966" s="7">
        <f t="shared" si="286"/>
        <v>642.75443570907021</v>
      </c>
      <c r="AP966" s="2">
        <f t="shared" si="287"/>
        <v>69.085564290929824</v>
      </c>
    </row>
    <row r="967" spans="1:42" x14ac:dyDescent="0.15">
      <c r="A967" s="8">
        <v>410224620</v>
      </c>
      <c r="B967" t="s">
        <v>36</v>
      </c>
      <c r="C967" t="s">
        <v>18</v>
      </c>
      <c r="D967" s="1">
        <v>39223</v>
      </c>
      <c r="E967" s="2">
        <v>462000</v>
      </c>
      <c r="F967" s="2">
        <v>392700</v>
      </c>
      <c r="G967" t="s">
        <v>15</v>
      </c>
      <c r="H967" s="2">
        <v>3019.53</v>
      </c>
      <c r="I967" s="2">
        <v>389988.13</v>
      </c>
      <c r="J967">
        <v>8.5000000000000006E-2</v>
      </c>
      <c r="K967">
        <v>11</v>
      </c>
      <c r="L967">
        <v>349</v>
      </c>
      <c r="M967" t="str">
        <f t="shared" si="273"/>
        <v>30 Year Fixed</v>
      </c>
      <c r="N967" s="2">
        <v>2762.42</v>
      </c>
      <c r="O967" t="str">
        <f t="shared" si="270"/>
        <v>Refi</v>
      </c>
      <c r="P967" s="3">
        <f t="shared" si="274"/>
        <v>0</v>
      </c>
      <c r="Q967" s="4">
        <v>395838</v>
      </c>
      <c r="R967" s="4" t="s">
        <v>41</v>
      </c>
      <c r="S967" s="6">
        <v>591</v>
      </c>
      <c r="T967">
        <v>7.625</v>
      </c>
      <c r="U967" s="7">
        <f t="shared" si="271"/>
        <v>2966.6491096952655</v>
      </c>
      <c r="V967" s="2">
        <f t="shared" si="275"/>
        <v>52.880890304734748</v>
      </c>
      <c r="W967" s="9">
        <f t="shared" si="276"/>
        <v>0</v>
      </c>
      <c r="X967" s="3">
        <v>395838</v>
      </c>
      <c r="Y967" s="3">
        <f t="shared" si="277"/>
        <v>4.7339901502709836E-2</v>
      </c>
      <c r="Z967" s="7">
        <f t="shared" si="278"/>
        <v>2966.6491096952655</v>
      </c>
      <c r="AA967" s="2">
        <f t="shared" si="272"/>
        <v>52.880890304734748</v>
      </c>
      <c r="AB967" s="8">
        <f t="shared" si="279"/>
        <v>1</v>
      </c>
      <c r="AC967" s="10">
        <v>6.875</v>
      </c>
      <c r="AD967" s="7">
        <f t="shared" si="280"/>
        <v>2765.3063774768902</v>
      </c>
      <c r="AE967" s="2">
        <f t="shared" si="281"/>
        <v>254.22362252310995</v>
      </c>
      <c r="AF967" s="10">
        <v>1.75</v>
      </c>
      <c r="AG967" s="3">
        <f t="shared" si="282"/>
        <v>6927.165</v>
      </c>
      <c r="AH967" s="7">
        <v>7854</v>
      </c>
      <c r="AI967">
        <f t="shared" si="283"/>
        <v>360</v>
      </c>
      <c r="AJ967" t="e">
        <f>VLOOKUP(A967,'Borrower Details'!$A$1:$H$1493,8,FALSE)</f>
        <v>#N/A</v>
      </c>
      <c r="AK967" s="4" t="e">
        <f t="shared" si="284"/>
        <v>#N/A</v>
      </c>
      <c r="AL967" s="10">
        <v>7.625</v>
      </c>
      <c r="AM967" s="3">
        <f t="shared" si="285"/>
        <v>395837.95194999996</v>
      </c>
      <c r="AN967">
        <v>7.625</v>
      </c>
      <c r="AO967" s="7">
        <f t="shared" si="286"/>
        <v>2966.6487495795368</v>
      </c>
      <c r="AP967" s="2">
        <f t="shared" si="287"/>
        <v>52.881250420463402</v>
      </c>
    </row>
    <row r="968" spans="1:42" x14ac:dyDescent="0.15">
      <c r="A968" s="8">
        <v>410393714</v>
      </c>
      <c r="B968" t="s">
        <v>36</v>
      </c>
      <c r="C968" t="s">
        <v>19</v>
      </c>
      <c r="D968" s="1">
        <v>39283</v>
      </c>
      <c r="E968" s="2">
        <v>85000</v>
      </c>
      <c r="F968" s="2">
        <v>76500</v>
      </c>
      <c r="G968" t="s">
        <v>17</v>
      </c>
      <c r="H968" s="2">
        <v>716.42</v>
      </c>
      <c r="I968" s="2">
        <v>76233.56</v>
      </c>
      <c r="J968">
        <v>0.1079</v>
      </c>
      <c r="K968">
        <v>9</v>
      </c>
      <c r="L968">
        <v>351</v>
      </c>
      <c r="M968" t="str">
        <f t="shared" si="273"/>
        <v>30 Year Fixed</v>
      </c>
      <c r="N968" s="2">
        <v>685.74</v>
      </c>
      <c r="O968" t="str">
        <f t="shared" si="270"/>
        <v>Refi</v>
      </c>
      <c r="P968" s="3">
        <f t="shared" si="274"/>
        <v>0</v>
      </c>
      <c r="Q968" s="4">
        <v>77377</v>
      </c>
      <c r="R968" s="4" t="s">
        <v>41</v>
      </c>
      <c r="S968" s="6">
        <v>564</v>
      </c>
      <c r="T968">
        <v>7.625</v>
      </c>
      <c r="U968" s="7">
        <f t="shared" si="271"/>
        <v>579.90998378349366</v>
      </c>
      <c r="V968" s="2">
        <f t="shared" si="275"/>
        <v>136.5100162165063</v>
      </c>
      <c r="W968" s="9">
        <f t="shared" si="276"/>
        <v>0</v>
      </c>
      <c r="X968" s="3">
        <v>77378</v>
      </c>
      <c r="Y968" s="3">
        <f t="shared" si="277"/>
        <v>0.92275862069800496</v>
      </c>
      <c r="Z968" s="7">
        <f t="shared" si="278"/>
        <v>579.91747838762387</v>
      </c>
      <c r="AA968" s="2">
        <f t="shared" si="272"/>
        <v>136.50252161237609</v>
      </c>
      <c r="AB968" s="8">
        <f t="shared" si="279"/>
        <v>0</v>
      </c>
      <c r="AC968" s="10">
        <v>7.625</v>
      </c>
      <c r="AD968" s="7">
        <f t="shared" si="280"/>
        <v>579.91747838762387</v>
      </c>
      <c r="AE968" s="2">
        <f t="shared" si="281"/>
        <v>136.50252161237609</v>
      </c>
      <c r="AF968" s="10">
        <v>0</v>
      </c>
      <c r="AG968" s="3">
        <f t="shared" si="282"/>
        <v>0</v>
      </c>
      <c r="AH968" s="7">
        <v>1530</v>
      </c>
      <c r="AI968">
        <f t="shared" si="283"/>
        <v>360</v>
      </c>
      <c r="AJ968" t="e">
        <f>VLOOKUP(A968,'Borrower Details'!$A$1:$H$1493,8,FALSE)</f>
        <v>#N/A</v>
      </c>
      <c r="AK968" s="4" t="e">
        <f t="shared" si="284"/>
        <v>#N/A</v>
      </c>
      <c r="AL968" s="10">
        <v>7.625</v>
      </c>
      <c r="AM968" s="3">
        <f t="shared" si="285"/>
        <v>77377.063399999985</v>
      </c>
      <c r="AN968">
        <v>7.625</v>
      </c>
      <c r="AO968" s="7">
        <f t="shared" si="286"/>
        <v>579.9104589413954</v>
      </c>
      <c r="AP968" s="2">
        <f t="shared" si="287"/>
        <v>136.50954105860455</v>
      </c>
    </row>
    <row r="969" spans="1:42" x14ac:dyDescent="0.15">
      <c r="A969" s="8">
        <v>410376198</v>
      </c>
      <c r="B969" t="s">
        <v>35</v>
      </c>
      <c r="C969" t="s">
        <v>16</v>
      </c>
      <c r="D969" s="1">
        <v>39251</v>
      </c>
      <c r="E969" s="2">
        <v>85000</v>
      </c>
      <c r="F969" s="2">
        <v>72250</v>
      </c>
      <c r="G969" t="s">
        <v>15</v>
      </c>
      <c r="H969" s="2">
        <v>604.89</v>
      </c>
      <c r="I969" s="2">
        <v>71838.929999999993</v>
      </c>
      <c r="J969">
        <v>9.4500000000000001E-2</v>
      </c>
      <c r="K969">
        <v>10</v>
      </c>
      <c r="L969">
        <v>349</v>
      </c>
      <c r="M969" t="str">
        <f t="shared" si="273"/>
        <v>30 Year Fixed</v>
      </c>
      <c r="N969" s="2">
        <v>565.73</v>
      </c>
      <c r="O969" t="str">
        <f t="shared" si="270"/>
        <v>Refi</v>
      </c>
      <c r="P969" s="3">
        <f t="shared" si="274"/>
        <v>0</v>
      </c>
      <c r="Q969" s="4">
        <v>72917</v>
      </c>
      <c r="R969" s="4" t="s">
        <v>41</v>
      </c>
      <c r="S969" s="6">
        <v>566</v>
      </c>
      <c r="T969">
        <v>7.625</v>
      </c>
      <c r="U969" s="7">
        <f t="shared" si="271"/>
        <v>546.48404936274346</v>
      </c>
      <c r="V969" s="2">
        <f t="shared" si="275"/>
        <v>58.405950637256524</v>
      </c>
      <c r="W969" s="9">
        <f t="shared" si="276"/>
        <v>0</v>
      </c>
      <c r="X969" s="3">
        <v>72917</v>
      </c>
      <c r="Y969" s="3">
        <f t="shared" si="277"/>
        <v>0.47886699509399477</v>
      </c>
      <c r="Z969" s="7">
        <f t="shared" si="278"/>
        <v>546.48404936274346</v>
      </c>
      <c r="AA969" s="2">
        <f t="shared" si="272"/>
        <v>58.405950637256524</v>
      </c>
      <c r="AB969" s="8">
        <f t="shared" si="279"/>
        <v>0</v>
      </c>
      <c r="AC969" s="10">
        <v>7.625</v>
      </c>
      <c r="AD969" s="7">
        <f t="shared" si="280"/>
        <v>546.48404936274346</v>
      </c>
      <c r="AE969" s="2">
        <f t="shared" si="281"/>
        <v>58.405950637256524</v>
      </c>
      <c r="AF969" s="10">
        <v>0</v>
      </c>
      <c r="AG969" s="3">
        <f t="shared" si="282"/>
        <v>0</v>
      </c>
      <c r="AH969" s="7">
        <v>3413.8125</v>
      </c>
      <c r="AI969">
        <f t="shared" si="283"/>
        <v>360</v>
      </c>
      <c r="AJ969" t="e">
        <f>VLOOKUP(A969,'Borrower Details'!$A$1:$H$1493,8,FALSE)</f>
        <v>#N/A</v>
      </c>
      <c r="AK969" s="4" t="e">
        <f t="shared" si="284"/>
        <v>#N/A</v>
      </c>
      <c r="AL969" s="10">
        <v>7.625</v>
      </c>
      <c r="AM969" s="3">
        <f t="shared" si="285"/>
        <v>72916.513949999979</v>
      </c>
      <c r="AN969">
        <v>7.625</v>
      </c>
      <c r="AO969" s="7">
        <f t="shared" si="286"/>
        <v>546.48040661040591</v>
      </c>
      <c r="AP969" s="2">
        <f t="shared" si="287"/>
        <v>58.409593389594079</v>
      </c>
    </row>
    <row r="970" spans="1:42" x14ac:dyDescent="0.15">
      <c r="A970" s="8">
        <v>410360192</v>
      </c>
      <c r="B970" t="s">
        <v>38</v>
      </c>
      <c r="C970" t="s">
        <v>19</v>
      </c>
      <c r="D970" s="1">
        <v>39248</v>
      </c>
      <c r="E970" s="2">
        <v>198000</v>
      </c>
      <c r="F970" s="2">
        <v>135000</v>
      </c>
      <c r="G970" t="s">
        <v>15</v>
      </c>
      <c r="H970" s="2">
        <v>1062.05</v>
      </c>
      <c r="I970" s="2">
        <v>132852.14000000001</v>
      </c>
      <c r="J970">
        <v>8.7499999999999994E-2</v>
      </c>
      <c r="K970">
        <v>10</v>
      </c>
      <c r="L970">
        <v>350</v>
      </c>
      <c r="M970" t="str">
        <f t="shared" si="273"/>
        <v>30 Year Fixed</v>
      </c>
      <c r="N970" s="2">
        <v>968.71</v>
      </c>
      <c r="O970" t="str">
        <f t="shared" si="270"/>
        <v>Cash Out</v>
      </c>
      <c r="P970" s="3">
        <f t="shared" si="274"/>
        <v>32960.667881773406</v>
      </c>
      <c r="Q970" s="4">
        <v>168300</v>
      </c>
      <c r="R970" s="4" t="s">
        <v>41</v>
      </c>
      <c r="S970" s="6">
        <v>521</v>
      </c>
      <c r="T970">
        <v>7.625</v>
      </c>
      <c r="U970" s="7">
        <f t="shared" si="271"/>
        <v>1261.3418751148531</v>
      </c>
      <c r="V970" s="2">
        <f t="shared" si="275"/>
        <v>-199.29187511485316</v>
      </c>
      <c r="W970" s="9">
        <f t="shared" si="276"/>
        <v>1</v>
      </c>
      <c r="X970" s="3">
        <v>141640</v>
      </c>
      <c r="Y970" s="3">
        <f t="shared" si="277"/>
        <v>6694.6580295566528</v>
      </c>
      <c r="Z970" s="7">
        <f t="shared" si="278"/>
        <v>1061.5357290033737</v>
      </c>
      <c r="AA970" s="2">
        <f t="shared" si="272"/>
        <v>0.51427099662623732</v>
      </c>
      <c r="AB970" s="8">
        <f t="shared" si="279"/>
        <v>1</v>
      </c>
      <c r="AC970" s="10">
        <v>6.625</v>
      </c>
      <c r="AD970" s="7">
        <f t="shared" si="280"/>
        <v>965.95311193346333</v>
      </c>
      <c r="AE970" s="2">
        <f t="shared" si="281"/>
        <v>96.096888066536621</v>
      </c>
      <c r="AF970" s="10">
        <v>2.875</v>
      </c>
      <c r="AG970" s="3">
        <f t="shared" si="282"/>
        <v>4072.15</v>
      </c>
      <c r="AH970" s="7">
        <v>0</v>
      </c>
      <c r="AI970">
        <f t="shared" si="283"/>
        <v>360</v>
      </c>
      <c r="AJ970" t="e">
        <f>VLOOKUP(A970,'Borrower Details'!$A$1:$H$1493,8,FALSE)</f>
        <v>#N/A</v>
      </c>
      <c r="AK970" s="4" t="e">
        <f t="shared" si="284"/>
        <v>#N/A</v>
      </c>
      <c r="AL970" s="10">
        <v>7.625</v>
      </c>
      <c r="AM970" s="3">
        <f t="shared" si="285"/>
        <v>134844.9221</v>
      </c>
      <c r="AN970">
        <v>7.625</v>
      </c>
      <c r="AO970" s="7">
        <f t="shared" si="286"/>
        <v>1010.6093101089143</v>
      </c>
      <c r="AP970" s="2">
        <f t="shared" si="287"/>
        <v>51.44068989108564</v>
      </c>
    </row>
    <row r="971" spans="1:42" x14ac:dyDescent="0.15">
      <c r="A971" s="8">
        <v>410009344</v>
      </c>
      <c r="B971" t="s">
        <v>37</v>
      </c>
      <c r="C971" t="s">
        <v>19</v>
      </c>
      <c r="D971" s="1">
        <v>39206</v>
      </c>
      <c r="E971" s="2">
        <v>260000</v>
      </c>
      <c r="F971" s="2">
        <v>247000</v>
      </c>
      <c r="G971" t="s">
        <v>21</v>
      </c>
      <c r="H971" s="2">
        <v>1982.76</v>
      </c>
      <c r="I971" s="2">
        <v>246761.1</v>
      </c>
      <c r="J971">
        <v>9.5500000000000002E-2</v>
      </c>
      <c r="K971">
        <v>11</v>
      </c>
      <c r="L971">
        <v>348</v>
      </c>
      <c r="M971" t="str">
        <f t="shared" si="273"/>
        <v>30 Year Fixed</v>
      </c>
      <c r="N971" s="2">
        <v>1963.81</v>
      </c>
      <c r="O971" t="str">
        <f t="shared" si="270"/>
        <v>Refi</v>
      </c>
      <c r="P971" s="3">
        <f t="shared" si="274"/>
        <v>0</v>
      </c>
      <c r="Q971" s="4">
        <v>250463</v>
      </c>
      <c r="R971" s="4" t="s">
        <v>41</v>
      </c>
      <c r="S971" s="6">
        <v>602</v>
      </c>
      <c r="T971">
        <v>6.875</v>
      </c>
      <c r="U971" s="7">
        <f t="shared" si="271"/>
        <v>1749.7231979294418</v>
      </c>
      <c r="V971" s="2">
        <f t="shared" si="275"/>
        <v>233.03680207055822</v>
      </c>
      <c r="W971" s="9">
        <f t="shared" si="276"/>
        <v>0</v>
      </c>
      <c r="X971" s="3">
        <v>250463</v>
      </c>
      <c r="Y971" s="3">
        <f t="shared" si="277"/>
        <v>0.47635467982036062</v>
      </c>
      <c r="Z971" s="7">
        <f t="shared" si="278"/>
        <v>1749.7231979294418</v>
      </c>
      <c r="AA971" s="2">
        <f t="shared" si="272"/>
        <v>233.03680207055822</v>
      </c>
      <c r="AB971" s="8">
        <f t="shared" si="279"/>
        <v>0</v>
      </c>
      <c r="AC971" s="10">
        <v>6.875</v>
      </c>
      <c r="AD971" s="7">
        <f t="shared" si="280"/>
        <v>1749.7231979294418</v>
      </c>
      <c r="AE971" s="2">
        <f t="shared" si="281"/>
        <v>233.03680207055822</v>
      </c>
      <c r="AF971" s="10">
        <v>0</v>
      </c>
      <c r="AG971" s="3">
        <f t="shared" si="282"/>
        <v>0</v>
      </c>
      <c r="AH971" s="7">
        <v>2470</v>
      </c>
      <c r="AI971">
        <f t="shared" si="283"/>
        <v>360</v>
      </c>
      <c r="AJ971" t="e">
        <f>VLOOKUP(A971,'Borrower Details'!$A$1:$H$1493,8,FALSE)</f>
        <v>#N/A</v>
      </c>
      <c r="AK971" s="4" t="e">
        <f t="shared" si="284"/>
        <v>#N/A</v>
      </c>
      <c r="AL971" s="10">
        <v>6.875</v>
      </c>
      <c r="AM971" s="3">
        <f t="shared" si="285"/>
        <v>250462.51649999997</v>
      </c>
      <c r="AN971">
        <v>6.875</v>
      </c>
      <c r="AO971" s="7">
        <f t="shared" si="286"/>
        <v>1749.7198202202942</v>
      </c>
      <c r="AP971" s="2">
        <f t="shared" si="287"/>
        <v>233.0401797797058</v>
      </c>
    </row>
    <row r="972" spans="1:42" x14ac:dyDescent="0.15">
      <c r="A972" s="8">
        <v>410400832</v>
      </c>
      <c r="B972" t="s">
        <v>35</v>
      </c>
      <c r="C972" t="s">
        <v>16</v>
      </c>
      <c r="D972" s="1">
        <v>39246</v>
      </c>
      <c r="E972" s="2">
        <v>138000</v>
      </c>
      <c r="F972" s="2">
        <v>110400</v>
      </c>
      <c r="G972" t="s">
        <v>17</v>
      </c>
      <c r="H972" s="2">
        <v>734.5</v>
      </c>
      <c r="I972" s="2">
        <v>109374.96</v>
      </c>
      <c r="J972">
        <v>7.0000000000000007E-2</v>
      </c>
      <c r="K972">
        <v>10</v>
      </c>
      <c r="L972">
        <v>349</v>
      </c>
      <c r="M972" t="str">
        <f t="shared" si="273"/>
        <v>30 Year Fixed</v>
      </c>
      <c r="N972" s="2">
        <v>638.58000000000004</v>
      </c>
      <c r="O972" t="str">
        <f t="shared" si="270"/>
        <v>Cash Out</v>
      </c>
      <c r="P972" s="3">
        <f t="shared" si="274"/>
        <v>6191.5424630541966</v>
      </c>
      <c r="Q972" s="4">
        <v>117300</v>
      </c>
      <c r="R972" s="4" t="s">
        <v>41</v>
      </c>
      <c r="S972" s="6">
        <v>652</v>
      </c>
      <c r="T972">
        <v>6.75</v>
      </c>
      <c r="U972" s="7">
        <f t="shared" si="271"/>
        <v>809.68056727451483</v>
      </c>
      <c r="V972" s="2">
        <f t="shared" si="275"/>
        <v>-75.180567274514829</v>
      </c>
      <c r="W972" s="9">
        <f t="shared" si="276"/>
        <v>1</v>
      </c>
      <c r="X972" s="3">
        <v>111016</v>
      </c>
      <c r="Y972" s="3">
        <f t="shared" si="277"/>
        <v>0.4094581280805869</v>
      </c>
      <c r="Z972" s="7">
        <f t="shared" si="278"/>
        <v>766.30432955283493</v>
      </c>
      <c r="AA972" s="2">
        <f t="shared" si="272"/>
        <v>-31.804329552834929</v>
      </c>
      <c r="AB972" s="8">
        <f t="shared" si="279"/>
        <v>1</v>
      </c>
      <c r="AC972" s="10">
        <v>6.125</v>
      </c>
      <c r="AD972" s="7">
        <f t="shared" si="280"/>
        <v>720.80158328756499</v>
      </c>
      <c r="AE972" s="2">
        <f t="shared" si="281"/>
        <v>13.698416712435005</v>
      </c>
      <c r="AF972" s="10">
        <v>3</v>
      </c>
      <c r="AG972" s="3">
        <f t="shared" si="282"/>
        <v>3330.48</v>
      </c>
      <c r="AH972" s="7">
        <v>3864</v>
      </c>
      <c r="AI972">
        <f t="shared" si="283"/>
        <v>360</v>
      </c>
      <c r="AJ972" t="e">
        <f>VLOOKUP(A972,'Borrower Details'!$A$1:$H$1493,8,FALSE)</f>
        <v>#N/A</v>
      </c>
      <c r="AK972" s="4" t="e">
        <f t="shared" si="284"/>
        <v>#N/A</v>
      </c>
      <c r="AL972" s="10">
        <v>6.75</v>
      </c>
      <c r="AM972" s="3">
        <f t="shared" si="285"/>
        <v>111015.58439999999</v>
      </c>
      <c r="AN972">
        <v>6.75</v>
      </c>
      <c r="AO972" s="7">
        <f t="shared" si="286"/>
        <v>766.30146081247892</v>
      </c>
      <c r="AP972" s="2">
        <f t="shared" si="287"/>
        <v>-31.801460812478922</v>
      </c>
    </row>
    <row r="973" spans="1:42" x14ac:dyDescent="0.15">
      <c r="A973" s="8">
        <v>1179260</v>
      </c>
      <c r="B973" t="s">
        <v>38</v>
      </c>
      <c r="C973" t="s">
        <v>19</v>
      </c>
      <c r="D973" s="1">
        <v>39175</v>
      </c>
      <c r="E973" s="2">
        <v>157000</v>
      </c>
      <c r="F973" s="2">
        <v>141300</v>
      </c>
      <c r="G973" t="s">
        <v>17</v>
      </c>
      <c r="H973" s="2">
        <v>958.18</v>
      </c>
      <c r="I973" s="2">
        <v>139675.88</v>
      </c>
      <c r="J973">
        <v>7.1900000000000006E-2</v>
      </c>
      <c r="K973">
        <v>13</v>
      </c>
      <c r="L973">
        <v>346</v>
      </c>
      <c r="M973" t="str">
        <f t="shared" si="273"/>
        <v>30 Year Fixed</v>
      </c>
      <c r="N973" s="2">
        <v>837.61</v>
      </c>
      <c r="O973" t="str">
        <f t="shared" si="270"/>
        <v>Refi</v>
      </c>
      <c r="P973" s="3">
        <f t="shared" si="274"/>
        <v>0</v>
      </c>
      <c r="Q973" s="4">
        <v>141771</v>
      </c>
      <c r="R973" s="4" t="s">
        <v>41</v>
      </c>
      <c r="S973" s="6">
        <v>651</v>
      </c>
      <c r="T973">
        <v>6.75</v>
      </c>
      <c r="U973" s="7">
        <f t="shared" si="271"/>
        <v>978.59525748572241</v>
      </c>
      <c r="V973" s="2">
        <f t="shared" si="275"/>
        <v>-20.415257485722464</v>
      </c>
      <c r="W973" s="9">
        <f t="shared" si="276"/>
        <v>0</v>
      </c>
      <c r="X973" s="3">
        <v>141771</v>
      </c>
      <c r="Y973" s="3">
        <f t="shared" si="277"/>
        <v>-1.7931034468347207E-2</v>
      </c>
      <c r="Z973" s="7">
        <f t="shared" si="278"/>
        <v>978.59525748572241</v>
      </c>
      <c r="AA973" s="2">
        <f t="shared" si="272"/>
        <v>-20.415257485722464</v>
      </c>
      <c r="AB973" s="8">
        <f t="shared" si="279"/>
        <v>1</v>
      </c>
      <c r="AC973" s="10">
        <v>6.125</v>
      </c>
      <c r="AD973" s="7">
        <f t="shared" si="280"/>
        <v>920.4867880689394</v>
      </c>
      <c r="AE973" s="2">
        <f t="shared" si="281"/>
        <v>37.693211931060546</v>
      </c>
      <c r="AF973" s="10">
        <v>3</v>
      </c>
      <c r="AG973" s="3">
        <f t="shared" si="282"/>
        <v>4253.13</v>
      </c>
      <c r="AH973" s="7">
        <v>0</v>
      </c>
      <c r="AI973">
        <f t="shared" si="283"/>
        <v>360</v>
      </c>
      <c r="AJ973" t="e">
        <f>VLOOKUP(A973,'Borrower Details'!$A$1:$H$1493,8,FALSE)</f>
        <v>#N/A</v>
      </c>
      <c r="AK973" s="4" t="e">
        <f t="shared" si="284"/>
        <v>#N/A</v>
      </c>
      <c r="AL973" s="10">
        <v>6.75</v>
      </c>
      <c r="AM973" s="3">
        <f t="shared" si="285"/>
        <v>141771.01819999999</v>
      </c>
      <c r="AN973">
        <v>6.75</v>
      </c>
      <c r="AO973" s="7">
        <f t="shared" si="286"/>
        <v>978.59538311390929</v>
      </c>
      <c r="AP973" s="2">
        <f t="shared" si="287"/>
        <v>-20.415383113909343</v>
      </c>
    </row>
    <row r="974" spans="1:42" x14ac:dyDescent="0.15">
      <c r="A974" s="8">
        <v>410501944</v>
      </c>
      <c r="B974" t="s">
        <v>35</v>
      </c>
      <c r="C974" t="s">
        <v>16</v>
      </c>
      <c r="D974" s="1">
        <v>39272</v>
      </c>
      <c r="E974" s="2">
        <v>216000</v>
      </c>
      <c r="F974" s="2">
        <v>194400</v>
      </c>
      <c r="G974" t="s">
        <v>15</v>
      </c>
      <c r="H974" s="2">
        <v>1432.54</v>
      </c>
      <c r="I974" s="2">
        <v>193910.1</v>
      </c>
      <c r="J974">
        <v>8.5500000000000007E-2</v>
      </c>
      <c r="K974">
        <v>9</v>
      </c>
      <c r="L974">
        <v>350</v>
      </c>
      <c r="M974" t="str">
        <f t="shared" si="273"/>
        <v>30 Year Fixed</v>
      </c>
      <c r="N974" s="2">
        <v>1381.97</v>
      </c>
      <c r="O974" t="str">
        <f t="shared" si="270"/>
        <v>Refi</v>
      </c>
      <c r="P974" s="3">
        <f t="shared" si="274"/>
        <v>0</v>
      </c>
      <c r="Q974" s="4">
        <v>196819</v>
      </c>
      <c r="R974" s="4" t="s">
        <v>41</v>
      </c>
      <c r="S974" s="6">
        <v>587</v>
      </c>
      <c r="T974">
        <v>7.375</v>
      </c>
      <c r="U974" s="7">
        <f t="shared" si="271"/>
        <v>1441.3878354162709</v>
      </c>
      <c r="V974" s="2">
        <f t="shared" si="275"/>
        <v>-8.847835416270982</v>
      </c>
      <c r="W974" s="9">
        <f t="shared" si="276"/>
        <v>0</v>
      </c>
      <c r="X974" s="3">
        <v>196819</v>
      </c>
      <c r="Y974" s="3">
        <f t="shared" si="277"/>
        <v>0.24482758622616529</v>
      </c>
      <c r="Z974" s="7">
        <f t="shared" si="278"/>
        <v>1441.3878354162709</v>
      </c>
      <c r="AA974" s="2">
        <f t="shared" si="272"/>
        <v>-8.847835416270982</v>
      </c>
      <c r="AB974" s="8">
        <f t="shared" si="279"/>
        <v>1</v>
      </c>
      <c r="AC974" s="10">
        <v>6.625</v>
      </c>
      <c r="AD974" s="7">
        <f t="shared" si="280"/>
        <v>1342.2615471451024</v>
      </c>
      <c r="AE974" s="2">
        <f t="shared" si="281"/>
        <v>90.278452854897523</v>
      </c>
      <c r="AF974" s="10">
        <v>1.875</v>
      </c>
      <c r="AG974" s="3">
        <f t="shared" si="282"/>
        <v>3690.3562499999998</v>
      </c>
      <c r="AH974" s="7">
        <v>8310.6</v>
      </c>
      <c r="AI974">
        <f t="shared" si="283"/>
        <v>360</v>
      </c>
      <c r="AJ974" t="e">
        <f>VLOOKUP(A974,'Borrower Details'!$A$1:$H$1493,8,FALSE)</f>
        <v>#N/A</v>
      </c>
      <c r="AK974" s="4" t="e">
        <f t="shared" si="284"/>
        <v>#N/A</v>
      </c>
      <c r="AL974" s="10">
        <v>7.375</v>
      </c>
      <c r="AM974" s="3">
        <f t="shared" si="285"/>
        <v>196818.75149999998</v>
      </c>
      <c r="AN974">
        <v>7.375</v>
      </c>
      <c r="AO974" s="7">
        <f t="shared" si="286"/>
        <v>1441.3860155468624</v>
      </c>
      <c r="AP974" s="2">
        <f t="shared" si="287"/>
        <v>-8.846015546862418</v>
      </c>
    </row>
    <row r="975" spans="1:42" x14ac:dyDescent="0.15">
      <c r="A975" s="8">
        <v>1156385</v>
      </c>
      <c r="B975" t="s">
        <v>36</v>
      </c>
      <c r="C975" t="s">
        <v>19</v>
      </c>
      <c r="D975" s="1">
        <v>39157</v>
      </c>
      <c r="E975" s="2">
        <v>135000</v>
      </c>
      <c r="F975" s="2">
        <v>108000</v>
      </c>
      <c r="G975" t="s">
        <v>17</v>
      </c>
      <c r="H975" s="2">
        <v>700.49</v>
      </c>
      <c r="I975" s="2">
        <v>106649.46</v>
      </c>
      <c r="J975">
        <v>6.7500000000000004E-2</v>
      </c>
      <c r="K975">
        <v>13</v>
      </c>
      <c r="L975">
        <v>346</v>
      </c>
      <c r="M975" t="str">
        <f t="shared" si="273"/>
        <v>30 Year Fixed</v>
      </c>
      <c r="N975" s="2">
        <v>600.47</v>
      </c>
      <c r="O975" t="str">
        <f t="shared" si="270"/>
        <v>Cash Out</v>
      </c>
      <c r="P975" s="3">
        <f t="shared" si="274"/>
        <v>6404.7271921182255</v>
      </c>
      <c r="Q975" s="4">
        <v>114750</v>
      </c>
      <c r="R975" s="4" t="s">
        <v>41</v>
      </c>
      <c r="S975" s="6">
        <v>668</v>
      </c>
      <c r="T975">
        <v>6.75</v>
      </c>
      <c r="U975" s="7">
        <f t="shared" si="271"/>
        <v>792.07881581202537</v>
      </c>
      <c r="V975" s="2">
        <f t="shared" si="275"/>
        <v>-91.588815812025359</v>
      </c>
      <c r="W975" s="9">
        <f t="shared" si="276"/>
        <v>1</v>
      </c>
      <c r="X975" s="3">
        <v>108249</v>
      </c>
      <c r="Y975" s="3">
        <f t="shared" si="277"/>
        <v>-0.1989162561512785</v>
      </c>
      <c r="Z975" s="7">
        <f t="shared" si="278"/>
        <v>747.20470355412579</v>
      </c>
      <c r="AA975" s="2">
        <f t="shared" si="272"/>
        <v>-46.714703554125776</v>
      </c>
      <c r="AB975" s="8">
        <f t="shared" si="279"/>
        <v>1</v>
      </c>
      <c r="AC975" s="10">
        <v>6.125</v>
      </c>
      <c r="AD975" s="7">
        <f t="shared" si="280"/>
        <v>702.83608299070067</v>
      </c>
      <c r="AE975" s="2">
        <f t="shared" si="281"/>
        <v>-2.3460829907006655</v>
      </c>
      <c r="AF975" s="10">
        <v>3</v>
      </c>
      <c r="AG975" s="3">
        <f t="shared" si="282"/>
        <v>3247.47</v>
      </c>
      <c r="AH975" s="7">
        <v>2160</v>
      </c>
      <c r="AI975">
        <f t="shared" si="283"/>
        <v>360</v>
      </c>
      <c r="AJ975" t="e">
        <f>VLOOKUP(A975,'Borrower Details'!$A$1:$H$1493,8,FALSE)</f>
        <v>#N/A</v>
      </c>
      <c r="AK975" s="4" t="e">
        <f t="shared" si="284"/>
        <v>#N/A</v>
      </c>
      <c r="AL975" s="10">
        <v>6.75</v>
      </c>
      <c r="AM975" s="3">
        <f t="shared" si="285"/>
        <v>108249.2019</v>
      </c>
      <c r="AN975">
        <v>6.75</v>
      </c>
      <c r="AO975" s="7">
        <f t="shared" si="286"/>
        <v>747.20609719868276</v>
      </c>
      <c r="AP975" s="2">
        <f t="shared" si="287"/>
        <v>-46.716097198682746</v>
      </c>
    </row>
    <row r="976" spans="1:42" x14ac:dyDescent="0.15">
      <c r="A976" s="8">
        <v>1156935</v>
      </c>
      <c r="B976" t="s">
        <v>37</v>
      </c>
      <c r="C976" t="s">
        <v>19</v>
      </c>
      <c r="D976" s="1">
        <v>39150</v>
      </c>
      <c r="E976" s="2">
        <v>64500</v>
      </c>
      <c r="F976" s="2">
        <v>52700</v>
      </c>
      <c r="G976" t="s">
        <v>15</v>
      </c>
      <c r="H976" s="2">
        <v>405.22</v>
      </c>
      <c r="I976" s="2">
        <v>52231.83</v>
      </c>
      <c r="J976">
        <v>8.5000000000000006E-2</v>
      </c>
      <c r="K976">
        <v>13</v>
      </c>
      <c r="L976">
        <v>346</v>
      </c>
      <c r="M976" t="str">
        <f t="shared" si="273"/>
        <v>30 Year Fixed</v>
      </c>
      <c r="N976" s="2">
        <v>370.22</v>
      </c>
      <c r="O976" t="str">
        <f t="shared" si="270"/>
        <v>Cash Out</v>
      </c>
      <c r="P976" s="3">
        <f t="shared" si="274"/>
        <v>1782.9483251231577</v>
      </c>
      <c r="Q976" s="4">
        <v>54825</v>
      </c>
      <c r="R976" s="4" t="s">
        <v>41</v>
      </c>
      <c r="S976" s="6">
        <v>607</v>
      </c>
      <c r="T976">
        <v>7</v>
      </c>
      <c r="U976" s="7">
        <f t="shared" si="271"/>
        <v>387.59584298198689</v>
      </c>
      <c r="V976" s="2">
        <f t="shared" si="275"/>
        <v>17.624157018013136</v>
      </c>
      <c r="W976" s="9">
        <f t="shared" si="276"/>
        <v>0</v>
      </c>
      <c r="X976" s="3">
        <v>54825</v>
      </c>
      <c r="Y976" s="3">
        <f t="shared" si="277"/>
        <v>1782.9483251231577</v>
      </c>
      <c r="Z976" s="7">
        <f t="shared" si="278"/>
        <v>387.59584298198689</v>
      </c>
      <c r="AA976" s="2">
        <f t="shared" si="272"/>
        <v>17.624157018013136</v>
      </c>
      <c r="AB976" s="8">
        <f t="shared" si="279"/>
        <v>1</v>
      </c>
      <c r="AC976" s="10">
        <v>6.25</v>
      </c>
      <c r="AD976" s="7">
        <f t="shared" si="280"/>
        <v>360.41070513377025</v>
      </c>
      <c r="AE976" s="2">
        <f t="shared" si="281"/>
        <v>44.809294866229777</v>
      </c>
      <c r="AF976" s="10">
        <v>2.75</v>
      </c>
      <c r="AG976" s="3">
        <f t="shared" si="282"/>
        <v>1507.6875</v>
      </c>
      <c r="AH976" s="7">
        <v>0</v>
      </c>
      <c r="AI976">
        <f t="shared" si="283"/>
        <v>360</v>
      </c>
      <c r="AJ976" t="e">
        <f>VLOOKUP(A976,'Borrower Details'!$A$1:$H$1493,8,FALSE)</f>
        <v>#N/A</v>
      </c>
      <c r="AK976" s="4" t="e">
        <f t="shared" si="284"/>
        <v>#N/A</v>
      </c>
      <c r="AL976" s="10">
        <v>7</v>
      </c>
      <c r="AM976" s="3">
        <f t="shared" si="285"/>
        <v>53015.30745</v>
      </c>
      <c r="AN976">
        <v>7</v>
      </c>
      <c r="AO976" s="7">
        <f t="shared" si="286"/>
        <v>374.80187472926508</v>
      </c>
      <c r="AP976" s="2">
        <f t="shared" si="287"/>
        <v>30.418125270734947</v>
      </c>
    </row>
    <row r="977" spans="1:42" x14ac:dyDescent="0.15">
      <c r="A977" s="8">
        <v>410991806</v>
      </c>
      <c r="B977" t="s">
        <v>37</v>
      </c>
      <c r="C977" t="s">
        <v>16</v>
      </c>
      <c r="D977" s="1">
        <v>39370</v>
      </c>
      <c r="E977" s="2">
        <v>205000</v>
      </c>
      <c r="F977" s="2">
        <v>135000</v>
      </c>
      <c r="G977" t="s">
        <v>17</v>
      </c>
      <c r="H977" s="2">
        <v>985.89</v>
      </c>
      <c r="I977" s="2">
        <v>134440.16</v>
      </c>
      <c r="J977">
        <v>7.9500000000000001E-2</v>
      </c>
      <c r="K977">
        <v>6</v>
      </c>
      <c r="L977">
        <v>354</v>
      </c>
      <c r="M977" t="str">
        <f t="shared" si="273"/>
        <v>30 Year Fixed</v>
      </c>
      <c r="N977" s="2">
        <v>890.67</v>
      </c>
      <c r="O977" t="str">
        <f t="shared" si="270"/>
        <v>Cash Out</v>
      </c>
      <c r="P977" s="3">
        <f t="shared" si="274"/>
        <v>37234.716847290663</v>
      </c>
      <c r="Q977" s="4">
        <v>174250</v>
      </c>
      <c r="R977" s="4" t="s">
        <v>41</v>
      </c>
      <c r="S977" s="6">
        <v>607</v>
      </c>
      <c r="T977">
        <v>6.875</v>
      </c>
      <c r="U977" s="7">
        <f t="shared" si="271"/>
        <v>1217.3026244962539</v>
      </c>
      <c r="V977" s="2">
        <f t="shared" si="275"/>
        <v>-231.4126244962539</v>
      </c>
      <c r="W977" s="9">
        <f t="shared" si="276"/>
        <v>1</v>
      </c>
      <c r="X977" s="3">
        <v>141050</v>
      </c>
      <c r="Y977" s="3">
        <f t="shared" si="277"/>
        <v>4525.3572413793299</v>
      </c>
      <c r="Z977" s="7">
        <f t="shared" si="278"/>
        <v>985.36892502264914</v>
      </c>
      <c r="AA977" s="2">
        <f t="shared" si="272"/>
        <v>0.52107497735084962</v>
      </c>
      <c r="AB977" s="8">
        <f t="shared" si="279"/>
        <v>1</v>
      </c>
      <c r="AC977" s="10">
        <v>6.25</v>
      </c>
      <c r="AD977" s="7">
        <f t="shared" si="280"/>
        <v>927.23994453476143</v>
      </c>
      <c r="AE977" s="2">
        <f t="shared" si="281"/>
        <v>58.650055465238552</v>
      </c>
      <c r="AF977" s="10">
        <v>2.5</v>
      </c>
      <c r="AG977" s="3">
        <f t="shared" si="282"/>
        <v>3526.25</v>
      </c>
      <c r="AH977" s="7">
        <v>0</v>
      </c>
      <c r="AI977">
        <f t="shared" si="283"/>
        <v>360</v>
      </c>
      <c r="AJ977" t="e">
        <f>VLOOKUP(A977,'Borrower Details'!$A$1:$H$1493,8,FALSE)</f>
        <v>#N/A</v>
      </c>
      <c r="AK977" s="4" t="e">
        <f t="shared" si="284"/>
        <v>#N/A</v>
      </c>
      <c r="AL977" s="10">
        <v>6.875</v>
      </c>
      <c r="AM977" s="3">
        <f t="shared" si="285"/>
        <v>136456.76239999998</v>
      </c>
      <c r="AN977">
        <v>6.875</v>
      </c>
      <c r="AO977" s="7">
        <f t="shared" si="286"/>
        <v>953.28077474767122</v>
      </c>
      <c r="AP977" s="2">
        <f t="shared" si="287"/>
        <v>32.60922525232877</v>
      </c>
    </row>
    <row r="978" spans="1:42" x14ac:dyDescent="0.15">
      <c r="A978" s="8">
        <v>1153607</v>
      </c>
      <c r="B978" t="s">
        <v>35</v>
      </c>
      <c r="C978" t="s">
        <v>16</v>
      </c>
      <c r="D978" s="1">
        <v>39148</v>
      </c>
      <c r="E978" s="2">
        <v>124000</v>
      </c>
      <c r="F978" s="2">
        <v>117800</v>
      </c>
      <c r="G978" t="s">
        <v>15</v>
      </c>
      <c r="H978" s="2">
        <v>994.83</v>
      </c>
      <c r="I978" s="2">
        <v>117017.95</v>
      </c>
      <c r="J978">
        <v>9.5500000000000002E-2</v>
      </c>
      <c r="K978">
        <v>13</v>
      </c>
      <c r="L978">
        <v>347</v>
      </c>
      <c r="M978" t="str">
        <f t="shared" si="273"/>
        <v>30 Year Fixed</v>
      </c>
      <c r="N978" s="2">
        <v>931.27</v>
      </c>
      <c r="O978" t="str">
        <f t="shared" si="270"/>
        <v>Refi</v>
      </c>
      <c r="P978" s="3">
        <f t="shared" si="274"/>
        <v>0</v>
      </c>
      <c r="Q978" s="4">
        <v>118773</v>
      </c>
      <c r="R978" s="4" t="s">
        <v>41</v>
      </c>
      <c r="S978" s="6">
        <v>605</v>
      </c>
      <c r="T978">
        <v>6.875</v>
      </c>
      <c r="U978" s="7">
        <f t="shared" si="271"/>
        <v>829.74280986682095</v>
      </c>
      <c r="V978" s="2">
        <f t="shared" si="275"/>
        <v>165.08719013317909</v>
      </c>
      <c r="W978" s="9">
        <f t="shared" si="276"/>
        <v>0</v>
      </c>
      <c r="X978" s="3">
        <v>118773</v>
      </c>
      <c r="Y978" s="3">
        <f t="shared" si="277"/>
        <v>-0.21600985219993163</v>
      </c>
      <c r="Z978" s="7">
        <f t="shared" si="278"/>
        <v>829.74280986682095</v>
      </c>
      <c r="AA978" s="2">
        <f t="shared" si="272"/>
        <v>165.08719013317909</v>
      </c>
      <c r="AB978" s="8">
        <f t="shared" si="279"/>
        <v>0</v>
      </c>
      <c r="AC978" s="10">
        <v>6.875</v>
      </c>
      <c r="AD978" s="7">
        <f t="shared" si="280"/>
        <v>829.74280986682095</v>
      </c>
      <c r="AE978" s="2">
        <f t="shared" si="281"/>
        <v>165.08719013317909</v>
      </c>
      <c r="AF978" s="10">
        <v>0</v>
      </c>
      <c r="AG978" s="3">
        <f t="shared" si="282"/>
        <v>0</v>
      </c>
      <c r="AH978" s="7">
        <v>5624.95</v>
      </c>
      <c r="AI978">
        <f t="shared" si="283"/>
        <v>360</v>
      </c>
      <c r="AJ978" t="e">
        <f>VLOOKUP(A978,'Borrower Details'!$A$1:$H$1493,8,FALSE)</f>
        <v>#N/A</v>
      </c>
      <c r="AK978" s="4" t="e">
        <f t="shared" si="284"/>
        <v>#N/A</v>
      </c>
      <c r="AL978" s="10">
        <v>6.875</v>
      </c>
      <c r="AM978" s="3">
        <f t="shared" si="285"/>
        <v>118773.21924999998</v>
      </c>
      <c r="AN978">
        <v>6.875</v>
      </c>
      <c r="AO978" s="7">
        <f t="shared" si="286"/>
        <v>829.74434153741151</v>
      </c>
      <c r="AP978" s="2">
        <f t="shared" si="287"/>
        <v>165.08565846258853</v>
      </c>
    </row>
    <row r="979" spans="1:42" x14ac:dyDescent="0.15">
      <c r="A979" s="8">
        <v>1163431</v>
      </c>
      <c r="B979" t="s">
        <v>35</v>
      </c>
      <c r="C979" t="s">
        <v>16</v>
      </c>
      <c r="D979" s="1">
        <v>39171</v>
      </c>
      <c r="E979" s="2">
        <v>100000</v>
      </c>
      <c r="F979" s="2">
        <v>90000</v>
      </c>
      <c r="G979" t="s">
        <v>15</v>
      </c>
      <c r="H979" s="2">
        <v>692.03</v>
      </c>
      <c r="I979" s="2">
        <v>89187.26</v>
      </c>
      <c r="J979">
        <v>8.5000000000000006E-2</v>
      </c>
      <c r="K979">
        <v>13</v>
      </c>
      <c r="L979">
        <v>346</v>
      </c>
      <c r="M979" t="str">
        <f t="shared" si="273"/>
        <v>30 Year Fixed</v>
      </c>
      <c r="N979" s="2">
        <v>631.74</v>
      </c>
      <c r="O979" t="str">
        <f t="shared" si="270"/>
        <v>Refi</v>
      </c>
      <c r="P979" s="3">
        <f t="shared" si="274"/>
        <v>0</v>
      </c>
      <c r="Q979" s="4">
        <v>90525</v>
      </c>
      <c r="R979" s="4" t="s">
        <v>41</v>
      </c>
      <c r="S979" s="6">
        <v>632</v>
      </c>
      <c r="T979">
        <v>6.875</v>
      </c>
      <c r="U979" s="7">
        <f t="shared" si="271"/>
        <v>632.40355857976112</v>
      </c>
      <c r="V979" s="2">
        <f t="shared" si="275"/>
        <v>59.626441420238848</v>
      </c>
      <c r="W979" s="9">
        <f t="shared" si="276"/>
        <v>0</v>
      </c>
      <c r="X979" s="3">
        <v>90525</v>
      </c>
      <c r="Y979" s="3">
        <f t="shared" si="277"/>
        <v>-6.7881773386034183E-2</v>
      </c>
      <c r="Z979" s="7">
        <f t="shared" si="278"/>
        <v>632.40355857976112</v>
      </c>
      <c r="AA979" s="2">
        <f t="shared" si="272"/>
        <v>59.626441420238848</v>
      </c>
      <c r="AB979" s="8">
        <f t="shared" si="279"/>
        <v>0</v>
      </c>
      <c r="AC979" s="10">
        <v>6.875</v>
      </c>
      <c r="AD979" s="7">
        <f t="shared" si="280"/>
        <v>632.40355857976112</v>
      </c>
      <c r="AE979" s="2">
        <f t="shared" si="281"/>
        <v>59.626441420238848</v>
      </c>
      <c r="AF979" s="10">
        <v>0</v>
      </c>
      <c r="AG979" s="3">
        <f t="shared" si="282"/>
        <v>0</v>
      </c>
      <c r="AH979" s="7">
        <v>3825</v>
      </c>
      <c r="AI979">
        <f t="shared" si="283"/>
        <v>360</v>
      </c>
      <c r="AJ979" t="e">
        <f>VLOOKUP(A979,'Borrower Details'!$A$1:$H$1493,8,FALSE)</f>
        <v>#N/A</v>
      </c>
      <c r="AK979" s="4" t="e">
        <f t="shared" si="284"/>
        <v>#N/A</v>
      </c>
      <c r="AL979" s="10">
        <v>6.875</v>
      </c>
      <c r="AM979" s="3">
        <f t="shared" si="285"/>
        <v>90525.068899999984</v>
      </c>
      <c r="AN979">
        <v>6.875</v>
      </c>
      <c r="AO979" s="7">
        <f t="shared" si="286"/>
        <v>632.40403991204698</v>
      </c>
      <c r="AP979" s="2">
        <f t="shared" si="287"/>
        <v>59.62596008795299</v>
      </c>
    </row>
    <row r="980" spans="1:42" x14ac:dyDescent="0.15">
      <c r="A980" s="8">
        <v>410876064</v>
      </c>
      <c r="B980" t="s">
        <v>35</v>
      </c>
      <c r="C980" t="s">
        <v>16</v>
      </c>
      <c r="D980" s="1">
        <v>39325</v>
      </c>
      <c r="E980" s="2">
        <v>112000</v>
      </c>
      <c r="F980" s="2">
        <v>89600</v>
      </c>
      <c r="G980" t="s">
        <v>20</v>
      </c>
      <c r="H980" s="2">
        <v>772.93</v>
      </c>
      <c r="I980" s="2">
        <v>89562</v>
      </c>
      <c r="J980">
        <v>0.10290000000000001</v>
      </c>
      <c r="K980">
        <v>8</v>
      </c>
      <c r="L980">
        <v>352</v>
      </c>
      <c r="M980" t="str">
        <f t="shared" si="273"/>
        <v>30 Year Fixed</v>
      </c>
      <c r="N980" s="2">
        <v>767.99</v>
      </c>
      <c r="O980" t="str">
        <f t="shared" si="270"/>
        <v>Cash Out</v>
      </c>
      <c r="P980" s="3">
        <f t="shared" si="274"/>
        <v>4231.1034482758696</v>
      </c>
      <c r="Q980" s="4">
        <v>95200</v>
      </c>
      <c r="R980" s="4" t="s">
        <v>41</v>
      </c>
      <c r="S980" s="6">
        <v>615</v>
      </c>
      <c r="T980">
        <v>7</v>
      </c>
      <c r="U980" s="7">
        <f t="shared" si="271"/>
        <v>673.03464207724846</v>
      </c>
      <c r="V980" s="2">
        <f t="shared" si="275"/>
        <v>99.895357922751487</v>
      </c>
      <c r="W980" s="9">
        <f t="shared" si="276"/>
        <v>0</v>
      </c>
      <c r="X980" s="3">
        <v>95200</v>
      </c>
      <c r="Y980" s="3">
        <f t="shared" si="277"/>
        <v>4231.1034482758696</v>
      </c>
      <c r="Z980" s="7">
        <f t="shared" si="278"/>
        <v>673.03464207724846</v>
      </c>
      <c r="AA980" s="2">
        <f t="shared" si="272"/>
        <v>99.895357922751487</v>
      </c>
      <c r="AB980" s="8">
        <f t="shared" si="279"/>
        <v>0</v>
      </c>
      <c r="AC980" s="10">
        <v>7</v>
      </c>
      <c r="AD980" s="7">
        <f t="shared" si="280"/>
        <v>673.03464207724846</v>
      </c>
      <c r="AE980" s="2">
        <f t="shared" si="281"/>
        <v>99.895357922751487</v>
      </c>
      <c r="AF980" s="10">
        <v>0</v>
      </c>
      <c r="AG980" s="3">
        <f t="shared" si="282"/>
        <v>0</v>
      </c>
      <c r="AH980" s="7">
        <v>4609.92</v>
      </c>
      <c r="AI980">
        <f t="shared" si="283"/>
        <v>360</v>
      </c>
      <c r="AJ980" t="e">
        <f>VLOOKUP(A980,'Borrower Details'!$A$1:$H$1493,8,FALSE)</f>
        <v>#N/A</v>
      </c>
      <c r="AK980" s="4" t="e">
        <f t="shared" si="284"/>
        <v>#N/A</v>
      </c>
      <c r="AL980" s="10">
        <v>7</v>
      </c>
      <c r="AM980" s="3">
        <f t="shared" si="285"/>
        <v>90905.43</v>
      </c>
      <c r="AN980">
        <v>7</v>
      </c>
      <c r="AO980" s="7">
        <f t="shared" si="286"/>
        <v>642.67335654336523</v>
      </c>
      <c r="AP980" s="2">
        <f t="shared" si="287"/>
        <v>130.25664345663472</v>
      </c>
    </row>
    <row r="981" spans="1:42" x14ac:dyDescent="0.15">
      <c r="A981" s="8">
        <v>410772354</v>
      </c>
      <c r="B981" t="s">
        <v>36</v>
      </c>
      <c r="C981" t="s">
        <v>16</v>
      </c>
      <c r="D981" s="1">
        <v>39308</v>
      </c>
      <c r="E981" s="2">
        <v>575000</v>
      </c>
      <c r="F981" s="2">
        <v>517500</v>
      </c>
      <c r="G981" t="s">
        <v>17</v>
      </c>
      <c r="H981" s="2">
        <v>4252.55</v>
      </c>
      <c r="I981" s="2">
        <v>516751.27</v>
      </c>
      <c r="J981">
        <v>9.6500000000000002E-2</v>
      </c>
      <c r="K981">
        <v>8</v>
      </c>
      <c r="L981">
        <v>352</v>
      </c>
      <c r="M981" t="str">
        <f t="shared" si="273"/>
        <v>30 Year Fixed</v>
      </c>
      <c r="N981" s="2">
        <v>4155.54</v>
      </c>
      <c r="O981" t="str">
        <f t="shared" si="270"/>
        <v>Refi</v>
      </c>
      <c r="P981" s="3">
        <f t="shared" si="274"/>
        <v>0</v>
      </c>
      <c r="Q981" s="4">
        <v>524503</v>
      </c>
      <c r="R981" s="4" t="s">
        <v>41</v>
      </c>
      <c r="S981" s="6">
        <v>601</v>
      </c>
      <c r="T981">
        <v>7.625</v>
      </c>
      <c r="U981" s="7">
        <f t="shared" si="271"/>
        <v>3930.9423501091251</v>
      </c>
      <c r="V981" s="2">
        <f t="shared" si="275"/>
        <v>321.60764989087511</v>
      </c>
      <c r="W981" s="9">
        <f t="shared" si="276"/>
        <v>0</v>
      </c>
      <c r="X981" s="3">
        <v>524503</v>
      </c>
      <c r="Y981" s="3">
        <f t="shared" si="277"/>
        <v>0.45413793105399236</v>
      </c>
      <c r="Z981" s="7">
        <f t="shared" si="278"/>
        <v>3930.9423501091251</v>
      </c>
      <c r="AA981" s="2">
        <f t="shared" si="272"/>
        <v>321.60764989087511</v>
      </c>
      <c r="AB981" s="8">
        <f t="shared" si="279"/>
        <v>1</v>
      </c>
      <c r="AC981" s="10">
        <v>6.5</v>
      </c>
      <c r="AD981" s="7">
        <f t="shared" si="280"/>
        <v>3533.7586619279782</v>
      </c>
      <c r="AE981" s="2">
        <f t="shared" si="281"/>
        <v>718.79133807202197</v>
      </c>
      <c r="AF981" s="10">
        <v>2.375</v>
      </c>
      <c r="AG981" s="3">
        <f t="shared" si="282"/>
        <v>12456.946250000001</v>
      </c>
      <c r="AH981" s="7">
        <v>0</v>
      </c>
      <c r="AI981">
        <f t="shared" si="283"/>
        <v>360</v>
      </c>
      <c r="AJ981" t="e">
        <f>VLOOKUP(A981,'Borrower Details'!$A$1:$H$1493,8,FALSE)</f>
        <v>#N/A</v>
      </c>
      <c r="AK981" s="4" t="e">
        <f t="shared" si="284"/>
        <v>#N/A</v>
      </c>
      <c r="AL981" s="10">
        <v>7.625</v>
      </c>
      <c r="AM981" s="3">
        <f t="shared" si="285"/>
        <v>524502.53905000002</v>
      </c>
      <c r="AN981">
        <v>7.625</v>
      </c>
      <c r="AO981" s="7">
        <f t="shared" si="286"/>
        <v>3930.9388954713518</v>
      </c>
      <c r="AP981" s="2">
        <f t="shared" si="287"/>
        <v>321.61110452864841</v>
      </c>
    </row>
    <row r="982" spans="1:42" x14ac:dyDescent="0.15">
      <c r="A982" s="8">
        <v>410616460</v>
      </c>
      <c r="B982" t="s">
        <v>35</v>
      </c>
      <c r="C982" t="s">
        <v>16</v>
      </c>
      <c r="D982" s="1">
        <v>39281</v>
      </c>
      <c r="E982" s="2">
        <v>175000</v>
      </c>
      <c r="F982" s="2">
        <v>148750</v>
      </c>
      <c r="G982" t="s">
        <v>17</v>
      </c>
      <c r="H982" s="2">
        <v>1304.29</v>
      </c>
      <c r="I982" s="2">
        <v>147535.21</v>
      </c>
      <c r="J982">
        <v>9.9900000000000003E-2</v>
      </c>
      <c r="K982">
        <v>9</v>
      </c>
      <c r="L982">
        <v>351</v>
      </c>
      <c r="M982" t="str">
        <f t="shared" si="273"/>
        <v>30 Year Fixed</v>
      </c>
      <c r="N982" s="2">
        <v>1228.23</v>
      </c>
      <c r="O982" t="str">
        <f t="shared" si="270"/>
        <v>Refi</v>
      </c>
      <c r="P982" s="3">
        <f t="shared" si="274"/>
        <v>0</v>
      </c>
      <c r="Q982" s="4">
        <v>149748</v>
      </c>
      <c r="R982" s="4" t="s">
        <v>41</v>
      </c>
      <c r="S982" s="6">
        <v>559</v>
      </c>
      <c r="T982">
        <v>7.625</v>
      </c>
      <c r="U982" s="7">
        <f t="shared" si="271"/>
        <v>1122.3019792911409</v>
      </c>
      <c r="V982" s="2">
        <f t="shared" si="275"/>
        <v>181.98802070885904</v>
      </c>
      <c r="W982" s="9">
        <f t="shared" si="276"/>
        <v>0</v>
      </c>
      <c r="X982" s="3">
        <v>149748</v>
      </c>
      <c r="Y982" s="3">
        <f t="shared" si="277"/>
        <v>-0.23463054184685461</v>
      </c>
      <c r="Z982" s="7">
        <f t="shared" si="278"/>
        <v>1122.3019792911409</v>
      </c>
      <c r="AA982" s="2">
        <f t="shared" si="272"/>
        <v>181.98802070885904</v>
      </c>
      <c r="AB982" s="8">
        <f t="shared" si="279"/>
        <v>0</v>
      </c>
      <c r="AC982" s="10">
        <v>7.625</v>
      </c>
      <c r="AD982" s="7">
        <f t="shared" si="280"/>
        <v>1122.3019792911409</v>
      </c>
      <c r="AE982" s="2">
        <f t="shared" si="281"/>
        <v>181.98802070885904</v>
      </c>
      <c r="AF982" s="10">
        <v>0</v>
      </c>
      <c r="AG982" s="3">
        <f t="shared" si="282"/>
        <v>0</v>
      </c>
      <c r="AH982" s="7">
        <v>7430.0625000000009</v>
      </c>
      <c r="AI982">
        <f t="shared" si="283"/>
        <v>360</v>
      </c>
      <c r="AJ982" t="e">
        <f>VLOOKUP(A982,'Borrower Details'!$A$1:$H$1493,8,FALSE)</f>
        <v>#N/A</v>
      </c>
      <c r="AK982" s="4" t="e">
        <f t="shared" si="284"/>
        <v>#N/A</v>
      </c>
      <c r="AL982" s="10">
        <v>7.625</v>
      </c>
      <c r="AM982" s="3">
        <f t="shared" si="285"/>
        <v>149748.23814999999</v>
      </c>
      <c r="AN982">
        <v>7.625</v>
      </c>
      <c r="AO982" s="7">
        <f t="shared" si="286"/>
        <v>1122.3037641311143</v>
      </c>
      <c r="AP982" s="2">
        <f t="shared" si="287"/>
        <v>181.98623586888561</v>
      </c>
    </row>
    <row r="983" spans="1:42" x14ac:dyDescent="0.15">
      <c r="A983" s="8">
        <v>410832828</v>
      </c>
      <c r="B983" t="s">
        <v>35</v>
      </c>
      <c r="C983" t="s">
        <v>16</v>
      </c>
      <c r="D983" s="1">
        <v>39329</v>
      </c>
      <c r="E983" s="2">
        <v>190000</v>
      </c>
      <c r="F983" s="2">
        <v>161500</v>
      </c>
      <c r="G983" t="s">
        <v>17</v>
      </c>
      <c r="H983" s="2">
        <v>1387.54</v>
      </c>
      <c r="I983" s="2">
        <v>160851.35</v>
      </c>
      <c r="J983">
        <v>9.7500000000000003E-2</v>
      </c>
      <c r="K983">
        <v>8</v>
      </c>
      <c r="L983">
        <v>353</v>
      </c>
      <c r="M983" t="str">
        <f t="shared" si="273"/>
        <v>30 Year Fixed</v>
      </c>
      <c r="N983" s="2">
        <v>1306.92</v>
      </c>
      <c r="O983" t="str">
        <f t="shared" si="270"/>
        <v>Refi</v>
      </c>
      <c r="P983" s="3">
        <f t="shared" si="274"/>
        <v>0</v>
      </c>
      <c r="Q983" s="4">
        <v>163264</v>
      </c>
      <c r="R983" s="4" t="s">
        <v>41</v>
      </c>
      <c r="S983" s="6">
        <v>612</v>
      </c>
      <c r="T983">
        <v>6.875</v>
      </c>
      <c r="U983" s="7">
        <f t="shared" si="271"/>
        <v>1140.5549250258616</v>
      </c>
      <c r="V983" s="2">
        <f t="shared" si="275"/>
        <v>246.98507497413834</v>
      </c>
      <c r="W983" s="9">
        <f t="shared" si="276"/>
        <v>0</v>
      </c>
      <c r="X983" s="3">
        <v>163264</v>
      </c>
      <c r="Y983" s="3">
        <f t="shared" si="277"/>
        <v>-0.11847290638252161</v>
      </c>
      <c r="Z983" s="7">
        <f t="shared" si="278"/>
        <v>1140.5549250258616</v>
      </c>
      <c r="AA983" s="2">
        <f t="shared" si="272"/>
        <v>246.98507497413834</v>
      </c>
      <c r="AB983" s="8">
        <f t="shared" si="279"/>
        <v>0</v>
      </c>
      <c r="AC983" s="10">
        <v>6.875</v>
      </c>
      <c r="AD983" s="7">
        <f t="shared" si="280"/>
        <v>1140.5549250258616</v>
      </c>
      <c r="AE983" s="2">
        <f t="shared" si="281"/>
        <v>246.98507497413834</v>
      </c>
      <c r="AF983" s="10">
        <v>0</v>
      </c>
      <c r="AG983" s="3">
        <f t="shared" si="282"/>
        <v>0</v>
      </c>
      <c r="AH983" s="7">
        <v>7873.125</v>
      </c>
      <c r="AI983">
        <f t="shared" si="283"/>
        <v>360</v>
      </c>
      <c r="AJ983" t="e">
        <f>VLOOKUP(A983,'Borrower Details'!$A$1:$H$1493,8,FALSE)</f>
        <v>#N/A</v>
      </c>
      <c r="AK983" s="4" t="e">
        <f t="shared" si="284"/>
        <v>#N/A</v>
      </c>
      <c r="AL983" s="10">
        <v>6.875</v>
      </c>
      <c r="AM983" s="3">
        <f t="shared" si="285"/>
        <v>163264.12024999998</v>
      </c>
      <c r="AN983">
        <v>6.875</v>
      </c>
      <c r="AO983" s="7">
        <f t="shared" si="286"/>
        <v>1140.5557650869264</v>
      </c>
      <c r="AP983" s="2">
        <f t="shared" si="287"/>
        <v>246.98423491307358</v>
      </c>
    </row>
    <row r="984" spans="1:42" x14ac:dyDescent="0.15">
      <c r="A984" s="8">
        <v>410952360</v>
      </c>
      <c r="B984" t="s">
        <v>36</v>
      </c>
      <c r="C984" t="s">
        <v>16</v>
      </c>
      <c r="D984" s="1">
        <v>39350</v>
      </c>
      <c r="E984" s="2">
        <v>280000</v>
      </c>
      <c r="F984" s="2">
        <v>210000</v>
      </c>
      <c r="G984" t="s">
        <v>17</v>
      </c>
      <c r="H984" s="2">
        <v>1791.46</v>
      </c>
      <c r="I984" s="2">
        <v>209765.2</v>
      </c>
      <c r="J984">
        <v>0.10050000000000001</v>
      </c>
      <c r="K984">
        <v>7</v>
      </c>
      <c r="L984">
        <v>353</v>
      </c>
      <c r="M984" t="str">
        <f t="shared" si="273"/>
        <v>30 Year Fixed</v>
      </c>
      <c r="N984" s="2">
        <v>1756.78</v>
      </c>
      <c r="O984" t="str">
        <f t="shared" si="270"/>
        <v>Cash Out</v>
      </c>
      <c r="P984" s="3">
        <f t="shared" si="274"/>
        <v>24717.55862068967</v>
      </c>
      <c r="Q984" s="4">
        <v>238000</v>
      </c>
      <c r="R984" s="4" t="s">
        <v>41</v>
      </c>
      <c r="S984" s="6">
        <v>536</v>
      </c>
      <c r="T984">
        <v>7.625</v>
      </c>
      <c r="U984" s="7">
        <f t="shared" si="271"/>
        <v>1783.7157829907014</v>
      </c>
      <c r="V984" s="2">
        <f t="shared" si="275"/>
        <v>7.7442170092986089</v>
      </c>
      <c r="W984" s="9">
        <f t="shared" si="276"/>
        <v>0</v>
      </c>
      <c r="X984" s="3">
        <v>238000</v>
      </c>
      <c r="Y984" s="3">
        <f t="shared" si="277"/>
        <v>24717.55862068967</v>
      </c>
      <c r="Z984" s="7">
        <f t="shared" si="278"/>
        <v>1783.7157829907014</v>
      </c>
      <c r="AA984" s="2">
        <f t="shared" si="272"/>
        <v>7.7442170092986089</v>
      </c>
      <c r="AB984" s="8">
        <f t="shared" si="279"/>
        <v>0</v>
      </c>
      <c r="AC984" s="10">
        <v>7.625</v>
      </c>
      <c r="AD984" s="7">
        <f t="shared" si="280"/>
        <v>1783.7157829907014</v>
      </c>
      <c r="AE984" s="2">
        <f t="shared" si="281"/>
        <v>7.7442170092986089</v>
      </c>
      <c r="AF984" s="10">
        <v>0</v>
      </c>
      <c r="AG984" s="3">
        <f t="shared" si="282"/>
        <v>0</v>
      </c>
      <c r="AH984" s="7">
        <v>4200</v>
      </c>
      <c r="AI984">
        <f t="shared" si="283"/>
        <v>360</v>
      </c>
      <c r="AJ984" t="e">
        <f>VLOOKUP(A984,'Borrower Details'!$A$1:$H$1493,8,FALSE)</f>
        <v>#N/A</v>
      </c>
      <c r="AK984" s="4" t="e">
        <f t="shared" si="284"/>
        <v>#N/A</v>
      </c>
      <c r="AL984" s="10">
        <v>7.625</v>
      </c>
      <c r="AM984" s="3">
        <f t="shared" si="285"/>
        <v>212911.67799999999</v>
      </c>
      <c r="AN984">
        <v>7.625</v>
      </c>
      <c r="AO984" s="7">
        <f t="shared" si="286"/>
        <v>1595.6887413093868</v>
      </c>
      <c r="AP984" s="2">
        <f t="shared" si="287"/>
        <v>195.77125869061319</v>
      </c>
    </row>
    <row r="985" spans="1:42" x14ac:dyDescent="0.15">
      <c r="A985" s="8">
        <v>410777650</v>
      </c>
      <c r="B985" t="s">
        <v>37</v>
      </c>
      <c r="C985" t="s">
        <v>16</v>
      </c>
      <c r="D985" s="1">
        <v>39309</v>
      </c>
      <c r="E985" s="2">
        <v>155000</v>
      </c>
      <c r="F985" s="2">
        <v>116250</v>
      </c>
      <c r="G985" t="s">
        <v>20</v>
      </c>
      <c r="H985" s="2">
        <v>1013.74</v>
      </c>
      <c r="I985" s="2">
        <v>115763.83</v>
      </c>
      <c r="J985">
        <v>9.9250000000000005E-2</v>
      </c>
      <c r="K985">
        <v>8</v>
      </c>
      <c r="L985">
        <v>351</v>
      </c>
      <c r="M985" t="str">
        <f t="shared" si="273"/>
        <v>30 Year Fixed</v>
      </c>
      <c r="N985" s="2">
        <v>957.93</v>
      </c>
      <c r="O985" t="str">
        <f t="shared" si="270"/>
        <v>Cash Out</v>
      </c>
      <c r="P985" s="3">
        <f t="shared" si="274"/>
        <v>14039.125665024636</v>
      </c>
      <c r="Q985" s="4">
        <v>131750</v>
      </c>
      <c r="R985" s="4" t="s">
        <v>41</v>
      </c>
      <c r="S985" s="6">
        <v>526</v>
      </c>
      <c r="T985">
        <v>7.625</v>
      </c>
      <c r="U985" s="7">
        <f t="shared" si="271"/>
        <v>987.41409415556677</v>
      </c>
      <c r="V985" s="2">
        <f t="shared" si="275"/>
        <v>26.325905844433237</v>
      </c>
      <c r="W985" s="9">
        <f t="shared" si="276"/>
        <v>0</v>
      </c>
      <c r="X985" s="3">
        <v>131750</v>
      </c>
      <c r="Y985" s="3">
        <f t="shared" si="277"/>
        <v>14039.125665024636</v>
      </c>
      <c r="Z985" s="7">
        <f t="shared" si="278"/>
        <v>987.41409415556677</v>
      </c>
      <c r="AA985" s="2">
        <f t="shared" si="272"/>
        <v>26.325905844433237</v>
      </c>
      <c r="AB985" s="8">
        <f t="shared" si="279"/>
        <v>0</v>
      </c>
      <c r="AC985" s="10">
        <v>7.625</v>
      </c>
      <c r="AD985" s="7">
        <f t="shared" si="280"/>
        <v>987.41409415556677</v>
      </c>
      <c r="AE985" s="2">
        <f t="shared" si="281"/>
        <v>26.325905844433237</v>
      </c>
      <c r="AF985" s="10">
        <v>0</v>
      </c>
      <c r="AG985" s="3">
        <f t="shared" si="282"/>
        <v>0</v>
      </c>
      <c r="AH985" s="7">
        <v>0</v>
      </c>
      <c r="AI985">
        <f t="shared" si="283"/>
        <v>360</v>
      </c>
      <c r="AJ985" t="e">
        <f>VLOOKUP(A985,'Borrower Details'!$A$1:$H$1493,8,FALSE)</f>
        <v>#N/A</v>
      </c>
      <c r="AK985" s="4" t="e">
        <f t="shared" si="284"/>
        <v>#N/A</v>
      </c>
      <c r="AL985" s="10">
        <v>7.625</v>
      </c>
      <c r="AM985" s="3">
        <f t="shared" si="285"/>
        <v>117500.28744999999</v>
      </c>
      <c r="AN985">
        <v>7.625</v>
      </c>
      <c r="AO985" s="7">
        <f t="shared" si="286"/>
        <v>880.61813962398821</v>
      </c>
      <c r="AP985" s="2">
        <f t="shared" si="287"/>
        <v>133.1218603760118</v>
      </c>
    </row>
    <row r="986" spans="1:42" x14ac:dyDescent="0.15">
      <c r="A986" s="8">
        <v>411254188</v>
      </c>
      <c r="B986" t="s">
        <v>36</v>
      </c>
      <c r="C986" t="s">
        <v>16</v>
      </c>
      <c r="D986" s="1">
        <v>39478</v>
      </c>
      <c r="E986" s="2">
        <v>352000</v>
      </c>
      <c r="F986" s="2">
        <v>272000</v>
      </c>
      <c r="G986" t="s">
        <v>17</v>
      </c>
      <c r="H986" s="2">
        <v>2437.4</v>
      </c>
      <c r="I986" s="2">
        <v>270879.05</v>
      </c>
      <c r="J986">
        <v>0.10249999999999999</v>
      </c>
      <c r="K986">
        <v>3</v>
      </c>
      <c r="L986">
        <v>355</v>
      </c>
      <c r="M986" t="str">
        <f t="shared" si="273"/>
        <v>30 Year Fixed</v>
      </c>
      <c r="N986" s="2">
        <v>2315.5100000000002</v>
      </c>
      <c r="O986" t="str">
        <f t="shared" si="270"/>
        <v>Cash Out</v>
      </c>
      <c r="P986" s="3">
        <f t="shared" si="274"/>
        <v>23899.275123152765</v>
      </c>
      <c r="Q986" s="4">
        <v>299200</v>
      </c>
      <c r="R986" s="4" t="s">
        <v>41</v>
      </c>
      <c r="S986" s="6">
        <v>580</v>
      </c>
      <c r="T986">
        <v>7.375</v>
      </c>
      <c r="U986" s="7">
        <f t="shared" si="271"/>
        <v>2191.1667082779013</v>
      </c>
      <c r="V986" s="2">
        <f t="shared" si="275"/>
        <v>246.23329172209878</v>
      </c>
      <c r="W986" s="9">
        <f t="shared" si="276"/>
        <v>0</v>
      </c>
      <c r="X986" s="3">
        <v>299200</v>
      </c>
      <c r="Y986" s="3">
        <f t="shared" si="277"/>
        <v>23899.275123152765</v>
      </c>
      <c r="Z986" s="7">
        <f t="shared" si="278"/>
        <v>2191.1667082779013</v>
      </c>
      <c r="AA986" s="2">
        <f t="shared" si="272"/>
        <v>246.23329172209878</v>
      </c>
      <c r="AB986" s="8">
        <f t="shared" si="279"/>
        <v>0</v>
      </c>
      <c r="AC986" s="10">
        <v>7.375</v>
      </c>
      <c r="AD986" s="7">
        <f t="shared" si="280"/>
        <v>2191.1667082779013</v>
      </c>
      <c r="AE986" s="2">
        <f t="shared" si="281"/>
        <v>246.23329172209878</v>
      </c>
      <c r="AF986" s="10">
        <v>0</v>
      </c>
      <c r="AG986" s="3">
        <f t="shared" si="282"/>
        <v>0</v>
      </c>
      <c r="AH986" s="7">
        <v>5440</v>
      </c>
      <c r="AI986">
        <f t="shared" si="283"/>
        <v>360</v>
      </c>
      <c r="AJ986" t="e">
        <f>VLOOKUP(A986,'Borrower Details'!$A$1:$H$1493,8,FALSE)</f>
        <v>#N/A</v>
      </c>
      <c r="AK986" s="4" t="e">
        <f t="shared" si="284"/>
        <v>#N/A</v>
      </c>
      <c r="AL986" s="10">
        <v>7.375</v>
      </c>
      <c r="AM986" s="3">
        <f t="shared" si="285"/>
        <v>274942.23574999993</v>
      </c>
      <c r="AN986">
        <v>7.375</v>
      </c>
      <c r="AO986" s="7">
        <f t="shared" si="286"/>
        <v>2013.5169574695658</v>
      </c>
      <c r="AP986" s="2">
        <f t="shared" si="287"/>
        <v>423.8830425304343</v>
      </c>
    </row>
    <row r="987" spans="1:42" x14ac:dyDescent="0.15">
      <c r="A987" s="8">
        <v>410686224</v>
      </c>
      <c r="B987" t="s">
        <v>38</v>
      </c>
      <c r="C987" t="s">
        <v>19</v>
      </c>
      <c r="D987" s="1">
        <v>39294</v>
      </c>
      <c r="E987" s="2">
        <v>135000</v>
      </c>
      <c r="F987" s="2">
        <v>101250</v>
      </c>
      <c r="G987" t="s">
        <v>17</v>
      </c>
      <c r="H987" s="2">
        <v>811.05</v>
      </c>
      <c r="I987" s="2">
        <v>100640.99</v>
      </c>
      <c r="J987">
        <v>8.9499999999999996E-2</v>
      </c>
      <c r="K987">
        <v>9</v>
      </c>
      <c r="L987">
        <v>351</v>
      </c>
      <c r="M987" t="str">
        <f t="shared" si="273"/>
        <v>30 Year Fixed</v>
      </c>
      <c r="N987" s="2">
        <v>750.61</v>
      </c>
      <c r="O987" t="str">
        <f t="shared" si="270"/>
        <v>Cash Out</v>
      </c>
      <c r="P987" s="3">
        <f t="shared" si="274"/>
        <v>12413.197192118227</v>
      </c>
      <c r="Q987" s="4">
        <v>114750</v>
      </c>
      <c r="R987" s="4" t="s">
        <v>41</v>
      </c>
      <c r="S987" s="6">
        <v>571</v>
      </c>
      <c r="T987">
        <v>7.625</v>
      </c>
      <c r="U987" s="7">
        <f t="shared" si="271"/>
        <v>860.00582394194521</v>
      </c>
      <c r="V987" s="2">
        <f t="shared" si="275"/>
        <v>-48.955823941945255</v>
      </c>
      <c r="W987" s="9">
        <f t="shared" si="276"/>
        <v>1</v>
      </c>
      <c r="X987" s="3">
        <v>108150</v>
      </c>
      <c r="Y987" s="3">
        <f t="shared" si="277"/>
        <v>5910.7341379310383</v>
      </c>
      <c r="Z987" s="7">
        <f t="shared" si="278"/>
        <v>810.54143668253926</v>
      </c>
      <c r="AA987" s="2">
        <f t="shared" si="272"/>
        <v>0.50856331746069827</v>
      </c>
      <c r="AB987" s="8">
        <f t="shared" si="279"/>
        <v>1</v>
      </c>
      <c r="AC987" s="10">
        <v>6.5</v>
      </c>
      <c r="AD987" s="7">
        <f t="shared" si="280"/>
        <v>728.64406740764275</v>
      </c>
      <c r="AE987" s="2">
        <f t="shared" si="281"/>
        <v>82.405932592357203</v>
      </c>
      <c r="AF987" s="10">
        <v>2.375</v>
      </c>
      <c r="AG987" s="3">
        <f t="shared" si="282"/>
        <v>2568.5625</v>
      </c>
      <c r="AH987" s="7">
        <v>0</v>
      </c>
      <c r="AI987">
        <f t="shared" si="283"/>
        <v>360</v>
      </c>
      <c r="AJ987" t="e">
        <f>VLOOKUP(A987,'Borrower Details'!$A$1:$H$1493,8,FALSE)</f>
        <v>#N/A</v>
      </c>
      <c r="AK987" s="4" t="e">
        <f t="shared" si="284"/>
        <v>#N/A</v>
      </c>
      <c r="AL987" s="10">
        <v>7.625</v>
      </c>
      <c r="AM987" s="3">
        <f t="shared" si="285"/>
        <v>102150.60484999999</v>
      </c>
      <c r="AN987">
        <v>7.625</v>
      </c>
      <c r="AO987" s="7">
        <f t="shared" si="286"/>
        <v>765.57834501256912</v>
      </c>
      <c r="AP987" s="2">
        <f t="shared" si="287"/>
        <v>45.471654987430838</v>
      </c>
    </row>
    <row r="988" spans="1:42" x14ac:dyDescent="0.15">
      <c r="A988" s="8">
        <v>410436596</v>
      </c>
      <c r="B988" t="s">
        <v>36</v>
      </c>
      <c r="C988" t="s">
        <v>19</v>
      </c>
      <c r="D988" s="1">
        <v>39252</v>
      </c>
      <c r="E988" s="2">
        <v>124000</v>
      </c>
      <c r="F988" s="2">
        <v>117325</v>
      </c>
      <c r="G988" t="s">
        <v>17</v>
      </c>
      <c r="H988" s="2">
        <v>1028.75</v>
      </c>
      <c r="I988" s="2">
        <v>116782.71</v>
      </c>
      <c r="J988">
        <v>9.9900000000000003E-2</v>
      </c>
      <c r="K988">
        <v>10</v>
      </c>
      <c r="L988">
        <v>350</v>
      </c>
      <c r="M988" t="str">
        <f t="shared" si="273"/>
        <v>30 Year Fixed</v>
      </c>
      <c r="N988" s="2">
        <v>972.22</v>
      </c>
      <c r="O988" t="str">
        <f t="shared" si="270"/>
        <v>Refi</v>
      </c>
      <c r="P988" s="3">
        <f t="shared" si="274"/>
        <v>0</v>
      </c>
      <c r="Q988" s="4">
        <v>118534</v>
      </c>
      <c r="R988" s="4" t="s">
        <v>41</v>
      </c>
      <c r="S988" s="6">
        <v>609</v>
      </c>
      <c r="T988">
        <v>6.875</v>
      </c>
      <c r="U988" s="7">
        <f t="shared" si="271"/>
        <v>828.0731666688032</v>
      </c>
      <c r="V988" s="2">
        <f t="shared" si="275"/>
        <v>200.6768333311968</v>
      </c>
      <c r="W988" s="9">
        <f t="shared" si="276"/>
        <v>0</v>
      </c>
      <c r="X988" s="3">
        <v>118535</v>
      </c>
      <c r="Y988" s="3">
        <f t="shared" si="277"/>
        <v>0.54123152709507849</v>
      </c>
      <c r="Z988" s="7">
        <f t="shared" si="278"/>
        <v>828.08015262360664</v>
      </c>
      <c r="AA988" s="2">
        <f t="shared" si="272"/>
        <v>200.66984737639336</v>
      </c>
      <c r="AB988" s="8">
        <f t="shared" si="279"/>
        <v>0</v>
      </c>
      <c r="AC988" s="10">
        <v>6.875</v>
      </c>
      <c r="AD988" s="7">
        <f t="shared" si="280"/>
        <v>828.08015262360664</v>
      </c>
      <c r="AE988" s="2">
        <f t="shared" si="281"/>
        <v>200.66984737639336</v>
      </c>
      <c r="AF988" s="10">
        <v>0</v>
      </c>
      <c r="AG988" s="3">
        <f t="shared" si="282"/>
        <v>0</v>
      </c>
      <c r="AH988" s="7">
        <v>2346.5</v>
      </c>
      <c r="AI988">
        <f t="shared" si="283"/>
        <v>360</v>
      </c>
      <c r="AJ988" t="e">
        <f>VLOOKUP(A988,'Borrower Details'!$A$1:$H$1493,8,FALSE)</f>
        <v>#N/A</v>
      </c>
      <c r="AK988" s="4" t="e">
        <f t="shared" si="284"/>
        <v>#N/A</v>
      </c>
      <c r="AL988" s="10">
        <v>6.875</v>
      </c>
      <c r="AM988" s="3">
        <f t="shared" si="285"/>
        <v>118534.45065</v>
      </c>
      <c r="AN988">
        <v>6.875</v>
      </c>
      <c r="AO988" s="7">
        <f t="shared" si="286"/>
        <v>828.07631488933544</v>
      </c>
      <c r="AP988" s="2">
        <f t="shared" si="287"/>
        <v>200.67368511066456</v>
      </c>
    </row>
    <row r="989" spans="1:42" x14ac:dyDescent="0.15">
      <c r="A989" s="8">
        <v>410624928</v>
      </c>
      <c r="B989" t="s">
        <v>37</v>
      </c>
      <c r="C989" t="s">
        <v>19</v>
      </c>
      <c r="D989" s="1">
        <v>39282</v>
      </c>
      <c r="E989" s="2">
        <v>270000</v>
      </c>
      <c r="F989" s="2">
        <v>256500</v>
      </c>
      <c r="G989" t="s">
        <v>20</v>
      </c>
      <c r="H989" s="2">
        <v>2241.5</v>
      </c>
      <c r="I989" s="2">
        <v>255432.91</v>
      </c>
      <c r="J989">
        <v>9.9500000000000005E-2</v>
      </c>
      <c r="K989">
        <v>9</v>
      </c>
      <c r="L989">
        <v>351</v>
      </c>
      <c r="M989" t="str">
        <f t="shared" si="273"/>
        <v>30 Year Fixed</v>
      </c>
      <c r="N989" s="2">
        <v>2117.96</v>
      </c>
      <c r="O989" t="str">
        <f t="shared" si="270"/>
        <v>Refi</v>
      </c>
      <c r="P989" s="3">
        <f t="shared" si="274"/>
        <v>0</v>
      </c>
      <c r="Q989" s="4">
        <v>259264</v>
      </c>
      <c r="R989" s="4" t="s">
        <v>41</v>
      </c>
      <c r="S989" s="6">
        <v>607</v>
      </c>
      <c r="T989">
        <v>6.875</v>
      </c>
      <c r="U989" s="7">
        <f t="shared" si="271"/>
        <v>1811.2065861543572</v>
      </c>
      <c r="V989" s="2">
        <f t="shared" si="275"/>
        <v>430.29341384564282</v>
      </c>
      <c r="W989" s="9">
        <f t="shared" si="276"/>
        <v>0</v>
      </c>
      <c r="X989" s="3">
        <v>259264</v>
      </c>
      <c r="Y989" s="3">
        <f t="shared" si="277"/>
        <v>-0.39768472904688679</v>
      </c>
      <c r="Z989" s="7">
        <f t="shared" si="278"/>
        <v>1811.2065861543572</v>
      </c>
      <c r="AA989" s="2">
        <f t="shared" si="272"/>
        <v>430.29341384564282</v>
      </c>
      <c r="AB989" s="8">
        <f t="shared" si="279"/>
        <v>0</v>
      </c>
      <c r="AC989" s="10">
        <v>6.875</v>
      </c>
      <c r="AD989" s="7">
        <f t="shared" si="280"/>
        <v>1811.2065861543572</v>
      </c>
      <c r="AE989" s="2">
        <f t="shared" si="281"/>
        <v>430.29341384564282</v>
      </c>
      <c r="AF989" s="10">
        <v>0</v>
      </c>
      <c r="AG989" s="3">
        <f t="shared" si="282"/>
        <v>0</v>
      </c>
      <c r="AH989" s="7">
        <v>2565</v>
      </c>
      <c r="AI989">
        <f t="shared" si="283"/>
        <v>360</v>
      </c>
      <c r="AJ989" t="e">
        <f>VLOOKUP(A989,'Borrower Details'!$A$1:$H$1493,8,FALSE)</f>
        <v>#N/A</v>
      </c>
      <c r="AK989" s="4" t="e">
        <f t="shared" si="284"/>
        <v>#N/A</v>
      </c>
      <c r="AL989" s="10">
        <v>6.875</v>
      </c>
      <c r="AM989" s="3">
        <f t="shared" si="285"/>
        <v>259264.40364999999</v>
      </c>
      <c r="AN989">
        <v>6.875</v>
      </c>
      <c r="AO989" s="7">
        <f t="shared" si="286"/>
        <v>1811.2094060350137</v>
      </c>
      <c r="AP989" s="2">
        <f t="shared" si="287"/>
        <v>430.29059396498633</v>
      </c>
    </row>
    <row r="990" spans="1:42" x14ac:dyDescent="0.15">
      <c r="A990" s="8">
        <v>410807150</v>
      </c>
      <c r="B990" t="s">
        <v>37</v>
      </c>
      <c r="C990" t="s">
        <v>16</v>
      </c>
      <c r="D990" s="1">
        <v>39324</v>
      </c>
      <c r="E990" s="2">
        <v>68000</v>
      </c>
      <c r="F990" s="2">
        <v>54400</v>
      </c>
      <c r="G990" t="s">
        <v>17</v>
      </c>
      <c r="H990" s="2">
        <v>555.39</v>
      </c>
      <c r="I990" s="2">
        <v>54234.239999999998</v>
      </c>
      <c r="J990">
        <v>0.11899999999999999</v>
      </c>
      <c r="K990">
        <v>8</v>
      </c>
      <c r="L990">
        <v>352</v>
      </c>
      <c r="M990" t="str">
        <f t="shared" si="273"/>
        <v>30 Year Fixed</v>
      </c>
      <c r="N990" s="2">
        <v>537.82000000000005</v>
      </c>
      <c r="O990" t="str">
        <f t="shared" si="270"/>
        <v>Cash Out</v>
      </c>
      <c r="P990" s="3">
        <f t="shared" si="274"/>
        <v>2711.5728078817774</v>
      </c>
      <c r="Q990" s="4">
        <v>57800</v>
      </c>
      <c r="R990" s="4" t="s">
        <v>41</v>
      </c>
      <c r="S990" s="6">
        <v>520</v>
      </c>
      <c r="T990">
        <v>7.625</v>
      </c>
      <c r="U990" s="7">
        <f t="shared" si="271"/>
        <v>433.18811872631312</v>
      </c>
      <c r="V990" s="2">
        <f t="shared" si="275"/>
        <v>122.20188127368687</v>
      </c>
      <c r="W990" s="9">
        <f t="shared" si="276"/>
        <v>0</v>
      </c>
      <c r="X990" s="3">
        <v>57800</v>
      </c>
      <c r="Y990" s="3">
        <f t="shared" si="277"/>
        <v>2711.5728078817774</v>
      </c>
      <c r="Z990" s="7">
        <f t="shared" si="278"/>
        <v>433.18811872631312</v>
      </c>
      <c r="AA990" s="2">
        <f t="shared" si="272"/>
        <v>122.20188127368687</v>
      </c>
      <c r="AB990" s="8">
        <f t="shared" si="279"/>
        <v>0</v>
      </c>
      <c r="AC990" s="10">
        <v>7.625</v>
      </c>
      <c r="AD990" s="7">
        <f t="shared" si="280"/>
        <v>433.18811872631312</v>
      </c>
      <c r="AE990" s="2">
        <f t="shared" si="281"/>
        <v>122.20188127368687</v>
      </c>
      <c r="AF990" s="10">
        <v>0</v>
      </c>
      <c r="AG990" s="3">
        <f t="shared" si="282"/>
        <v>0</v>
      </c>
      <c r="AH990" s="7">
        <v>0</v>
      </c>
      <c r="AI990">
        <f t="shared" si="283"/>
        <v>360</v>
      </c>
      <c r="AJ990" t="e">
        <f>VLOOKUP(A990,'Borrower Details'!$A$1:$H$1493,8,FALSE)</f>
        <v>#N/A</v>
      </c>
      <c r="AK990" s="4" t="e">
        <f t="shared" si="284"/>
        <v>#N/A</v>
      </c>
      <c r="AL990" s="10">
        <v>7.625</v>
      </c>
      <c r="AM990" s="3">
        <f t="shared" si="285"/>
        <v>55047.753599999989</v>
      </c>
      <c r="AN990">
        <v>7.625</v>
      </c>
      <c r="AO990" s="7">
        <f t="shared" si="286"/>
        <v>412.56112148950911</v>
      </c>
      <c r="AP990" s="2">
        <f t="shared" si="287"/>
        <v>142.82887851049088</v>
      </c>
    </row>
    <row r="991" spans="1:42" x14ac:dyDescent="0.15">
      <c r="A991" s="8">
        <v>411215106</v>
      </c>
      <c r="B991" t="s">
        <v>38</v>
      </c>
      <c r="C991" t="s">
        <v>16</v>
      </c>
      <c r="D991" s="1">
        <v>39461</v>
      </c>
      <c r="E991" s="2">
        <v>190000</v>
      </c>
      <c r="F991" s="2">
        <v>148000</v>
      </c>
      <c r="G991" t="s">
        <v>17</v>
      </c>
      <c r="H991" s="2">
        <v>1239.07</v>
      </c>
      <c r="I991" s="2">
        <v>147777.54999999999</v>
      </c>
      <c r="J991">
        <v>9.4500000000000001E-2</v>
      </c>
      <c r="K991">
        <v>3</v>
      </c>
      <c r="L991">
        <v>357</v>
      </c>
      <c r="M991" t="str">
        <f t="shared" si="273"/>
        <v>30 Year Fixed</v>
      </c>
      <c r="N991" s="2">
        <v>1163.75</v>
      </c>
      <c r="O991" t="str">
        <f t="shared" si="270"/>
        <v>Cash Out</v>
      </c>
      <c r="P991" s="3">
        <f t="shared" si="274"/>
        <v>11335.750492610852</v>
      </c>
      <c r="Q991" s="4">
        <v>161500</v>
      </c>
      <c r="R991" s="4" t="s">
        <v>41</v>
      </c>
      <c r="S991" s="6">
        <v>634</v>
      </c>
      <c r="T991">
        <v>6.75</v>
      </c>
      <c r="U991" s="7">
        <f t="shared" si="271"/>
        <v>1114.7775926243321</v>
      </c>
      <c r="V991" s="2">
        <f t="shared" si="275"/>
        <v>124.29240737566784</v>
      </c>
      <c r="W991" s="9">
        <f t="shared" si="276"/>
        <v>0</v>
      </c>
      <c r="X991" s="3">
        <v>161500</v>
      </c>
      <c r="Y991" s="3">
        <f t="shared" si="277"/>
        <v>11335.750492610852</v>
      </c>
      <c r="Z991" s="7">
        <f t="shared" si="278"/>
        <v>1114.7775926243321</v>
      </c>
      <c r="AA991" s="2">
        <f t="shared" si="272"/>
        <v>124.29240737566784</v>
      </c>
      <c r="AB991" s="8">
        <f t="shared" si="279"/>
        <v>0</v>
      </c>
      <c r="AC991" s="10">
        <v>6.75</v>
      </c>
      <c r="AD991" s="7">
        <f t="shared" si="280"/>
        <v>1114.7775926243321</v>
      </c>
      <c r="AE991" s="2">
        <f t="shared" si="281"/>
        <v>124.29240737566784</v>
      </c>
      <c r="AF991" s="10">
        <v>0</v>
      </c>
      <c r="AG991" s="3">
        <f t="shared" si="282"/>
        <v>0</v>
      </c>
      <c r="AH991" s="7">
        <v>0</v>
      </c>
      <c r="AI991">
        <f t="shared" si="283"/>
        <v>360</v>
      </c>
      <c r="AJ991" t="e">
        <f>VLOOKUP(A991,'Borrower Details'!$A$1:$H$1493,8,FALSE)</f>
        <v>#N/A</v>
      </c>
      <c r="AK991" s="4" t="e">
        <f t="shared" si="284"/>
        <v>#N/A</v>
      </c>
      <c r="AL991" s="10">
        <v>6.75</v>
      </c>
      <c r="AM991" s="3">
        <f t="shared" si="285"/>
        <v>149994.21324999997</v>
      </c>
      <c r="AN991">
        <v>6.75</v>
      </c>
      <c r="AO991" s="7">
        <f t="shared" si="286"/>
        <v>1035.357200956134</v>
      </c>
      <c r="AP991" s="2">
        <f t="shared" si="287"/>
        <v>203.71279904386597</v>
      </c>
    </row>
    <row r="992" spans="1:42" x14ac:dyDescent="0.15">
      <c r="A992" s="8">
        <v>411314438</v>
      </c>
      <c r="B992" t="s">
        <v>36</v>
      </c>
      <c r="C992" t="s">
        <v>16</v>
      </c>
      <c r="D992" s="1">
        <v>39504</v>
      </c>
      <c r="E992" s="2">
        <v>273000</v>
      </c>
      <c r="F992" s="2">
        <v>218400</v>
      </c>
      <c r="G992" t="s">
        <v>17</v>
      </c>
      <c r="H992" s="2">
        <v>1892.46</v>
      </c>
      <c r="I992" s="2">
        <v>218199.66</v>
      </c>
      <c r="J992">
        <v>9.8500000000000004E-2</v>
      </c>
      <c r="K992">
        <v>2</v>
      </c>
      <c r="L992">
        <v>358</v>
      </c>
      <c r="M992" t="str">
        <f t="shared" si="273"/>
        <v>30 Year Fixed</v>
      </c>
      <c r="N992" s="2">
        <v>1791.06</v>
      </c>
      <c r="O992" t="str">
        <f t="shared" si="270"/>
        <v>Cash Out</v>
      </c>
      <c r="P992" s="3">
        <f t="shared" si="274"/>
        <v>10421.029655172431</v>
      </c>
      <c r="Q992" s="4">
        <v>232050</v>
      </c>
      <c r="R992" s="4" t="s">
        <v>41</v>
      </c>
      <c r="S992" s="6">
        <v>576</v>
      </c>
      <c r="T992">
        <v>7.625</v>
      </c>
      <c r="U992" s="7">
        <f t="shared" si="271"/>
        <v>1739.1228884159339</v>
      </c>
      <c r="V992" s="2">
        <f t="shared" si="275"/>
        <v>153.33711158406618</v>
      </c>
      <c r="W992" s="9">
        <f t="shared" si="276"/>
        <v>0</v>
      </c>
      <c r="X992" s="3">
        <v>232050</v>
      </c>
      <c r="Y992" s="3">
        <f t="shared" si="277"/>
        <v>10421.029655172431</v>
      </c>
      <c r="Z992" s="7">
        <f t="shared" si="278"/>
        <v>1739.1228884159339</v>
      </c>
      <c r="AA992" s="2">
        <f t="shared" si="272"/>
        <v>153.33711158406618</v>
      </c>
      <c r="AB992" s="8">
        <f t="shared" si="279"/>
        <v>0</v>
      </c>
      <c r="AC992" s="10">
        <v>7.625</v>
      </c>
      <c r="AD992" s="7">
        <f t="shared" si="280"/>
        <v>1739.1228884159339</v>
      </c>
      <c r="AE992" s="2">
        <f t="shared" si="281"/>
        <v>153.33711158406618</v>
      </c>
      <c r="AF992" s="10">
        <v>0</v>
      </c>
      <c r="AG992" s="3">
        <f t="shared" si="282"/>
        <v>0</v>
      </c>
      <c r="AH992" s="7">
        <v>4368</v>
      </c>
      <c r="AI992">
        <f t="shared" si="283"/>
        <v>360</v>
      </c>
      <c r="AJ992" t="e">
        <f>VLOOKUP(A992,'Borrower Details'!$A$1:$H$1493,8,FALSE)</f>
        <v>#N/A</v>
      </c>
      <c r="AK992" s="4" t="e">
        <f t="shared" si="284"/>
        <v>#N/A</v>
      </c>
      <c r="AL992" s="10">
        <v>7.625</v>
      </c>
      <c r="AM992" s="3">
        <f t="shared" si="285"/>
        <v>221472.65489999999</v>
      </c>
      <c r="AN992">
        <v>7.625</v>
      </c>
      <c r="AO992" s="7">
        <f t="shared" si="286"/>
        <v>1659.8498741427852</v>
      </c>
      <c r="AP992" s="2">
        <f t="shared" si="287"/>
        <v>232.61012585721483</v>
      </c>
    </row>
    <row r="993" spans="1:42" x14ac:dyDescent="0.15">
      <c r="A993" s="8">
        <v>410761290</v>
      </c>
      <c r="B993" t="s">
        <v>37</v>
      </c>
      <c r="C993" t="s">
        <v>16</v>
      </c>
      <c r="D993" s="1">
        <v>39318</v>
      </c>
      <c r="E993" s="2">
        <v>200000</v>
      </c>
      <c r="F993" s="2">
        <v>165000</v>
      </c>
      <c r="G993" t="s">
        <v>17</v>
      </c>
      <c r="H993" s="2">
        <v>1381.69</v>
      </c>
      <c r="I993" s="2">
        <v>164775.1</v>
      </c>
      <c r="J993">
        <v>9.8500000000000004E-2</v>
      </c>
      <c r="K993">
        <v>8</v>
      </c>
      <c r="L993">
        <v>352</v>
      </c>
      <c r="M993" t="str">
        <f t="shared" si="273"/>
        <v>30 Year Fixed</v>
      </c>
      <c r="N993" s="2">
        <v>1352.53</v>
      </c>
      <c r="O993" t="str">
        <f t="shared" si="270"/>
        <v>Cash Out</v>
      </c>
      <c r="P993" s="3">
        <f t="shared" si="274"/>
        <v>2712.5847290640522</v>
      </c>
      <c r="Q993" s="4">
        <v>170000</v>
      </c>
      <c r="R993" s="4" t="s">
        <v>41</v>
      </c>
      <c r="S993" s="6">
        <v>595</v>
      </c>
      <c r="T993">
        <v>7.375</v>
      </c>
      <c r="U993" s="7">
        <f t="shared" si="271"/>
        <v>1244.9810842488075</v>
      </c>
      <c r="V993" s="2">
        <f t="shared" si="275"/>
        <v>136.70891575119254</v>
      </c>
      <c r="W993" s="9">
        <f t="shared" si="276"/>
        <v>0</v>
      </c>
      <c r="X993" s="3">
        <v>170000</v>
      </c>
      <c r="Y993" s="3">
        <f t="shared" si="277"/>
        <v>2712.5847290640522</v>
      </c>
      <c r="Z993" s="7">
        <f t="shared" si="278"/>
        <v>1244.9810842488075</v>
      </c>
      <c r="AA993" s="2">
        <f t="shared" si="272"/>
        <v>136.70891575119254</v>
      </c>
      <c r="AB993" s="8">
        <f t="shared" si="279"/>
        <v>0</v>
      </c>
      <c r="AC993" s="10">
        <v>7.375</v>
      </c>
      <c r="AD993" s="7">
        <f t="shared" si="280"/>
        <v>1244.9810842488075</v>
      </c>
      <c r="AE993" s="2">
        <f t="shared" si="281"/>
        <v>136.70891575119254</v>
      </c>
      <c r="AF993" s="10">
        <v>0</v>
      </c>
      <c r="AG993" s="3">
        <f t="shared" si="282"/>
        <v>0</v>
      </c>
      <c r="AH993" s="7">
        <v>1650</v>
      </c>
      <c r="AI993">
        <f t="shared" si="283"/>
        <v>360</v>
      </c>
      <c r="AJ993" t="e">
        <f>VLOOKUP(A993,'Borrower Details'!$A$1:$H$1493,8,FALSE)</f>
        <v>#N/A</v>
      </c>
      <c r="AK993" s="4" t="e">
        <f t="shared" si="284"/>
        <v>#N/A</v>
      </c>
      <c r="AL993" s="10">
        <v>7.375</v>
      </c>
      <c r="AM993" s="3">
        <f t="shared" si="285"/>
        <v>167246.72649999999</v>
      </c>
      <c r="AN993">
        <v>7.375</v>
      </c>
      <c r="AO993" s="7">
        <f t="shared" si="286"/>
        <v>1224.8177111472576</v>
      </c>
      <c r="AP993" s="2">
        <f t="shared" si="287"/>
        <v>156.87228885274249</v>
      </c>
    </row>
    <row r="994" spans="1:42" x14ac:dyDescent="0.15">
      <c r="A994" s="8">
        <v>411257728</v>
      </c>
      <c r="B994" t="s">
        <v>37</v>
      </c>
      <c r="C994" t="s">
        <v>16</v>
      </c>
      <c r="D994" s="1">
        <v>39477</v>
      </c>
      <c r="E994" s="2">
        <v>230000</v>
      </c>
      <c r="F994" s="2">
        <v>195500</v>
      </c>
      <c r="G994" t="s">
        <v>17</v>
      </c>
      <c r="H994" s="2">
        <v>1906.25</v>
      </c>
      <c r="I994" s="2">
        <v>195235.12</v>
      </c>
      <c r="J994">
        <v>0.113</v>
      </c>
      <c r="K994">
        <v>3</v>
      </c>
      <c r="L994">
        <v>356</v>
      </c>
      <c r="M994" t="str">
        <f t="shared" si="273"/>
        <v>30 Year Fixed</v>
      </c>
      <c r="N994" s="2">
        <v>1838.46</v>
      </c>
      <c r="O994" t="str">
        <f t="shared" si="270"/>
        <v>Refi</v>
      </c>
      <c r="P994" s="3">
        <f t="shared" si="274"/>
        <v>0</v>
      </c>
      <c r="Q994" s="4">
        <v>198164</v>
      </c>
      <c r="R994" s="4" t="s">
        <v>41</v>
      </c>
      <c r="S994" s="6">
        <v>619</v>
      </c>
      <c r="T994">
        <v>6.875</v>
      </c>
      <c r="U994" s="7">
        <f t="shared" si="271"/>
        <v>1384.3647476652836</v>
      </c>
      <c r="V994" s="2">
        <f t="shared" si="275"/>
        <v>521.88525233471637</v>
      </c>
      <c r="W994" s="9">
        <f t="shared" si="276"/>
        <v>0</v>
      </c>
      <c r="X994" s="3">
        <v>198164</v>
      </c>
      <c r="Y994" s="3">
        <f t="shared" si="277"/>
        <v>0.34798029559897259</v>
      </c>
      <c r="Z994" s="7">
        <f t="shared" si="278"/>
        <v>1384.3647476652836</v>
      </c>
      <c r="AA994" s="2">
        <f t="shared" si="272"/>
        <v>521.88525233471637</v>
      </c>
      <c r="AB994" s="8">
        <f t="shared" si="279"/>
        <v>0</v>
      </c>
      <c r="AC994" s="10">
        <v>6.875</v>
      </c>
      <c r="AD994" s="7">
        <f t="shared" si="280"/>
        <v>1384.3647476652836</v>
      </c>
      <c r="AE994" s="2">
        <f t="shared" si="281"/>
        <v>521.88525233471637</v>
      </c>
      <c r="AF994" s="10">
        <v>0</v>
      </c>
      <c r="AG994" s="3">
        <f t="shared" si="282"/>
        <v>0</v>
      </c>
      <c r="AH994" s="7">
        <v>0</v>
      </c>
      <c r="AI994">
        <f t="shared" si="283"/>
        <v>360</v>
      </c>
      <c r="AJ994" t="e">
        <f>VLOOKUP(A994,'Borrower Details'!$A$1:$H$1493,8,FALSE)</f>
        <v>#N/A</v>
      </c>
      <c r="AK994" s="4" t="e">
        <f t="shared" si="284"/>
        <v>#N/A</v>
      </c>
      <c r="AL994" s="10">
        <v>6.875</v>
      </c>
      <c r="AM994" s="3">
        <f t="shared" si="285"/>
        <v>198163.64679999999</v>
      </c>
      <c r="AN994">
        <v>6.875</v>
      </c>
      <c r="AO994" s="7">
        <f t="shared" si="286"/>
        <v>1384.3622802260468</v>
      </c>
      <c r="AP994" s="2">
        <f t="shared" si="287"/>
        <v>521.88771977395322</v>
      </c>
    </row>
    <row r="995" spans="1:42" x14ac:dyDescent="0.15">
      <c r="A995" s="8">
        <v>411269392</v>
      </c>
      <c r="B995" t="s">
        <v>36</v>
      </c>
      <c r="C995" t="s">
        <v>16</v>
      </c>
      <c r="D995" s="1">
        <v>39505</v>
      </c>
      <c r="E995" s="2">
        <v>163000</v>
      </c>
      <c r="F995" s="2">
        <v>128000</v>
      </c>
      <c r="G995" t="s">
        <v>17</v>
      </c>
      <c r="H995" s="2">
        <v>1071.6300000000001</v>
      </c>
      <c r="I995" s="2">
        <v>127872.24</v>
      </c>
      <c r="J995">
        <v>9.4500000000000001E-2</v>
      </c>
      <c r="K995">
        <v>2</v>
      </c>
      <c r="L995">
        <v>358</v>
      </c>
      <c r="M995" t="str">
        <f t="shared" si="273"/>
        <v>30 Year Fixed</v>
      </c>
      <c r="N995" s="2">
        <v>1006.99</v>
      </c>
      <c r="O995" t="str">
        <f t="shared" si="270"/>
        <v>Cash Out</v>
      </c>
      <c r="P995" s="3">
        <f t="shared" si="274"/>
        <v>8630.2230541872123</v>
      </c>
      <c r="Q995" s="4">
        <v>138550</v>
      </c>
      <c r="R995" s="4" t="s">
        <v>41</v>
      </c>
      <c r="S995" s="6">
        <v>605</v>
      </c>
      <c r="T995">
        <v>6.875</v>
      </c>
      <c r="U995" s="7">
        <f t="shared" si="271"/>
        <v>967.90403801409445</v>
      </c>
      <c r="V995" s="2">
        <f t="shared" si="275"/>
        <v>103.72596198590566</v>
      </c>
      <c r="W995" s="9">
        <f t="shared" si="276"/>
        <v>0</v>
      </c>
      <c r="X995" s="3">
        <v>138550</v>
      </c>
      <c r="Y995" s="3">
        <f t="shared" si="277"/>
        <v>8630.2230541872123</v>
      </c>
      <c r="Z995" s="7">
        <f t="shared" si="278"/>
        <v>967.90403801409445</v>
      </c>
      <c r="AA995" s="2">
        <f t="shared" si="272"/>
        <v>103.72596198590566</v>
      </c>
      <c r="AB995" s="8">
        <f t="shared" si="279"/>
        <v>0</v>
      </c>
      <c r="AC995" s="10">
        <v>6.875</v>
      </c>
      <c r="AD995" s="7">
        <f t="shared" si="280"/>
        <v>967.90403801409445</v>
      </c>
      <c r="AE995" s="2">
        <f t="shared" si="281"/>
        <v>103.72596198590566</v>
      </c>
      <c r="AF995" s="10">
        <v>0</v>
      </c>
      <c r="AG995" s="3">
        <f t="shared" si="282"/>
        <v>0</v>
      </c>
      <c r="AH995" s="7">
        <v>2560</v>
      </c>
      <c r="AI995">
        <f t="shared" si="283"/>
        <v>360</v>
      </c>
      <c r="AJ995" t="e">
        <f>VLOOKUP(A995,'Borrower Details'!$A$1:$H$1493,8,FALSE)</f>
        <v>#N/A</v>
      </c>
      <c r="AK995" s="4" t="e">
        <f t="shared" si="284"/>
        <v>#N/A</v>
      </c>
      <c r="AL995" s="10">
        <v>6.875</v>
      </c>
      <c r="AM995" s="3">
        <f t="shared" si="285"/>
        <v>129790.32359999999</v>
      </c>
      <c r="AN995">
        <v>6.875</v>
      </c>
      <c r="AO995" s="7">
        <f t="shared" si="286"/>
        <v>906.70933459109369</v>
      </c>
      <c r="AP995" s="2">
        <f t="shared" si="287"/>
        <v>164.92066540890642</v>
      </c>
    </row>
    <row r="996" spans="1:42" x14ac:dyDescent="0.15">
      <c r="A996" s="8">
        <v>410950406</v>
      </c>
      <c r="B996" t="s">
        <v>35</v>
      </c>
      <c r="C996" t="s">
        <v>16</v>
      </c>
      <c r="D996" s="1">
        <v>39353</v>
      </c>
      <c r="E996" s="2">
        <v>220000</v>
      </c>
      <c r="F996" s="2">
        <v>197910</v>
      </c>
      <c r="G996" t="s">
        <v>20</v>
      </c>
      <c r="H996" s="2">
        <v>1735.34</v>
      </c>
      <c r="I996" s="2">
        <v>197280.27</v>
      </c>
      <c r="J996">
        <v>9.9900000000000003E-2</v>
      </c>
      <c r="K996">
        <v>7</v>
      </c>
      <c r="L996">
        <v>353</v>
      </c>
      <c r="M996" t="str">
        <f t="shared" si="273"/>
        <v>30 Year Fixed</v>
      </c>
      <c r="N996" s="2">
        <v>1642.36</v>
      </c>
      <c r="O996" t="str">
        <f t="shared" si="270"/>
        <v>Refi</v>
      </c>
      <c r="P996" s="3">
        <f t="shared" si="274"/>
        <v>0</v>
      </c>
      <c r="Q996" s="4">
        <v>200239</v>
      </c>
      <c r="R996" s="4" t="s">
        <v>41</v>
      </c>
      <c r="S996" s="6">
        <v>613</v>
      </c>
      <c r="T996">
        <v>6.875</v>
      </c>
      <c r="U996" s="7">
        <f t="shared" si="271"/>
        <v>1398.8606038823837</v>
      </c>
      <c r="V996" s="2">
        <f t="shared" si="275"/>
        <v>336.47939611761626</v>
      </c>
      <c r="W996" s="9">
        <f t="shared" si="276"/>
        <v>0</v>
      </c>
      <c r="X996" s="3">
        <v>200239</v>
      </c>
      <c r="Y996" s="3">
        <f t="shared" si="277"/>
        <v>-0.46704433494596742</v>
      </c>
      <c r="Z996" s="7">
        <f t="shared" si="278"/>
        <v>1398.8606038823837</v>
      </c>
      <c r="AA996" s="2">
        <f t="shared" si="272"/>
        <v>336.47939611761626</v>
      </c>
      <c r="AB996" s="8">
        <f t="shared" si="279"/>
        <v>0</v>
      </c>
      <c r="AC996" s="10">
        <v>6.875</v>
      </c>
      <c r="AD996" s="7">
        <f t="shared" si="280"/>
        <v>1398.8606038823837</v>
      </c>
      <c r="AE996" s="2">
        <f t="shared" si="281"/>
        <v>336.47939611761626</v>
      </c>
      <c r="AF996" s="10">
        <v>0</v>
      </c>
      <c r="AG996" s="3">
        <f t="shared" si="282"/>
        <v>0</v>
      </c>
      <c r="AH996" s="7">
        <v>9885.6045000000013</v>
      </c>
      <c r="AI996">
        <f t="shared" si="283"/>
        <v>360</v>
      </c>
      <c r="AJ996" t="e">
        <f>VLOOKUP(A996,'Borrower Details'!$A$1:$H$1493,8,FALSE)</f>
        <v>#N/A</v>
      </c>
      <c r="AK996" s="4" t="e">
        <f t="shared" si="284"/>
        <v>#N/A</v>
      </c>
      <c r="AL996" s="10">
        <v>6.875</v>
      </c>
      <c r="AM996" s="3">
        <f t="shared" si="285"/>
        <v>200239.47404999996</v>
      </c>
      <c r="AN996">
        <v>6.875</v>
      </c>
      <c r="AO996" s="7">
        <f t="shared" si="286"/>
        <v>1398.863915574258</v>
      </c>
      <c r="AP996" s="2">
        <f t="shared" si="287"/>
        <v>336.47608442574187</v>
      </c>
    </row>
    <row r="997" spans="1:42" x14ac:dyDescent="0.15">
      <c r="A997" s="8">
        <v>411205453</v>
      </c>
      <c r="B997" t="s">
        <v>35</v>
      </c>
      <c r="C997" t="s">
        <v>16</v>
      </c>
      <c r="D997" s="1">
        <v>39447</v>
      </c>
      <c r="E997" s="2">
        <v>94500</v>
      </c>
      <c r="F997" s="2">
        <v>85050</v>
      </c>
      <c r="G997" t="s">
        <v>20</v>
      </c>
      <c r="H997" s="2">
        <v>829.29</v>
      </c>
      <c r="I997" s="2">
        <v>84934.78</v>
      </c>
      <c r="J997">
        <v>0.113</v>
      </c>
      <c r="K997">
        <v>4</v>
      </c>
      <c r="L997">
        <v>356</v>
      </c>
      <c r="M997" t="str">
        <f t="shared" si="273"/>
        <v>30 Year Fixed</v>
      </c>
      <c r="N997" s="2">
        <v>799.8</v>
      </c>
      <c r="O997" t="str">
        <f t="shared" si="270"/>
        <v>Refi</v>
      </c>
      <c r="P997" s="3">
        <f t="shared" si="274"/>
        <v>0</v>
      </c>
      <c r="Q997" s="4">
        <v>86209</v>
      </c>
      <c r="R997" s="4" t="s">
        <v>41</v>
      </c>
      <c r="S997" s="6">
        <v>600</v>
      </c>
      <c r="T997">
        <v>7</v>
      </c>
      <c r="U997" s="7">
        <f t="shared" si="271"/>
        <v>609.47104473568822</v>
      </c>
      <c r="V997" s="2">
        <f t="shared" si="275"/>
        <v>219.81895526431174</v>
      </c>
      <c r="W997" s="9">
        <f t="shared" si="276"/>
        <v>0</v>
      </c>
      <c r="X997" s="3">
        <v>86209</v>
      </c>
      <c r="Y997" s="3">
        <f t="shared" si="277"/>
        <v>0.19536945813160855</v>
      </c>
      <c r="Z997" s="7">
        <f t="shared" si="278"/>
        <v>609.47104473568822</v>
      </c>
      <c r="AA997" s="2">
        <f t="shared" si="272"/>
        <v>219.81895526431174</v>
      </c>
      <c r="AB997" s="8">
        <f t="shared" si="279"/>
        <v>0</v>
      </c>
      <c r="AC997" s="10">
        <v>7</v>
      </c>
      <c r="AD997" s="7">
        <f t="shared" si="280"/>
        <v>609.47104473568822</v>
      </c>
      <c r="AE997" s="2">
        <f t="shared" si="281"/>
        <v>219.81895526431174</v>
      </c>
      <c r="AF997" s="10">
        <v>0</v>
      </c>
      <c r="AG997" s="3">
        <f t="shared" si="282"/>
        <v>0</v>
      </c>
      <c r="AH997" s="7">
        <v>4805.3249999999998</v>
      </c>
      <c r="AI997">
        <f t="shared" si="283"/>
        <v>360</v>
      </c>
      <c r="AJ997" t="e">
        <f>VLOOKUP(A997,'Borrower Details'!$A$1:$H$1493,8,FALSE)</f>
        <v>#N/A</v>
      </c>
      <c r="AK997" s="4" t="e">
        <f t="shared" si="284"/>
        <v>#N/A</v>
      </c>
      <c r="AL997" s="10">
        <v>7</v>
      </c>
      <c r="AM997" s="3">
        <f t="shared" si="285"/>
        <v>86208.801699999996</v>
      </c>
      <c r="AN997">
        <v>7</v>
      </c>
      <c r="AO997" s="7">
        <f t="shared" si="286"/>
        <v>609.4696428158403</v>
      </c>
      <c r="AP997" s="2">
        <f t="shared" si="287"/>
        <v>219.82035718415966</v>
      </c>
    </row>
    <row r="998" spans="1:42" x14ac:dyDescent="0.15">
      <c r="A998" s="8">
        <v>411059850</v>
      </c>
      <c r="B998" t="s">
        <v>37</v>
      </c>
      <c r="C998" t="s">
        <v>16</v>
      </c>
      <c r="D998" s="1">
        <v>39391</v>
      </c>
      <c r="E998" s="2">
        <v>91000</v>
      </c>
      <c r="F998" s="2">
        <v>77350</v>
      </c>
      <c r="G998" t="s">
        <v>17</v>
      </c>
      <c r="H998" s="2">
        <v>794.15</v>
      </c>
      <c r="I998" s="2">
        <v>77212.69</v>
      </c>
      <c r="J998">
        <v>0.11975</v>
      </c>
      <c r="K998">
        <v>5</v>
      </c>
      <c r="L998">
        <v>354</v>
      </c>
      <c r="M998" t="str">
        <f t="shared" si="273"/>
        <v>30 Year Fixed</v>
      </c>
      <c r="N998" s="2">
        <v>770.75</v>
      </c>
      <c r="O998" t="str">
        <f t="shared" si="270"/>
        <v>Refi</v>
      </c>
      <c r="P998" s="3">
        <f t="shared" si="274"/>
        <v>0</v>
      </c>
      <c r="Q998" s="4">
        <v>78371</v>
      </c>
      <c r="R998" s="4" t="s">
        <v>41</v>
      </c>
      <c r="S998" s="6">
        <v>579</v>
      </c>
      <c r="T998">
        <v>7.625</v>
      </c>
      <c r="U998" s="7">
        <f t="shared" si="271"/>
        <v>587.35962028892538</v>
      </c>
      <c r="V998" s="2">
        <f t="shared" si="275"/>
        <v>206.79037971107459</v>
      </c>
      <c r="W998" s="9">
        <f t="shared" si="276"/>
        <v>0</v>
      </c>
      <c r="X998" s="3">
        <v>78371</v>
      </c>
      <c r="Y998" s="3">
        <f t="shared" si="277"/>
        <v>0.11788177340349648</v>
      </c>
      <c r="Z998" s="7">
        <f t="shared" si="278"/>
        <v>587.35962028892538</v>
      </c>
      <c r="AA998" s="2">
        <f t="shared" si="272"/>
        <v>206.79037971107459</v>
      </c>
      <c r="AB998" s="8">
        <f t="shared" si="279"/>
        <v>0</v>
      </c>
      <c r="AC998" s="10">
        <v>7.625</v>
      </c>
      <c r="AD998" s="7">
        <f t="shared" si="280"/>
        <v>587.35962028892538</v>
      </c>
      <c r="AE998" s="2">
        <f t="shared" si="281"/>
        <v>206.79037971107459</v>
      </c>
      <c r="AF998" s="10">
        <v>0</v>
      </c>
      <c r="AG998" s="3">
        <f t="shared" si="282"/>
        <v>0</v>
      </c>
      <c r="AH998" s="7">
        <v>0</v>
      </c>
      <c r="AI998">
        <f t="shared" si="283"/>
        <v>360</v>
      </c>
      <c r="AJ998" t="e">
        <f>VLOOKUP(A998,'Borrower Details'!$A$1:$H$1493,8,FALSE)</f>
        <v>#N/A</v>
      </c>
      <c r="AK998" s="4" t="e">
        <f t="shared" si="284"/>
        <v>#N/A</v>
      </c>
      <c r="AL998" s="10">
        <v>7.625</v>
      </c>
      <c r="AM998" s="3">
        <f t="shared" si="285"/>
        <v>78370.880349999992</v>
      </c>
      <c r="AN998">
        <v>7.625</v>
      </c>
      <c r="AO998" s="7">
        <f t="shared" si="286"/>
        <v>587.35872355954109</v>
      </c>
      <c r="AP998" s="2">
        <f t="shared" si="287"/>
        <v>206.79127644045889</v>
      </c>
    </row>
    <row r="999" spans="1:42" x14ac:dyDescent="0.15">
      <c r="A999" s="8">
        <v>411238694</v>
      </c>
      <c r="B999" t="s">
        <v>38</v>
      </c>
      <c r="C999" t="s">
        <v>18</v>
      </c>
      <c r="D999" s="1">
        <v>39486</v>
      </c>
      <c r="E999" s="2">
        <v>141000</v>
      </c>
      <c r="F999" s="2">
        <v>126900</v>
      </c>
      <c r="G999" t="s">
        <v>17</v>
      </c>
      <c r="H999" s="2">
        <v>1207.54</v>
      </c>
      <c r="I999" s="2">
        <v>126634.16</v>
      </c>
      <c r="J999">
        <v>0.1099</v>
      </c>
      <c r="K999">
        <v>2</v>
      </c>
      <c r="L999">
        <v>357</v>
      </c>
      <c r="M999" t="str">
        <f t="shared" si="273"/>
        <v>30 Year Fixed</v>
      </c>
      <c r="N999" s="2">
        <v>1159.76</v>
      </c>
      <c r="O999" t="str">
        <f t="shared" si="270"/>
        <v>Refi</v>
      </c>
      <c r="P999" s="3">
        <f t="shared" si="274"/>
        <v>0</v>
      </c>
      <c r="Q999" s="4">
        <v>128534</v>
      </c>
      <c r="R999" s="4" t="s">
        <v>41</v>
      </c>
      <c r="S999" s="6">
        <v>581</v>
      </c>
      <c r="T999">
        <v>7.375</v>
      </c>
      <c r="U999" s="7">
        <f t="shared" si="271"/>
        <v>941.30822754609551</v>
      </c>
      <c r="V999" s="2">
        <f t="shared" si="275"/>
        <v>266.23177245390445</v>
      </c>
      <c r="W999" s="9">
        <f t="shared" si="276"/>
        <v>0</v>
      </c>
      <c r="X999" s="3">
        <v>128534</v>
      </c>
      <c r="Y999" s="3">
        <f t="shared" si="277"/>
        <v>0.32275862069218419</v>
      </c>
      <c r="Z999" s="7">
        <f t="shared" si="278"/>
        <v>941.30822754609551</v>
      </c>
      <c r="AA999" s="2">
        <f t="shared" si="272"/>
        <v>266.23177245390445</v>
      </c>
      <c r="AB999" s="8">
        <f t="shared" si="279"/>
        <v>0</v>
      </c>
      <c r="AC999" s="10">
        <v>7.375</v>
      </c>
      <c r="AD999" s="7">
        <f t="shared" si="280"/>
        <v>941.30822754609551</v>
      </c>
      <c r="AE999" s="2">
        <f t="shared" si="281"/>
        <v>266.23177245390445</v>
      </c>
      <c r="AF999" s="10">
        <v>0</v>
      </c>
      <c r="AG999" s="3">
        <f t="shared" si="282"/>
        <v>0</v>
      </c>
      <c r="AH999" s="7">
        <v>0</v>
      </c>
      <c r="AI999">
        <f t="shared" si="283"/>
        <v>360</v>
      </c>
      <c r="AJ999" t="e">
        <f>VLOOKUP(A999,'Borrower Details'!$A$1:$H$1493,8,FALSE)</f>
        <v>#N/A</v>
      </c>
      <c r="AK999" s="4" t="e">
        <f t="shared" si="284"/>
        <v>#N/A</v>
      </c>
      <c r="AL999" s="10">
        <v>7.375</v>
      </c>
      <c r="AM999" s="3">
        <f t="shared" si="285"/>
        <v>128533.6724</v>
      </c>
      <c r="AN999">
        <v>7.375</v>
      </c>
      <c r="AO999" s="7">
        <f t="shared" si="286"/>
        <v>941.3058283943119</v>
      </c>
      <c r="AP999" s="2">
        <f t="shared" si="287"/>
        <v>266.23417160568806</v>
      </c>
    </row>
    <row r="1000" spans="1:42" x14ac:dyDescent="0.15">
      <c r="A1000" s="8">
        <v>411133200</v>
      </c>
      <c r="B1000" t="s">
        <v>37</v>
      </c>
      <c r="C1000" t="s">
        <v>16</v>
      </c>
      <c r="D1000" s="1">
        <v>39443</v>
      </c>
      <c r="E1000" s="2">
        <v>250000</v>
      </c>
      <c r="F1000" s="2">
        <v>225000</v>
      </c>
      <c r="G1000" t="s">
        <v>21</v>
      </c>
      <c r="H1000" s="2">
        <v>1900.14</v>
      </c>
      <c r="I1000" s="2">
        <v>224556.67</v>
      </c>
      <c r="J1000">
        <v>9.5500000000000002E-2</v>
      </c>
      <c r="K1000">
        <v>4</v>
      </c>
      <c r="L1000">
        <v>356</v>
      </c>
      <c r="M1000" t="str">
        <f t="shared" si="273"/>
        <v>30 Year Fixed</v>
      </c>
      <c r="N1000" s="2">
        <v>1787.1</v>
      </c>
      <c r="O1000" t="str">
        <f t="shared" si="270"/>
        <v>Refi</v>
      </c>
      <c r="P1000" s="3">
        <f t="shared" si="274"/>
        <v>0</v>
      </c>
      <c r="Q1000" s="4">
        <v>227925</v>
      </c>
      <c r="R1000" s="4" t="s">
        <v>41</v>
      </c>
      <c r="S1000" s="6">
        <v>626</v>
      </c>
      <c r="T1000">
        <v>6.75</v>
      </c>
      <c r="U1000" s="7">
        <f t="shared" si="271"/>
        <v>1573.2859616031014</v>
      </c>
      <c r="V1000" s="2">
        <f t="shared" si="275"/>
        <v>326.85403839689866</v>
      </c>
      <c r="W1000" s="9">
        <f t="shared" si="276"/>
        <v>0</v>
      </c>
      <c r="X1000" s="3">
        <v>227925</v>
      </c>
      <c r="Y1000" s="3">
        <f t="shared" si="277"/>
        <v>-1.9753694563405588E-2</v>
      </c>
      <c r="Z1000" s="7">
        <f t="shared" si="278"/>
        <v>1573.2859616031014</v>
      </c>
      <c r="AA1000" s="2">
        <f t="shared" si="272"/>
        <v>326.85403839689866</v>
      </c>
      <c r="AB1000" s="8">
        <f t="shared" si="279"/>
        <v>0</v>
      </c>
      <c r="AC1000" s="10">
        <v>6.75</v>
      </c>
      <c r="AD1000" s="7">
        <f t="shared" si="280"/>
        <v>1573.2859616031014</v>
      </c>
      <c r="AE1000" s="2">
        <f t="shared" si="281"/>
        <v>326.85403839689866</v>
      </c>
      <c r="AF1000" s="10">
        <v>0</v>
      </c>
      <c r="AG1000" s="3">
        <f t="shared" si="282"/>
        <v>0</v>
      </c>
      <c r="AH1000" s="7">
        <v>2250</v>
      </c>
      <c r="AI1000">
        <f t="shared" si="283"/>
        <v>360</v>
      </c>
      <c r="AJ1000" t="e">
        <f>VLOOKUP(A1000,'Borrower Details'!$A$1:$H$1493,8,FALSE)</f>
        <v>#N/A</v>
      </c>
      <c r="AK1000" s="4" t="e">
        <f t="shared" si="284"/>
        <v>#N/A</v>
      </c>
      <c r="AL1000" s="10">
        <v>6.75</v>
      </c>
      <c r="AM1000" s="3">
        <f t="shared" si="285"/>
        <v>227925.02004999999</v>
      </c>
      <c r="AN1000">
        <v>6.75</v>
      </c>
      <c r="AO1000" s="7">
        <f t="shared" si="286"/>
        <v>1573.2861000011865</v>
      </c>
      <c r="AP1000" s="2">
        <f t="shared" si="287"/>
        <v>326.85389999881363</v>
      </c>
    </row>
    <row r="1001" spans="1:42" x14ac:dyDescent="0.15">
      <c r="A1001" s="8">
        <v>411047004</v>
      </c>
      <c r="B1001" t="s">
        <v>37</v>
      </c>
      <c r="C1001" t="s">
        <v>16</v>
      </c>
      <c r="D1001" s="1">
        <v>39399</v>
      </c>
      <c r="E1001" s="2">
        <v>119000</v>
      </c>
      <c r="F1001" s="2">
        <v>95200</v>
      </c>
      <c r="G1001" t="s">
        <v>20</v>
      </c>
      <c r="H1001" s="2">
        <v>895.84</v>
      </c>
      <c r="I1001" s="2">
        <v>94984.75</v>
      </c>
      <c r="J1001">
        <v>0.1085</v>
      </c>
      <c r="K1001">
        <v>5</v>
      </c>
      <c r="L1001">
        <v>354</v>
      </c>
      <c r="M1001" t="str">
        <f t="shared" si="273"/>
        <v>30 Year Fixed</v>
      </c>
      <c r="N1001" s="2">
        <v>858.82</v>
      </c>
      <c r="O1001" t="str">
        <f t="shared" si="270"/>
        <v>Cash Out</v>
      </c>
      <c r="P1001" s="3">
        <f t="shared" si="274"/>
        <v>4670.422413793116</v>
      </c>
      <c r="Q1001" s="4">
        <v>101150</v>
      </c>
      <c r="R1001" s="4" t="s">
        <v>41</v>
      </c>
      <c r="S1001" s="6">
        <v>564</v>
      </c>
      <c r="T1001">
        <v>7.625</v>
      </c>
      <c r="U1001" s="7">
        <f t="shared" si="271"/>
        <v>758.07920777104812</v>
      </c>
      <c r="V1001" s="2">
        <f t="shared" si="275"/>
        <v>137.76079222895191</v>
      </c>
      <c r="W1001" s="9">
        <f t="shared" si="276"/>
        <v>0</v>
      </c>
      <c r="X1001" s="3">
        <v>101150</v>
      </c>
      <c r="Y1001" s="3">
        <f t="shared" si="277"/>
        <v>4670.422413793116</v>
      </c>
      <c r="Z1001" s="7">
        <f t="shared" si="278"/>
        <v>758.07920777104812</v>
      </c>
      <c r="AA1001" s="2">
        <f t="shared" si="272"/>
        <v>137.76079222895191</v>
      </c>
      <c r="AB1001" s="8">
        <f t="shared" si="279"/>
        <v>0</v>
      </c>
      <c r="AC1001" s="10">
        <v>7.625</v>
      </c>
      <c r="AD1001" s="7">
        <f t="shared" si="280"/>
        <v>758.07920777104812</v>
      </c>
      <c r="AE1001" s="2">
        <f t="shared" si="281"/>
        <v>137.76079222895191</v>
      </c>
      <c r="AF1001" s="10">
        <v>0</v>
      </c>
      <c r="AG1001" s="3">
        <f t="shared" si="282"/>
        <v>0</v>
      </c>
      <c r="AH1001" s="7">
        <v>0</v>
      </c>
      <c r="AI1001">
        <f t="shared" si="283"/>
        <v>360</v>
      </c>
      <c r="AJ1001" t="e">
        <f>VLOOKUP(A1001,'Borrower Details'!$A$1:$H$1493,8,FALSE)</f>
        <v>#N/A</v>
      </c>
      <c r="AK1001" s="4" t="e">
        <f t="shared" si="284"/>
        <v>#N/A</v>
      </c>
      <c r="AL1001" s="10">
        <v>7.625</v>
      </c>
      <c r="AM1001" s="3">
        <f t="shared" si="285"/>
        <v>96409.521249999991</v>
      </c>
      <c r="AN1001">
        <v>7.625</v>
      </c>
      <c r="AO1001" s="7">
        <f t="shared" si="286"/>
        <v>722.55119615211083</v>
      </c>
      <c r="AP1001" s="2">
        <f t="shared" si="287"/>
        <v>173.2888038478892</v>
      </c>
    </row>
    <row r="1002" spans="1:42" x14ac:dyDescent="0.15">
      <c r="A1002" s="8">
        <v>411157076</v>
      </c>
      <c r="B1002" t="s">
        <v>35</v>
      </c>
      <c r="C1002" t="s">
        <v>16</v>
      </c>
      <c r="D1002" s="1">
        <v>39478</v>
      </c>
      <c r="E1002" s="2">
        <v>100000</v>
      </c>
      <c r="F1002" s="2">
        <v>85000</v>
      </c>
      <c r="G1002" t="s">
        <v>20</v>
      </c>
      <c r="H1002" s="2">
        <v>808.84</v>
      </c>
      <c r="I1002" s="2">
        <v>84876.800000000003</v>
      </c>
      <c r="J1002">
        <v>0.1099</v>
      </c>
      <c r="K1002">
        <v>3</v>
      </c>
      <c r="L1002">
        <v>356</v>
      </c>
      <c r="M1002" t="str">
        <f t="shared" si="273"/>
        <v>30 Year Fixed</v>
      </c>
      <c r="N1002" s="2">
        <v>777.33</v>
      </c>
      <c r="O1002" t="str">
        <f t="shared" si="270"/>
        <v>Refi</v>
      </c>
      <c r="P1002" s="3">
        <f t="shared" si="274"/>
        <v>0</v>
      </c>
      <c r="Q1002" s="4">
        <v>86150</v>
      </c>
      <c r="R1002" s="4" t="s">
        <v>41</v>
      </c>
      <c r="S1002" s="6">
        <v>540</v>
      </c>
      <c r="T1002">
        <v>7.625</v>
      </c>
      <c r="U1002" s="7">
        <f t="shared" si="271"/>
        <v>645.66014581785259</v>
      </c>
      <c r="V1002" s="2">
        <f t="shared" si="275"/>
        <v>163.17985418214744</v>
      </c>
      <c r="W1002" s="9">
        <f t="shared" si="276"/>
        <v>0</v>
      </c>
      <c r="X1002" s="3">
        <v>86150</v>
      </c>
      <c r="Y1002" s="3">
        <f t="shared" si="277"/>
        <v>4.7290640402934514E-2</v>
      </c>
      <c r="Z1002" s="7">
        <f t="shared" si="278"/>
        <v>645.66014581785259</v>
      </c>
      <c r="AA1002" s="2">
        <f t="shared" si="272"/>
        <v>163.17985418214744</v>
      </c>
      <c r="AB1002" s="8">
        <f t="shared" si="279"/>
        <v>0</v>
      </c>
      <c r="AC1002" s="10">
        <v>7.625</v>
      </c>
      <c r="AD1002" s="7">
        <f t="shared" si="280"/>
        <v>645.66014581785259</v>
      </c>
      <c r="AE1002" s="2">
        <f t="shared" si="281"/>
        <v>163.17985418214744</v>
      </c>
      <c r="AF1002" s="10">
        <v>0</v>
      </c>
      <c r="AG1002" s="3">
        <f t="shared" si="282"/>
        <v>0</v>
      </c>
      <c r="AH1002" s="7">
        <v>4670.75</v>
      </c>
      <c r="AI1002">
        <f t="shared" si="283"/>
        <v>360</v>
      </c>
      <c r="AJ1002" t="e">
        <f>VLOOKUP(A1002,'Borrower Details'!$A$1:$H$1493,8,FALSE)</f>
        <v>#N/A</v>
      </c>
      <c r="AK1002" s="4" t="e">
        <f t="shared" si="284"/>
        <v>#N/A</v>
      </c>
      <c r="AL1002" s="10">
        <v>7.625</v>
      </c>
      <c r="AM1002" s="3">
        <f t="shared" si="285"/>
        <v>86149.95199999999</v>
      </c>
      <c r="AN1002">
        <v>7.625</v>
      </c>
      <c r="AO1002" s="7">
        <f t="shared" si="286"/>
        <v>645.65978607685429</v>
      </c>
      <c r="AP1002" s="2">
        <f t="shared" si="287"/>
        <v>163.18021392314574</v>
      </c>
    </row>
    <row r="1003" spans="1:42" x14ac:dyDescent="0.15">
      <c r="A1003" s="8">
        <v>410774384</v>
      </c>
      <c r="B1003" t="s">
        <v>36</v>
      </c>
      <c r="C1003" t="s">
        <v>16</v>
      </c>
      <c r="D1003" s="1">
        <v>39307</v>
      </c>
      <c r="E1003" s="2">
        <v>175000</v>
      </c>
      <c r="F1003" s="2">
        <v>157500</v>
      </c>
      <c r="G1003" t="s">
        <v>20</v>
      </c>
      <c r="H1003" s="2">
        <v>1202.79</v>
      </c>
      <c r="I1003" s="2">
        <v>157215.38</v>
      </c>
      <c r="J1003">
        <v>8.8999999999999996E-2</v>
      </c>
      <c r="K1003">
        <v>8</v>
      </c>
      <c r="L1003">
        <v>352</v>
      </c>
      <c r="M1003" t="str">
        <f t="shared" si="273"/>
        <v>30 Year Fixed</v>
      </c>
      <c r="N1003" s="2">
        <v>1166.01</v>
      </c>
      <c r="O1003" t="str">
        <f t="shared" si="270"/>
        <v>Refi</v>
      </c>
      <c r="P1003" s="3">
        <f t="shared" si="274"/>
        <v>0</v>
      </c>
      <c r="Q1003" s="4">
        <v>159574</v>
      </c>
      <c r="R1003" s="4" t="s">
        <v>41</v>
      </c>
      <c r="S1003" s="6">
        <v>587</v>
      </c>
      <c r="T1003">
        <v>7.375</v>
      </c>
      <c r="U1003" s="7">
        <f t="shared" si="271"/>
        <v>1168.6271266936426</v>
      </c>
      <c r="V1003" s="2">
        <f t="shared" si="275"/>
        <v>34.162873306357369</v>
      </c>
      <c r="W1003" s="9">
        <f t="shared" si="276"/>
        <v>0</v>
      </c>
      <c r="X1003" s="3">
        <v>159574</v>
      </c>
      <c r="Y1003" s="3">
        <f t="shared" si="277"/>
        <v>0.38354679805343039</v>
      </c>
      <c r="Z1003" s="7">
        <f t="shared" si="278"/>
        <v>1168.6271266936426</v>
      </c>
      <c r="AA1003" s="2">
        <f t="shared" si="272"/>
        <v>34.162873306357369</v>
      </c>
      <c r="AB1003" s="8">
        <f t="shared" si="279"/>
        <v>1</v>
      </c>
      <c r="AC1003" s="10">
        <v>6.625</v>
      </c>
      <c r="AD1003" s="7">
        <f t="shared" si="280"/>
        <v>1088.258979692675</v>
      </c>
      <c r="AE1003" s="2">
        <f t="shared" si="281"/>
        <v>114.53102030732498</v>
      </c>
      <c r="AF1003" s="10">
        <v>1.875</v>
      </c>
      <c r="AG1003" s="3">
        <f t="shared" si="282"/>
        <v>2992.0124999999998</v>
      </c>
      <c r="AH1003" s="7">
        <v>3150</v>
      </c>
      <c r="AI1003">
        <f t="shared" si="283"/>
        <v>360</v>
      </c>
      <c r="AJ1003" t="e">
        <f>VLOOKUP(A1003,'Borrower Details'!$A$1:$H$1493,8,FALSE)</f>
        <v>#N/A</v>
      </c>
      <c r="AK1003" s="4" t="e">
        <f t="shared" si="284"/>
        <v>#N/A</v>
      </c>
      <c r="AL1003" s="10">
        <v>7.375</v>
      </c>
      <c r="AM1003" s="3">
        <f t="shared" si="285"/>
        <v>159573.61069999999</v>
      </c>
      <c r="AN1003">
        <v>7.375</v>
      </c>
      <c r="AO1003" s="7">
        <f t="shared" si="286"/>
        <v>1168.6242756869594</v>
      </c>
      <c r="AP1003" s="2">
        <f t="shared" si="287"/>
        <v>34.165724313040528</v>
      </c>
    </row>
    <row r="1004" spans="1:42" x14ac:dyDescent="0.15">
      <c r="A1004" s="8">
        <v>411300452</v>
      </c>
      <c r="B1004" t="s">
        <v>38</v>
      </c>
      <c r="C1004" t="s">
        <v>16</v>
      </c>
      <c r="D1004" s="1">
        <v>39503</v>
      </c>
      <c r="E1004" s="2">
        <v>255000</v>
      </c>
      <c r="F1004" s="2">
        <v>229500</v>
      </c>
      <c r="G1004" t="s">
        <v>20</v>
      </c>
      <c r="H1004" s="2">
        <v>2031.01</v>
      </c>
      <c r="I1004" s="2">
        <v>229300.4</v>
      </c>
      <c r="J1004">
        <v>0.10100000000000001</v>
      </c>
      <c r="K1004">
        <v>2</v>
      </c>
      <c r="L1004">
        <v>358</v>
      </c>
      <c r="M1004" t="str">
        <f t="shared" si="273"/>
        <v>30 Year Fixed</v>
      </c>
      <c r="N1004" s="2">
        <v>1929.95</v>
      </c>
      <c r="O1004" t="str">
        <f t="shared" si="270"/>
        <v>Refi</v>
      </c>
      <c r="P1004" s="3">
        <f t="shared" si="274"/>
        <v>0</v>
      </c>
      <c r="Q1004" s="4">
        <v>232740</v>
      </c>
      <c r="R1004" s="4" t="s">
        <v>41</v>
      </c>
      <c r="S1004" s="6">
        <v>625</v>
      </c>
      <c r="T1004">
        <v>6.75</v>
      </c>
      <c r="U1004" s="7">
        <f t="shared" si="271"/>
        <v>1606.5222099528607</v>
      </c>
      <c r="V1004" s="2">
        <f t="shared" si="275"/>
        <v>424.48779004713924</v>
      </c>
      <c r="W1004" s="9">
        <f t="shared" si="276"/>
        <v>0</v>
      </c>
      <c r="X1004" s="3">
        <v>232740</v>
      </c>
      <c r="Y1004" s="3">
        <f t="shared" si="277"/>
        <v>9.2610837455140427E-2</v>
      </c>
      <c r="Z1004" s="7">
        <f t="shared" si="278"/>
        <v>1606.5222099528607</v>
      </c>
      <c r="AA1004" s="2">
        <f t="shared" si="272"/>
        <v>424.48779004713924</v>
      </c>
      <c r="AB1004" s="8">
        <f t="shared" si="279"/>
        <v>0</v>
      </c>
      <c r="AC1004" s="10">
        <v>6.75</v>
      </c>
      <c r="AD1004" s="7">
        <f t="shared" si="280"/>
        <v>1606.5222099528607</v>
      </c>
      <c r="AE1004" s="2">
        <f t="shared" si="281"/>
        <v>424.48779004713924</v>
      </c>
      <c r="AF1004" s="10">
        <v>0</v>
      </c>
      <c r="AG1004" s="3">
        <f t="shared" si="282"/>
        <v>0</v>
      </c>
      <c r="AH1004" s="7">
        <v>2295</v>
      </c>
      <c r="AI1004">
        <f t="shared" si="283"/>
        <v>360</v>
      </c>
      <c r="AJ1004" t="e">
        <f>VLOOKUP(A1004,'Borrower Details'!$A$1:$H$1493,8,FALSE)</f>
        <v>#N/A</v>
      </c>
      <c r="AK1004" s="4" t="e">
        <f t="shared" si="284"/>
        <v>#N/A</v>
      </c>
      <c r="AL1004" s="10">
        <v>6.75</v>
      </c>
      <c r="AM1004" s="3">
        <f t="shared" si="285"/>
        <v>232739.90599999996</v>
      </c>
      <c r="AN1004">
        <v>6.75</v>
      </c>
      <c r="AO1004" s="7">
        <f t="shared" si="286"/>
        <v>1606.5215611039832</v>
      </c>
      <c r="AP1004" s="2">
        <f t="shared" si="287"/>
        <v>424.48843889601676</v>
      </c>
    </row>
    <row r="1005" spans="1:42" x14ac:dyDescent="0.15">
      <c r="A1005" s="8">
        <v>411055338</v>
      </c>
      <c r="B1005" t="s">
        <v>35</v>
      </c>
      <c r="C1005" t="s">
        <v>16</v>
      </c>
      <c r="D1005" s="1">
        <v>39412</v>
      </c>
      <c r="E1005" s="2">
        <v>353000</v>
      </c>
      <c r="F1005" s="2">
        <v>264750</v>
      </c>
      <c r="G1005" t="s">
        <v>17</v>
      </c>
      <c r="H1005" s="2">
        <v>1905.5</v>
      </c>
      <c r="I1005" s="2">
        <v>263040.94</v>
      </c>
      <c r="J1005">
        <v>7.7979999999999994E-2</v>
      </c>
      <c r="K1005">
        <v>5</v>
      </c>
      <c r="L1005">
        <v>355</v>
      </c>
      <c r="M1005" t="str">
        <f t="shared" si="273"/>
        <v>30 Year Fixed</v>
      </c>
      <c r="N1005" s="2">
        <v>1709.33</v>
      </c>
      <c r="O1005" t="str">
        <f t="shared" si="270"/>
        <v>Cash Out</v>
      </c>
      <c r="P1005" s="3">
        <f t="shared" si="274"/>
        <v>32574.823546798027</v>
      </c>
      <c r="Q1005" s="4">
        <v>300050</v>
      </c>
      <c r="R1005" s="4" t="s">
        <v>41</v>
      </c>
      <c r="S1005" s="6">
        <v>647</v>
      </c>
      <c r="T1005">
        <v>6.75</v>
      </c>
      <c r="U1005" s="7">
        <f t="shared" si="271"/>
        <v>2071.1394220862589</v>
      </c>
      <c r="V1005" s="2">
        <f t="shared" si="275"/>
        <v>-165.63942208625895</v>
      </c>
      <c r="W1005" s="9">
        <f t="shared" si="276"/>
        <v>1</v>
      </c>
      <c r="X1005" s="3">
        <v>275980</v>
      </c>
      <c r="Y1005" s="3">
        <f t="shared" si="277"/>
        <v>8860.5378325123456</v>
      </c>
      <c r="Z1005" s="7">
        <f t="shared" si="278"/>
        <v>1904.992693575623</v>
      </c>
      <c r="AA1005" s="2">
        <f t="shared" si="272"/>
        <v>0.50730642437702045</v>
      </c>
      <c r="AB1005" s="8">
        <f t="shared" si="279"/>
        <v>1</v>
      </c>
      <c r="AC1005" s="10">
        <v>6.125</v>
      </c>
      <c r="AD1005" s="7">
        <f t="shared" si="280"/>
        <v>1791.8752338014538</v>
      </c>
      <c r="AE1005" s="2">
        <f t="shared" si="281"/>
        <v>113.62476619854624</v>
      </c>
      <c r="AF1005" s="10">
        <v>3</v>
      </c>
      <c r="AG1005" s="3">
        <f t="shared" si="282"/>
        <v>8279.4</v>
      </c>
      <c r="AH1005" s="7">
        <v>10322.602499999999</v>
      </c>
      <c r="AI1005">
        <f t="shared" si="283"/>
        <v>360</v>
      </c>
      <c r="AJ1005" t="e">
        <f>VLOOKUP(A1005,'Borrower Details'!$A$1:$H$1493,8,FALSE)</f>
        <v>#N/A</v>
      </c>
      <c r="AK1005" s="4" t="e">
        <f t="shared" si="284"/>
        <v>#N/A</v>
      </c>
      <c r="AL1005" s="10">
        <v>6.75</v>
      </c>
      <c r="AM1005" s="3">
        <f t="shared" si="285"/>
        <v>266986.55409999995</v>
      </c>
      <c r="AN1005">
        <v>6.75</v>
      </c>
      <c r="AO1005" s="7">
        <f t="shared" si="286"/>
        <v>1842.9141055273305</v>
      </c>
      <c r="AP1005" s="2">
        <f t="shared" si="287"/>
        <v>62.585894472669452</v>
      </c>
    </row>
    <row r="1006" spans="1:42" x14ac:dyDescent="0.15">
      <c r="A1006" s="8">
        <v>411047574</v>
      </c>
      <c r="B1006" t="s">
        <v>38</v>
      </c>
      <c r="C1006" t="s">
        <v>16</v>
      </c>
      <c r="D1006" s="1">
        <v>39391</v>
      </c>
      <c r="E1006" s="2">
        <v>165000</v>
      </c>
      <c r="F1006" s="2">
        <v>130000</v>
      </c>
      <c r="G1006" t="s">
        <v>17</v>
      </c>
      <c r="H1006" s="2">
        <v>1179.46</v>
      </c>
      <c r="I1006" s="2">
        <v>129947.21</v>
      </c>
      <c r="J1006">
        <v>0.104</v>
      </c>
      <c r="K1006">
        <v>5</v>
      </c>
      <c r="L1006">
        <v>359</v>
      </c>
      <c r="M1006" t="str">
        <f t="shared" si="273"/>
        <v>30 Year Fixed</v>
      </c>
      <c r="N1006" s="2">
        <v>1126.21</v>
      </c>
      <c r="O1006" t="str">
        <f t="shared" si="270"/>
        <v>Cash Out</v>
      </c>
      <c r="P1006" s="3">
        <f t="shared" si="274"/>
        <v>8230.1299014778488</v>
      </c>
      <c r="Q1006" s="4">
        <v>140250</v>
      </c>
      <c r="R1006" s="4" t="s">
        <v>41</v>
      </c>
      <c r="S1006" s="6">
        <v>625</v>
      </c>
      <c r="T1006">
        <v>6.75</v>
      </c>
      <c r="U1006" s="7">
        <f t="shared" si="271"/>
        <v>968.09633043691986</v>
      </c>
      <c r="V1006" s="2">
        <f t="shared" si="275"/>
        <v>211.36366956308018</v>
      </c>
      <c r="W1006" s="9">
        <f t="shared" si="276"/>
        <v>0</v>
      </c>
      <c r="X1006" s="3">
        <v>140250</v>
      </c>
      <c r="Y1006" s="3">
        <f t="shared" si="277"/>
        <v>8230.1299014778488</v>
      </c>
      <c r="Z1006" s="7">
        <f t="shared" si="278"/>
        <v>968.09633043691986</v>
      </c>
      <c r="AA1006" s="2">
        <f t="shared" si="272"/>
        <v>211.36366956308018</v>
      </c>
      <c r="AB1006" s="8">
        <f t="shared" si="279"/>
        <v>0</v>
      </c>
      <c r="AC1006" s="10">
        <v>6.75</v>
      </c>
      <c r="AD1006" s="7">
        <f t="shared" si="280"/>
        <v>968.09633043691986</v>
      </c>
      <c r="AE1006" s="2">
        <f t="shared" si="281"/>
        <v>211.36366956308018</v>
      </c>
      <c r="AF1006" s="10">
        <v>0</v>
      </c>
      <c r="AG1006" s="3">
        <f t="shared" si="282"/>
        <v>0</v>
      </c>
      <c r="AH1006" s="7">
        <v>0</v>
      </c>
      <c r="AI1006">
        <f t="shared" si="283"/>
        <v>360</v>
      </c>
      <c r="AJ1006" t="e">
        <f>VLOOKUP(A1006,'Borrower Details'!$A$1:$H$1493,8,FALSE)</f>
        <v>#N/A</v>
      </c>
      <c r="AK1006" s="4" t="e">
        <f t="shared" si="284"/>
        <v>#N/A</v>
      </c>
      <c r="AL1006" s="10">
        <v>6.75</v>
      </c>
      <c r="AM1006" s="3">
        <f t="shared" si="285"/>
        <v>131896.41814999998</v>
      </c>
      <c r="AN1006">
        <v>6.75</v>
      </c>
      <c r="AO1006" s="7">
        <f t="shared" si="286"/>
        <v>910.43449845838529</v>
      </c>
      <c r="AP1006" s="2">
        <f t="shared" si="287"/>
        <v>269.02550154161474</v>
      </c>
    </row>
    <row r="1007" spans="1:42" x14ac:dyDescent="0.15">
      <c r="A1007" s="8">
        <v>411031586</v>
      </c>
      <c r="B1007" t="s">
        <v>35</v>
      </c>
      <c r="C1007" t="s">
        <v>16</v>
      </c>
      <c r="D1007" s="1">
        <v>39407</v>
      </c>
      <c r="E1007" s="2">
        <v>145000</v>
      </c>
      <c r="F1007" s="2">
        <v>108750</v>
      </c>
      <c r="G1007" t="s">
        <v>20</v>
      </c>
      <c r="H1007" s="2">
        <v>864.06</v>
      </c>
      <c r="I1007" s="2">
        <v>108642.1</v>
      </c>
      <c r="J1007">
        <v>9.2999999999999999E-2</v>
      </c>
      <c r="K1007">
        <v>5</v>
      </c>
      <c r="L1007">
        <v>355</v>
      </c>
      <c r="M1007" t="str">
        <f t="shared" si="273"/>
        <v>30 Year Fixed</v>
      </c>
      <c r="N1007" s="2">
        <v>841.98</v>
      </c>
      <c r="O1007" t="str">
        <f t="shared" si="270"/>
        <v>Cash Out</v>
      </c>
      <c r="P1007" s="3">
        <f t="shared" si="274"/>
        <v>12786.471428571429</v>
      </c>
      <c r="Q1007" s="4">
        <v>123250</v>
      </c>
      <c r="R1007" s="4" t="s">
        <v>41</v>
      </c>
      <c r="S1007" s="6">
        <v>541</v>
      </c>
      <c r="T1007">
        <v>7.625</v>
      </c>
      <c r="U1007" s="7">
        <f t="shared" si="271"/>
        <v>923.70995904875599</v>
      </c>
      <c r="V1007" s="2">
        <f t="shared" si="275"/>
        <v>-59.649959048756045</v>
      </c>
      <c r="W1007" s="9">
        <f t="shared" si="276"/>
        <v>1</v>
      </c>
      <c r="X1007" s="3">
        <v>115220</v>
      </c>
      <c r="Y1007" s="3">
        <f t="shared" si="277"/>
        <v>4875.1413793103566</v>
      </c>
      <c r="Z1007" s="7">
        <f t="shared" si="278"/>
        <v>863.52828788314537</v>
      </c>
      <c r="AA1007" s="2">
        <f t="shared" si="272"/>
        <v>0.5317121168545782</v>
      </c>
      <c r="AB1007" s="8">
        <f t="shared" si="279"/>
        <v>1</v>
      </c>
      <c r="AC1007" s="10">
        <v>6.875</v>
      </c>
      <c r="AD1007" s="7">
        <f t="shared" si="280"/>
        <v>804.92171245026327</v>
      </c>
      <c r="AE1007" s="2">
        <f t="shared" si="281"/>
        <v>59.138287549736674</v>
      </c>
      <c r="AF1007" s="10">
        <v>1</v>
      </c>
      <c r="AG1007" s="3">
        <f t="shared" si="282"/>
        <v>1152.2</v>
      </c>
      <c r="AH1007" s="7">
        <v>5056.875</v>
      </c>
      <c r="AI1007">
        <f t="shared" si="283"/>
        <v>360</v>
      </c>
      <c r="AJ1007" t="e">
        <f>VLOOKUP(A1007,'Borrower Details'!$A$1:$H$1493,8,FALSE)</f>
        <v>#N/A</v>
      </c>
      <c r="AK1007" s="4" t="e">
        <f t="shared" si="284"/>
        <v>#N/A</v>
      </c>
      <c r="AL1007" s="10">
        <v>7.625</v>
      </c>
      <c r="AM1007" s="3">
        <f t="shared" si="285"/>
        <v>110271.73149999999</v>
      </c>
      <c r="AN1007">
        <v>7.625</v>
      </c>
      <c r="AO1007" s="7">
        <f t="shared" si="286"/>
        <v>826.44297434564237</v>
      </c>
      <c r="AP1007" s="2">
        <f t="shared" si="287"/>
        <v>37.617025654357576</v>
      </c>
    </row>
    <row r="1008" spans="1:42" x14ac:dyDescent="0.15">
      <c r="A1008" s="8">
        <v>1154415</v>
      </c>
      <c r="B1008" t="s">
        <v>36</v>
      </c>
      <c r="C1008" t="s">
        <v>19</v>
      </c>
      <c r="D1008" s="1">
        <v>39181</v>
      </c>
      <c r="E1008" s="2">
        <v>530000</v>
      </c>
      <c r="F1008" s="2">
        <v>450500</v>
      </c>
      <c r="G1008" t="s">
        <v>15</v>
      </c>
      <c r="H1008" s="2">
        <v>3077.83</v>
      </c>
      <c r="I1008" s="2">
        <v>446199.71</v>
      </c>
      <c r="J1008">
        <v>8.0500000000000002E-2</v>
      </c>
      <c r="K1008">
        <v>12</v>
      </c>
      <c r="L1008">
        <v>348</v>
      </c>
      <c r="M1008" t="str">
        <f t="shared" si="273"/>
        <v>30 Year Fixed</v>
      </c>
      <c r="N1008" s="2">
        <v>2993.26</v>
      </c>
      <c r="O1008" t="str">
        <f t="shared" si="270"/>
        <v>Refi</v>
      </c>
      <c r="P1008" s="3">
        <f t="shared" si="274"/>
        <v>0</v>
      </c>
      <c r="Q1008" s="4">
        <v>452893</v>
      </c>
      <c r="R1008" s="4" t="s">
        <v>41</v>
      </c>
      <c r="S1008" s="6">
        <v>564</v>
      </c>
      <c r="T1008">
        <v>7.625</v>
      </c>
      <c r="U1008" s="7">
        <f t="shared" si="271"/>
        <v>3394.2537483445699</v>
      </c>
      <c r="V1008" s="2">
        <f t="shared" si="275"/>
        <v>-316.42374834456996</v>
      </c>
      <c r="W1008" s="9">
        <f t="shared" si="276"/>
        <v>0</v>
      </c>
      <c r="X1008" s="3">
        <v>452893</v>
      </c>
      <c r="Y1008" s="3">
        <f t="shared" si="277"/>
        <v>0.2900000000372529</v>
      </c>
      <c r="Z1008" s="7">
        <f t="shared" si="278"/>
        <v>3394.2537483445699</v>
      </c>
      <c r="AA1008" s="2">
        <f t="shared" si="272"/>
        <v>-316.42374834456996</v>
      </c>
      <c r="AB1008" s="8">
        <f t="shared" si="279"/>
        <v>1</v>
      </c>
      <c r="AC1008" s="10">
        <v>6.875</v>
      </c>
      <c r="AD1008" s="7">
        <f t="shared" si="280"/>
        <v>3163.8900287861229</v>
      </c>
      <c r="AE1008" s="2">
        <f t="shared" si="281"/>
        <v>-86.060028786122984</v>
      </c>
      <c r="AF1008" s="10">
        <v>2</v>
      </c>
      <c r="AG1008" s="3">
        <f t="shared" si="282"/>
        <v>9057.86</v>
      </c>
      <c r="AH1008" s="7">
        <v>9010</v>
      </c>
      <c r="AI1008">
        <f t="shared" si="283"/>
        <v>360</v>
      </c>
      <c r="AJ1008" t="e">
        <f>VLOOKUP(A1008,'Borrower Details'!$A$1:$H$1493,8,FALSE)</f>
        <v>#N/A</v>
      </c>
      <c r="AK1008" s="4" t="e">
        <f t="shared" si="284"/>
        <v>#N/A</v>
      </c>
      <c r="AL1008" s="10">
        <v>7.625</v>
      </c>
      <c r="AM1008" s="3">
        <f t="shared" si="285"/>
        <v>452892.70564999996</v>
      </c>
      <c r="AN1008">
        <v>7.625</v>
      </c>
      <c r="AO1008" s="7">
        <f t="shared" si="286"/>
        <v>3394.2515423078439</v>
      </c>
      <c r="AP1008" s="2">
        <f t="shared" si="287"/>
        <v>-316.42154230784399</v>
      </c>
    </row>
    <row r="1009" spans="1:42" x14ac:dyDescent="0.15">
      <c r="A1009" s="8">
        <v>410941850</v>
      </c>
      <c r="B1009" t="s">
        <v>36</v>
      </c>
      <c r="C1009" t="s">
        <v>16</v>
      </c>
      <c r="D1009" s="1">
        <v>39343</v>
      </c>
      <c r="E1009" s="2">
        <v>329000</v>
      </c>
      <c r="F1009" s="2">
        <v>260000</v>
      </c>
      <c r="G1009" t="s">
        <v>17</v>
      </c>
      <c r="H1009" s="2">
        <v>2214.7399999999998</v>
      </c>
      <c r="I1009" s="2">
        <v>259111.44</v>
      </c>
      <c r="J1009">
        <v>9.6500000000000002E-2</v>
      </c>
      <c r="K1009">
        <v>7</v>
      </c>
      <c r="L1009">
        <v>353</v>
      </c>
      <c r="M1009" t="str">
        <f t="shared" si="273"/>
        <v>30 Year Fixed</v>
      </c>
      <c r="N1009" s="2">
        <v>2083.69</v>
      </c>
      <c r="O1009" t="str">
        <f t="shared" si="270"/>
        <v>Cash Out</v>
      </c>
      <c r="P1009" s="3">
        <f t="shared" si="274"/>
        <v>16405.801379310375</v>
      </c>
      <c r="Q1009" s="4">
        <v>279650</v>
      </c>
      <c r="R1009" s="4" t="s">
        <v>41</v>
      </c>
      <c r="S1009" s="6">
        <v>665</v>
      </c>
      <c r="T1009">
        <v>6.75</v>
      </c>
      <c r="U1009" s="7">
        <f t="shared" si="271"/>
        <v>1930.3254103863433</v>
      </c>
      <c r="V1009" s="2">
        <f t="shared" si="275"/>
        <v>284.41458961365652</v>
      </c>
      <c r="W1009" s="9">
        <f t="shared" si="276"/>
        <v>0</v>
      </c>
      <c r="X1009" s="3">
        <v>279650</v>
      </c>
      <c r="Y1009" s="3">
        <f t="shared" si="277"/>
        <v>16405.801379310375</v>
      </c>
      <c r="Z1009" s="7">
        <f t="shared" si="278"/>
        <v>1930.3254103863433</v>
      </c>
      <c r="AA1009" s="2">
        <f t="shared" si="272"/>
        <v>284.41458961365652</v>
      </c>
      <c r="AB1009" s="8">
        <f t="shared" si="279"/>
        <v>0</v>
      </c>
      <c r="AC1009" s="10">
        <v>6.75</v>
      </c>
      <c r="AD1009" s="7">
        <f t="shared" si="280"/>
        <v>1930.3254103863433</v>
      </c>
      <c r="AE1009" s="2">
        <f t="shared" si="281"/>
        <v>284.41458961365652</v>
      </c>
      <c r="AF1009" s="10">
        <v>0</v>
      </c>
      <c r="AG1009" s="3">
        <f t="shared" si="282"/>
        <v>0</v>
      </c>
      <c r="AH1009" s="7">
        <v>5200</v>
      </c>
      <c r="AI1009">
        <f t="shared" si="283"/>
        <v>360</v>
      </c>
      <c r="AJ1009" t="e">
        <f>VLOOKUP(A1009,'Borrower Details'!$A$1:$H$1493,8,FALSE)</f>
        <v>#N/A</v>
      </c>
      <c r="AK1009" s="4" t="e">
        <f t="shared" si="284"/>
        <v>#N/A</v>
      </c>
      <c r="AL1009" s="10">
        <v>6.75</v>
      </c>
      <c r="AM1009" s="3">
        <f t="shared" si="285"/>
        <v>262998.1116</v>
      </c>
      <c r="AN1009">
        <v>6.75</v>
      </c>
      <c r="AO1009" s="7">
        <f t="shared" si="286"/>
        <v>1815.3832923479467</v>
      </c>
      <c r="AP1009" s="2">
        <f t="shared" si="287"/>
        <v>399.35670765205305</v>
      </c>
    </row>
    <row r="1010" spans="1:42" x14ac:dyDescent="0.15">
      <c r="A1010" s="8">
        <v>410964662</v>
      </c>
      <c r="B1010" t="s">
        <v>36</v>
      </c>
      <c r="C1010" t="s">
        <v>16</v>
      </c>
      <c r="D1010" s="1">
        <v>39384</v>
      </c>
      <c r="E1010" s="2">
        <v>178000</v>
      </c>
      <c r="F1010" s="2">
        <v>93260</v>
      </c>
      <c r="G1010" t="s">
        <v>17</v>
      </c>
      <c r="H1010" s="2">
        <v>832.24</v>
      </c>
      <c r="I1010" s="2">
        <v>92989.94</v>
      </c>
      <c r="J1010">
        <v>0.10199999999999999</v>
      </c>
      <c r="K1010">
        <v>6</v>
      </c>
      <c r="L1010">
        <v>354</v>
      </c>
      <c r="M1010" t="str">
        <f t="shared" si="273"/>
        <v>30 Year Fixed</v>
      </c>
      <c r="N1010" s="2">
        <v>790.41</v>
      </c>
      <c r="O1010" t="str">
        <f t="shared" si="270"/>
        <v>Cash Out</v>
      </c>
      <c r="P1010" s="3">
        <f t="shared" si="274"/>
        <v>56074.099408867012</v>
      </c>
      <c r="Q1010" s="4">
        <v>151300</v>
      </c>
      <c r="R1010" s="4" t="s">
        <v>41</v>
      </c>
      <c r="S1010" s="6">
        <v>540</v>
      </c>
      <c r="T1010">
        <v>7.625</v>
      </c>
      <c r="U1010" s="7">
        <f t="shared" si="271"/>
        <v>1133.9336049012315</v>
      </c>
      <c r="V1010" s="2">
        <f t="shared" si="275"/>
        <v>-301.69360490123154</v>
      </c>
      <c r="W1010" s="9">
        <f t="shared" si="276"/>
        <v>1</v>
      </c>
      <c r="X1010" s="3">
        <v>110970</v>
      </c>
      <c r="Y1010" s="3">
        <f t="shared" si="277"/>
        <v>16340.109261083751</v>
      </c>
      <c r="Z1010" s="7">
        <f t="shared" si="278"/>
        <v>831.67622032973998</v>
      </c>
      <c r="AA1010" s="2">
        <f t="shared" si="272"/>
        <v>0.56377967026003262</v>
      </c>
      <c r="AB1010" s="8">
        <f t="shared" si="279"/>
        <v>0</v>
      </c>
      <c r="AC1010" s="10">
        <v>7.625</v>
      </c>
      <c r="AD1010" s="7">
        <f t="shared" si="280"/>
        <v>831.67622032973998</v>
      </c>
      <c r="AE1010" s="2">
        <f t="shared" si="281"/>
        <v>0.56377967026003262</v>
      </c>
      <c r="AF1010" s="10">
        <v>0</v>
      </c>
      <c r="AG1010" s="3">
        <f t="shared" si="282"/>
        <v>0</v>
      </c>
      <c r="AH1010" s="7">
        <v>1865.2</v>
      </c>
      <c r="AI1010">
        <f t="shared" si="283"/>
        <v>360</v>
      </c>
      <c r="AJ1010" t="e">
        <f>VLOOKUP(A1010,'Borrower Details'!$A$1:$H$1493,8,FALSE)</f>
        <v>#N/A</v>
      </c>
      <c r="AK1010" s="4" t="e">
        <f t="shared" si="284"/>
        <v>#N/A</v>
      </c>
      <c r="AL1010" s="10">
        <v>7.625</v>
      </c>
      <c r="AM1010" s="3">
        <f t="shared" si="285"/>
        <v>94384.789099999995</v>
      </c>
      <c r="AN1010">
        <v>7.625</v>
      </c>
      <c r="AO1010" s="7">
        <f t="shared" si="286"/>
        <v>707.37663021814581</v>
      </c>
      <c r="AP1010" s="2">
        <f t="shared" si="287"/>
        <v>124.8633697818542</v>
      </c>
    </row>
    <row r="1011" spans="1:42" x14ac:dyDescent="0.15">
      <c r="A1011" s="8">
        <v>411254014</v>
      </c>
      <c r="B1011" t="s">
        <v>36</v>
      </c>
      <c r="C1011" t="s">
        <v>16</v>
      </c>
      <c r="D1011" s="1">
        <v>39504</v>
      </c>
      <c r="E1011" s="2">
        <v>137500</v>
      </c>
      <c r="F1011" s="2">
        <v>123750</v>
      </c>
      <c r="G1011" t="s">
        <v>17</v>
      </c>
      <c r="H1011" s="2">
        <v>1063.21</v>
      </c>
      <c r="I1011" s="2">
        <v>123634.03</v>
      </c>
      <c r="J1011">
        <v>9.7500000000000003E-2</v>
      </c>
      <c r="K1011">
        <v>2</v>
      </c>
      <c r="L1011">
        <v>358</v>
      </c>
      <c r="M1011" t="str">
        <f t="shared" si="273"/>
        <v>30 Year Fixed</v>
      </c>
      <c r="N1011" s="2">
        <v>1004.53</v>
      </c>
      <c r="O1011" t="str">
        <f t="shared" si="270"/>
        <v>Refi</v>
      </c>
      <c r="P1011" s="3">
        <f t="shared" si="274"/>
        <v>0</v>
      </c>
      <c r="Q1011" s="4">
        <v>125489</v>
      </c>
      <c r="R1011" s="4" t="s">
        <v>41</v>
      </c>
      <c r="S1011" s="6">
        <v>643</v>
      </c>
      <c r="T1011">
        <v>6.75</v>
      </c>
      <c r="U1011" s="7">
        <f t="shared" si="271"/>
        <v>866.20634873581923</v>
      </c>
      <c r="V1011" s="2">
        <f t="shared" si="275"/>
        <v>197.0036512641808</v>
      </c>
      <c r="W1011" s="9">
        <f t="shared" si="276"/>
        <v>0</v>
      </c>
      <c r="X1011" s="3">
        <v>125489</v>
      </c>
      <c r="Y1011" s="3">
        <f t="shared" si="277"/>
        <v>0.45275862069684081</v>
      </c>
      <c r="Z1011" s="7">
        <f t="shared" si="278"/>
        <v>866.20634873581923</v>
      </c>
      <c r="AA1011" s="2">
        <f t="shared" si="272"/>
        <v>197.0036512641808</v>
      </c>
      <c r="AB1011" s="8">
        <f t="shared" si="279"/>
        <v>0</v>
      </c>
      <c r="AC1011" s="10">
        <v>6.75</v>
      </c>
      <c r="AD1011" s="7">
        <f t="shared" si="280"/>
        <v>866.20634873581923</v>
      </c>
      <c r="AE1011" s="2">
        <f t="shared" si="281"/>
        <v>197.0036512641808</v>
      </c>
      <c r="AF1011" s="10">
        <v>0</v>
      </c>
      <c r="AG1011" s="3">
        <f t="shared" si="282"/>
        <v>0</v>
      </c>
      <c r="AH1011" s="7">
        <v>2475</v>
      </c>
      <c r="AI1011">
        <f t="shared" si="283"/>
        <v>360</v>
      </c>
      <c r="AJ1011" t="e">
        <f>VLOOKUP(A1011,'Borrower Details'!$A$1:$H$1493,8,FALSE)</f>
        <v>#N/A</v>
      </c>
      <c r="AK1011" s="4" t="e">
        <f t="shared" si="284"/>
        <v>#N/A</v>
      </c>
      <c r="AL1011" s="10">
        <v>6.75</v>
      </c>
      <c r="AM1011" s="3">
        <f t="shared" si="285"/>
        <v>125488.54044999999</v>
      </c>
      <c r="AN1011">
        <v>6.75</v>
      </c>
      <c r="AO1011" s="7">
        <f t="shared" si="286"/>
        <v>866.20317662409968</v>
      </c>
      <c r="AP1011" s="2">
        <f t="shared" si="287"/>
        <v>197.00682337590035</v>
      </c>
    </row>
    <row r="1012" spans="1:42" x14ac:dyDescent="0.15">
      <c r="A1012" s="8">
        <v>1158076</v>
      </c>
      <c r="B1012" t="s">
        <v>35</v>
      </c>
      <c r="C1012" t="s">
        <v>16</v>
      </c>
      <c r="D1012" s="1">
        <v>39146</v>
      </c>
      <c r="E1012" s="2">
        <v>122000</v>
      </c>
      <c r="F1012" s="2">
        <v>108500</v>
      </c>
      <c r="G1012" t="s">
        <v>15</v>
      </c>
      <c r="H1012" s="2">
        <v>799.92</v>
      </c>
      <c r="I1012" s="2">
        <v>107524.45</v>
      </c>
      <c r="J1012">
        <v>8.0500000000000002E-2</v>
      </c>
      <c r="K1012">
        <v>13</v>
      </c>
      <c r="L1012">
        <v>347</v>
      </c>
      <c r="M1012" t="str">
        <f t="shared" si="273"/>
        <v>30 Year Fixed</v>
      </c>
      <c r="N1012" s="2">
        <v>721.31</v>
      </c>
      <c r="O1012" t="str">
        <f t="shared" si="270"/>
        <v>Refi</v>
      </c>
      <c r="P1012" s="3">
        <f t="shared" si="274"/>
        <v>0</v>
      </c>
      <c r="Q1012" s="4">
        <v>109137</v>
      </c>
      <c r="R1012" s="4" t="s">
        <v>41</v>
      </c>
      <c r="S1012" s="6">
        <v>634</v>
      </c>
      <c r="T1012">
        <v>6.75</v>
      </c>
      <c r="U1012" s="7">
        <f t="shared" si="271"/>
        <v>753.33425465165146</v>
      </c>
      <c r="V1012" s="2">
        <f t="shared" si="275"/>
        <v>46.585745348348496</v>
      </c>
      <c r="W1012" s="9">
        <f t="shared" si="276"/>
        <v>0</v>
      </c>
      <c r="X1012" s="3">
        <v>109137</v>
      </c>
      <c r="Y1012" s="3">
        <f t="shared" si="277"/>
        <v>-0.31206896550429519</v>
      </c>
      <c r="Z1012" s="7">
        <f t="shared" si="278"/>
        <v>753.33425465165146</v>
      </c>
      <c r="AA1012" s="2">
        <f t="shared" si="272"/>
        <v>46.585745348348496</v>
      </c>
      <c r="AB1012" s="8">
        <f t="shared" si="279"/>
        <v>1</v>
      </c>
      <c r="AC1012" s="10">
        <v>6.125</v>
      </c>
      <c r="AD1012" s="7">
        <f t="shared" si="280"/>
        <v>708.60166458217725</v>
      </c>
      <c r="AE1012" s="2">
        <f t="shared" si="281"/>
        <v>91.318335417822709</v>
      </c>
      <c r="AF1012" s="10">
        <v>3</v>
      </c>
      <c r="AG1012" s="3">
        <f t="shared" si="282"/>
        <v>3274.11</v>
      </c>
      <c r="AH1012" s="7">
        <v>4367.125</v>
      </c>
      <c r="AI1012">
        <f t="shared" si="283"/>
        <v>360</v>
      </c>
      <c r="AJ1012" t="e">
        <f>VLOOKUP(A1012,'Borrower Details'!$A$1:$H$1493,8,FALSE)</f>
        <v>#N/A</v>
      </c>
      <c r="AK1012" s="4" t="e">
        <f t="shared" si="284"/>
        <v>#N/A</v>
      </c>
      <c r="AL1012" s="10">
        <v>6.75</v>
      </c>
      <c r="AM1012" s="3">
        <f t="shared" si="285"/>
        <v>109137.31674999998</v>
      </c>
      <c r="AN1012">
        <v>6.75</v>
      </c>
      <c r="AO1012" s="7">
        <f t="shared" si="286"/>
        <v>753.33644106528891</v>
      </c>
      <c r="AP1012" s="2">
        <f t="shared" si="287"/>
        <v>46.58355893471105</v>
      </c>
    </row>
    <row r="1013" spans="1:42" x14ac:dyDescent="0.15">
      <c r="A1013" s="8">
        <v>1157523</v>
      </c>
      <c r="B1013" t="s">
        <v>37</v>
      </c>
      <c r="C1013" t="s">
        <v>19</v>
      </c>
      <c r="D1013" s="1">
        <v>39147</v>
      </c>
      <c r="E1013" s="2">
        <v>63000</v>
      </c>
      <c r="F1013" s="2">
        <v>50400</v>
      </c>
      <c r="G1013" t="s">
        <v>15</v>
      </c>
      <c r="H1013" s="2">
        <v>442.3</v>
      </c>
      <c r="I1013" s="2">
        <v>50082.48</v>
      </c>
      <c r="J1013">
        <v>0.1</v>
      </c>
      <c r="K1013">
        <v>13</v>
      </c>
      <c r="L1013">
        <v>347</v>
      </c>
      <c r="M1013" t="str">
        <f t="shared" si="273"/>
        <v>30 Year Fixed</v>
      </c>
      <c r="N1013" s="2">
        <v>417.35</v>
      </c>
      <c r="O1013" t="str">
        <f t="shared" si="270"/>
        <v>Cash Out</v>
      </c>
      <c r="P1013" s="3">
        <f t="shared" si="274"/>
        <v>2676.1406896551707</v>
      </c>
      <c r="Q1013" s="4">
        <v>53550</v>
      </c>
      <c r="R1013" s="4" t="s">
        <v>41</v>
      </c>
      <c r="S1013" s="6">
        <v>509</v>
      </c>
      <c r="T1013">
        <v>7.625</v>
      </c>
      <c r="U1013" s="7">
        <f t="shared" si="271"/>
        <v>401.33605117290779</v>
      </c>
      <c r="V1013" s="2">
        <f t="shared" si="275"/>
        <v>40.963948827092224</v>
      </c>
      <c r="W1013" s="9">
        <f t="shared" si="276"/>
        <v>0</v>
      </c>
      <c r="X1013" s="3">
        <v>53550</v>
      </c>
      <c r="Y1013" s="3">
        <f t="shared" si="277"/>
        <v>2676.1406896551707</v>
      </c>
      <c r="Z1013" s="7">
        <f t="shared" si="278"/>
        <v>401.33605117290779</v>
      </c>
      <c r="AA1013" s="2">
        <f t="shared" si="272"/>
        <v>40.963948827092224</v>
      </c>
      <c r="AB1013" s="8">
        <f t="shared" si="279"/>
        <v>0</v>
      </c>
      <c r="AC1013" s="10">
        <v>7.625</v>
      </c>
      <c r="AD1013" s="7">
        <f t="shared" si="280"/>
        <v>401.33605117290779</v>
      </c>
      <c r="AE1013" s="2">
        <f t="shared" si="281"/>
        <v>40.963948827092224</v>
      </c>
      <c r="AF1013" s="10">
        <v>0</v>
      </c>
      <c r="AG1013" s="3">
        <f t="shared" si="282"/>
        <v>0</v>
      </c>
      <c r="AH1013" s="7">
        <v>0</v>
      </c>
      <c r="AI1013">
        <f t="shared" si="283"/>
        <v>360</v>
      </c>
      <c r="AJ1013" t="e">
        <f>VLOOKUP(A1013,'Borrower Details'!$A$1:$H$1493,8,FALSE)</f>
        <v>#N/A</v>
      </c>
      <c r="AK1013" s="4" t="e">
        <f t="shared" si="284"/>
        <v>#N/A</v>
      </c>
      <c r="AL1013" s="10">
        <v>7.625</v>
      </c>
      <c r="AM1013" s="3">
        <f t="shared" si="285"/>
        <v>50833.717199999999</v>
      </c>
      <c r="AN1013">
        <v>7.625</v>
      </c>
      <c r="AO1013" s="7">
        <f t="shared" si="286"/>
        <v>380.97858688120118</v>
      </c>
      <c r="AP1013" s="2">
        <f t="shared" si="287"/>
        <v>61.32141311879883</v>
      </c>
    </row>
    <row r="1014" spans="1:42" x14ac:dyDescent="0.15">
      <c r="A1014" s="8">
        <v>1148378</v>
      </c>
      <c r="B1014" t="s">
        <v>36</v>
      </c>
      <c r="C1014" t="s">
        <v>19</v>
      </c>
      <c r="D1014" s="1">
        <v>39146</v>
      </c>
      <c r="E1014" s="2">
        <v>425000</v>
      </c>
      <c r="F1014" s="2">
        <v>403750</v>
      </c>
      <c r="G1014" t="s">
        <v>15</v>
      </c>
      <c r="H1014" s="2">
        <v>2739.4</v>
      </c>
      <c r="I1014" s="2">
        <v>403002.84</v>
      </c>
      <c r="J1014">
        <v>7.9899999999999999E-2</v>
      </c>
      <c r="K1014">
        <v>14</v>
      </c>
      <c r="L1014">
        <v>346</v>
      </c>
      <c r="M1014" t="str">
        <f t="shared" si="273"/>
        <v>30 Year Fixed</v>
      </c>
      <c r="N1014" s="2">
        <v>2683.33</v>
      </c>
      <c r="O1014" t="str">
        <f t="shared" si="270"/>
        <v>Refi</v>
      </c>
      <c r="P1014" s="3">
        <f t="shared" si="274"/>
        <v>0</v>
      </c>
      <c r="Q1014" s="4">
        <v>409048</v>
      </c>
      <c r="R1014" s="4" t="s">
        <v>41</v>
      </c>
      <c r="S1014" s="6">
        <v>617</v>
      </c>
      <c r="T1014">
        <v>7.625</v>
      </c>
      <c r="U1014" s="7">
        <f t="shared" si="271"/>
        <v>3065.6528302553797</v>
      </c>
      <c r="V1014" s="2">
        <f t="shared" si="275"/>
        <v>-326.25283025537965</v>
      </c>
      <c r="W1014" s="9">
        <f t="shared" si="276"/>
        <v>0</v>
      </c>
      <c r="X1014" s="3">
        <v>409048</v>
      </c>
      <c r="Y1014" s="3">
        <f t="shared" si="277"/>
        <v>0.11566502467030659</v>
      </c>
      <c r="Z1014" s="7">
        <f t="shared" si="278"/>
        <v>3065.6528302553797</v>
      </c>
      <c r="AA1014" s="2">
        <f t="shared" si="272"/>
        <v>-326.25283025537965</v>
      </c>
      <c r="AB1014" s="8">
        <f t="shared" si="279"/>
        <v>1</v>
      </c>
      <c r="AC1014" s="10">
        <v>6.875</v>
      </c>
      <c r="AD1014" s="7">
        <f t="shared" si="280"/>
        <v>2857.5908404300926</v>
      </c>
      <c r="AE1014" s="2">
        <f t="shared" si="281"/>
        <v>-118.19084043009252</v>
      </c>
      <c r="AF1014" s="10">
        <v>1</v>
      </c>
      <c r="AG1014" s="3">
        <f t="shared" si="282"/>
        <v>4090.48</v>
      </c>
      <c r="AH1014" s="7">
        <v>8075</v>
      </c>
      <c r="AI1014">
        <f t="shared" si="283"/>
        <v>360</v>
      </c>
      <c r="AJ1014" t="e">
        <f>VLOOKUP(A1014,'Borrower Details'!$A$1:$H$1493,8,FALSE)</f>
        <v>#N/A</v>
      </c>
      <c r="AK1014" s="4" t="e">
        <f t="shared" si="284"/>
        <v>#N/A</v>
      </c>
      <c r="AL1014" s="10">
        <v>7.625</v>
      </c>
      <c r="AM1014" s="3">
        <f t="shared" si="285"/>
        <v>409047.88260000001</v>
      </c>
      <c r="AN1014">
        <v>7.625</v>
      </c>
      <c r="AO1014" s="7">
        <f t="shared" si="286"/>
        <v>3065.6519503888549</v>
      </c>
      <c r="AP1014" s="2">
        <f t="shared" si="287"/>
        <v>-326.25195038885477</v>
      </c>
    </row>
    <row r="1015" spans="1:42" x14ac:dyDescent="0.15">
      <c r="A1015" s="8">
        <v>1157165</v>
      </c>
      <c r="B1015" t="s">
        <v>35</v>
      </c>
      <c r="C1015" t="s">
        <v>16</v>
      </c>
      <c r="D1015" s="1">
        <v>39140</v>
      </c>
      <c r="E1015" s="2">
        <v>136000</v>
      </c>
      <c r="F1015" s="2">
        <v>129200</v>
      </c>
      <c r="G1015" t="s">
        <v>17</v>
      </c>
      <c r="H1015" s="2">
        <v>1132.8699999999999</v>
      </c>
      <c r="I1015" s="2">
        <v>128022.66</v>
      </c>
      <c r="J1015">
        <v>9.9900000000000003E-2</v>
      </c>
      <c r="K1015">
        <v>14</v>
      </c>
      <c r="L1015">
        <v>346</v>
      </c>
      <c r="M1015" t="str">
        <f t="shared" si="273"/>
        <v>30 Year Fixed</v>
      </c>
      <c r="N1015" s="2">
        <v>1065.79</v>
      </c>
      <c r="O1015" t="str">
        <f t="shared" si="270"/>
        <v>Refi</v>
      </c>
      <c r="P1015" s="3">
        <f t="shared" si="274"/>
        <v>0</v>
      </c>
      <c r="Q1015" s="4">
        <v>129943</v>
      </c>
      <c r="R1015" s="4" t="s">
        <v>41</v>
      </c>
      <c r="S1015" s="6">
        <v>591</v>
      </c>
      <c r="T1015">
        <v>7.375</v>
      </c>
      <c r="U1015" s="7">
        <f t="shared" si="271"/>
        <v>951.6269237090753</v>
      </c>
      <c r="V1015" s="2">
        <f t="shared" si="275"/>
        <v>181.24307629092459</v>
      </c>
      <c r="W1015" s="9">
        <f t="shared" si="276"/>
        <v>0</v>
      </c>
      <c r="X1015" s="3">
        <v>129943</v>
      </c>
      <c r="Y1015" s="3">
        <f t="shared" si="277"/>
        <v>9.8522170446813107E-5</v>
      </c>
      <c r="Z1015" s="7">
        <f t="shared" si="278"/>
        <v>951.6269237090753</v>
      </c>
      <c r="AA1015" s="2">
        <f t="shared" si="272"/>
        <v>181.24307629092459</v>
      </c>
      <c r="AB1015" s="8">
        <f t="shared" si="279"/>
        <v>0</v>
      </c>
      <c r="AC1015" s="10">
        <v>7.375</v>
      </c>
      <c r="AD1015" s="7">
        <f t="shared" si="280"/>
        <v>951.6269237090753</v>
      </c>
      <c r="AE1015" s="2">
        <f t="shared" si="281"/>
        <v>181.24307629092459</v>
      </c>
      <c r="AF1015" s="10">
        <v>0</v>
      </c>
      <c r="AG1015" s="3">
        <f t="shared" si="282"/>
        <v>0</v>
      </c>
      <c r="AH1015" s="7">
        <v>6453.54</v>
      </c>
      <c r="AI1015">
        <f t="shared" si="283"/>
        <v>360</v>
      </c>
      <c r="AJ1015" t="e">
        <f>VLOOKUP(A1015,'Borrower Details'!$A$1:$H$1493,8,FALSE)</f>
        <v>#N/A</v>
      </c>
      <c r="AK1015" s="4" t="e">
        <f t="shared" si="284"/>
        <v>#N/A</v>
      </c>
      <c r="AL1015" s="10">
        <v>7.375</v>
      </c>
      <c r="AM1015" s="3">
        <f t="shared" si="285"/>
        <v>129942.9999</v>
      </c>
      <c r="AN1015">
        <v>7.375</v>
      </c>
      <c r="AO1015" s="7">
        <f t="shared" si="286"/>
        <v>951.62692297673345</v>
      </c>
      <c r="AP1015" s="2">
        <f t="shared" si="287"/>
        <v>181.24307702326644</v>
      </c>
    </row>
    <row r="1016" spans="1:42" x14ac:dyDescent="0.15">
      <c r="A1016" s="8">
        <v>1156680</v>
      </c>
      <c r="B1016" t="s">
        <v>36</v>
      </c>
      <c r="C1016" t="s">
        <v>19</v>
      </c>
      <c r="D1016" s="1">
        <v>39174</v>
      </c>
      <c r="E1016" s="2">
        <v>139000</v>
      </c>
      <c r="F1016" s="2">
        <v>125100</v>
      </c>
      <c r="G1016" t="s">
        <v>15</v>
      </c>
      <c r="H1016" s="2">
        <v>1044.6600000000001</v>
      </c>
      <c r="I1016" s="2">
        <v>125023.46</v>
      </c>
      <c r="J1016">
        <v>9.9500000000000005E-2</v>
      </c>
      <c r="K1016">
        <v>12</v>
      </c>
      <c r="L1016">
        <v>350</v>
      </c>
      <c r="M1016" t="str">
        <f t="shared" si="273"/>
        <v>30 Year Fixed</v>
      </c>
      <c r="N1016" s="2">
        <v>1036.6500000000001</v>
      </c>
      <c r="O1016" t="str">
        <f t="shared" si="270"/>
        <v>Refi</v>
      </c>
      <c r="P1016" s="3">
        <f t="shared" si="274"/>
        <v>0</v>
      </c>
      <c r="Q1016" s="4">
        <v>126899</v>
      </c>
      <c r="R1016" s="4" t="s">
        <v>41</v>
      </c>
      <c r="S1016" s="6">
        <v>566</v>
      </c>
      <c r="T1016">
        <v>7.625</v>
      </c>
      <c r="U1016" s="7">
        <f t="shared" si="271"/>
        <v>951.05776951990345</v>
      </c>
      <c r="V1016" s="2">
        <f t="shared" si="275"/>
        <v>93.602230480096637</v>
      </c>
      <c r="W1016" s="9">
        <f t="shared" si="276"/>
        <v>0</v>
      </c>
      <c r="X1016" s="3">
        <v>126899</v>
      </c>
      <c r="Y1016" s="3">
        <f t="shared" si="277"/>
        <v>0.18532019705162384</v>
      </c>
      <c r="Z1016" s="7">
        <f t="shared" si="278"/>
        <v>951.05776951990345</v>
      </c>
      <c r="AA1016" s="2">
        <f t="shared" si="272"/>
        <v>93.602230480096637</v>
      </c>
      <c r="AB1016" s="8">
        <f t="shared" si="279"/>
        <v>0</v>
      </c>
      <c r="AC1016" s="10">
        <v>7.625</v>
      </c>
      <c r="AD1016" s="7">
        <f t="shared" si="280"/>
        <v>951.05776951990345</v>
      </c>
      <c r="AE1016" s="2">
        <f t="shared" si="281"/>
        <v>93.602230480096637</v>
      </c>
      <c r="AF1016" s="10">
        <v>0</v>
      </c>
      <c r="AG1016" s="3">
        <f t="shared" si="282"/>
        <v>0</v>
      </c>
      <c r="AH1016" s="7">
        <v>2502</v>
      </c>
      <c r="AI1016">
        <f t="shared" si="283"/>
        <v>360</v>
      </c>
      <c r="AJ1016" t="e">
        <f>VLOOKUP(A1016,'Borrower Details'!$A$1:$H$1493,8,FALSE)</f>
        <v>#N/A</v>
      </c>
      <c r="AK1016" s="4" t="e">
        <f t="shared" si="284"/>
        <v>#N/A</v>
      </c>
      <c r="AL1016" s="10">
        <v>7.625</v>
      </c>
      <c r="AM1016" s="3">
        <f t="shared" si="285"/>
        <v>126898.8119</v>
      </c>
      <c r="AN1016">
        <v>7.625</v>
      </c>
      <c r="AO1016" s="7">
        <f t="shared" si="286"/>
        <v>951.05635978486646</v>
      </c>
      <c r="AP1016" s="2">
        <f t="shared" si="287"/>
        <v>93.603640215133623</v>
      </c>
    </row>
    <row r="1017" spans="1:42" x14ac:dyDescent="0.15">
      <c r="A1017" s="8">
        <v>410162515</v>
      </c>
      <c r="B1017" t="s">
        <v>36</v>
      </c>
      <c r="C1017" t="s">
        <v>19</v>
      </c>
      <c r="D1017" s="1">
        <v>39202</v>
      </c>
      <c r="E1017" s="2">
        <v>290000</v>
      </c>
      <c r="F1017" s="2">
        <v>246500</v>
      </c>
      <c r="G1017" t="s">
        <v>17</v>
      </c>
      <c r="H1017" s="2">
        <v>1807.02</v>
      </c>
      <c r="I1017" s="2">
        <v>244257.17</v>
      </c>
      <c r="J1017">
        <v>7.9899999999999999E-2</v>
      </c>
      <c r="K1017">
        <v>12</v>
      </c>
      <c r="L1017">
        <v>347</v>
      </c>
      <c r="M1017" t="str">
        <f t="shared" si="273"/>
        <v>30 Year Fixed</v>
      </c>
      <c r="N1017" s="2">
        <v>1627.54</v>
      </c>
      <c r="O1017" t="str">
        <f t="shared" si="270"/>
        <v>Refi</v>
      </c>
      <c r="P1017" s="3">
        <f t="shared" si="274"/>
        <v>0</v>
      </c>
      <c r="Q1017" s="4">
        <v>247921</v>
      </c>
      <c r="R1017" s="4" t="s">
        <v>41</v>
      </c>
      <c r="S1017" s="6">
        <v>636</v>
      </c>
      <c r="T1017">
        <v>6.75</v>
      </c>
      <c r="U1017" s="7">
        <f t="shared" si="271"/>
        <v>1711.311303659548</v>
      </c>
      <c r="V1017" s="2">
        <f t="shared" si="275"/>
        <v>95.708696340451979</v>
      </c>
      <c r="W1017" s="9">
        <f t="shared" si="276"/>
        <v>0</v>
      </c>
      <c r="X1017" s="3">
        <v>247921</v>
      </c>
      <c r="Y1017" s="3">
        <f t="shared" si="277"/>
        <v>-2.7142857143189758E-2</v>
      </c>
      <c r="Z1017" s="7">
        <f t="shared" si="278"/>
        <v>1711.311303659548</v>
      </c>
      <c r="AA1017" s="2">
        <f t="shared" si="272"/>
        <v>95.708696340451979</v>
      </c>
      <c r="AB1017" s="8">
        <f t="shared" si="279"/>
        <v>1</v>
      </c>
      <c r="AC1017" s="10">
        <v>6.125</v>
      </c>
      <c r="AD1017" s="7">
        <f t="shared" si="280"/>
        <v>1609.6945425005081</v>
      </c>
      <c r="AE1017" s="2">
        <f t="shared" si="281"/>
        <v>197.3254574994919</v>
      </c>
      <c r="AF1017" s="10">
        <v>3</v>
      </c>
      <c r="AG1017" s="3">
        <f t="shared" si="282"/>
        <v>7437.63</v>
      </c>
      <c r="AH1017" s="7">
        <v>4930</v>
      </c>
      <c r="AI1017">
        <f t="shared" si="283"/>
        <v>360</v>
      </c>
      <c r="AJ1017" t="e">
        <f>VLOOKUP(A1017,'Borrower Details'!$A$1:$H$1493,8,FALSE)</f>
        <v>#N/A</v>
      </c>
      <c r="AK1017" s="4" t="e">
        <f t="shared" si="284"/>
        <v>#N/A</v>
      </c>
      <c r="AL1017" s="10">
        <v>6.75</v>
      </c>
      <c r="AM1017" s="3">
        <f t="shared" si="285"/>
        <v>247921.02755</v>
      </c>
      <c r="AN1017">
        <v>6.75</v>
      </c>
      <c r="AO1017" s="7">
        <f t="shared" si="286"/>
        <v>1711.3114938274903</v>
      </c>
      <c r="AP1017" s="2">
        <f t="shared" si="287"/>
        <v>95.708506172509715</v>
      </c>
    </row>
    <row r="1018" spans="1:42" x14ac:dyDescent="0.15">
      <c r="A1018" s="8">
        <v>410517023</v>
      </c>
      <c r="B1018" t="s">
        <v>35</v>
      </c>
      <c r="C1018" t="s">
        <v>16</v>
      </c>
      <c r="D1018" s="1">
        <v>39268</v>
      </c>
      <c r="E1018" s="2">
        <v>167000</v>
      </c>
      <c r="F1018" s="2">
        <v>141950</v>
      </c>
      <c r="G1018" t="s">
        <v>17</v>
      </c>
      <c r="H1018" s="2">
        <v>1011.56</v>
      </c>
      <c r="I1018" s="2">
        <v>140969.75</v>
      </c>
      <c r="J1018">
        <v>7.6950000000000005E-2</v>
      </c>
      <c r="K1018">
        <v>9</v>
      </c>
      <c r="L1018">
        <v>351</v>
      </c>
      <c r="M1018" t="str">
        <f t="shared" si="273"/>
        <v>30 Year Fixed</v>
      </c>
      <c r="N1018" s="2">
        <v>903.97</v>
      </c>
      <c r="O1018" t="str">
        <f t="shared" si="270"/>
        <v>Refi</v>
      </c>
      <c r="P1018" s="3">
        <f t="shared" si="274"/>
        <v>0</v>
      </c>
      <c r="Q1018" s="4">
        <v>143084</v>
      </c>
      <c r="R1018" s="4" t="s">
        <v>41</v>
      </c>
      <c r="S1018" s="6">
        <v>683</v>
      </c>
      <c r="T1018">
        <v>6.75</v>
      </c>
      <c r="U1018" s="7">
        <f t="shared" si="271"/>
        <v>987.65843382699643</v>
      </c>
      <c r="V1018" s="2">
        <f t="shared" si="275"/>
        <v>23.901566173003516</v>
      </c>
      <c r="W1018" s="9">
        <f t="shared" si="276"/>
        <v>0</v>
      </c>
      <c r="X1018" s="3">
        <v>143085</v>
      </c>
      <c r="Y1018" s="3">
        <f t="shared" si="277"/>
        <v>0.69334975371020846</v>
      </c>
      <c r="Z1018" s="7">
        <f t="shared" si="278"/>
        <v>987.6653364746287</v>
      </c>
      <c r="AA1018" s="2">
        <f t="shared" si="272"/>
        <v>23.894663525371243</v>
      </c>
      <c r="AB1018" s="8">
        <f t="shared" si="279"/>
        <v>1</v>
      </c>
      <c r="AC1018" s="10">
        <v>6.125</v>
      </c>
      <c r="AD1018" s="7">
        <f t="shared" si="280"/>
        <v>929.01829055902965</v>
      </c>
      <c r="AE1018" s="2">
        <f t="shared" si="281"/>
        <v>82.541709440970294</v>
      </c>
      <c r="AF1018" s="10">
        <v>3</v>
      </c>
      <c r="AG1018" s="3">
        <f t="shared" si="282"/>
        <v>4292.55</v>
      </c>
      <c r="AH1018" s="7">
        <v>5461.5262499999999</v>
      </c>
      <c r="AI1018">
        <f t="shared" si="283"/>
        <v>360</v>
      </c>
      <c r="AJ1018" t="e">
        <f>VLOOKUP(A1018,'Borrower Details'!$A$1:$H$1493,8,FALSE)</f>
        <v>#N/A</v>
      </c>
      <c r="AK1018" s="4" t="e">
        <f t="shared" si="284"/>
        <v>#N/A</v>
      </c>
      <c r="AL1018" s="10">
        <v>6.75</v>
      </c>
      <c r="AM1018" s="3">
        <f t="shared" si="285"/>
        <v>143084.29624999998</v>
      </c>
      <c r="AN1018">
        <v>6.75</v>
      </c>
      <c r="AO1018" s="7">
        <f t="shared" si="286"/>
        <v>987.66047873635728</v>
      </c>
      <c r="AP1018" s="2">
        <f t="shared" si="287"/>
        <v>23.899521263642669</v>
      </c>
    </row>
    <row r="1019" spans="1:42" x14ac:dyDescent="0.15">
      <c r="A1019" s="8">
        <v>410204341</v>
      </c>
      <c r="B1019" t="s">
        <v>36</v>
      </c>
      <c r="C1019" t="s">
        <v>19</v>
      </c>
      <c r="D1019" s="1">
        <v>39223</v>
      </c>
      <c r="E1019" s="2">
        <v>660000</v>
      </c>
      <c r="F1019" s="2">
        <v>513700</v>
      </c>
      <c r="G1019" t="s">
        <v>17</v>
      </c>
      <c r="H1019" s="2">
        <v>3229.2</v>
      </c>
      <c r="I1019" s="2">
        <v>512936.41</v>
      </c>
      <c r="J1019">
        <v>7.3499999999999996E-2</v>
      </c>
      <c r="K1019">
        <v>11</v>
      </c>
      <c r="L1019">
        <v>351</v>
      </c>
      <c r="M1019" t="str">
        <f t="shared" si="273"/>
        <v>30 Year Fixed</v>
      </c>
      <c r="N1019" s="2">
        <v>3141.74</v>
      </c>
      <c r="O1019" t="str">
        <f t="shared" si="270"/>
        <v>Cash Out</v>
      </c>
      <c r="P1019" s="3">
        <f t="shared" si="274"/>
        <v>39772.949605911446</v>
      </c>
      <c r="Q1019" s="4">
        <v>561000</v>
      </c>
      <c r="R1019" s="4" t="s">
        <v>41</v>
      </c>
      <c r="S1019" s="6">
        <v>691</v>
      </c>
      <c r="T1019">
        <v>7.375</v>
      </c>
      <c r="U1019" s="7">
        <f t="shared" si="271"/>
        <v>4108.4375780210648</v>
      </c>
      <c r="V1019" s="2">
        <f t="shared" si="275"/>
        <v>-879.23757802106502</v>
      </c>
      <c r="W1019" s="9">
        <f t="shared" si="276"/>
        <v>1</v>
      </c>
      <c r="X1019" s="3">
        <v>520630</v>
      </c>
      <c r="Y1019" s="3">
        <f t="shared" si="277"/>
        <v>-0.44940886693075299</v>
      </c>
      <c r="Z1019" s="7">
        <f t="shared" si="278"/>
        <v>3812.7911876026865</v>
      </c>
      <c r="AA1019" s="2">
        <f t="shared" si="272"/>
        <v>-583.59118760268666</v>
      </c>
      <c r="AB1019" s="8">
        <f t="shared" si="279"/>
        <v>1</v>
      </c>
      <c r="AC1019" s="10">
        <v>6.625</v>
      </c>
      <c r="AD1019" s="7">
        <f t="shared" si="280"/>
        <v>3550.5801233120519</v>
      </c>
      <c r="AE1019" s="2">
        <f t="shared" si="281"/>
        <v>-321.38012331205209</v>
      </c>
      <c r="AF1019" s="10">
        <v>1.875</v>
      </c>
      <c r="AG1019" s="3">
        <f t="shared" si="282"/>
        <v>9761.8125</v>
      </c>
      <c r="AH1019" s="7">
        <v>10274</v>
      </c>
      <c r="AI1019">
        <f t="shared" si="283"/>
        <v>360</v>
      </c>
      <c r="AJ1019" t="e">
        <f>VLOOKUP(A1019,'Borrower Details'!$A$1:$H$1493,8,FALSE)</f>
        <v>#N/A</v>
      </c>
      <c r="AK1019" s="4" t="e">
        <f t="shared" si="284"/>
        <v>#N/A</v>
      </c>
      <c r="AL1019" s="10">
        <v>7.375</v>
      </c>
      <c r="AM1019" s="3">
        <f t="shared" si="285"/>
        <v>520630.45614999993</v>
      </c>
      <c r="AN1019">
        <v>7.375</v>
      </c>
      <c r="AO1019" s="7">
        <f t="shared" si="286"/>
        <v>3812.7945281798716</v>
      </c>
      <c r="AP1019" s="2">
        <f t="shared" si="287"/>
        <v>-583.59452817987176</v>
      </c>
    </row>
    <row r="1020" spans="1:42" x14ac:dyDescent="0.15">
      <c r="A1020" s="8">
        <v>1183423</v>
      </c>
      <c r="B1020" t="s">
        <v>37</v>
      </c>
      <c r="C1020" t="s">
        <v>18</v>
      </c>
      <c r="D1020" s="1">
        <v>39174</v>
      </c>
      <c r="E1020" s="2">
        <v>147000</v>
      </c>
      <c r="F1020" s="2">
        <v>124950</v>
      </c>
      <c r="G1020" t="s">
        <v>17</v>
      </c>
      <c r="H1020" s="2">
        <v>1110.4100000000001</v>
      </c>
      <c r="I1020" s="2">
        <v>124335.5</v>
      </c>
      <c r="J1020">
        <v>0.10150000000000001</v>
      </c>
      <c r="K1020">
        <v>12</v>
      </c>
      <c r="L1020">
        <v>349</v>
      </c>
      <c r="M1020" t="str">
        <f t="shared" si="273"/>
        <v>30 Year Fixed</v>
      </c>
      <c r="N1020" s="2">
        <v>1051.67</v>
      </c>
      <c r="O1020" t="str">
        <f t="shared" si="270"/>
        <v>Refi</v>
      </c>
      <c r="P1020" s="3">
        <f t="shared" si="274"/>
        <v>0</v>
      </c>
      <c r="Q1020" s="4">
        <v>126201</v>
      </c>
      <c r="R1020" s="4" t="s">
        <v>41</v>
      </c>
      <c r="S1020" s="6">
        <v>532</v>
      </c>
      <c r="T1020">
        <v>7.625</v>
      </c>
      <c r="U1020" s="7">
        <f t="shared" si="271"/>
        <v>945.82653583701472</v>
      </c>
      <c r="V1020" s="2">
        <f t="shared" si="275"/>
        <v>164.58346416298536</v>
      </c>
      <c r="W1020" s="9">
        <f t="shared" si="276"/>
        <v>0</v>
      </c>
      <c r="X1020" s="3">
        <v>126201</v>
      </c>
      <c r="Y1020" s="3">
        <f t="shared" si="277"/>
        <v>0.46059113301453181</v>
      </c>
      <c r="Z1020" s="7">
        <f t="shared" si="278"/>
        <v>945.82653583701472</v>
      </c>
      <c r="AA1020" s="2">
        <f t="shared" si="272"/>
        <v>164.58346416298536</v>
      </c>
      <c r="AB1020" s="8">
        <f t="shared" si="279"/>
        <v>0</v>
      </c>
      <c r="AC1020" s="10">
        <v>7.625</v>
      </c>
      <c r="AD1020" s="7">
        <f t="shared" si="280"/>
        <v>945.82653583701472</v>
      </c>
      <c r="AE1020" s="2">
        <f t="shared" si="281"/>
        <v>164.58346416298536</v>
      </c>
      <c r="AF1020" s="10">
        <v>0</v>
      </c>
      <c r="AG1020" s="3">
        <f t="shared" si="282"/>
        <v>0</v>
      </c>
      <c r="AH1020" s="7">
        <v>0</v>
      </c>
      <c r="AI1020">
        <f t="shared" si="283"/>
        <v>360</v>
      </c>
      <c r="AJ1020" t="e">
        <f>VLOOKUP(A1020,'Borrower Details'!$A$1:$H$1493,8,FALSE)</f>
        <v>#N/A</v>
      </c>
      <c r="AK1020" s="4" t="e">
        <f t="shared" si="284"/>
        <v>#N/A</v>
      </c>
      <c r="AL1020" s="10">
        <v>7.625</v>
      </c>
      <c r="AM1020" s="3">
        <f t="shared" si="285"/>
        <v>126200.53249999999</v>
      </c>
      <c r="AN1020">
        <v>7.625</v>
      </c>
      <c r="AO1020" s="7">
        <f t="shared" si="286"/>
        <v>945.82303210958366</v>
      </c>
      <c r="AP1020" s="2">
        <f t="shared" si="287"/>
        <v>164.58696789041642</v>
      </c>
    </row>
    <row r="1021" spans="1:42" x14ac:dyDescent="0.15">
      <c r="A1021" s="8">
        <v>1150340</v>
      </c>
      <c r="B1021" t="s">
        <v>35</v>
      </c>
      <c r="C1021" t="s">
        <v>16</v>
      </c>
      <c r="D1021" s="1">
        <v>39161</v>
      </c>
      <c r="E1021" s="2">
        <v>108000</v>
      </c>
      <c r="F1021" s="2">
        <v>80000</v>
      </c>
      <c r="G1021" t="s">
        <v>17</v>
      </c>
      <c r="H1021" s="2">
        <v>553.91</v>
      </c>
      <c r="I1021" s="2">
        <v>79182.710000000006</v>
      </c>
      <c r="J1021">
        <v>7.3999999999999996E-2</v>
      </c>
      <c r="K1021">
        <v>13</v>
      </c>
      <c r="L1021">
        <v>347</v>
      </c>
      <c r="M1021" t="str">
        <f t="shared" si="273"/>
        <v>30 Year Fixed</v>
      </c>
      <c r="N1021" s="2">
        <v>488.29</v>
      </c>
      <c r="O1021" t="str">
        <f t="shared" si="270"/>
        <v>Cash Out</v>
      </c>
      <c r="P1021" s="3">
        <f t="shared" si="274"/>
        <v>11260.639753694588</v>
      </c>
      <c r="Q1021" s="4">
        <v>91800</v>
      </c>
      <c r="R1021" s="4" t="s">
        <v>41</v>
      </c>
      <c r="S1021" s="6">
        <v>602</v>
      </c>
      <c r="T1021">
        <v>7</v>
      </c>
      <c r="U1021" s="7">
        <f t="shared" si="271"/>
        <v>648.99769057448964</v>
      </c>
      <c r="V1021" s="2">
        <f t="shared" si="275"/>
        <v>-95.08769057448967</v>
      </c>
      <c r="W1021" s="9">
        <f t="shared" si="276"/>
        <v>1</v>
      </c>
      <c r="X1021" s="3">
        <v>80371</v>
      </c>
      <c r="Y1021" s="3">
        <f t="shared" si="277"/>
        <v>0.54123152709507849</v>
      </c>
      <c r="Z1021" s="7">
        <f t="shared" si="278"/>
        <v>568.19818506712761</v>
      </c>
      <c r="AA1021" s="2">
        <f t="shared" si="272"/>
        <v>-14.288185067127642</v>
      </c>
      <c r="AB1021" s="8">
        <f t="shared" si="279"/>
        <v>1</v>
      </c>
      <c r="AC1021" s="10">
        <v>6.25</v>
      </c>
      <c r="AD1021" s="7">
        <f t="shared" si="280"/>
        <v>528.34598782136345</v>
      </c>
      <c r="AE1021" s="2">
        <f t="shared" si="281"/>
        <v>25.564012178636517</v>
      </c>
      <c r="AF1021" s="10">
        <v>2.75</v>
      </c>
      <c r="AG1021" s="3">
        <f t="shared" si="282"/>
        <v>2210.2024999999999</v>
      </c>
      <c r="AH1021" s="7">
        <v>2960</v>
      </c>
      <c r="AI1021">
        <f t="shared" si="283"/>
        <v>360</v>
      </c>
      <c r="AJ1021" t="e">
        <f>VLOOKUP(A1021,'Borrower Details'!$A$1:$H$1493,8,FALSE)</f>
        <v>#N/A</v>
      </c>
      <c r="AK1021" s="4" t="e">
        <f t="shared" si="284"/>
        <v>#N/A</v>
      </c>
      <c r="AL1021" s="10">
        <v>7</v>
      </c>
      <c r="AM1021" s="3">
        <f t="shared" si="285"/>
        <v>80370.450649999999</v>
      </c>
      <c r="AN1021">
        <v>7</v>
      </c>
      <c r="AO1021" s="7">
        <f t="shared" si="286"/>
        <v>568.19430133203696</v>
      </c>
      <c r="AP1021" s="2">
        <f t="shared" si="287"/>
        <v>-14.284301332036989</v>
      </c>
    </row>
    <row r="1022" spans="1:42" x14ac:dyDescent="0.15">
      <c r="A1022" s="8">
        <v>410163885</v>
      </c>
      <c r="B1022" t="s">
        <v>36</v>
      </c>
      <c r="C1022" t="s">
        <v>19</v>
      </c>
      <c r="D1022" s="1">
        <v>39202</v>
      </c>
      <c r="E1022" s="2">
        <v>640000</v>
      </c>
      <c r="F1022" s="2">
        <v>340000</v>
      </c>
      <c r="G1022" t="s">
        <v>17</v>
      </c>
      <c r="H1022" s="2">
        <v>2149.04</v>
      </c>
      <c r="I1022" s="2">
        <v>336199.62</v>
      </c>
      <c r="J1022">
        <v>6.5000000000000002E-2</v>
      </c>
      <c r="K1022">
        <v>12</v>
      </c>
      <c r="L1022">
        <v>348</v>
      </c>
      <c r="M1022" t="str">
        <f t="shared" si="273"/>
        <v>30 Year Fixed</v>
      </c>
      <c r="N1022" s="2">
        <v>1821.08</v>
      </c>
      <c r="O1022" t="str">
        <f t="shared" si="270"/>
        <v>Cash Out</v>
      </c>
      <c r="P1022" s="3">
        <f t="shared" si="274"/>
        <v>199760.97113300499</v>
      </c>
      <c r="Q1022" s="4">
        <v>544000</v>
      </c>
      <c r="R1022" s="4" t="s">
        <v>41</v>
      </c>
      <c r="S1022" s="6">
        <v>598</v>
      </c>
      <c r="T1022">
        <v>7.625</v>
      </c>
      <c r="U1022" s="7">
        <f t="shared" si="271"/>
        <v>4077.0646468358887</v>
      </c>
      <c r="V1022" s="2">
        <f t="shared" si="275"/>
        <v>-1928.0246468358887</v>
      </c>
      <c r="W1022" s="9">
        <f t="shared" si="276"/>
        <v>1</v>
      </c>
      <c r="X1022" s="3">
        <v>341243</v>
      </c>
      <c r="Y1022" s="3">
        <f t="shared" si="277"/>
        <v>0.38000000006286427</v>
      </c>
      <c r="Z1022" s="7">
        <f t="shared" si="278"/>
        <v>2499.0651772489168</v>
      </c>
      <c r="AA1022" s="2">
        <f t="shared" si="272"/>
        <v>-350.02517724891686</v>
      </c>
      <c r="AB1022" s="8">
        <f t="shared" si="279"/>
        <v>1</v>
      </c>
      <c r="AC1022" s="10">
        <v>6.625</v>
      </c>
      <c r="AD1022" s="7">
        <f t="shared" si="280"/>
        <v>2327.2009162348968</v>
      </c>
      <c r="AE1022" s="2">
        <f t="shared" si="281"/>
        <v>-178.16091623489683</v>
      </c>
      <c r="AF1022" s="10">
        <v>1.875</v>
      </c>
      <c r="AG1022" s="3">
        <f t="shared" si="282"/>
        <v>6398.3062499999996</v>
      </c>
      <c r="AH1022" s="7">
        <v>6800</v>
      </c>
      <c r="AI1022">
        <f t="shared" si="283"/>
        <v>360</v>
      </c>
      <c r="AJ1022" t="e">
        <f>VLOOKUP(A1022,'Borrower Details'!$A$1:$H$1493,8,FALSE)</f>
        <v>#N/A</v>
      </c>
      <c r="AK1022" s="4" t="e">
        <f t="shared" si="284"/>
        <v>#N/A</v>
      </c>
      <c r="AL1022" s="10">
        <v>7.375</v>
      </c>
      <c r="AM1022" s="3">
        <f t="shared" si="285"/>
        <v>341242.61429999996</v>
      </c>
      <c r="AN1022">
        <v>7.375</v>
      </c>
      <c r="AO1022" s="7">
        <f t="shared" si="286"/>
        <v>2499.0623526065388</v>
      </c>
      <c r="AP1022" s="2">
        <f t="shared" si="287"/>
        <v>-350.02235260653879</v>
      </c>
    </row>
    <row r="1023" spans="1:42" x14ac:dyDescent="0.15">
      <c r="A1023" s="8">
        <v>410073191</v>
      </c>
      <c r="B1023" t="s">
        <v>36</v>
      </c>
      <c r="C1023" t="s">
        <v>18</v>
      </c>
      <c r="D1023" s="1">
        <v>39213</v>
      </c>
      <c r="E1023" s="2">
        <v>125000</v>
      </c>
      <c r="F1023" s="2">
        <v>100000</v>
      </c>
      <c r="G1023" t="s">
        <v>17</v>
      </c>
      <c r="H1023" s="2">
        <v>695.8</v>
      </c>
      <c r="I1023" s="2">
        <v>99149.28</v>
      </c>
      <c r="J1023">
        <v>7.4499999999999997E-2</v>
      </c>
      <c r="K1023">
        <v>11</v>
      </c>
      <c r="L1023">
        <v>349</v>
      </c>
      <c r="M1023" t="str">
        <f t="shared" si="273"/>
        <v>30 Year Fixed</v>
      </c>
      <c r="N1023" s="2">
        <v>615.54999999999995</v>
      </c>
      <c r="O1023" t="str">
        <f t="shared" si="270"/>
        <v>Cash Out</v>
      </c>
      <c r="P1023" s="3">
        <f t="shared" si="274"/>
        <v>5530.5229556650302</v>
      </c>
      <c r="Q1023" s="4">
        <v>106250</v>
      </c>
      <c r="R1023" s="4" t="s">
        <v>41</v>
      </c>
      <c r="S1023" s="6">
        <v>668</v>
      </c>
      <c r="T1023">
        <v>6.75</v>
      </c>
      <c r="U1023" s="7">
        <f t="shared" si="271"/>
        <v>733.40631093706054</v>
      </c>
      <c r="V1023" s="2">
        <f t="shared" si="275"/>
        <v>-37.606310937060584</v>
      </c>
      <c r="W1023" s="9">
        <f t="shared" si="276"/>
        <v>1</v>
      </c>
      <c r="X1023" s="3">
        <v>100720</v>
      </c>
      <c r="Y1023" s="3">
        <f t="shared" si="277"/>
        <v>82.247093596073682</v>
      </c>
      <c r="Z1023" s="7">
        <f t="shared" si="278"/>
        <v>695.23466953017169</v>
      </c>
      <c r="AA1023" s="2">
        <f t="shared" si="272"/>
        <v>0.56533046982826818</v>
      </c>
      <c r="AB1023" s="8">
        <f t="shared" si="279"/>
        <v>1</v>
      </c>
      <c r="AC1023" s="10">
        <v>6.125</v>
      </c>
      <c r="AD1023" s="7">
        <f t="shared" si="280"/>
        <v>653.95200213233727</v>
      </c>
      <c r="AE1023" s="2">
        <f t="shared" si="281"/>
        <v>41.847997867662684</v>
      </c>
      <c r="AF1023" s="10">
        <v>3</v>
      </c>
      <c r="AG1023" s="3">
        <f t="shared" si="282"/>
        <v>3021.6</v>
      </c>
      <c r="AH1023" s="7">
        <v>2000</v>
      </c>
      <c r="AI1023">
        <f t="shared" si="283"/>
        <v>360</v>
      </c>
      <c r="AJ1023" t="e">
        <f>VLOOKUP(A1023,'Borrower Details'!$A$1:$H$1493,8,FALSE)</f>
        <v>#N/A</v>
      </c>
      <c r="AK1023" s="4" t="e">
        <f t="shared" si="284"/>
        <v>#N/A</v>
      </c>
      <c r="AL1023" s="10">
        <v>6.75</v>
      </c>
      <c r="AM1023" s="3">
        <f t="shared" si="285"/>
        <v>100636.5192</v>
      </c>
      <c r="AN1023">
        <v>6.75</v>
      </c>
      <c r="AO1023" s="7">
        <f t="shared" si="286"/>
        <v>694.65843098370499</v>
      </c>
      <c r="AP1023" s="2">
        <f t="shared" si="287"/>
        <v>1.1415690162949659</v>
      </c>
    </row>
    <row r="1024" spans="1:42" x14ac:dyDescent="0.15">
      <c r="A1024" s="8">
        <v>410550917</v>
      </c>
      <c r="B1024" t="s">
        <v>37</v>
      </c>
      <c r="C1024" t="s">
        <v>18</v>
      </c>
      <c r="D1024" s="1">
        <v>39281</v>
      </c>
      <c r="E1024" s="2">
        <v>153000</v>
      </c>
      <c r="F1024" s="2">
        <v>126000</v>
      </c>
      <c r="G1024" t="s">
        <v>20</v>
      </c>
      <c r="H1024" s="2">
        <v>1162.01</v>
      </c>
      <c r="I1024" s="2">
        <v>125164.4</v>
      </c>
      <c r="J1024">
        <v>0.106</v>
      </c>
      <c r="K1024">
        <v>9</v>
      </c>
      <c r="L1024">
        <v>351</v>
      </c>
      <c r="M1024" t="str">
        <f t="shared" si="273"/>
        <v>30 Year Fixed</v>
      </c>
      <c r="N1024" s="2">
        <v>1106.5999999999999</v>
      </c>
      <c r="O1024" t="str">
        <f t="shared" si="270"/>
        <v>Cash Out</v>
      </c>
      <c r="P1024" s="3">
        <f t="shared" si="274"/>
        <v>2963.6788177340059</v>
      </c>
      <c r="Q1024" s="4">
        <v>130050</v>
      </c>
      <c r="R1024" s="4" t="s">
        <v>41</v>
      </c>
      <c r="S1024" s="6">
        <v>548</v>
      </c>
      <c r="T1024">
        <v>7.625</v>
      </c>
      <c r="U1024" s="7">
        <f t="shared" si="271"/>
        <v>974.67326713420459</v>
      </c>
      <c r="V1024" s="2">
        <f t="shared" si="275"/>
        <v>187.3367328657954</v>
      </c>
      <c r="W1024" s="9">
        <f t="shared" si="276"/>
        <v>0</v>
      </c>
      <c r="X1024" s="3">
        <v>130050</v>
      </c>
      <c r="Y1024" s="3">
        <f t="shared" si="277"/>
        <v>2963.6788177340059</v>
      </c>
      <c r="Z1024" s="7">
        <f t="shared" si="278"/>
        <v>974.67326713420459</v>
      </c>
      <c r="AA1024" s="2">
        <f t="shared" si="272"/>
        <v>187.3367328657954</v>
      </c>
      <c r="AB1024" s="8">
        <f t="shared" si="279"/>
        <v>0</v>
      </c>
      <c r="AC1024" s="10">
        <v>7.625</v>
      </c>
      <c r="AD1024" s="7">
        <f t="shared" si="280"/>
        <v>974.67326713420459</v>
      </c>
      <c r="AE1024" s="2">
        <f t="shared" si="281"/>
        <v>187.3367328657954</v>
      </c>
      <c r="AF1024" s="10">
        <v>0</v>
      </c>
      <c r="AG1024" s="3">
        <f t="shared" si="282"/>
        <v>0</v>
      </c>
      <c r="AH1024" s="7">
        <v>0</v>
      </c>
      <c r="AI1024">
        <f t="shared" si="283"/>
        <v>360</v>
      </c>
      <c r="AJ1024" t="e">
        <f>VLOOKUP(A1024,'Borrower Details'!$A$1:$H$1493,8,FALSE)</f>
        <v>#N/A</v>
      </c>
      <c r="AK1024" s="4" t="e">
        <f t="shared" si="284"/>
        <v>#N/A</v>
      </c>
      <c r="AL1024" s="10">
        <v>7.625</v>
      </c>
      <c r="AM1024" s="3">
        <f t="shared" si="285"/>
        <v>127041.86599999998</v>
      </c>
      <c r="AN1024">
        <v>7.625</v>
      </c>
      <c r="AO1024" s="7">
        <f t="shared" si="286"/>
        <v>952.1284936335702</v>
      </c>
      <c r="AP1024" s="2">
        <f t="shared" si="287"/>
        <v>209.88150636642979</v>
      </c>
    </row>
    <row r="1025" spans="1:42" x14ac:dyDescent="0.15">
      <c r="A1025" s="8">
        <v>1177846</v>
      </c>
      <c r="B1025" t="s">
        <v>37</v>
      </c>
      <c r="C1025" t="s">
        <v>19</v>
      </c>
      <c r="D1025" s="1">
        <v>39171</v>
      </c>
      <c r="E1025" s="2">
        <v>164540</v>
      </c>
      <c r="F1025" s="2">
        <v>145500</v>
      </c>
      <c r="G1025" t="s">
        <v>15</v>
      </c>
      <c r="H1025" s="2">
        <v>987.21</v>
      </c>
      <c r="I1025" s="2">
        <v>145230.60999999999</v>
      </c>
      <c r="J1025">
        <v>7.9899999999999999E-2</v>
      </c>
      <c r="K1025">
        <v>13</v>
      </c>
      <c r="L1025">
        <v>346</v>
      </c>
      <c r="M1025" t="str">
        <f t="shared" si="273"/>
        <v>30 Year Fixed</v>
      </c>
      <c r="N1025" s="2">
        <v>967.13</v>
      </c>
      <c r="O1025" t="str">
        <f t="shared" si="270"/>
        <v>Refi</v>
      </c>
      <c r="P1025" s="3">
        <f t="shared" si="274"/>
        <v>0</v>
      </c>
      <c r="Q1025" s="4">
        <v>147409</v>
      </c>
      <c r="R1025" s="4" t="s">
        <v>41</v>
      </c>
      <c r="S1025" s="6">
        <v>653</v>
      </c>
      <c r="T1025">
        <v>6.75</v>
      </c>
      <c r="U1025" s="7">
        <f t="shared" si="271"/>
        <v>1017.512384836905</v>
      </c>
      <c r="V1025" s="2">
        <f t="shared" si="275"/>
        <v>-30.302384836904935</v>
      </c>
      <c r="W1025" s="9">
        <f t="shared" si="276"/>
        <v>0</v>
      </c>
      <c r="X1025" s="3">
        <v>147409</v>
      </c>
      <c r="Y1025" s="3">
        <f t="shared" si="277"/>
        <v>-6.8128078797599301E-2</v>
      </c>
      <c r="Z1025" s="7">
        <f t="shared" si="278"/>
        <v>1017.512384836905</v>
      </c>
      <c r="AA1025" s="2">
        <f t="shared" si="272"/>
        <v>-30.302384836904935</v>
      </c>
      <c r="AB1025" s="8">
        <f t="shared" si="279"/>
        <v>1</v>
      </c>
      <c r="AC1025" s="10">
        <v>6.125</v>
      </c>
      <c r="AD1025" s="7">
        <f t="shared" si="280"/>
        <v>957.0930369571654</v>
      </c>
      <c r="AE1025" s="2">
        <f t="shared" si="281"/>
        <v>30.116963042834641</v>
      </c>
      <c r="AF1025" s="10">
        <v>3</v>
      </c>
      <c r="AG1025" s="3">
        <f t="shared" si="282"/>
        <v>4422.2700000000004</v>
      </c>
      <c r="AH1025" s="7">
        <v>0</v>
      </c>
      <c r="AI1025">
        <f t="shared" si="283"/>
        <v>360</v>
      </c>
      <c r="AJ1025" t="e">
        <f>VLOOKUP(A1025,'Borrower Details'!$A$1:$H$1493,8,FALSE)</f>
        <v>#N/A</v>
      </c>
      <c r="AK1025" s="4" t="e">
        <f t="shared" si="284"/>
        <v>#N/A</v>
      </c>
      <c r="AL1025" s="10">
        <v>6.75</v>
      </c>
      <c r="AM1025" s="3">
        <f t="shared" si="285"/>
        <v>147409.06914999997</v>
      </c>
      <c r="AN1025">
        <v>6.75</v>
      </c>
      <c r="AO1025" s="7">
        <f t="shared" si="286"/>
        <v>1017.5128621549885</v>
      </c>
      <c r="AP1025" s="2">
        <f t="shared" si="287"/>
        <v>-30.302862154988475</v>
      </c>
    </row>
    <row r="1026" spans="1:42" x14ac:dyDescent="0.15">
      <c r="A1026" s="8">
        <v>410296461</v>
      </c>
      <c r="B1026" t="s">
        <v>36</v>
      </c>
      <c r="C1026" t="s">
        <v>19</v>
      </c>
      <c r="D1026" s="1">
        <v>39233</v>
      </c>
      <c r="E1026" s="2">
        <v>198000</v>
      </c>
      <c r="F1026" s="2">
        <v>168300</v>
      </c>
      <c r="G1026" t="s">
        <v>17</v>
      </c>
      <c r="H1026" s="2">
        <v>1296.9100000000001</v>
      </c>
      <c r="I1026" s="2">
        <v>167860.17</v>
      </c>
      <c r="J1026">
        <v>8.9899999999999994E-2</v>
      </c>
      <c r="K1026">
        <v>11</v>
      </c>
      <c r="L1026">
        <v>350</v>
      </c>
      <c r="M1026" t="str">
        <f t="shared" si="273"/>
        <v>30 Year Fixed</v>
      </c>
      <c r="N1026" s="2">
        <v>1257.55</v>
      </c>
      <c r="O1026" t="str">
        <f t="shared" ref="O1026:O1089" si="288">IF((0.85*E1026)&gt;(I1026*1.015),"Cash Out","Refi")</f>
        <v>Refi</v>
      </c>
      <c r="P1026" s="3">
        <f t="shared" si="274"/>
        <v>0</v>
      </c>
      <c r="Q1026" s="4">
        <v>170378</v>
      </c>
      <c r="R1026" s="4" t="s">
        <v>41</v>
      </c>
      <c r="S1026" s="6">
        <v>526</v>
      </c>
      <c r="T1026">
        <v>7.625</v>
      </c>
      <c r="U1026" s="7">
        <f t="shared" ref="U1026:U1089" si="289">(Q1026*((T1026/1200)/(1-(1+(T1026/1200))^-AI1026)))+((Q1026*0.005)/12)</f>
        <v>1276.9156624974357</v>
      </c>
      <c r="V1026" s="2">
        <f t="shared" si="275"/>
        <v>19.994337502564349</v>
      </c>
      <c r="W1026" s="9">
        <f t="shared" si="276"/>
        <v>0</v>
      </c>
      <c r="X1026" s="3">
        <v>170378</v>
      </c>
      <c r="Y1026" s="3">
        <f t="shared" si="277"/>
        <v>-7.1477832505479455E-2</v>
      </c>
      <c r="Z1026" s="7">
        <f t="shared" si="278"/>
        <v>1276.9156624974357</v>
      </c>
      <c r="AA1026" s="2">
        <f t="shared" ref="AA1026:AA1089" si="290">H1026-Z1026</f>
        <v>19.994337502564349</v>
      </c>
      <c r="AB1026" s="8">
        <f t="shared" si="279"/>
        <v>1</v>
      </c>
      <c r="AC1026" s="10">
        <v>6.875</v>
      </c>
      <c r="AD1026" s="7">
        <f t="shared" si="280"/>
        <v>1190.2530074974045</v>
      </c>
      <c r="AE1026" s="2">
        <f t="shared" si="281"/>
        <v>106.65699250259559</v>
      </c>
      <c r="AF1026" s="10">
        <v>1.75</v>
      </c>
      <c r="AG1026" s="3">
        <f t="shared" si="282"/>
        <v>2981.6149999999998</v>
      </c>
      <c r="AH1026" s="7">
        <v>3366</v>
      </c>
      <c r="AI1026">
        <f t="shared" si="283"/>
        <v>360</v>
      </c>
      <c r="AJ1026" t="e">
        <f>VLOOKUP(A1026,'Borrower Details'!$A$1:$H$1493,8,FALSE)</f>
        <v>#N/A</v>
      </c>
      <c r="AK1026" s="4" t="e">
        <f t="shared" si="284"/>
        <v>#N/A</v>
      </c>
      <c r="AL1026" s="10">
        <v>7.625</v>
      </c>
      <c r="AM1026" s="3">
        <f t="shared" si="285"/>
        <v>170378.07254999998</v>
      </c>
      <c r="AN1026">
        <v>7.625</v>
      </c>
      <c r="AO1026" s="7">
        <f t="shared" si="286"/>
        <v>1276.9162062309651</v>
      </c>
      <c r="AP1026" s="2">
        <f t="shared" si="287"/>
        <v>19.993793769034937</v>
      </c>
    </row>
    <row r="1027" spans="1:42" x14ac:dyDescent="0.15">
      <c r="A1027" s="8">
        <v>410342687</v>
      </c>
      <c r="B1027" t="s">
        <v>37</v>
      </c>
      <c r="C1027" t="s">
        <v>19</v>
      </c>
      <c r="D1027" s="1">
        <v>39252</v>
      </c>
      <c r="E1027" s="2">
        <v>111000</v>
      </c>
      <c r="F1027" s="2">
        <v>99900</v>
      </c>
      <c r="G1027" t="s">
        <v>15</v>
      </c>
      <c r="H1027" s="2">
        <v>701.94</v>
      </c>
      <c r="I1027" s="2">
        <v>99144.23</v>
      </c>
      <c r="J1027">
        <v>7.5499999999999998E-2</v>
      </c>
      <c r="K1027">
        <v>10</v>
      </c>
      <c r="L1027">
        <v>350</v>
      </c>
      <c r="M1027" t="str">
        <f t="shared" ref="M1027:M1090" si="291">(IF((L1027+K1027)&lt;180,"15 Year Fixed","30 Year Fixed"))</f>
        <v>30 Year Fixed</v>
      </c>
      <c r="N1027" s="2">
        <v>623.78</v>
      </c>
      <c r="O1027" t="str">
        <f t="shared" si="288"/>
        <v>Refi</v>
      </c>
      <c r="P1027" s="3">
        <f t="shared" ref="P1027:P1090" si="292">IF((0.85*E1027)&gt;(I1027*1.015),((0.85*E1027)/1.015)-(I1027),0)</f>
        <v>0</v>
      </c>
      <c r="Q1027" s="4">
        <v>100631</v>
      </c>
      <c r="R1027" s="4" t="s">
        <v>41</v>
      </c>
      <c r="S1027" s="6">
        <v>690</v>
      </c>
      <c r="T1027">
        <v>6.75</v>
      </c>
      <c r="U1027" s="7">
        <f t="shared" si="289"/>
        <v>694.62033389089254</v>
      </c>
      <c r="V1027" s="2">
        <f t="shared" ref="V1027:V1090" si="293">H1027-U1027</f>
        <v>7.3196661091075157</v>
      </c>
      <c r="W1027" s="9">
        <f t="shared" ref="W1027:W1090" si="294">IF(AND(O1027="Cash Out",V1027&lt;0),1,0)</f>
        <v>0</v>
      </c>
      <c r="X1027" s="3">
        <v>100631</v>
      </c>
      <c r="Y1027" s="3">
        <f t="shared" ref="Y1027:Y1090" si="295">(X1027/1.015)-(I1027)</f>
        <v>-0.38763546796690207</v>
      </c>
      <c r="Z1027" s="7">
        <f t="shared" ref="Z1027:Z1090" si="296">(X1027*((AL1027/1200)/(1-(1+(AL1027/1200))^-AI1027)))+((X1027*0.005)/12)</f>
        <v>694.62033389089254</v>
      </c>
      <c r="AA1027" s="2">
        <f t="shared" si="290"/>
        <v>7.3196661091075157</v>
      </c>
      <c r="AB1027" s="8">
        <f t="shared" ref="AB1027:AB1090" si="297">IF(I1027=0,0,IF(AND(AH1027&gt;0,(AP1027/AO1027)&lt;0.07),1,IF(AND(AH1027=0,(AP1027/AO1027)&lt;0.1),1,0)))</f>
        <v>1</v>
      </c>
      <c r="AC1027" s="10">
        <v>6.125</v>
      </c>
      <c r="AD1027" s="7">
        <f t="shared" ref="AD1027:AD1090" si="298">(X1027*((AC1027/1200)/(1-(1+(AC1027/1200))^-AI1027)))+((X1027*0.005)/12)</f>
        <v>653.37414541877706</v>
      </c>
      <c r="AE1027" s="2">
        <f t="shared" ref="AE1027:AE1090" si="299">H1027-AD1027</f>
        <v>48.565854581222993</v>
      </c>
      <c r="AF1027" s="10">
        <v>3</v>
      </c>
      <c r="AG1027" s="3">
        <f t="shared" ref="AG1027:AG1090" si="300">AF1027*X1027/100</f>
        <v>3018.93</v>
      </c>
      <c r="AH1027" s="7">
        <v>0</v>
      </c>
      <c r="AI1027">
        <f t="shared" ref="AI1027:AI1090" si="301">IF(M1027="30 Year Fixed",360,180)</f>
        <v>360</v>
      </c>
      <c r="AJ1027" t="e">
        <f>VLOOKUP(A1027,'Borrower Details'!$A$1:$H$1493,8,FALSE)</f>
        <v>#N/A</v>
      </c>
      <c r="AK1027" s="4" t="e">
        <f t="shared" ref="AK1027:AK1090" si="302">IF(AJ1027&gt;360,PV((J1027/12),AJ1027-AI1027,-H1027),"NA")</f>
        <v>#N/A</v>
      </c>
      <c r="AL1027" s="10">
        <v>6.75</v>
      </c>
      <c r="AM1027" s="3">
        <f t="shared" ref="AM1027:AM1090" si="303">I1027*1.015</f>
        <v>100631.39344999999</v>
      </c>
      <c r="AN1027">
        <v>6.75</v>
      </c>
      <c r="AO1027" s="7">
        <f t="shared" ref="AO1027:AO1090" si="304">(AM1027*((AN1027/1200)/(1-(1+(AN1027/1200))^-AI1027)))+((AM1027*0.005)/12)</f>
        <v>694.62304973760342</v>
      </c>
      <c r="AP1027" s="2">
        <f t="shared" ref="AP1027:AP1090" si="305">H1027-AO1027</f>
        <v>7.3169502623966309</v>
      </c>
    </row>
    <row r="1028" spans="1:42" x14ac:dyDescent="0.15">
      <c r="A1028" s="8">
        <v>410249775</v>
      </c>
      <c r="B1028" t="s">
        <v>35</v>
      </c>
      <c r="C1028" t="s">
        <v>16</v>
      </c>
      <c r="D1028" s="1">
        <v>39233</v>
      </c>
      <c r="E1028" s="2">
        <v>250000</v>
      </c>
      <c r="F1028" s="2">
        <v>234650</v>
      </c>
      <c r="G1028" t="s">
        <v>15</v>
      </c>
      <c r="H1028" s="2">
        <v>1871.19</v>
      </c>
      <c r="I1028" s="2">
        <v>233155.85</v>
      </c>
      <c r="J1028">
        <v>8.8999999999999996E-2</v>
      </c>
      <c r="K1028">
        <v>11</v>
      </c>
      <c r="L1028">
        <v>349</v>
      </c>
      <c r="M1028" t="str">
        <f t="shared" si="291"/>
        <v>30 Year Fixed</v>
      </c>
      <c r="N1028" s="2">
        <v>1729.24</v>
      </c>
      <c r="O1028" t="str">
        <f t="shared" si="288"/>
        <v>Refi</v>
      </c>
      <c r="P1028" s="3">
        <f t="shared" si="292"/>
        <v>0</v>
      </c>
      <c r="Q1028" s="4">
        <v>236653</v>
      </c>
      <c r="R1028" s="4" t="s">
        <v>41</v>
      </c>
      <c r="S1028" s="6">
        <v>626</v>
      </c>
      <c r="T1028">
        <v>6.75</v>
      </c>
      <c r="U1028" s="7">
        <f t="shared" si="289"/>
        <v>1633.5322701382418</v>
      </c>
      <c r="V1028" s="2">
        <f t="shared" si="293"/>
        <v>237.6577298617583</v>
      </c>
      <c r="W1028" s="9">
        <f t="shared" si="294"/>
        <v>0</v>
      </c>
      <c r="X1028" s="3">
        <v>236653</v>
      </c>
      <c r="Y1028" s="3">
        <f t="shared" si="295"/>
        <v>-0.18497536945505999</v>
      </c>
      <c r="Z1028" s="7">
        <f t="shared" si="296"/>
        <v>1633.5322701382418</v>
      </c>
      <c r="AA1028" s="2">
        <f t="shared" si="290"/>
        <v>237.6577298617583</v>
      </c>
      <c r="AB1028" s="8">
        <f t="shared" si="297"/>
        <v>0</v>
      </c>
      <c r="AC1028" s="10">
        <v>6.75</v>
      </c>
      <c r="AD1028" s="7">
        <f t="shared" si="298"/>
        <v>1633.5322701382418</v>
      </c>
      <c r="AE1028" s="2">
        <f t="shared" si="299"/>
        <v>237.6577298617583</v>
      </c>
      <c r="AF1028" s="10">
        <v>0</v>
      </c>
      <c r="AG1028" s="3">
        <f t="shared" si="300"/>
        <v>0</v>
      </c>
      <c r="AH1028" s="7">
        <v>10441.924999999999</v>
      </c>
      <c r="AI1028">
        <f t="shared" si="301"/>
        <v>360</v>
      </c>
      <c r="AJ1028" t="e">
        <f>VLOOKUP(A1028,'Borrower Details'!$A$1:$H$1493,8,FALSE)</f>
        <v>#N/A</v>
      </c>
      <c r="AK1028" s="4" t="e">
        <f t="shared" si="302"/>
        <v>#N/A</v>
      </c>
      <c r="AL1028" s="10">
        <v>6.75</v>
      </c>
      <c r="AM1028" s="3">
        <f t="shared" si="303"/>
        <v>236653.18774999998</v>
      </c>
      <c r="AN1028">
        <v>6.75</v>
      </c>
      <c r="AO1028" s="7">
        <f t="shared" si="304"/>
        <v>1633.5335661103345</v>
      </c>
      <c r="AP1028" s="2">
        <f t="shared" si="305"/>
        <v>237.65643388966555</v>
      </c>
    </row>
    <row r="1029" spans="1:42" x14ac:dyDescent="0.15">
      <c r="A1029" s="8">
        <v>410962013</v>
      </c>
      <c r="B1029" t="s">
        <v>35</v>
      </c>
      <c r="C1029" t="s">
        <v>16</v>
      </c>
      <c r="D1029" s="1">
        <v>39356</v>
      </c>
      <c r="E1029" s="2">
        <v>103000</v>
      </c>
      <c r="F1029" s="2">
        <v>92700</v>
      </c>
      <c r="G1029" t="s">
        <v>17</v>
      </c>
      <c r="H1029" s="2">
        <v>957.1</v>
      </c>
      <c r="I1029" s="2">
        <v>92510.7</v>
      </c>
      <c r="J1029">
        <v>0.1205</v>
      </c>
      <c r="K1029">
        <v>7</v>
      </c>
      <c r="L1029">
        <v>353</v>
      </c>
      <c r="M1029" t="str">
        <f t="shared" si="291"/>
        <v>30 Year Fixed</v>
      </c>
      <c r="N1029" s="2">
        <v>928.96</v>
      </c>
      <c r="O1029" t="str">
        <f t="shared" si="288"/>
        <v>Refi</v>
      </c>
      <c r="P1029" s="3">
        <f t="shared" si="292"/>
        <v>0</v>
      </c>
      <c r="Q1029" s="4">
        <v>93898</v>
      </c>
      <c r="R1029" s="4" t="s">
        <v>41</v>
      </c>
      <c r="S1029" s="6">
        <v>603</v>
      </c>
      <c r="T1029">
        <v>7</v>
      </c>
      <c r="U1029" s="7">
        <f t="shared" si="289"/>
        <v>663.82990359001565</v>
      </c>
      <c r="V1029" s="2">
        <f t="shared" si="293"/>
        <v>293.27009640998438</v>
      </c>
      <c r="W1029" s="9">
        <f t="shared" si="294"/>
        <v>0</v>
      </c>
      <c r="X1029" s="3">
        <v>93899</v>
      </c>
      <c r="Y1029" s="3">
        <f t="shared" si="295"/>
        <v>0.63004926108988002</v>
      </c>
      <c r="Z1029" s="7">
        <f t="shared" si="296"/>
        <v>663.83697328163407</v>
      </c>
      <c r="AA1029" s="2">
        <f t="shared" si="290"/>
        <v>293.26302671836595</v>
      </c>
      <c r="AB1029" s="8">
        <f t="shared" si="297"/>
        <v>0</v>
      </c>
      <c r="AC1029" s="10">
        <v>7</v>
      </c>
      <c r="AD1029" s="7">
        <f t="shared" si="298"/>
        <v>663.83697328163407</v>
      </c>
      <c r="AE1029" s="2">
        <f t="shared" si="299"/>
        <v>293.26302671836595</v>
      </c>
      <c r="AF1029" s="10">
        <v>0</v>
      </c>
      <c r="AG1029" s="3">
        <f t="shared" si="300"/>
        <v>0</v>
      </c>
      <c r="AH1029" s="7">
        <v>5585.1750000000002</v>
      </c>
      <c r="AI1029">
        <f t="shared" si="301"/>
        <v>360</v>
      </c>
      <c r="AJ1029" t="e">
        <f>VLOOKUP(A1029,'Borrower Details'!$A$1:$H$1493,8,FALSE)</f>
        <v>#N/A</v>
      </c>
      <c r="AK1029" s="4" t="e">
        <f t="shared" si="302"/>
        <v>#N/A</v>
      </c>
      <c r="AL1029" s="10">
        <v>7</v>
      </c>
      <c r="AM1029" s="3">
        <f t="shared" si="303"/>
        <v>93898.360499999995</v>
      </c>
      <c r="AN1029">
        <v>7</v>
      </c>
      <c r="AO1029" s="7">
        <f t="shared" si="304"/>
        <v>663.83245221384402</v>
      </c>
      <c r="AP1029" s="2">
        <f t="shared" si="305"/>
        <v>293.267547786156</v>
      </c>
    </row>
    <row r="1030" spans="1:42" x14ac:dyDescent="0.15">
      <c r="A1030" s="8">
        <v>410173793</v>
      </c>
      <c r="B1030" t="s">
        <v>35</v>
      </c>
      <c r="C1030" t="s">
        <v>16</v>
      </c>
      <c r="D1030" s="1">
        <v>39223</v>
      </c>
      <c r="E1030" s="2">
        <v>74000</v>
      </c>
      <c r="F1030" s="2">
        <v>66600</v>
      </c>
      <c r="G1030" t="s">
        <v>15</v>
      </c>
      <c r="H1030" s="2">
        <v>574.65</v>
      </c>
      <c r="I1030" s="2">
        <v>66234.929999999993</v>
      </c>
      <c r="J1030">
        <v>9.8000000000000004E-2</v>
      </c>
      <c r="K1030">
        <v>11</v>
      </c>
      <c r="L1030">
        <v>349</v>
      </c>
      <c r="M1030" t="str">
        <f t="shared" si="291"/>
        <v>30 Year Fixed</v>
      </c>
      <c r="N1030" s="2">
        <v>540.91999999999996</v>
      </c>
      <c r="O1030" t="str">
        <f t="shared" si="288"/>
        <v>Refi</v>
      </c>
      <c r="P1030" s="3">
        <f t="shared" si="292"/>
        <v>0</v>
      </c>
      <c r="Q1030" s="4">
        <v>67228</v>
      </c>
      <c r="R1030" s="4" t="s">
        <v>41</v>
      </c>
      <c r="S1030" s="6">
        <v>555</v>
      </c>
      <c r="T1030">
        <v>7.625</v>
      </c>
      <c r="U1030" s="7">
        <f t="shared" si="289"/>
        <v>503.84724646596163</v>
      </c>
      <c r="V1030" s="2">
        <f t="shared" si="293"/>
        <v>70.802753534038345</v>
      </c>
      <c r="W1030" s="9">
        <f t="shared" si="294"/>
        <v>0</v>
      </c>
      <c r="X1030" s="3">
        <v>67229</v>
      </c>
      <c r="Y1030" s="3">
        <f t="shared" si="295"/>
        <v>0.53798029558674898</v>
      </c>
      <c r="Z1030" s="7">
        <f t="shared" si="296"/>
        <v>503.85474107009185</v>
      </c>
      <c r="AA1030" s="2">
        <f t="shared" si="290"/>
        <v>70.79525892990813</v>
      </c>
      <c r="AB1030" s="8">
        <f t="shared" si="297"/>
        <v>0</v>
      </c>
      <c r="AC1030" s="10">
        <v>7.625</v>
      </c>
      <c r="AD1030" s="7">
        <f t="shared" si="298"/>
        <v>503.85474107009185</v>
      </c>
      <c r="AE1030" s="2">
        <f t="shared" si="299"/>
        <v>70.79525892990813</v>
      </c>
      <c r="AF1030" s="10">
        <v>0</v>
      </c>
      <c r="AG1030" s="3">
        <f t="shared" si="300"/>
        <v>0</v>
      </c>
      <c r="AH1030" s="7">
        <v>3263.4</v>
      </c>
      <c r="AI1030">
        <f t="shared" si="301"/>
        <v>360</v>
      </c>
      <c r="AJ1030" t="e">
        <f>VLOOKUP(A1030,'Borrower Details'!$A$1:$H$1493,8,FALSE)</f>
        <v>#N/A</v>
      </c>
      <c r="AK1030" s="4" t="e">
        <f t="shared" si="302"/>
        <v>#N/A</v>
      </c>
      <c r="AL1030" s="10">
        <v>7.625</v>
      </c>
      <c r="AM1030" s="3">
        <f t="shared" si="303"/>
        <v>67228.453949999981</v>
      </c>
      <c r="AN1030">
        <v>7.625</v>
      </c>
      <c r="AO1030" s="7">
        <f t="shared" si="304"/>
        <v>503.85064864150644</v>
      </c>
      <c r="AP1030" s="2">
        <f t="shared" si="305"/>
        <v>70.799351358493539</v>
      </c>
    </row>
    <row r="1031" spans="1:42" x14ac:dyDescent="0.15">
      <c r="A1031" s="8">
        <v>410328983</v>
      </c>
      <c r="B1031" t="s">
        <v>37</v>
      </c>
      <c r="C1031" t="s">
        <v>18</v>
      </c>
      <c r="D1031" s="1">
        <v>39265</v>
      </c>
      <c r="E1031" s="2">
        <v>225000</v>
      </c>
      <c r="F1031" s="2">
        <v>185250</v>
      </c>
      <c r="G1031" t="s">
        <v>17</v>
      </c>
      <c r="H1031" s="2">
        <v>1352.85</v>
      </c>
      <c r="I1031" s="2">
        <v>183956.21</v>
      </c>
      <c r="J1031">
        <v>7.9500000000000001E-2</v>
      </c>
      <c r="K1031">
        <v>10</v>
      </c>
      <c r="L1031">
        <v>350</v>
      </c>
      <c r="M1031" t="str">
        <f t="shared" si="291"/>
        <v>30 Year Fixed</v>
      </c>
      <c r="N1031" s="2">
        <v>1218.71</v>
      </c>
      <c r="O1031" t="str">
        <f t="shared" si="288"/>
        <v>Cash Out</v>
      </c>
      <c r="P1031" s="3">
        <f t="shared" si="292"/>
        <v>4467.4353201970807</v>
      </c>
      <c r="Q1031" s="4">
        <v>191250</v>
      </c>
      <c r="R1031" s="4" t="s">
        <v>41</v>
      </c>
      <c r="S1031" s="6">
        <v>689</v>
      </c>
      <c r="T1031">
        <v>6.75</v>
      </c>
      <c r="U1031" s="7">
        <f t="shared" si="289"/>
        <v>1320.1313596867089</v>
      </c>
      <c r="V1031" s="2">
        <f t="shared" si="293"/>
        <v>32.718640313290962</v>
      </c>
      <c r="W1031" s="9">
        <f t="shared" si="294"/>
        <v>0</v>
      </c>
      <c r="X1031" s="3">
        <v>191250</v>
      </c>
      <c r="Y1031" s="3">
        <f t="shared" si="295"/>
        <v>4467.4353201970807</v>
      </c>
      <c r="Z1031" s="7">
        <f t="shared" si="296"/>
        <v>1320.1313596867089</v>
      </c>
      <c r="AA1031" s="2">
        <f t="shared" si="290"/>
        <v>32.718640313290962</v>
      </c>
      <c r="AB1031" s="8">
        <f t="shared" si="297"/>
        <v>1</v>
      </c>
      <c r="AC1031" s="10">
        <v>6.125</v>
      </c>
      <c r="AD1031" s="7">
        <f t="shared" si="298"/>
        <v>1241.7426569480688</v>
      </c>
      <c r="AE1031" s="2">
        <f t="shared" si="299"/>
        <v>111.10734305193114</v>
      </c>
      <c r="AF1031" s="10">
        <v>3</v>
      </c>
      <c r="AG1031" s="3">
        <f t="shared" si="300"/>
        <v>5737.5</v>
      </c>
      <c r="AH1031" s="7">
        <v>1852.5</v>
      </c>
      <c r="AI1031">
        <f t="shared" si="301"/>
        <v>360</v>
      </c>
      <c r="AJ1031" t="e">
        <f>VLOOKUP(A1031,'Borrower Details'!$A$1:$H$1493,8,FALSE)</f>
        <v>#N/A</v>
      </c>
      <c r="AK1031" s="4" t="e">
        <f t="shared" si="302"/>
        <v>#N/A</v>
      </c>
      <c r="AL1031" s="10">
        <v>6.75</v>
      </c>
      <c r="AM1031" s="3">
        <f t="shared" si="303"/>
        <v>186715.55314999996</v>
      </c>
      <c r="AN1031">
        <v>6.75</v>
      </c>
      <c r="AO1031" s="7">
        <f t="shared" si="304"/>
        <v>1288.8316708735447</v>
      </c>
      <c r="AP1031" s="2">
        <f t="shared" si="305"/>
        <v>64.018329126455228</v>
      </c>
    </row>
    <row r="1032" spans="1:42" x14ac:dyDescent="0.15">
      <c r="A1032" s="8">
        <v>410570733</v>
      </c>
      <c r="B1032" t="s">
        <v>37</v>
      </c>
      <c r="C1032" t="s">
        <v>19</v>
      </c>
      <c r="D1032" s="1">
        <v>39268</v>
      </c>
      <c r="E1032" s="2">
        <v>197000</v>
      </c>
      <c r="F1032" s="2">
        <v>163000</v>
      </c>
      <c r="G1032" t="s">
        <v>15</v>
      </c>
      <c r="H1032" s="2">
        <v>1167.76</v>
      </c>
      <c r="I1032" s="2">
        <v>161815.48000000001</v>
      </c>
      <c r="J1032">
        <v>7.7499999999999999E-2</v>
      </c>
      <c r="K1032">
        <v>9</v>
      </c>
      <c r="L1032">
        <v>350</v>
      </c>
      <c r="M1032" t="str">
        <f t="shared" si="291"/>
        <v>30 Year Fixed</v>
      </c>
      <c r="N1032" s="2">
        <v>1045.8499999999999</v>
      </c>
      <c r="O1032" t="str">
        <f t="shared" si="288"/>
        <v>Cash Out</v>
      </c>
      <c r="P1032" s="3">
        <f t="shared" si="292"/>
        <v>3159.8894581280765</v>
      </c>
      <c r="Q1032" s="4">
        <v>167450</v>
      </c>
      <c r="R1032" s="4" t="s">
        <v>41</v>
      </c>
      <c r="S1032" s="6">
        <v>632</v>
      </c>
      <c r="T1032">
        <v>6.75</v>
      </c>
      <c r="U1032" s="7">
        <f t="shared" si="289"/>
        <v>1155.8483460368072</v>
      </c>
      <c r="V1032" s="2">
        <f t="shared" si="293"/>
        <v>11.911653963192748</v>
      </c>
      <c r="W1032" s="9">
        <f t="shared" si="294"/>
        <v>0</v>
      </c>
      <c r="X1032" s="3">
        <v>167450</v>
      </c>
      <c r="Y1032" s="3">
        <f t="shared" si="295"/>
        <v>3159.8894581280765</v>
      </c>
      <c r="Z1032" s="7">
        <f t="shared" si="296"/>
        <v>1155.8483460368072</v>
      </c>
      <c r="AA1032" s="2">
        <f t="shared" si="290"/>
        <v>11.911653963192748</v>
      </c>
      <c r="AB1032" s="8">
        <f t="shared" si="297"/>
        <v>1</v>
      </c>
      <c r="AC1032" s="10">
        <v>6.125</v>
      </c>
      <c r="AD1032" s="7">
        <f t="shared" si="298"/>
        <v>1087.214681861198</v>
      </c>
      <c r="AE1032" s="2">
        <f t="shared" si="299"/>
        <v>80.545318138802031</v>
      </c>
      <c r="AF1032" s="10">
        <v>3</v>
      </c>
      <c r="AG1032" s="3">
        <f t="shared" si="300"/>
        <v>5023.5</v>
      </c>
      <c r="AH1032" s="7">
        <v>1630</v>
      </c>
      <c r="AI1032">
        <f t="shared" si="301"/>
        <v>360</v>
      </c>
      <c r="AJ1032" t="e">
        <f>VLOOKUP(A1032,'Borrower Details'!$A$1:$H$1493,8,FALSE)</f>
        <v>#N/A</v>
      </c>
      <c r="AK1032" s="4" t="e">
        <f t="shared" si="302"/>
        <v>#N/A</v>
      </c>
      <c r="AL1032" s="10">
        <v>6.75</v>
      </c>
      <c r="AM1032" s="3">
        <f t="shared" si="303"/>
        <v>164242.71220000001</v>
      </c>
      <c r="AN1032">
        <v>6.75</v>
      </c>
      <c r="AO1032" s="7">
        <f t="shared" si="304"/>
        <v>1133.7095684978763</v>
      </c>
      <c r="AP1032" s="2">
        <f t="shared" si="305"/>
        <v>34.050431502123729</v>
      </c>
    </row>
    <row r="1033" spans="1:42" x14ac:dyDescent="0.15">
      <c r="A1033" s="8">
        <v>1172833</v>
      </c>
      <c r="B1033" t="s">
        <v>36</v>
      </c>
      <c r="C1033" t="s">
        <v>19</v>
      </c>
      <c r="D1033" s="1">
        <v>39169</v>
      </c>
      <c r="E1033" s="2">
        <v>285000</v>
      </c>
      <c r="F1033" s="2">
        <v>256500</v>
      </c>
      <c r="G1033" t="s">
        <v>17</v>
      </c>
      <c r="H1033" s="2">
        <v>1793.49</v>
      </c>
      <c r="I1033" s="2">
        <v>253332.9</v>
      </c>
      <c r="J1033">
        <v>7.4999999999999997E-2</v>
      </c>
      <c r="K1033">
        <v>13</v>
      </c>
      <c r="L1033">
        <v>346</v>
      </c>
      <c r="M1033" t="str">
        <f t="shared" si="291"/>
        <v>30 Year Fixed</v>
      </c>
      <c r="N1033" s="2">
        <v>1583.33</v>
      </c>
      <c r="O1033" t="str">
        <f t="shared" si="288"/>
        <v>Refi</v>
      </c>
      <c r="P1033" s="3">
        <f t="shared" si="292"/>
        <v>0</v>
      </c>
      <c r="Q1033" s="4">
        <v>257133</v>
      </c>
      <c r="R1033" s="4" t="s">
        <v>41</v>
      </c>
      <c r="S1033" s="6">
        <v>668</v>
      </c>
      <c r="T1033">
        <v>6.75</v>
      </c>
      <c r="U1033" s="7">
        <f t="shared" si="289"/>
        <v>1774.8984936487452</v>
      </c>
      <c r="V1033" s="2">
        <f t="shared" si="293"/>
        <v>18.591506351254793</v>
      </c>
      <c r="W1033" s="9">
        <f t="shared" si="294"/>
        <v>0</v>
      </c>
      <c r="X1033" s="3">
        <v>257133</v>
      </c>
      <c r="Y1033" s="3">
        <f t="shared" si="295"/>
        <v>0.1049261084117461</v>
      </c>
      <c r="Z1033" s="7">
        <f t="shared" si="296"/>
        <v>1774.8984936487452</v>
      </c>
      <c r="AA1033" s="2">
        <f t="shared" si="290"/>
        <v>18.591506351254793</v>
      </c>
      <c r="AB1033" s="8">
        <f t="shared" si="297"/>
        <v>1</v>
      </c>
      <c r="AC1033" s="10">
        <v>6.125</v>
      </c>
      <c r="AD1033" s="7">
        <f t="shared" si="298"/>
        <v>1669.5059587400146</v>
      </c>
      <c r="AE1033" s="2">
        <f t="shared" si="299"/>
        <v>123.98404125998536</v>
      </c>
      <c r="AF1033" s="10">
        <v>3</v>
      </c>
      <c r="AG1033" s="3">
        <f t="shared" si="300"/>
        <v>7713.99</v>
      </c>
      <c r="AH1033" s="7">
        <v>5130</v>
      </c>
      <c r="AI1033">
        <f t="shared" si="301"/>
        <v>360</v>
      </c>
      <c r="AJ1033" t="e">
        <f>VLOOKUP(A1033,'Borrower Details'!$A$1:$H$1493,8,FALSE)</f>
        <v>#N/A</v>
      </c>
      <c r="AK1033" s="4" t="e">
        <f t="shared" si="302"/>
        <v>#N/A</v>
      </c>
      <c r="AL1033" s="10">
        <v>6.75</v>
      </c>
      <c r="AM1033" s="3">
        <f t="shared" si="303"/>
        <v>257132.89349999998</v>
      </c>
      <c r="AN1033">
        <v>6.75</v>
      </c>
      <c r="AO1033" s="7">
        <f t="shared" si="304"/>
        <v>1774.8977585167722</v>
      </c>
      <c r="AP1033" s="2">
        <f t="shared" si="305"/>
        <v>18.592241483227781</v>
      </c>
    </row>
    <row r="1034" spans="1:42" x14ac:dyDescent="0.15">
      <c r="A1034" s="8">
        <v>410428221</v>
      </c>
      <c r="B1034" t="s">
        <v>36</v>
      </c>
      <c r="C1034" t="s">
        <v>19</v>
      </c>
      <c r="D1034" s="1">
        <v>39248</v>
      </c>
      <c r="E1034" s="2">
        <v>135900</v>
      </c>
      <c r="F1034" s="2">
        <v>115515</v>
      </c>
      <c r="G1034" t="s">
        <v>17</v>
      </c>
      <c r="H1034" s="2">
        <v>830.76</v>
      </c>
      <c r="I1034" s="2">
        <v>114682.21</v>
      </c>
      <c r="J1034">
        <v>7.7899999999999997E-2</v>
      </c>
      <c r="K1034">
        <v>10</v>
      </c>
      <c r="L1034">
        <v>350</v>
      </c>
      <c r="M1034" t="str">
        <f t="shared" si="291"/>
        <v>30 Year Fixed</v>
      </c>
      <c r="N1034" s="2">
        <v>744.48</v>
      </c>
      <c r="O1034" t="str">
        <f t="shared" si="288"/>
        <v>Refi</v>
      </c>
      <c r="P1034" s="3">
        <f t="shared" si="292"/>
        <v>0</v>
      </c>
      <c r="Q1034" s="4">
        <v>116402</v>
      </c>
      <c r="R1034" s="4" t="s">
        <v>41</v>
      </c>
      <c r="S1034" s="6">
        <v>612</v>
      </c>
      <c r="T1034">
        <v>6.875</v>
      </c>
      <c r="U1034" s="7">
        <f t="shared" si="289"/>
        <v>813.17911102790777</v>
      </c>
      <c r="V1034" s="2">
        <f t="shared" si="293"/>
        <v>17.580888972092225</v>
      </c>
      <c r="W1034" s="9">
        <f t="shared" si="294"/>
        <v>0</v>
      </c>
      <c r="X1034" s="3">
        <v>116402</v>
      </c>
      <c r="Y1034" s="3">
        <f t="shared" si="295"/>
        <v>-0.43660098522377666</v>
      </c>
      <c r="Z1034" s="7">
        <f t="shared" si="296"/>
        <v>813.17911102790777</v>
      </c>
      <c r="AA1034" s="2">
        <f t="shared" si="290"/>
        <v>17.580888972092225</v>
      </c>
      <c r="AB1034" s="8">
        <f t="shared" si="297"/>
        <v>1</v>
      </c>
      <c r="AC1034" s="10">
        <v>6.25</v>
      </c>
      <c r="AD1034" s="7">
        <f t="shared" si="298"/>
        <v>765.20796897366404</v>
      </c>
      <c r="AE1034" s="2">
        <f t="shared" si="299"/>
        <v>65.552031026335953</v>
      </c>
      <c r="AF1034" s="10">
        <v>2.5</v>
      </c>
      <c r="AG1034" s="3">
        <f t="shared" si="300"/>
        <v>2910.05</v>
      </c>
      <c r="AH1034" s="7">
        <v>2310.3000000000002</v>
      </c>
      <c r="AI1034">
        <f t="shared" si="301"/>
        <v>360</v>
      </c>
      <c r="AJ1034" t="e">
        <f>VLOOKUP(A1034,'Borrower Details'!$A$1:$H$1493,8,FALSE)</f>
        <v>#N/A</v>
      </c>
      <c r="AK1034" s="4" t="e">
        <f t="shared" si="302"/>
        <v>#N/A</v>
      </c>
      <c r="AL1034" s="10">
        <v>6.875</v>
      </c>
      <c r="AM1034" s="3">
        <f t="shared" si="303"/>
        <v>116402.44314999999</v>
      </c>
      <c r="AN1034">
        <v>6.875</v>
      </c>
      <c r="AO1034" s="7">
        <f t="shared" si="304"/>
        <v>813.18220685377901</v>
      </c>
      <c r="AP1034" s="2">
        <f t="shared" si="305"/>
        <v>17.577793146220984</v>
      </c>
    </row>
    <row r="1035" spans="1:42" x14ac:dyDescent="0.15">
      <c r="A1035" s="8">
        <v>410789903</v>
      </c>
      <c r="B1035" t="s">
        <v>38</v>
      </c>
      <c r="C1035" t="s">
        <v>16</v>
      </c>
      <c r="D1035" s="1">
        <v>39325</v>
      </c>
      <c r="E1035" s="2">
        <v>165000</v>
      </c>
      <c r="F1035" s="2">
        <v>140250</v>
      </c>
      <c r="G1035" t="s">
        <v>17</v>
      </c>
      <c r="H1035" s="2">
        <v>1314.49</v>
      </c>
      <c r="I1035" s="2">
        <v>139818.68</v>
      </c>
      <c r="J1035">
        <v>0.108</v>
      </c>
      <c r="K1035">
        <v>8</v>
      </c>
      <c r="L1035">
        <v>352</v>
      </c>
      <c r="M1035" t="str">
        <f t="shared" si="291"/>
        <v>30 Year Fixed</v>
      </c>
      <c r="N1035" s="2">
        <v>1258.3699999999999</v>
      </c>
      <c r="O1035" t="str">
        <f t="shared" si="288"/>
        <v>Refi</v>
      </c>
      <c r="P1035" s="3">
        <f t="shared" si="292"/>
        <v>0</v>
      </c>
      <c r="Q1035" s="4">
        <v>141916</v>
      </c>
      <c r="R1035" s="4" t="s">
        <v>41</v>
      </c>
      <c r="S1035" s="6">
        <v>568</v>
      </c>
      <c r="T1035">
        <v>7.625</v>
      </c>
      <c r="U1035" s="7">
        <f t="shared" si="289"/>
        <v>1063.6042397433125</v>
      </c>
      <c r="V1035" s="2">
        <f t="shared" si="293"/>
        <v>250.88576025668749</v>
      </c>
      <c r="W1035" s="9">
        <f t="shared" si="294"/>
        <v>0</v>
      </c>
      <c r="X1035" s="3">
        <v>141916</v>
      </c>
      <c r="Y1035" s="3">
        <f t="shared" si="295"/>
        <v>3.9211822673678398E-2</v>
      </c>
      <c r="Z1035" s="7">
        <f t="shared" si="296"/>
        <v>1063.6042397433125</v>
      </c>
      <c r="AA1035" s="2">
        <f t="shared" si="290"/>
        <v>250.88576025668749</v>
      </c>
      <c r="AB1035" s="8">
        <f t="shared" si="297"/>
        <v>0</v>
      </c>
      <c r="AC1035" s="10">
        <v>7.625</v>
      </c>
      <c r="AD1035" s="7">
        <f t="shared" si="298"/>
        <v>1063.6042397433125</v>
      </c>
      <c r="AE1035" s="2">
        <f t="shared" si="299"/>
        <v>250.88576025668749</v>
      </c>
      <c r="AF1035" s="10">
        <v>0</v>
      </c>
      <c r="AG1035" s="3">
        <f t="shared" si="300"/>
        <v>0</v>
      </c>
      <c r="AH1035" s="7">
        <v>0</v>
      </c>
      <c r="AI1035">
        <f t="shared" si="301"/>
        <v>360</v>
      </c>
      <c r="AJ1035" t="e">
        <f>VLOOKUP(A1035,'Borrower Details'!$A$1:$H$1493,8,FALSE)</f>
        <v>#N/A</v>
      </c>
      <c r="AK1035" s="4" t="e">
        <f t="shared" si="302"/>
        <v>#N/A</v>
      </c>
      <c r="AL1035" s="10">
        <v>7.625</v>
      </c>
      <c r="AM1035" s="3">
        <f t="shared" si="303"/>
        <v>141915.96019999997</v>
      </c>
      <c r="AN1035">
        <v>7.625</v>
      </c>
      <c r="AO1035" s="7">
        <f t="shared" si="304"/>
        <v>1063.6039414580678</v>
      </c>
      <c r="AP1035" s="2">
        <f t="shared" si="305"/>
        <v>250.88605854193224</v>
      </c>
    </row>
    <row r="1036" spans="1:42" x14ac:dyDescent="0.15">
      <c r="A1036" s="8">
        <v>410182547</v>
      </c>
      <c r="B1036" t="s">
        <v>35</v>
      </c>
      <c r="C1036" t="s">
        <v>16</v>
      </c>
      <c r="D1036" s="1">
        <v>39223</v>
      </c>
      <c r="E1036" s="2">
        <v>170000</v>
      </c>
      <c r="F1036" s="2">
        <v>144500</v>
      </c>
      <c r="G1036" t="s">
        <v>17</v>
      </c>
      <c r="H1036" s="2">
        <v>1241.48</v>
      </c>
      <c r="I1036" s="2">
        <v>143719.24</v>
      </c>
      <c r="J1036">
        <v>9.7500000000000003E-2</v>
      </c>
      <c r="K1036">
        <v>11</v>
      </c>
      <c r="L1036">
        <v>349</v>
      </c>
      <c r="M1036" t="str">
        <f t="shared" si="291"/>
        <v>30 Year Fixed</v>
      </c>
      <c r="N1036" s="2">
        <v>1167.72</v>
      </c>
      <c r="O1036" t="str">
        <f t="shared" si="288"/>
        <v>Refi</v>
      </c>
      <c r="P1036" s="3">
        <f t="shared" si="292"/>
        <v>0</v>
      </c>
      <c r="Q1036" s="4">
        <v>145875</v>
      </c>
      <c r="R1036" s="4" t="s">
        <v>41</v>
      </c>
      <c r="S1036" s="6">
        <v>559</v>
      </c>
      <c r="T1036">
        <v>7.625</v>
      </c>
      <c r="U1036" s="7">
        <f t="shared" si="289"/>
        <v>1093.2753774948258</v>
      </c>
      <c r="V1036" s="2">
        <f t="shared" si="293"/>
        <v>148.20462250517426</v>
      </c>
      <c r="W1036" s="9">
        <f t="shared" si="294"/>
        <v>0</v>
      </c>
      <c r="X1036" s="3">
        <v>145875</v>
      </c>
      <c r="Y1036" s="3">
        <f t="shared" si="295"/>
        <v>-2.8177339874673635E-2</v>
      </c>
      <c r="Z1036" s="7">
        <f t="shared" si="296"/>
        <v>1093.2753774948258</v>
      </c>
      <c r="AA1036" s="2">
        <f t="shared" si="290"/>
        <v>148.20462250517426</v>
      </c>
      <c r="AB1036" s="8">
        <f t="shared" si="297"/>
        <v>0</v>
      </c>
      <c r="AC1036" s="10">
        <v>7.625</v>
      </c>
      <c r="AD1036" s="7">
        <f t="shared" si="298"/>
        <v>1093.2753774948258</v>
      </c>
      <c r="AE1036" s="2">
        <f t="shared" si="299"/>
        <v>148.20462250517426</v>
      </c>
      <c r="AF1036" s="10">
        <v>0</v>
      </c>
      <c r="AG1036" s="3">
        <f t="shared" si="300"/>
        <v>0</v>
      </c>
      <c r="AH1036" s="7">
        <v>7044.375</v>
      </c>
      <c r="AI1036">
        <f t="shared" si="301"/>
        <v>360</v>
      </c>
      <c r="AJ1036" t="e">
        <f>VLOOKUP(A1036,'Borrower Details'!$A$1:$H$1493,8,FALSE)</f>
        <v>#N/A</v>
      </c>
      <c r="AK1036" s="4" t="e">
        <f t="shared" si="302"/>
        <v>#N/A</v>
      </c>
      <c r="AL1036" s="10">
        <v>7.625</v>
      </c>
      <c r="AM1036" s="3">
        <f t="shared" si="303"/>
        <v>145875.02859999999</v>
      </c>
      <c r="AN1036">
        <v>7.625</v>
      </c>
      <c r="AO1036" s="7">
        <f t="shared" si="304"/>
        <v>1093.2755918405039</v>
      </c>
      <c r="AP1036" s="2">
        <f t="shared" si="305"/>
        <v>148.2044081594961</v>
      </c>
    </row>
    <row r="1037" spans="1:42" x14ac:dyDescent="0.15">
      <c r="A1037" s="8">
        <v>411011059</v>
      </c>
      <c r="B1037" t="s">
        <v>35</v>
      </c>
      <c r="C1037" t="s">
        <v>16</v>
      </c>
      <c r="D1037" s="1">
        <v>39377</v>
      </c>
      <c r="E1037" s="2">
        <v>85000</v>
      </c>
      <c r="F1037" s="2">
        <v>68000</v>
      </c>
      <c r="G1037" t="s">
        <v>17</v>
      </c>
      <c r="H1037" s="2">
        <v>650.16</v>
      </c>
      <c r="I1037" s="2">
        <v>67852.69</v>
      </c>
      <c r="J1037">
        <v>0.1105</v>
      </c>
      <c r="K1037">
        <v>6</v>
      </c>
      <c r="L1037">
        <v>354</v>
      </c>
      <c r="M1037" t="str">
        <f t="shared" si="291"/>
        <v>30 Year Fixed</v>
      </c>
      <c r="N1037" s="2">
        <v>624.80999999999995</v>
      </c>
      <c r="O1037" t="str">
        <f t="shared" si="288"/>
        <v>Cash Out</v>
      </c>
      <c r="P1037" s="3">
        <f t="shared" si="292"/>
        <v>3329.5760098522151</v>
      </c>
      <c r="Q1037" s="4">
        <v>72250</v>
      </c>
      <c r="R1037" s="4" t="s">
        <v>41</v>
      </c>
      <c r="S1037" s="6">
        <v>566</v>
      </c>
      <c r="T1037">
        <v>7.625</v>
      </c>
      <c r="U1037" s="7">
        <f t="shared" si="289"/>
        <v>541.48514840789142</v>
      </c>
      <c r="V1037" s="2">
        <f t="shared" si="293"/>
        <v>108.67485159210855</v>
      </c>
      <c r="W1037" s="9">
        <f t="shared" si="294"/>
        <v>0</v>
      </c>
      <c r="X1037" s="3">
        <v>72250</v>
      </c>
      <c r="Y1037" s="3">
        <f t="shared" si="295"/>
        <v>3329.5760098522151</v>
      </c>
      <c r="Z1037" s="7">
        <f t="shared" si="296"/>
        <v>541.48514840789142</v>
      </c>
      <c r="AA1037" s="2">
        <f t="shared" si="290"/>
        <v>108.67485159210855</v>
      </c>
      <c r="AB1037" s="8">
        <f t="shared" si="297"/>
        <v>0</v>
      </c>
      <c r="AC1037" s="10">
        <v>7.625</v>
      </c>
      <c r="AD1037" s="7">
        <f t="shared" si="298"/>
        <v>541.48514840789142</v>
      </c>
      <c r="AE1037" s="2">
        <f t="shared" si="299"/>
        <v>108.67485159210855</v>
      </c>
      <c r="AF1037" s="10">
        <v>0</v>
      </c>
      <c r="AG1037" s="3">
        <f t="shared" si="300"/>
        <v>0</v>
      </c>
      <c r="AH1037" s="7">
        <v>3757</v>
      </c>
      <c r="AI1037">
        <f t="shared" si="301"/>
        <v>360</v>
      </c>
      <c r="AJ1037" t="e">
        <f>VLOOKUP(A1037,'Borrower Details'!$A$1:$H$1493,8,FALSE)</f>
        <v>#N/A</v>
      </c>
      <c r="AK1037" s="4" t="e">
        <f t="shared" si="302"/>
        <v>#N/A</v>
      </c>
      <c r="AL1037" s="10">
        <v>7.625</v>
      </c>
      <c r="AM1037" s="3">
        <f t="shared" si="303"/>
        <v>68870.480349999998</v>
      </c>
      <c r="AN1037">
        <v>7.625</v>
      </c>
      <c r="AO1037" s="7">
        <f t="shared" si="304"/>
        <v>516.15698648086538</v>
      </c>
      <c r="AP1037" s="2">
        <f t="shared" si="305"/>
        <v>134.00301351913458</v>
      </c>
    </row>
    <row r="1038" spans="1:42" x14ac:dyDescent="0.15">
      <c r="A1038" s="8">
        <v>410831671</v>
      </c>
      <c r="B1038" t="s">
        <v>37</v>
      </c>
      <c r="C1038" t="s">
        <v>16</v>
      </c>
      <c r="D1038" s="1">
        <v>39331</v>
      </c>
      <c r="E1038" s="2">
        <v>93000</v>
      </c>
      <c r="F1038" s="2">
        <v>83700</v>
      </c>
      <c r="G1038" t="s">
        <v>17</v>
      </c>
      <c r="H1038" s="2">
        <v>886.81</v>
      </c>
      <c r="I1038" s="2">
        <v>83541.78</v>
      </c>
      <c r="J1038">
        <v>0.124</v>
      </c>
      <c r="K1038">
        <v>7</v>
      </c>
      <c r="L1038">
        <v>353</v>
      </c>
      <c r="M1038" t="str">
        <f t="shared" si="291"/>
        <v>30 Year Fixed</v>
      </c>
      <c r="N1038" s="2">
        <v>863.27</v>
      </c>
      <c r="O1038" t="str">
        <f t="shared" si="288"/>
        <v>Refi</v>
      </c>
      <c r="P1038" s="3">
        <f t="shared" si="292"/>
        <v>0</v>
      </c>
      <c r="Q1038" s="4">
        <v>84795</v>
      </c>
      <c r="R1038" s="4" t="s">
        <v>41</v>
      </c>
      <c r="S1038" s="6">
        <v>580</v>
      </c>
      <c r="T1038">
        <v>7.625</v>
      </c>
      <c r="U1038" s="7">
        <f t="shared" si="289"/>
        <v>635.50495722141386</v>
      </c>
      <c r="V1038" s="2">
        <f t="shared" si="293"/>
        <v>251.30504277858608</v>
      </c>
      <c r="W1038" s="9">
        <f t="shared" si="294"/>
        <v>0</v>
      </c>
      <c r="X1038" s="3">
        <v>84795</v>
      </c>
      <c r="Y1038" s="3">
        <f t="shared" si="295"/>
        <v>9.192118227656465E-2</v>
      </c>
      <c r="Z1038" s="7">
        <f t="shared" si="296"/>
        <v>635.50495722141386</v>
      </c>
      <c r="AA1038" s="2">
        <f t="shared" si="290"/>
        <v>251.30504277858608</v>
      </c>
      <c r="AB1038" s="8">
        <f t="shared" si="297"/>
        <v>0</v>
      </c>
      <c r="AC1038" s="10">
        <v>7.625</v>
      </c>
      <c r="AD1038" s="7">
        <f t="shared" si="298"/>
        <v>635.50495722141386</v>
      </c>
      <c r="AE1038" s="2">
        <f t="shared" si="299"/>
        <v>251.30504277858608</v>
      </c>
      <c r="AF1038" s="10">
        <v>0</v>
      </c>
      <c r="AG1038" s="3">
        <f t="shared" si="300"/>
        <v>0</v>
      </c>
      <c r="AH1038" s="7">
        <v>0</v>
      </c>
      <c r="AI1038">
        <f t="shared" si="301"/>
        <v>360</v>
      </c>
      <c r="AJ1038" t="e">
        <f>VLOOKUP(A1038,'Borrower Details'!$A$1:$H$1493,8,FALSE)</f>
        <v>#N/A</v>
      </c>
      <c r="AK1038" s="4" t="e">
        <f t="shared" si="302"/>
        <v>#N/A</v>
      </c>
      <c r="AL1038" s="10">
        <v>7.625</v>
      </c>
      <c r="AM1038" s="3">
        <f t="shared" si="303"/>
        <v>84794.906699999992</v>
      </c>
      <c r="AN1038">
        <v>7.625</v>
      </c>
      <c r="AO1038" s="7">
        <f t="shared" si="304"/>
        <v>635.50425797484854</v>
      </c>
      <c r="AP1038" s="2">
        <f t="shared" si="305"/>
        <v>251.3057420251514</v>
      </c>
    </row>
    <row r="1039" spans="1:42" x14ac:dyDescent="0.15">
      <c r="A1039" s="8">
        <v>410609861</v>
      </c>
      <c r="B1039" t="s">
        <v>36</v>
      </c>
      <c r="C1039" t="s">
        <v>18</v>
      </c>
      <c r="D1039" s="1">
        <v>39273</v>
      </c>
      <c r="E1039" s="2">
        <v>444700</v>
      </c>
      <c r="F1039" s="2">
        <v>355760</v>
      </c>
      <c r="G1039" t="s">
        <v>15</v>
      </c>
      <c r="H1039" s="2">
        <v>2608.06</v>
      </c>
      <c r="I1039" s="2">
        <v>354944.31</v>
      </c>
      <c r="J1039">
        <v>8.5000000000000006E-2</v>
      </c>
      <c r="K1039">
        <v>9</v>
      </c>
      <c r="L1039">
        <v>351</v>
      </c>
      <c r="M1039" t="str">
        <f t="shared" si="291"/>
        <v>30 Year Fixed</v>
      </c>
      <c r="N1039" s="2">
        <v>2514.19</v>
      </c>
      <c r="O1039" t="str">
        <f t="shared" si="288"/>
        <v>Cash Out</v>
      </c>
      <c r="P1039" s="3">
        <f t="shared" si="292"/>
        <v>17464.556995073915</v>
      </c>
      <c r="Q1039" s="4">
        <v>377995</v>
      </c>
      <c r="R1039" s="4" t="s">
        <v>41</v>
      </c>
      <c r="S1039" s="6">
        <v>568</v>
      </c>
      <c r="T1039">
        <v>7.625</v>
      </c>
      <c r="U1039" s="7">
        <f t="shared" si="289"/>
        <v>2832.9228881998747</v>
      </c>
      <c r="V1039" s="2">
        <f t="shared" si="293"/>
        <v>-224.86288819987476</v>
      </c>
      <c r="W1039" s="9">
        <f t="shared" si="294"/>
        <v>1</v>
      </c>
      <c r="X1039" s="3">
        <v>360268</v>
      </c>
      <c r="Y1039" s="3">
        <f t="shared" si="295"/>
        <v>-0.46763546793954447</v>
      </c>
      <c r="Z1039" s="7">
        <f t="shared" si="296"/>
        <v>2700.0660407835881</v>
      </c>
      <c r="AA1039" s="2">
        <f t="shared" si="290"/>
        <v>-92.006040783588105</v>
      </c>
      <c r="AB1039" s="8">
        <f t="shared" si="297"/>
        <v>1</v>
      </c>
      <c r="AC1039" s="10">
        <v>6.875</v>
      </c>
      <c r="AD1039" s="7">
        <f t="shared" si="298"/>
        <v>2516.8159651191759</v>
      </c>
      <c r="AE1039" s="2">
        <f t="shared" si="299"/>
        <v>91.244034880824074</v>
      </c>
      <c r="AF1039" s="10">
        <v>1</v>
      </c>
      <c r="AG1039" s="3">
        <f t="shared" si="300"/>
        <v>3602.68</v>
      </c>
      <c r="AH1039" s="7">
        <v>7115.2</v>
      </c>
      <c r="AI1039">
        <f t="shared" si="301"/>
        <v>360</v>
      </c>
      <c r="AJ1039" t="e">
        <f>VLOOKUP(A1039,'Borrower Details'!$A$1:$H$1493,8,FALSE)</f>
        <v>#N/A</v>
      </c>
      <c r="AK1039" s="4" t="e">
        <f t="shared" si="302"/>
        <v>#N/A</v>
      </c>
      <c r="AL1039" s="10">
        <v>7.625</v>
      </c>
      <c r="AM1039" s="3">
        <f t="shared" si="303"/>
        <v>360268.47464999999</v>
      </c>
      <c r="AN1039">
        <v>7.625</v>
      </c>
      <c r="AO1039" s="7">
        <f t="shared" si="304"/>
        <v>2700.0695980974388</v>
      </c>
      <c r="AP1039" s="2">
        <f t="shared" si="305"/>
        <v>-92.009598097438811</v>
      </c>
    </row>
    <row r="1040" spans="1:42" x14ac:dyDescent="0.15">
      <c r="A1040" s="8">
        <v>410878607</v>
      </c>
      <c r="B1040" t="s">
        <v>37</v>
      </c>
      <c r="C1040" t="s">
        <v>16</v>
      </c>
      <c r="D1040" s="1">
        <v>39339</v>
      </c>
      <c r="E1040" s="2">
        <v>210000</v>
      </c>
      <c r="F1040" s="2">
        <v>150000</v>
      </c>
      <c r="G1040" t="s">
        <v>20</v>
      </c>
      <c r="H1040" s="2">
        <v>1209.27</v>
      </c>
      <c r="I1040" s="2">
        <v>149799.17000000001</v>
      </c>
      <c r="J1040">
        <v>9.4500000000000001E-2</v>
      </c>
      <c r="K1040">
        <v>7</v>
      </c>
      <c r="L1040">
        <v>353</v>
      </c>
      <c r="M1040" t="str">
        <f t="shared" si="291"/>
        <v>30 Year Fixed</v>
      </c>
      <c r="N1040" s="2">
        <v>1179.67</v>
      </c>
      <c r="O1040" t="str">
        <f t="shared" si="288"/>
        <v>Cash Out</v>
      </c>
      <c r="P1040" s="3">
        <f t="shared" si="292"/>
        <v>26062.898965517234</v>
      </c>
      <c r="Q1040" s="4">
        <v>178500</v>
      </c>
      <c r="R1040" s="4" t="s">
        <v>41</v>
      </c>
      <c r="S1040" s="6">
        <v>549</v>
      </c>
      <c r="T1040">
        <v>7.625</v>
      </c>
      <c r="U1040" s="7">
        <f t="shared" si="289"/>
        <v>1337.786837243026</v>
      </c>
      <c r="V1040" s="2">
        <f t="shared" si="293"/>
        <v>-128.51683724302598</v>
      </c>
      <c r="W1040" s="9">
        <f t="shared" si="294"/>
        <v>1</v>
      </c>
      <c r="X1040" s="3">
        <v>161280</v>
      </c>
      <c r="Y1040" s="3">
        <f t="shared" si="295"/>
        <v>9097.3817241379293</v>
      </c>
      <c r="Z1040" s="7">
        <f t="shared" si="296"/>
        <v>1208.7297541207577</v>
      </c>
      <c r="AA1040" s="2">
        <f t="shared" si="290"/>
        <v>0.54024587924232037</v>
      </c>
      <c r="AB1040" s="8">
        <f t="shared" si="297"/>
        <v>1</v>
      </c>
      <c r="AC1040" s="10">
        <v>6.5</v>
      </c>
      <c r="AD1040" s="7">
        <f t="shared" si="298"/>
        <v>1086.5993082894556</v>
      </c>
      <c r="AE1040" s="2">
        <f t="shared" si="299"/>
        <v>122.67069171054436</v>
      </c>
      <c r="AF1040" s="10">
        <v>2.375</v>
      </c>
      <c r="AG1040" s="3">
        <f t="shared" si="300"/>
        <v>3830.4</v>
      </c>
      <c r="AH1040" s="7">
        <v>0</v>
      </c>
      <c r="AI1040">
        <f t="shared" si="301"/>
        <v>360</v>
      </c>
      <c r="AJ1040" t="e">
        <f>VLOOKUP(A1040,'Borrower Details'!$A$1:$H$1493,8,FALSE)</f>
        <v>#N/A</v>
      </c>
      <c r="AK1040" s="4" t="e">
        <f t="shared" si="302"/>
        <v>#N/A</v>
      </c>
      <c r="AL1040" s="10">
        <v>7.625</v>
      </c>
      <c r="AM1040" s="3">
        <f t="shared" si="303"/>
        <v>152046.15755</v>
      </c>
      <c r="AN1040">
        <v>7.625</v>
      </c>
      <c r="AO1040" s="7">
        <f t="shared" si="304"/>
        <v>1139.5257603572511</v>
      </c>
      <c r="AP1040" s="2">
        <f t="shared" si="305"/>
        <v>69.74423964274888</v>
      </c>
    </row>
    <row r="1041" spans="1:42" x14ac:dyDescent="0.15">
      <c r="A1041" s="8">
        <v>410653497</v>
      </c>
      <c r="B1041" t="s">
        <v>36</v>
      </c>
      <c r="C1041" t="s">
        <v>16</v>
      </c>
      <c r="D1041" s="1">
        <v>39300</v>
      </c>
      <c r="E1041" s="2">
        <v>208000</v>
      </c>
      <c r="F1041" s="2">
        <v>184000</v>
      </c>
      <c r="G1041" t="s">
        <v>15</v>
      </c>
      <c r="H1041" s="2">
        <v>1520.4</v>
      </c>
      <c r="I1041" s="2">
        <v>183150.57</v>
      </c>
      <c r="J1041">
        <v>9.2999999999999999E-2</v>
      </c>
      <c r="K1041">
        <v>8</v>
      </c>
      <c r="L1041">
        <v>352</v>
      </c>
      <c r="M1041" t="str">
        <f t="shared" si="291"/>
        <v>30 Year Fixed</v>
      </c>
      <c r="N1041" s="2">
        <v>1419.42</v>
      </c>
      <c r="O1041" t="str">
        <f t="shared" si="288"/>
        <v>Refi</v>
      </c>
      <c r="P1041" s="3">
        <f t="shared" si="292"/>
        <v>0</v>
      </c>
      <c r="Q1041" s="4">
        <v>185898</v>
      </c>
      <c r="R1041" s="4" t="s">
        <v>41</v>
      </c>
      <c r="S1041" s="6">
        <v>590</v>
      </c>
      <c r="T1041">
        <v>7.375</v>
      </c>
      <c r="U1041" s="7">
        <f t="shared" si="289"/>
        <v>1361.408785880499</v>
      </c>
      <c r="V1041" s="2">
        <f t="shared" si="293"/>
        <v>158.99121411950114</v>
      </c>
      <c r="W1041" s="9">
        <f t="shared" si="294"/>
        <v>0</v>
      </c>
      <c r="X1041" s="3">
        <v>185898</v>
      </c>
      <c r="Y1041" s="3">
        <f t="shared" si="295"/>
        <v>0.16891625616699457</v>
      </c>
      <c r="Z1041" s="7">
        <f t="shared" si="296"/>
        <v>1361.408785880499</v>
      </c>
      <c r="AA1041" s="2">
        <f t="shared" si="290"/>
        <v>158.99121411950114</v>
      </c>
      <c r="AB1041" s="8">
        <f t="shared" si="297"/>
        <v>0</v>
      </c>
      <c r="AC1041" s="10">
        <v>7.375</v>
      </c>
      <c r="AD1041" s="7">
        <f t="shared" si="298"/>
        <v>1361.408785880499</v>
      </c>
      <c r="AE1041" s="2">
        <f t="shared" si="299"/>
        <v>158.99121411950114</v>
      </c>
      <c r="AF1041" s="10">
        <v>0</v>
      </c>
      <c r="AG1041" s="3">
        <f t="shared" si="300"/>
        <v>0</v>
      </c>
      <c r="AH1041" s="7">
        <v>3680</v>
      </c>
      <c r="AI1041">
        <f t="shared" si="301"/>
        <v>360</v>
      </c>
      <c r="AJ1041" t="e">
        <f>VLOOKUP(A1041,'Borrower Details'!$A$1:$H$1493,8,FALSE)</f>
        <v>#N/A</v>
      </c>
      <c r="AK1041" s="4" t="e">
        <f t="shared" si="302"/>
        <v>#N/A</v>
      </c>
      <c r="AL1041" s="10">
        <v>7.375</v>
      </c>
      <c r="AM1041" s="3">
        <f t="shared" si="303"/>
        <v>185897.82854999998</v>
      </c>
      <c r="AN1041">
        <v>7.375</v>
      </c>
      <c r="AO1041" s="7">
        <f t="shared" si="304"/>
        <v>1361.4075302804581</v>
      </c>
      <c r="AP1041" s="2">
        <f t="shared" si="305"/>
        <v>158.99246971954199</v>
      </c>
    </row>
    <row r="1042" spans="1:42" x14ac:dyDescent="0.15">
      <c r="A1042" s="8">
        <v>410607949</v>
      </c>
      <c r="B1042" t="s">
        <v>38</v>
      </c>
      <c r="C1042" t="s">
        <v>16</v>
      </c>
      <c r="D1042" s="1">
        <v>39315</v>
      </c>
      <c r="E1042" s="2">
        <v>125000</v>
      </c>
      <c r="F1042" s="2">
        <v>106250</v>
      </c>
      <c r="G1042" t="s">
        <v>17</v>
      </c>
      <c r="H1042" s="2">
        <v>924.58</v>
      </c>
      <c r="I1042" s="2">
        <v>105854.13</v>
      </c>
      <c r="J1042">
        <v>9.9000000000000005E-2</v>
      </c>
      <c r="K1042">
        <v>8</v>
      </c>
      <c r="L1042">
        <v>352</v>
      </c>
      <c r="M1042" t="str">
        <f t="shared" si="291"/>
        <v>30 Year Fixed</v>
      </c>
      <c r="N1042" s="2">
        <v>873.3</v>
      </c>
      <c r="O1042" t="str">
        <f t="shared" si="288"/>
        <v>Refi</v>
      </c>
      <c r="P1042" s="3">
        <f t="shared" si="292"/>
        <v>0</v>
      </c>
      <c r="Q1042" s="4">
        <v>107442</v>
      </c>
      <c r="R1042" s="4" t="s">
        <v>41</v>
      </c>
      <c r="S1042" s="6">
        <v>586</v>
      </c>
      <c r="T1042">
        <v>7.375</v>
      </c>
      <c r="U1042" s="7">
        <f t="shared" si="289"/>
        <v>786.84269208153171</v>
      </c>
      <c r="V1042" s="2">
        <f t="shared" si="293"/>
        <v>137.73730791846833</v>
      </c>
      <c r="W1042" s="9">
        <f t="shared" si="294"/>
        <v>0</v>
      </c>
      <c r="X1042" s="3">
        <v>107442</v>
      </c>
      <c r="Y1042" s="3">
        <f t="shared" si="295"/>
        <v>5.7192118227249011E-2</v>
      </c>
      <c r="Z1042" s="7">
        <f t="shared" si="296"/>
        <v>786.84269208153171</v>
      </c>
      <c r="AA1042" s="2">
        <f t="shared" si="290"/>
        <v>137.73730791846833</v>
      </c>
      <c r="AB1042" s="8">
        <f t="shared" si="297"/>
        <v>0</v>
      </c>
      <c r="AC1042" s="10">
        <v>7.375</v>
      </c>
      <c r="AD1042" s="7">
        <f t="shared" si="298"/>
        <v>786.84269208153171</v>
      </c>
      <c r="AE1042" s="2">
        <f t="shared" si="299"/>
        <v>137.73730791846833</v>
      </c>
      <c r="AF1042" s="10">
        <v>0</v>
      </c>
      <c r="AG1042" s="3">
        <f t="shared" si="300"/>
        <v>0</v>
      </c>
      <c r="AH1042" s="7">
        <v>0</v>
      </c>
      <c r="AI1042">
        <f t="shared" si="301"/>
        <v>360</v>
      </c>
      <c r="AJ1042" t="e">
        <f>VLOOKUP(A1042,'Borrower Details'!$A$1:$H$1493,8,FALSE)</f>
        <v>#N/A</v>
      </c>
      <c r="AK1042" s="4" t="e">
        <f t="shared" si="302"/>
        <v>#N/A</v>
      </c>
      <c r="AL1042" s="10">
        <v>7.375</v>
      </c>
      <c r="AM1042" s="3">
        <f t="shared" si="303"/>
        <v>107441.94194999999</v>
      </c>
      <c r="AN1042">
        <v>7.375</v>
      </c>
      <c r="AO1042" s="7">
        <f t="shared" si="304"/>
        <v>786.84226695710845</v>
      </c>
      <c r="AP1042" s="2">
        <f t="shared" si="305"/>
        <v>137.73773304289159</v>
      </c>
    </row>
    <row r="1043" spans="1:42" x14ac:dyDescent="0.15">
      <c r="A1043" s="8">
        <v>410315535</v>
      </c>
      <c r="B1043" t="s">
        <v>37</v>
      </c>
      <c r="C1043" t="s">
        <v>18</v>
      </c>
      <c r="D1043" s="1">
        <v>39259</v>
      </c>
      <c r="E1043" s="2">
        <v>162000</v>
      </c>
      <c r="F1043" s="2">
        <v>149625</v>
      </c>
      <c r="G1043" t="s">
        <v>15</v>
      </c>
      <c r="H1043" s="2">
        <v>1182.45</v>
      </c>
      <c r="I1043" s="2">
        <v>148835.32</v>
      </c>
      <c r="J1043">
        <v>8.7999999999999995E-2</v>
      </c>
      <c r="K1043">
        <v>10</v>
      </c>
      <c r="L1043">
        <v>351</v>
      </c>
      <c r="M1043" t="str">
        <f t="shared" si="291"/>
        <v>30 Year Fixed</v>
      </c>
      <c r="N1043" s="2">
        <v>1092.1199999999999</v>
      </c>
      <c r="O1043" t="str">
        <f t="shared" si="288"/>
        <v>Refi</v>
      </c>
      <c r="P1043" s="3">
        <f t="shared" si="292"/>
        <v>0</v>
      </c>
      <c r="Q1043" s="4">
        <v>151068</v>
      </c>
      <c r="R1043" s="4" t="s">
        <v>41</v>
      </c>
      <c r="S1043" s="6">
        <v>647</v>
      </c>
      <c r="T1043">
        <v>6.75</v>
      </c>
      <c r="U1043" s="7">
        <f t="shared" si="289"/>
        <v>1042.7691725236693</v>
      </c>
      <c r="V1043" s="2">
        <f t="shared" si="293"/>
        <v>139.68082747633071</v>
      </c>
      <c r="W1043" s="9">
        <f t="shared" si="294"/>
        <v>0</v>
      </c>
      <c r="X1043" s="3">
        <v>151068</v>
      </c>
      <c r="Y1043" s="3">
        <f t="shared" si="295"/>
        <v>0.14798029558733106</v>
      </c>
      <c r="Z1043" s="7">
        <f t="shared" si="296"/>
        <v>1042.7691725236693</v>
      </c>
      <c r="AA1043" s="2">
        <f t="shared" si="290"/>
        <v>139.68082747633071</v>
      </c>
      <c r="AB1043" s="8">
        <f t="shared" si="297"/>
        <v>0</v>
      </c>
      <c r="AC1043" s="10">
        <v>6.75</v>
      </c>
      <c r="AD1043" s="7">
        <f t="shared" si="298"/>
        <v>1042.7691725236693</v>
      </c>
      <c r="AE1043" s="2">
        <f t="shared" si="299"/>
        <v>139.68082747633071</v>
      </c>
      <c r="AF1043" s="10">
        <v>0</v>
      </c>
      <c r="AG1043" s="3">
        <f t="shared" si="300"/>
        <v>0</v>
      </c>
      <c r="AH1043" s="7">
        <v>0</v>
      </c>
      <c r="AI1043">
        <f t="shared" si="301"/>
        <v>360</v>
      </c>
      <c r="AJ1043" t="e">
        <f>VLOOKUP(A1043,'Borrower Details'!$A$1:$H$1493,8,FALSE)</f>
        <v>#N/A</v>
      </c>
      <c r="AK1043" s="4" t="e">
        <f t="shared" si="302"/>
        <v>#N/A</v>
      </c>
      <c r="AL1043" s="10">
        <v>6.75</v>
      </c>
      <c r="AM1043" s="3">
        <f t="shared" si="303"/>
        <v>151067.8498</v>
      </c>
      <c r="AN1043">
        <v>6.75</v>
      </c>
      <c r="AO1043" s="7">
        <f t="shared" si="304"/>
        <v>1042.7681357459949</v>
      </c>
      <c r="AP1043" s="2">
        <f t="shared" si="305"/>
        <v>139.68186425400518</v>
      </c>
    </row>
    <row r="1044" spans="1:42" x14ac:dyDescent="0.15">
      <c r="A1044" s="8">
        <v>410403497</v>
      </c>
      <c r="B1044" t="s">
        <v>35</v>
      </c>
      <c r="C1044" t="s">
        <v>16</v>
      </c>
      <c r="D1044" s="1">
        <v>39262</v>
      </c>
      <c r="E1044" s="2">
        <v>120000</v>
      </c>
      <c r="F1044" s="2">
        <v>100000</v>
      </c>
      <c r="G1044" t="s">
        <v>15</v>
      </c>
      <c r="H1044" s="2">
        <v>654.38</v>
      </c>
      <c r="I1044" s="2">
        <v>99619.31</v>
      </c>
      <c r="J1044">
        <v>7.4499999999999997E-2</v>
      </c>
      <c r="K1044">
        <v>10</v>
      </c>
      <c r="L1044">
        <v>349</v>
      </c>
      <c r="M1044" t="str">
        <f t="shared" si="291"/>
        <v>30 Year Fixed</v>
      </c>
      <c r="N1044" s="2">
        <v>618.69000000000005</v>
      </c>
      <c r="O1044" t="str">
        <f t="shared" si="288"/>
        <v>Cash Out</v>
      </c>
      <c r="P1044" s="3">
        <f t="shared" si="292"/>
        <v>873.30083743843716</v>
      </c>
      <c r="Q1044" s="4">
        <v>102000</v>
      </c>
      <c r="R1044" s="4" t="s">
        <v>41</v>
      </c>
      <c r="S1044" s="6">
        <v>692</v>
      </c>
      <c r="T1044">
        <v>6.75</v>
      </c>
      <c r="U1044" s="7">
        <f t="shared" si="289"/>
        <v>704.07005849957807</v>
      </c>
      <c r="V1044" s="2">
        <f t="shared" si="293"/>
        <v>-49.690058499578072</v>
      </c>
      <c r="W1044" s="9">
        <f t="shared" si="294"/>
        <v>1</v>
      </c>
      <c r="X1044" s="3">
        <v>101113</v>
      </c>
      <c r="Y1044" s="3">
        <f t="shared" si="295"/>
        <v>-0.59078817733097821</v>
      </c>
      <c r="Z1044" s="7">
        <f t="shared" si="296"/>
        <v>697.94741004968466</v>
      </c>
      <c r="AA1044" s="2">
        <f t="shared" si="290"/>
        <v>-43.567410049684668</v>
      </c>
      <c r="AB1044" s="8">
        <f t="shared" si="297"/>
        <v>1</v>
      </c>
      <c r="AC1044" s="10">
        <v>6.125</v>
      </c>
      <c r="AD1044" s="7">
        <f t="shared" si="298"/>
        <v>656.5036615528893</v>
      </c>
      <c r="AE1044" s="2">
        <f t="shared" si="299"/>
        <v>-2.1236615528893026</v>
      </c>
      <c r="AF1044" s="10">
        <v>3</v>
      </c>
      <c r="AG1044" s="3">
        <f t="shared" si="300"/>
        <v>3033.39</v>
      </c>
      <c r="AH1044" s="7">
        <v>3725</v>
      </c>
      <c r="AI1044">
        <f t="shared" si="301"/>
        <v>360</v>
      </c>
      <c r="AJ1044" t="e">
        <f>VLOOKUP(A1044,'Borrower Details'!$A$1:$H$1493,8,FALSE)</f>
        <v>#N/A</v>
      </c>
      <c r="AK1044" s="4" t="e">
        <f t="shared" si="302"/>
        <v>#N/A</v>
      </c>
      <c r="AL1044" s="10">
        <v>6.75</v>
      </c>
      <c r="AM1044" s="3">
        <f t="shared" si="303"/>
        <v>101113.59964999999</v>
      </c>
      <c r="AN1044">
        <v>6.75</v>
      </c>
      <c r="AO1044" s="7">
        <f t="shared" si="304"/>
        <v>697.95154922233735</v>
      </c>
      <c r="AP1044" s="2">
        <f t="shared" si="305"/>
        <v>-43.571549222337353</v>
      </c>
    </row>
    <row r="1045" spans="1:42" x14ac:dyDescent="0.15">
      <c r="A1045" s="8">
        <v>410961825</v>
      </c>
      <c r="B1045" t="s">
        <v>37</v>
      </c>
      <c r="C1045" t="s">
        <v>18</v>
      </c>
      <c r="D1045" s="1">
        <v>39342</v>
      </c>
      <c r="E1045" s="2">
        <v>175000</v>
      </c>
      <c r="F1045" s="2">
        <v>100000</v>
      </c>
      <c r="G1045" t="s">
        <v>20</v>
      </c>
      <c r="H1045" s="2">
        <v>876.84</v>
      </c>
      <c r="I1045" s="2">
        <v>99681.75</v>
      </c>
      <c r="J1045">
        <v>9.9900000000000003E-2</v>
      </c>
      <c r="K1045">
        <v>7</v>
      </c>
      <c r="L1045">
        <v>353</v>
      </c>
      <c r="M1045" t="str">
        <f t="shared" si="291"/>
        <v>30 Year Fixed</v>
      </c>
      <c r="N1045" s="2">
        <v>829.85</v>
      </c>
      <c r="O1045" t="str">
        <f t="shared" si="288"/>
        <v>Cash Out</v>
      </c>
      <c r="P1045" s="3">
        <f t="shared" si="292"/>
        <v>46869.974137931044</v>
      </c>
      <c r="Q1045" s="4">
        <v>148750</v>
      </c>
      <c r="R1045" s="4" t="s">
        <v>41</v>
      </c>
      <c r="S1045" s="6">
        <v>526</v>
      </c>
      <c r="T1045">
        <v>7.625</v>
      </c>
      <c r="U1045" s="7">
        <f t="shared" si="289"/>
        <v>1114.8223643691883</v>
      </c>
      <c r="V1045" s="2">
        <f t="shared" si="293"/>
        <v>-237.9823643691883</v>
      </c>
      <c r="W1045" s="9">
        <f t="shared" si="294"/>
        <v>1</v>
      </c>
      <c r="X1045" s="3">
        <v>116920</v>
      </c>
      <c r="Y1045" s="3">
        <f t="shared" si="295"/>
        <v>15510.368226601</v>
      </c>
      <c r="Z1045" s="7">
        <f t="shared" si="296"/>
        <v>876.26911490450755</v>
      </c>
      <c r="AA1045" s="2">
        <f t="shared" si="290"/>
        <v>0.57088509549248556</v>
      </c>
      <c r="AB1045" s="8">
        <f t="shared" si="297"/>
        <v>0</v>
      </c>
      <c r="AC1045" s="10">
        <v>7.625</v>
      </c>
      <c r="AD1045" s="7">
        <f t="shared" si="298"/>
        <v>876.26911490450755</v>
      </c>
      <c r="AE1045" s="2">
        <f t="shared" si="299"/>
        <v>0.57088509549248556</v>
      </c>
      <c r="AF1045" s="10">
        <v>0</v>
      </c>
      <c r="AG1045" s="3">
        <f t="shared" si="300"/>
        <v>0</v>
      </c>
      <c r="AH1045" s="7">
        <v>0</v>
      </c>
      <c r="AI1045">
        <f t="shared" si="301"/>
        <v>360</v>
      </c>
      <c r="AJ1045" t="e">
        <f>VLOOKUP(A1045,'Borrower Details'!$A$1:$H$1493,8,FALSE)</f>
        <v>#N/A</v>
      </c>
      <c r="AK1045" s="4" t="e">
        <f t="shared" si="302"/>
        <v>#N/A</v>
      </c>
      <c r="AL1045" s="10">
        <v>7.625</v>
      </c>
      <c r="AM1045" s="3">
        <f t="shared" si="303"/>
        <v>101176.97624999999</v>
      </c>
      <c r="AN1045">
        <v>7.625</v>
      </c>
      <c r="AO1045" s="7">
        <f t="shared" si="304"/>
        <v>758.28138408571567</v>
      </c>
      <c r="AP1045" s="2">
        <f t="shared" si="305"/>
        <v>118.55861591428436</v>
      </c>
    </row>
    <row r="1046" spans="1:42" x14ac:dyDescent="0.15">
      <c r="A1046" s="8">
        <v>410874135</v>
      </c>
      <c r="B1046" t="s">
        <v>36</v>
      </c>
      <c r="C1046" t="s">
        <v>16</v>
      </c>
      <c r="D1046" s="1">
        <v>39342</v>
      </c>
      <c r="E1046" s="2">
        <v>270000</v>
      </c>
      <c r="F1046" s="2">
        <v>243000</v>
      </c>
      <c r="G1046" t="s">
        <v>20</v>
      </c>
      <c r="H1046" s="2">
        <v>2204.67</v>
      </c>
      <c r="I1046" s="2">
        <v>242291.08</v>
      </c>
      <c r="J1046">
        <v>0.104</v>
      </c>
      <c r="K1046">
        <v>7</v>
      </c>
      <c r="L1046">
        <v>353</v>
      </c>
      <c r="M1046" t="str">
        <f t="shared" si="291"/>
        <v>30 Year Fixed</v>
      </c>
      <c r="N1046" s="2">
        <v>2099.86</v>
      </c>
      <c r="O1046" t="str">
        <f t="shared" si="288"/>
        <v>Refi</v>
      </c>
      <c r="P1046" s="3">
        <f t="shared" si="292"/>
        <v>0</v>
      </c>
      <c r="Q1046" s="4">
        <v>245925</v>
      </c>
      <c r="R1046" s="4" t="s">
        <v>41</v>
      </c>
      <c r="S1046" s="6">
        <v>638</v>
      </c>
      <c r="T1046">
        <v>6.75</v>
      </c>
      <c r="U1046" s="7">
        <f t="shared" si="289"/>
        <v>1697.5336189853799</v>
      </c>
      <c r="V1046" s="2">
        <f t="shared" si="293"/>
        <v>507.13638101462016</v>
      </c>
      <c r="W1046" s="9">
        <f t="shared" si="294"/>
        <v>0</v>
      </c>
      <c r="X1046" s="3">
        <v>245925</v>
      </c>
      <c r="Y1046" s="3">
        <f t="shared" si="295"/>
        <v>-0.43960591129143722</v>
      </c>
      <c r="Z1046" s="7">
        <f t="shared" si="296"/>
        <v>1697.5336189853799</v>
      </c>
      <c r="AA1046" s="2">
        <f t="shared" si="290"/>
        <v>507.13638101462016</v>
      </c>
      <c r="AB1046" s="8">
        <f t="shared" si="297"/>
        <v>0</v>
      </c>
      <c r="AC1046" s="10">
        <v>6.75</v>
      </c>
      <c r="AD1046" s="7">
        <f t="shared" si="298"/>
        <v>1697.5336189853799</v>
      </c>
      <c r="AE1046" s="2">
        <f t="shared" si="299"/>
        <v>507.13638101462016</v>
      </c>
      <c r="AF1046" s="10">
        <v>0</v>
      </c>
      <c r="AG1046" s="3">
        <f t="shared" si="300"/>
        <v>0</v>
      </c>
      <c r="AH1046" s="7">
        <v>4860</v>
      </c>
      <c r="AI1046">
        <f t="shared" si="301"/>
        <v>360</v>
      </c>
      <c r="AJ1046" t="e">
        <f>VLOOKUP(A1046,'Borrower Details'!$A$1:$H$1493,8,FALSE)</f>
        <v>#N/A</v>
      </c>
      <c r="AK1046" s="4" t="e">
        <f t="shared" si="302"/>
        <v>#N/A</v>
      </c>
      <c r="AL1046" s="10">
        <v>6.75</v>
      </c>
      <c r="AM1046" s="3">
        <f t="shared" si="303"/>
        <v>245925.44619999998</v>
      </c>
      <c r="AN1046">
        <v>6.75</v>
      </c>
      <c r="AO1046" s="7">
        <f t="shared" si="304"/>
        <v>1697.5366989467532</v>
      </c>
      <c r="AP1046" s="2">
        <f t="shared" si="305"/>
        <v>507.1333010532469</v>
      </c>
    </row>
    <row r="1047" spans="1:42" x14ac:dyDescent="0.15">
      <c r="A1047" s="8">
        <v>410677223</v>
      </c>
      <c r="B1047" t="s">
        <v>35</v>
      </c>
      <c r="C1047" t="s">
        <v>16</v>
      </c>
      <c r="D1047" s="1">
        <v>39297</v>
      </c>
      <c r="E1047" s="2">
        <v>108000</v>
      </c>
      <c r="F1047" s="2">
        <v>91800</v>
      </c>
      <c r="G1047" t="s">
        <v>15</v>
      </c>
      <c r="H1047" s="2">
        <v>758.55</v>
      </c>
      <c r="I1047" s="2">
        <v>89613.51</v>
      </c>
      <c r="J1047">
        <v>9.2999999999999999E-2</v>
      </c>
      <c r="K1047">
        <v>9</v>
      </c>
      <c r="L1047">
        <v>350</v>
      </c>
      <c r="M1047" t="str">
        <f t="shared" si="291"/>
        <v>30 Year Fixed</v>
      </c>
      <c r="N1047" s="2">
        <v>694.5</v>
      </c>
      <c r="O1047" t="str">
        <f t="shared" si="288"/>
        <v>Cash Out</v>
      </c>
      <c r="P1047" s="3">
        <f t="shared" si="292"/>
        <v>829.83975369459949</v>
      </c>
      <c r="Q1047" s="4">
        <v>91800</v>
      </c>
      <c r="R1047" s="4" t="s">
        <v>41</v>
      </c>
      <c r="S1047" s="6">
        <v>600</v>
      </c>
      <c r="T1047">
        <v>7</v>
      </c>
      <c r="U1047" s="7">
        <f t="shared" si="289"/>
        <v>648.99769057448964</v>
      </c>
      <c r="V1047" s="2">
        <f t="shared" si="293"/>
        <v>109.55230942551032</v>
      </c>
      <c r="W1047" s="9">
        <f t="shared" si="294"/>
        <v>0</v>
      </c>
      <c r="X1047" s="3">
        <v>91800</v>
      </c>
      <c r="Y1047" s="3">
        <f t="shared" si="295"/>
        <v>829.83975369459949</v>
      </c>
      <c r="Z1047" s="7">
        <f t="shared" si="296"/>
        <v>648.99769057448964</v>
      </c>
      <c r="AA1047" s="2">
        <f t="shared" si="290"/>
        <v>109.55230942551032</v>
      </c>
      <c r="AB1047" s="8">
        <f t="shared" si="297"/>
        <v>0</v>
      </c>
      <c r="AC1047" s="10">
        <v>7</v>
      </c>
      <c r="AD1047" s="7">
        <f t="shared" si="298"/>
        <v>648.99769057448964</v>
      </c>
      <c r="AE1047" s="2">
        <f t="shared" si="299"/>
        <v>109.55230942551032</v>
      </c>
      <c r="AF1047" s="10">
        <v>0</v>
      </c>
      <c r="AG1047" s="3">
        <f t="shared" si="300"/>
        <v>0</v>
      </c>
      <c r="AH1047" s="7">
        <v>4268.7</v>
      </c>
      <c r="AI1047">
        <f t="shared" si="301"/>
        <v>360</v>
      </c>
      <c r="AJ1047" t="e">
        <f>VLOOKUP(A1047,'Borrower Details'!$A$1:$H$1493,8,FALSE)</f>
        <v>#N/A</v>
      </c>
      <c r="AK1047" s="4" t="e">
        <f t="shared" si="302"/>
        <v>#N/A</v>
      </c>
      <c r="AL1047" s="10">
        <v>7</v>
      </c>
      <c r="AM1047" s="3">
        <f t="shared" si="303"/>
        <v>90957.712649999987</v>
      </c>
      <c r="AN1047">
        <v>7</v>
      </c>
      <c r="AO1047" s="7">
        <f t="shared" si="304"/>
        <v>643.04297875586099</v>
      </c>
      <c r="AP1047" s="2">
        <f t="shared" si="305"/>
        <v>115.50702124413897</v>
      </c>
    </row>
    <row r="1048" spans="1:42" x14ac:dyDescent="0.15">
      <c r="A1048" s="8">
        <v>410800445</v>
      </c>
      <c r="B1048" t="s">
        <v>36</v>
      </c>
      <c r="C1048" t="s">
        <v>16</v>
      </c>
      <c r="D1048" s="1">
        <v>39321</v>
      </c>
      <c r="E1048" s="2">
        <v>161000</v>
      </c>
      <c r="F1048" s="2">
        <v>112700</v>
      </c>
      <c r="G1048" t="s">
        <v>17</v>
      </c>
      <c r="H1048" s="2">
        <v>854.01</v>
      </c>
      <c r="I1048" s="2">
        <v>112608.99</v>
      </c>
      <c r="J1048">
        <v>8.9899999999999994E-2</v>
      </c>
      <c r="K1048">
        <v>8</v>
      </c>
      <c r="L1048">
        <v>351</v>
      </c>
      <c r="M1048" t="str">
        <f t="shared" si="291"/>
        <v>30 Year Fixed</v>
      </c>
      <c r="N1048" s="2">
        <v>843.71</v>
      </c>
      <c r="O1048" t="str">
        <f t="shared" si="288"/>
        <v>Cash Out</v>
      </c>
      <c r="P1048" s="3">
        <f t="shared" si="292"/>
        <v>22218.596206896545</v>
      </c>
      <c r="Q1048" s="4">
        <v>136850</v>
      </c>
      <c r="R1048" s="4" t="s">
        <v>41</v>
      </c>
      <c r="S1048" s="6">
        <v>522</v>
      </c>
      <c r="T1048">
        <v>7.625</v>
      </c>
      <c r="U1048" s="7">
        <f t="shared" si="289"/>
        <v>1025.6365752196532</v>
      </c>
      <c r="V1048" s="2">
        <f t="shared" si="293"/>
        <v>-171.6265752196532</v>
      </c>
      <c r="W1048" s="9">
        <f t="shared" si="294"/>
        <v>1</v>
      </c>
      <c r="X1048" s="3">
        <v>114298</v>
      </c>
      <c r="Y1048" s="3">
        <f t="shared" si="295"/>
        <v>-0.1230049261066597</v>
      </c>
      <c r="Z1048" s="7">
        <f t="shared" si="296"/>
        <v>856.61826287508893</v>
      </c>
      <c r="AA1048" s="2">
        <f t="shared" si="290"/>
        <v>-2.6082628750889398</v>
      </c>
      <c r="AB1048" s="8">
        <f t="shared" si="297"/>
        <v>1</v>
      </c>
      <c r="AC1048" s="10">
        <v>6.875</v>
      </c>
      <c r="AD1048" s="7">
        <f t="shared" si="298"/>
        <v>798.4806621215082</v>
      </c>
      <c r="AE1048" s="2">
        <f t="shared" si="299"/>
        <v>55.529337878491788</v>
      </c>
      <c r="AF1048" s="10">
        <v>1.75</v>
      </c>
      <c r="AG1048" s="3">
        <f t="shared" si="300"/>
        <v>2000.2149999999999</v>
      </c>
      <c r="AH1048" s="7">
        <v>2254</v>
      </c>
      <c r="AI1048">
        <f t="shared" si="301"/>
        <v>360</v>
      </c>
      <c r="AJ1048" t="e">
        <f>VLOOKUP(A1048,'Borrower Details'!$A$1:$H$1493,8,FALSE)</f>
        <v>#N/A</v>
      </c>
      <c r="AK1048" s="4" t="e">
        <f t="shared" si="302"/>
        <v>#N/A</v>
      </c>
      <c r="AL1048" s="10">
        <v>7.625</v>
      </c>
      <c r="AM1048" s="3">
        <f t="shared" si="303"/>
        <v>114298.12484999999</v>
      </c>
      <c r="AN1048">
        <v>7.625</v>
      </c>
      <c r="AO1048" s="7">
        <f t="shared" si="304"/>
        <v>856.61919857641465</v>
      </c>
      <c r="AP1048" s="2">
        <f t="shared" si="305"/>
        <v>-2.6091985764146557</v>
      </c>
    </row>
    <row r="1049" spans="1:42" x14ac:dyDescent="0.15">
      <c r="A1049" s="8">
        <v>411201197</v>
      </c>
      <c r="B1049" t="s">
        <v>35</v>
      </c>
      <c r="C1049" t="s">
        <v>16</v>
      </c>
      <c r="D1049" s="1">
        <v>39443</v>
      </c>
      <c r="E1049" s="2">
        <v>100000</v>
      </c>
      <c r="F1049" s="2">
        <v>85000</v>
      </c>
      <c r="G1049" t="s">
        <v>17</v>
      </c>
      <c r="H1049" s="2">
        <v>848.24</v>
      </c>
      <c r="I1049" s="2">
        <v>84892.160000000003</v>
      </c>
      <c r="J1049">
        <v>0.11600000000000001</v>
      </c>
      <c r="K1049">
        <v>4</v>
      </c>
      <c r="L1049">
        <v>356</v>
      </c>
      <c r="M1049" t="str">
        <f t="shared" si="291"/>
        <v>30 Year Fixed</v>
      </c>
      <c r="N1049" s="2">
        <v>820.89</v>
      </c>
      <c r="O1049" t="str">
        <f t="shared" si="288"/>
        <v>Refi</v>
      </c>
      <c r="P1049" s="3">
        <f t="shared" si="292"/>
        <v>0</v>
      </c>
      <c r="Q1049" s="4">
        <v>86166</v>
      </c>
      <c r="R1049" s="4" t="s">
        <v>41</v>
      </c>
      <c r="S1049" s="6">
        <v>548</v>
      </c>
      <c r="T1049">
        <v>7.625</v>
      </c>
      <c r="U1049" s="7">
        <f t="shared" si="289"/>
        <v>645.78005948393604</v>
      </c>
      <c r="V1049" s="2">
        <f t="shared" si="293"/>
        <v>202.45994051606397</v>
      </c>
      <c r="W1049" s="9">
        <f t="shared" si="294"/>
        <v>0</v>
      </c>
      <c r="X1049" s="3">
        <v>86166</v>
      </c>
      <c r="Y1049" s="3">
        <f t="shared" si="295"/>
        <v>0.45083743843133561</v>
      </c>
      <c r="Z1049" s="7">
        <f t="shared" si="296"/>
        <v>645.78005948393604</v>
      </c>
      <c r="AA1049" s="2">
        <f t="shared" si="290"/>
        <v>202.45994051606397</v>
      </c>
      <c r="AB1049" s="8">
        <f t="shared" si="297"/>
        <v>0</v>
      </c>
      <c r="AC1049" s="10">
        <v>7.625</v>
      </c>
      <c r="AD1049" s="7">
        <f t="shared" si="298"/>
        <v>645.78005948393604</v>
      </c>
      <c r="AE1049" s="2">
        <f t="shared" si="299"/>
        <v>202.45994051606397</v>
      </c>
      <c r="AF1049" s="10">
        <v>0</v>
      </c>
      <c r="AG1049" s="3">
        <f t="shared" si="300"/>
        <v>0</v>
      </c>
      <c r="AH1049" s="7">
        <v>4930</v>
      </c>
      <c r="AI1049">
        <f t="shared" si="301"/>
        <v>360</v>
      </c>
      <c r="AJ1049" t="e">
        <f>VLOOKUP(A1049,'Borrower Details'!$A$1:$H$1493,8,FALSE)</f>
        <v>#N/A</v>
      </c>
      <c r="AK1049" s="4" t="e">
        <f t="shared" si="302"/>
        <v>#N/A</v>
      </c>
      <c r="AL1049" s="10">
        <v>7.625</v>
      </c>
      <c r="AM1049" s="3">
        <f t="shared" si="303"/>
        <v>86165.542399999991</v>
      </c>
      <c r="AN1049">
        <v>7.625</v>
      </c>
      <c r="AO1049" s="7">
        <f t="shared" si="304"/>
        <v>645.77662995308594</v>
      </c>
      <c r="AP1049" s="2">
        <f t="shared" si="305"/>
        <v>202.46337004691406</v>
      </c>
    </row>
    <row r="1050" spans="1:42" x14ac:dyDescent="0.15">
      <c r="A1050" s="8">
        <v>411207863</v>
      </c>
      <c r="B1050" t="s">
        <v>36</v>
      </c>
      <c r="C1050" t="s">
        <v>16</v>
      </c>
      <c r="D1050" s="1">
        <v>39447</v>
      </c>
      <c r="E1050" s="2">
        <v>135000</v>
      </c>
      <c r="F1050" s="2">
        <v>108000</v>
      </c>
      <c r="G1050" t="s">
        <v>17</v>
      </c>
      <c r="H1050" s="2">
        <v>959.78</v>
      </c>
      <c r="I1050" s="2">
        <v>107810.65</v>
      </c>
      <c r="J1050">
        <v>0.10150000000000001</v>
      </c>
      <c r="K1050">
        <v>4</v>
      </c>
      <c r="L1050">
        <v>356</v>
      </c>
      <c r="M1050" t="str">
        <f t="shared" si="291"/>
        <v>30 Year Fixed</v>
      </c>
      <c r="N1050" s="2">
        <v>911.9</v>
      </c>
      <c r="O1050" t="str">
        <f t="shared" si="288"/>
        <v>Cash Out</v>
      </c>
      <c r="P1050" s="3">
        <f t="shared" si="292"/>
        <v>5243.5371921182377</v>
      </c>
      <c r="Q1050" s="4">
        <v>114750</v>
      </c>
      <c r="R1050" s="4" t="s">
        <v>41</v>
      </c>
      <c r="S1050" s="6">
        <v>579</v>
      </c>
      <c r="T1050">
        <v>7.625</v>
      </c>
      <c r="U1050" s="7">
        <f t="shared" si="289"/>
        <v>860.00582394194521</v>
      </c>
      <c r="V1050" s="2">
        <f t="shared" si="293"/>
        <v>99.774176058054763</v>
      </c>
      <c r="W1050" s="9">
        <f t="shared" si="294"/>
        <v>0</v>
      </c>
      <c r="X1050" s="3">
        <v>114750</v>
      </c>
      <c r="Y1050" s="3">
        <f t="shared" si="295"/>
        <v>5243.5371921182377</v>
      </c>
      <c r="Z1050" s="7">
        <f t="shared" si="296"/>
        <v>860.00582394194521</v>
      </c>
      <c r="AA1050" s="2">
        <f t="shared" si="290"/>
        <v>99.774176058054763</v>
      </c>
      <c r="AB1050" s="8">
        <f t="shared" si="297"/>
        <v>0</v>
      </c>
      <c r="AC1050" s="10">
        <v>7.625</v>
      </c>
      <c r="AD1050" s="7">
        <f t="shared" si="298"/>
        <v>860.00582394194521</v>
      </c>
      <c r="AE1050" s="2">
        <f t="shared" si="299"/>
        <v>99.774176058054763</v>
      </c>
      <c r="AF1050" s="10">
        <v>0</v>
      </c>
      <c r="AG1050" s="3">
        <f t="shared" si="300"/>
        <v>0</v>
      </c>
      <c r="AH1050" s="7">
        <v>2160</v>
      </c>
      <c r="AI1050">
        <f t="shared" si="301"/>
        <v>360</v>
      </c>
      <c r="AJ1050" t="e">
        <f>VLOOKUP(A1050,'Borrower Details'!$A$1:$H$1493,8,FALSE)</f>
        <v>#N/A</v>
      </c>
      <c r="AK1050" s="4" t="e">
        <f t="shared" si="302"/>
        <v>#N/A</v>
      </c>
      <c r="AL1050" s="10">
        <v>7.625</v>
      </c>
      <c r="AM1050" s="3">
        <f t="shared" si="303"/>
        <v>109427.80974999999</v>
      </c>
      <c r="AN1050">
        <v>7.625</v>
      </c>
      <c r="AO1050" s="7">
        <f t="shared" si="304"/>
        <v>820.11811491251569</v>
      </c>
      <c r="AP1050" s="2">
        <f t="shared" si="305"/>
        <v>139.66188508748428</v>
      </c>
    </row>
    <row r="1051" spans="1:42" x14ac:dyDescent="0.15">
      <c r="A1051" s="8">
        <v>410498513</v>
      </c>
      <c r="B1051" t="s">
        <v>37</v>
      </c>
      <c r="C1051" t="s">
        <v>18</v>
      </c>
      <c r="D1051" s="1">
        <v>39266</v>
      </c>
      <c r="E1051" s="2">
        <v>289000</v>
      </c>
      <c r="F1051" s="2">
        <v>202300</v>
      </c>
      <c r="G1051" t="s">
        <v>15</v>
      </c>
      <c r="H1051" s="2">
        <v>1484.41</v>
      </c>
      <c r="I1051" s="2">
        <v>201044.36</v>
      </c>
      <c r="J1051">
        <v>0.08</v>
      </c>
      <c r="K1051">
        <v>9</v>
      </c>
      <c r="L1051">
        <v>351</v>
      </c>
      <c r="M1051" t="str">
        <f t="shared" si="291"/>
        <v>30 Year Fixed</v>
      </c>
      <c r="N1051" s="2">
        <v>1340.3</v>
      </c>
      <c r="O1051" t="str">
        <f t="shared" si="288"/>
        <v>Cash Out</v>
      </c>
      <c r="P1051" s="3">
        <f t="shared" si="292"/>
        <v>40975.344433497579</v>
      </c>
      <c r="Q1051" s="4">
        <v>245650</v>
      </c>
      <c r="R1051" s="4" t="s">
        <v>41</v>
      </c>
      <c r="S1051" s="6">
        <v>540</v>
      </c>
      <c r="T1051">
        <v>7.625</v>
      </c>
      <c r="U1051" s="7">
        <f t="shared" si="289"/>
        <v>1841.0495045868311</v>
      </c>
      <c r="V1051" s="2">
        <f t="shared" si="293"/>
        <v>-356.63950458683098</v>
      </c>
      <c r="W1051" s="9">
        <f t="shared" si="294"/>
        <v>1</v>
      </c>
      <c r="X1051" s="3">
        <v>204060</v>
      </c>
      <c r="Y1051" s="3">
        <f t="shared" si="295"/>
        <v>-2.5024630507687107E-2</v>
      </c>
      <c r="Z1051" s="7">
        <f t="shared" si="296"/>
        <v>1529.348918811271</v>
      </c>
      <c r="AA1051" s="2">
        <f t="shared" si="290"/>
        <v>-44.938918811270923</v>
      </c>
      <c r="AB1051" s="8">
        <f t="shared" si="297"/>
        <v>1</v>
      </c>
      <c r="AC1051" s="10">
        <v>6.875</v>
      </c>
      <c r="AD1051" s="7">
        <f t="shared" si="298"/>
        <v>1425.5539371862587</v>
      </c>
      <c r="AE1051" s="2">
        <f t="shared" si="299"/>
        <v>58.856062813741346</v>
      </c>
      <c r="AF1051" s="10">
        <v>0.875</v>
      </c>
      <c r="AG1051" s="3">
        <f t="shared" si="300"/>
        <v>1785.5250000000001</v>
      </c>
      <c r="AH1051" s="7">
        <v>2023</v>
      </c>
      <c r="AI1051">
        <f t="shared" si="301"/>
        <v>360</v>
      </c>
      <c r="AJ1051" t="e">
        <f>VLOOKUP(A1051,'Borrower Details'!$A$1:$H$1493,8,FALSE)</f>
        <v>#N/A</v>
      </c>
      <c r="AK1051" s="4" t="e">
        <f t="shared" si="302"/>
        <v>#N/A</v>
      </c>
      <c r="AL1051" s="10">
        <v>7.625</v>
      </c>
      <c r="AM1051" s="3">
        <f t="shared" si="303"/>
        <v>204060.02539999995</v>
      </c>
      <c r="AN1051">
        <v>7.625</v>
      </c>
      <c r="AO1051" s="7">
        <f t="shared" si="304"/>
        <v>1529.3491091742158</v>
      </c>
      <c r="AP1051" s="2">
        <f t="shared" si="305"/>
        <v>-44.939109174215673</v>
      </c>
    </row>
    <row r="1052" spans="1:42" x14ac:dyDescent="0.15">
      <c r="A1052" s="8">
        <v>410769723</v>
      </c>
      <c r="B1052" t="s">
        <v>35</v>
      </c>
      <c r="C1052" t="s">
        <v>16</v>
      </c>
      <c r="D1052" s="1">
        <v>39343</v>
      </c>
      <c r="E1052" s="2">
        <v>148000</v>
      </c>
      <c r="F1052" s="2">
        <v>133200</v>
      </c>
      <c r="G1052" t="s">
        <v>17</v>
      </c>
      <c r="H1052" s="2">
        <v>1243.4000000000001</v>
      </c>
      <c r="I1052" s="2">
        <v>132839.37</v>
      </c>
      <c r="J1052">
        <v>0.1075</v>
      </c>
      <c r="K1052">
        <v>7</v>
      </c>
      <c r="L1052">
        <v>353</v>
      </c>
      <c r="M1052" t="str">
        <f t="shared" si="291"/>
        <v>30 Year Fixed</v>
      </c>
      <c r="N1052" s="2">
        <v>1190.02</v>
      </c>
      <c r="O1052" t="str">
        <f t="shared" si="288"/>
        <v>Refi</v>
      </c>
      <c r="P1052" s="3">
        <f t="shared" si="292"/>
        <v>0</v>
      </c>
      <c r="Q1052" s="4">
        <v>134832</v>
      </c>
      <c r="R1052" s="4" t="s">
        <v>41</v>
      </c>
      <c r="S1052" s="6">
        <v>608</v>
      </c>
      <c r="T1052">
        <v>6.875</v>
      </c>
      <c r="U1052" s="7">
        <f t="shared" si="289"/>
        <v>941.93025805497211</v>
      </c>
      <c r="V1052" s="2">
        <f t="shared" si="293"/>
        <v>301.46974194502798</v>
      </c>
      <c r="W1052" s="9">
        <f t="shared" si="294"/>
        <v>0</v>
      </c>
      <c r="X1052" s="3">
        <v>134832</v>
      </c>
      <c r="Y1052" s="3">
        <f t="shared" si="295"/>
        <v>3.8866995077114552E-2</v>
      </c>
      <c r="Z1052" s="7">
        <f t="shared" si="296"/>
        <v>941.93025805497211</v>
      </c>
      <c r="AA1052" s="2">
        <f t="shared" si="290"/>
        <v>301.46974194502798</v>
      </c>
      <c r="AB1052" s="8">
        <f t="shared" si="297"/>
        <v>0</v>
      </c>
      <c r="AC1052" s="10">
        <v>6.875</v>
      </c>
      <c r="AD1052" s="7">
        <f t="shared" si="298"/>
        <v>941.93025805497211</v>
      </c>
      <c r="AE1052" s="2">
        <f t="shared" si="299"/>
        <v>301.46974194502798</v>
      </c>
      <c r="AF1052" s="10">
        <v>0</v>
      </c>
      <c r="AG1052" s="3">
        <f t="shared" si="300"/>
        <v>0</v>
      </c>
      <c r="AH1052" s="7">
        <v>7159.5</v>
      </c>
      <c r="AI1052">
        <f t="shared" si="301"/>
        <v>360</v>
      </c>
      <c r="AJ1052" t="e">
        <f>VLOOKUP(A1052,'Borrower Details'!$A$1:$H$1493,8,FALSE)</f>
        <v>#N/A</v>
      </c>
      <c r="AK1052" s="4" t="e">
        <f t="shared" si="302"/>
        <v>#N/A</v>
      </c>
      <c r="AL1052" s="10">
        <v>6.875</v>
      </c>
      <c r="AM1052" s="3">
        <f t="shared" si="303"/>
        <v>134831.96054999999</v>
      </c>
      <c r="AN1052">
        <v>6.875</v>
      </c>
      <c r="AO1052" s="7">
        <f t="shared" si="304"/>
        <v>941.92998245905505</v>
      </c>
      <c r="AP1052" s="2">
        <f t="shared" si="305"/>
        <v>301.47001754094504</v>
      </c>
    </row>
    <row r="1053" spans="1:42" x14ac:dyDescent="0.15">
      <c r="A1053" s="8">
        <v>410573505</v>
      </c>
      <c r="B1053" t="s">
        <v>36</v>
      </c>
      <c r="C1053" t="s">
        <v>19</v>
      </c>
      <c r="D1053" s="1">
        <v>39279</v>
      </c>
      <c r="E1053" s="2">
        <v>146000</v>
      </c>
      <c r="F1053" s="2">
        <v>109250</v>
      </c>
      <c r="G1053" t="s">
        <v>17</v>
      </c>
      <c r="H1053" s="2">
        <v>797.84</v>
      </c>
      <c r="I1053" s="2">
        <v>108564.96</v>
      </c>
      <c r="J1053">
        <v>7.9500000000000001E-2</v>
      </c>
      <c r="K1053">
        <v>9</v>
      </c>
      <c r="L1053">
        <v>351</v>
      </c>
      <c r="M1053" t="str">
        <f t="shared" si="291"/>
        <v>30 Year Fixed</v>
      </c>
      <c r="N1053" s="2">
        <v>719.24</v>
      </c>
      <c r="O1053" t="str">
        <f t="shared" si="288"/>
        <v>Cash Out</v>
      </c>
      <c r="P1053" s="3">
        <f t="shared" si="292"/>
        <v>13701.049852216747</v>
      </c>
      <c r="Q1053" s="4">
        <v>124100</v>
      </c>
      <c r="R1053" s="4" t="s">
        <v>41</v>
      </c>
      <c r="S1053" s="6">
        <v>561</v>
      </c>
      <c r="T1053">
        <v>7.625</v>
      </c>
      <c r="U1053" s="7">
        <f t="shared" si="289"/>
        <v>930.08037255943714</v>
      </c>
      <c r="V1053" s="2">
        <f t="shared" si="293"/>
        <v>-132.24037255943711</v>
      </c>
      <c r="W1053" s="9">
        <f t="shared" si="294"/>
        <v>1</v>
      </c>
      <c r="X1053" s="3">
        <v>110193</v>
      </c>
      <c r="Y1053" s="3">
        <f t="shared" si="295"/>
        <v>-0.42798029555706307</v>
      </c>
      <c r="Z1053" s="7">
        <f t="shared" si="296"/>
        <v>825.85291292056456</v>
      </c>
      <c r="AA1053" s="2">
        <f t="shared" si="290"/>
        <v>-28.012912920564531</v>
      </c>
      <c r="AB1053" s="8">
        <f t="shared" si="297"/>
        <v>1</v>
      </c>
      <c r="AC1053" s="10">
        <v>6.875</v>
      </c>
      <c r="AD1053" s="7">
        <f t="shared" si="298"/>
        <v>769.8033176534617</v>
      </c>
      <c r="AE1053" s="2">
        <f t="shared" si="299"/>
        <v>28.036682346538328</v>
      </c>
      <c r="AF1053" s="10">
        <v>1</v>
      </c>
      <c r="AG1053" s="3">
        <f t="shared" si="300"/>
        <v>1101.93</v>
      </c>
      <c r="AH1053" s="7">
        <v>2185</v>
      </c>
      <c r="AI1053">
        <f t="shared" si="301"/>
        <v>360</v>
      </c>
      <c r="AJ1053" t="e">
        <f>VLOOKUP(A1053,'Borrower Details'!$A$1:$H$1493,8,FALSE)</f>
        <v>#N/A</v>
      </c>
      <c r="AK1053" s="4" t="e">
        <f t="shared" si="302"/>
        <v>#N/A</v>
      </c>
      <c r="AL1053" s="10">
        <v>7.625</v>
      </c>
      <c r="AM1053" s="3">
        <f t="shared" si="303"/>
        <v>110193.4344</v>
      </c>
      <c r="AN1053">
        <v>7.625</v>
      </c>
      <c r="AO1053" s="7">
        <f t="shared" si="304"/>
        <v>825.85616857659863</v>
      </c>
      <c r="AP1053" s="2">
        <f t="shared" si="305"/>
        <v>-28.016168576598602</v>
      </c>
    </row>
    <row r="1054" spans="1:42" x14ac:dyDescent="0.15">
      <c r="A1054" s="8">
        <v>410917751</v>
      </c>
      <c r="B1054" t="s">
        <v>38</v>
      </c>
      <c r="C1054" t="s">
        <v>16</v>
      </c>
      <c r="D1054" s="1">
        <v>39356</v>
      </c>
      <c r="E1054" s="2">
        <v>221000</v>
      </c>
      <c r="F1054" s="2">
        <v>187850</v>
      </c>
      <c r="G1054" t="s">
        <v>17</v>
      </c>
      <c r="H1054" s="2">
        <v>1525.02</v>
      </c>
      <c r="I1054" s="2">
        <v>186639.35</v>
      </c>
      <c r="J1054">
        <v>9.0999999999999998E-2</v>
      </c>
      <c r="K1054">
        <v>7</v>
      </c>
      <c r="L1054">
        <v>353</v>
      </c>
      <c r="M1054" t="str">
        <f t="shared" si="291"/>
        <v>30 Year Fixed</v>
      </c>
      <c r="N1054" s="2">
        <v>1415.35</v>
      </c>
      <c r="O1054" t="str">
        <f t="shared" si="288"/>
        <v>Refi</v>
      </c>
      <c r="P1054" s="3">
        <f t="shared" si="292"/>
        <v>0</v>
      </c>
      <c r="Q1054" s="4">
        <v>189439</v>
      </c>
      <c r="R1054" s="4" t="s">
        <v>41</v>
      </c>
      <c r="S1054" s="6">
        <v>674</v>
      </c>
      <c r="T1054">
        <v>6.75</v>
      </c>
      <c r="U1054" s="7">
        <f t="shared" si="289"/>
        <v>1307.6306648245252</v>
      </c>
      <c r="V1054" s="2">
        <f t="shared" si="293"/>
        <v>217.3893351754748</v>
      </c>
      <c r="W1054" s="9">
        <f t="shared" si="294"/>
        <v>0</v>
      </c>
      <c r="X1054" s="3">
        <v>189439</v>
      </c>
      <c r="Y1054" s="3">
        <f t="shared" si="295"/>
        <v>5.8866995095741004E-2</v>
      </c>
      <c r="Z1054" s="7">
        <f t="shared" si="296"/>
        <v>1307.6306648245252</v>
      </c>
      <c r="AA1054" s="2">
        <f t="shared" si="290"/>
        <v>217.3893351754748</v>
      </c>
      <c r="AB1054" s="8">
        <f t="shared" si="297"/>
        <v>0</v>
      </c>
      <c r="AC1054" s="10">
        <v>6.75</v>
      </c>
      <c r="AD1054" s="7">
        <f t="shared" si="298"/>
        <v>1307.6306648245252</v>
      </c>
      <c r="AE1054" s="2">
        <f t="shared" si="299"/>
        <v>217.3893351754748</v>
      </c>
      <c r="AF1054" s="10">
        <v>0</v>
      </c>
      <c r="AG1054" s="3">
        <f t="shared" si="300"/>
        <v>0</v>
      </c>
      <c r="AH1054" s="7">
        <v>1878.5</v>
      </c>
      <c r="AI1054">
        <f t="shared" si="301"/>
        <v>360</v>
      </c>
      <c r="AJ1054" t="e">
        <f>VLOOKUP(A1054,'Borrower Details'!$A$1:$H$1493,8,FALSE)</f>
        <v>#N/A</v>
      </c>
      <c r="AK1054" s="4" t="e">
        <f t="shared" si="302"/>
        <v>#N/A</v>
      </c>
      <c r="AL1054" s="10">
        <v>6.75</v>
      </c>
      <c r="AM1054" s="3">
        <f t="shared" si="303"/>
        <v>189438.94024999999</v>
      </c>
      <c r="AN1054">
        <v>6.75</v>
      </c>
      <c r="AO1054" s="7">
        <f t="shared" si="304"/>
        <v>1307.6302523913291</v>
      </c>
      <c r="AP1054" s="2">
        <f t="shared" si="305"/>
        <v>217.38974760867086</v>
      </c>
    </row>
    <row r="1055" spans="1:42" x14ac:dyDescent="0.15">
      <c r="A1055" s="8">
        <v>411174923</v>
      </c>
      <c r="B1055" t="s">
        <v>37</v>
      </c>
      <c r="C1055" t="s">
        <v>16</v>
      </c>
      <c r="D1055" s="1">
        <v>39435</v>
      </c>
      <c r="E1055" s="2">
        <v>162000</v>
      </c>
      <c r="F1055" s="2">
        <v>137700</v>
      </c>
      <c r="G1055" t="s">
        <v>20</v>
      </c>
      <c r="H1055" s="2">
        <v>1269.9100000000001</v>
      </c>
      <c r="I1055" s="2">
        <v>137482.91</v>
      </c>
      <c r="J1055">
        <v>0.106</v>
      </c>
      <c r="K1055">
        <v>4</v>
      </c>
      <c r="L1055">
        <v>356</v>
      </c>
      <c r="M1055" t="str">
        <f t="shared" si="291"/>
        <v>30 Year Fixed</v>
      </c>
      <c r="N1055" s="2">
        <v>1214.43</v>
      </c>
      <c r="O1055" t="str">
        <f t="shared" si="288"/>
        <v>Refi</v>
      </c>
      <c r="P1055" s="3">
        <f t="shared" si="292"/>
        <v>0</v>
      </c>
      <c r="Q1055" s="4">
        <v>139545</v>
      </c>
      <c r="R1055" s="4" t="s">
        <v>41</v>
      </c>
      <c r="S1055" s="6">
        <v>602</v>
      </c>
      <c r="T1055">
        <v>6.875</v>
      </c>
      <c r="U1055" s="7">
        <f t="shared" si="289"/>
        <v>974.85506304349917</v>
      </c>
      <c r="V1055" s="2">
        <f t="shared" si="293"/>
        <v>295.05493695650091</v>
      </c>
      <c r="W1055" s="9">
        <f t="shared" si="294"/>
        <v>0</v>
      </c>
      <c r="X1055" s="3">
        <v>139545</v>
      </c>
      <c r="Y1055" s="3">
        <f t="shared" si="295"/>
        <v>-0.15137931032222696</v>
      </c>
      <c r="Z1055" s="7">
        <f t="shared" si="296"/>
        <v>974.85506304349917</v>
      </c>
      <c r="AA1055" s="2">
        <f t="shared" si="290"/>
        <v>295.05493695650091</v>
      </c>
      <c r="AB1055" s="8">
        <f t="shared" si="297"/>
        <v>0</v>
      </c>
      <c r="AC1055" s="10">
        <v>6.875</v>
      </c>
      <c r="AD1055" s="7">
        <f t="shared" si="298"/>
        <v>974.85506304349917</v>
      </c>
      <c r="AE1055" s="2">
        <f t="shared" si="299"/>
        <v>295.05493695650091</v>
      </c>
      <c r="AF1055" s="10">
        <v>0</v>
      </c>
      <c r="AG1055" s="3">
        <f t="shared" si="300"/>
        <v>0</v>
      </c>
      <c r="AH1055" s="7">
        <v>0</v>
      </c>
      <c r="AI1055">
        <f t="shared" si="301"/>
        <v>360</v>
      </c>
      <c r="AJ1055" t="e">
        <f>VLOOKUP(A1055,'Borrower Details'!$A$1:$H$1493,8,FALSE)</f>
        <v>#N/A</v>
      </c>
      <c r="AK1055" s="4" t="e">
        <f t="shared" si="302"/>
        <v>#N/A</v>
      </c>
      <c r="AL1055" s="10">
        <v>6.875</v>
      </c>
      <c r="AM1055" s="3">
        <f t="shared" si="303"/>
        <v>139545.15364999999</v>
      </c>
      <c r="AN1055">
        <v>6.875</v>
      </c>
      <c r="AO1055" s="7">
        <f t="shared" si="304"/>
        <v>974.8561364354548</v>
      </c>
      <c r="AP1055" s="2">
        <f t="shared" si="305"/>
        <v>295.05386356454528</v>
      </c>
    </row>
    <row r="1056" spans="1:42" x14ac:dyDescent="0.15">
      <c r="A1056" s="8">
        <v>410666515</v>
      </c>
      <c r="B1056" t="s">
        <v>35</v>
      </c>
      <c r="C1056" t="s">
        <v>16</v>
      </c>
      <c r="D1056" s="1">
        <v>39322</v>
      </c>
      <c r="E1056" s="2">
        <v>95000</v>
      </c>
      <c r="F1056" s="2">
        <v>76000</v>
      </c>
      <c r="G1056" t="s">
        <v>17</v>
      </c>
      <c r="H1056" s="2">
        <v>712.31</v>
      </c>
      <c r="I1056" s="2">
        <v>75340</v>
      </c>
      <c r="J1056">
        <v>0.108</v>
      </c>
      <c r="K1056">
        <v>8</v>
      </c>
      <c r="L1056">
        <v>351</v>
      </c>
      <c r="M1056" t="str">
        <f t="shared" si="291"/>
        <v>30 Year Fixed</v>
      </c>
      <c r="N1056" s="2">
        <v>678.06</v>
      </c>
      <c r="O1056" t="str">
        <f t="shared" si="288"/>
        <v>Cash Out</v>
      </c>
      <c r="P1056" s="3">
        <f t="shared" si="292"/>
        <v>4216.6502463054203</v>
      </c>
      <c r="Q1056" s="4">
        <v>80750</v>
      </c>
      <c r="R1056" s="4" t="s">
        <v>41</v>
      </c>
      <c r="S1056" s="6">
        <v>557</v>
      </c>
      <c r="T1056">
        <v>7.625</v>
      </c>
      <c r="U1056" s="7">
        <f t="shared" si="289"/>
        <v>605.18928351470231</v>
      </c>
      <c r="V1056" s="2">
        <f t="shared" si="293"/>
        <v>107.12071648529763</v>
      </c>
      <c r="W1056" s="9">
        <f t="shared" si="294"/>
        <v>0</v>
      </c>
      <c r="X1056" s="3">
        <v>80750</v>
      </c>
      <c r="Y1056" s="3">
        <f t="shared" si="295"/>
        <v>4216.6502463054203</v>
      </c>
      <c r="Z1056" s="7">
        <f t="shared" si="296"/>
        <v>605.18928351470231</v>
      </c>
      <c r="AA1056" s="2">
        <f t="shared" si="290"/>
        <v>107.12071648529763</v>
      </c>
      <c r="AB1056" s="8">
        <f t="shared" si="297"/>
        <v>0</v>
      </c>
      <c r="AC1056" s="10">
        <v>7.625</v>
      </c>
      <c r="AD1056" s="7">
        <f t="shared" si="298"/>
        <v>605.18928351470231</v>
      </c>
      <c r="AE1056" s="2">
        <f t="shared" si="299"/>
        <v>107.12071648529763</v>
      </c>
      <c r="AF1056" s="10">
        <v>0</v>
      </c>
      <c r="AG1056" s="3">
        <f t="shared" si="300"/>
        <v>0</v>
      </c>
      <c r="AH1056" s="7">
        <v>4104</v>
      </c>
      <c r="AI1056">
        <f t="shared" si="301"/>
        <v>360</v>
      </c>
      <c r="AJ1056" t="e">
        <f>VLOOKUP(A1056,'Borrower Details'!$A$1:$H$1493,8,FALSE)</f>
        <v>#N/A</v>
      </c>
      <c r="AK1056" s="4" t="e">
        <f t="shared" si="302"/>
        <v>#N/A</v>
      </c>
      <c r="AL1056" s="10">
        <v>7.625</v>
      </c>
      <c r="AM1056" s="3">
        <f t="shared" si="303"/>
        <v>76470.099999999991</v>
      </c>
      <c r="AN1056">
        <v>7.625</v>
      </c>
      <c r="AO1056" s="7">
        <f t="shared" si="304"/>
        <v>573.11312729780332</v>
      </c>
      <c r="AP1056" s="2">
        <f t="shared" si="305"/>
        <v>139.19687270219663</v>
      </c>
    </row>
    <row r="1057" spans="1:42" x14ac:dyDescent="0.15">
      <c r="A1057" s="8">
        <v>411231731</v>
      </c>
      <c r="B1057" t="s">
        <v>37</v>
      </c>
      <c r="C1057" t="s">
        <v>16</v>
      </c>
      <c r="D1057" s="1">
        <v>39471</v>
      </c>
      <c r="E1057" s="2">
        <v>165000</v>
      </c>
      <c r="F1057" s="2">
        <v>140250</v>
      </c>
      <c r="G1057" t="s">
        <v>17</v>
      </c>
      <c r="H1057" s="2">
        <v>1274.03</v>
      </c>
      <c r="I1057" s="2">
        <v>140196.66</v>
      </c>
      <c r="J1057">
        <v>0.1075</v>
      </c>
      <c r="K1057">
        <v>3</v>
      </c>
      <c r="L1057">
        <v>357</v>
      </c>
      <c r="M1057" t="str">
        <f t="shared" si="291"/>
        <v>30 Year Fixed</v>
      </c>
      <c r="N1057" s="2">
        <v>1255.93</v>
      </c>
      <c r="O1057" t="str">
        <f t="shared" si="288"/>
        <v>Refi</v>
      </c>
      <c r="P1057" s="3">
        <f t="shared" si="292"/>
        <v>0</v>
      </c>
      <c r="Q1057" s="4">
        <v>142300</v>
      </c>
      <c r="R1057" s="4" t="s">
        <v>41</v>
      </c>
      <c r="S1057" s="6">
        <v>609</v>
      </c>
      <c r="T1057">
        <v>6.875</v>
      </c>
      <c r="U1057" s="7">
        <f t="shared" si="289"/>
        <v>994.10136852692631</v>
      </c>
      <c r="V1057" s="2">
        <f t="shared" si="293"/>
        <v>279.92863147307366</v>
      </c>
      <c r="W1057" s="9">
        <f t="shared" si="294"/>
        <v>0</v>
      </c>
      <c r="X1057" s="3">
        <v>142300</v>
      </c>
      <c r="Y1057" s="3">
        <f t="shared" si="295"/>
        <v>0.38433497538790107</v>
      </c>
      <c r="Z1057" s="7">
        <f t="shared" si="296"/>
        <v>994.10136852692631</v>
      </c>
      <c r="AA1057" s="2">
        <f t="shared" si="290"/>
        <v>279.92863147307366</v>
      </c>
      <c r="AB1057" s="8">
        <f t="shared" si="297"/>
        <v>0</v>
      </c>
      <c r="AC1057" s="10">
        <v>6.875</v>
      </c>
      <c r="AD1057" s="7">
        <f t="shared" si="298"/>
        <v>994.10136852692631</v>
      </c>
      <c r="AE1057" s="2">
        <f t="shared" si="299"/>
        <v>279.92863147307366</v>
      </c>
      <c r="AF1057" s="10">
        <v>0</v>
      </c>
      <c r="AG1057" s="3">
        <f t="shared" si="300"/>
        <v>0</v>
      </c>
      <c r="AH1057" s="7">
        <v>0</v>
      </c>
      <c r="AI1057">
        <f t="shared" si="301"/>
        <v>360</v>
      </c>
      <c r="AJ1057" t="e">
        <f>VLOOKUP(A1057,'Borrower Details'!$A$1:$H$1493,8,FALSE)</f>
        <v>#N/A</v>
      </c>
      <c r="AK1057" s="4" t="e">
        <f t="shared" si="302"/>
        <v>#N/A</v>
      </c>
      <c r="AL1057" s="10">
        <v>6.875</v>
      </c>
      <c r="AM1057" s="3">
        <f t="shared" si="303"/>
        <v>142299.60989999998</v>
      </c>
      <c r="AN1057">
        <v>6.875</v>
      </c>
      <c r="AO1057" s="7">
        <f t="shared" si="304"/>
        <v>994.09864330595735</v>
      </c>
      <c r="AP1057" s="2">
        <f t="shared" si="305"/>
        <v>279.93135669404262</v>
      </c>
    </row>
    <row r="1058" spans="1:42" x14ac:dyDescent="0.15">
      <c r="A1058" s="8">
        <v>411057375</v>
      </c>
      <c r="B1058" t="s">
        <v>37</v>
      </c>
      <c r="C1058" t="s">
        <v>16</v>
      </c>
      <c r="D1058" s="1">
        <v>39379</v>
      </c>
      <c r="E1058" s="2">
        <v>90000</v>
      </c>
      <c r="F1058" s="2">
        <v>67500</v>
      </c>
      <c r="G1058" t="s">
        <v>17</v>
      </c>
      <c r="H1058" s="2">
        <v>750.34</v>
      </c>
      <c r="I1058" s="2">
        <v>66035.38</v>
      </c>
      <c r="J1058">
        <v>0.106</v>
      </c>
      <c r="K1058">
        <v>6</v>
      </c>
      <c r="L1058">
        <v>173</v>
      </c>
      <c r="M1058" t="str">
        <f t="shared" si="291"/>
        <v>15 Year Fixed</v>
      </c>
      <c r="N1058" s="2">
        <v>583.30999999999995</v>
      </c>
      <c r="O1058" t="str">
        <f t="shared" si="288"/>
        <v>Cash Out</v>
      </c>
      <c r="P1058" s="3">
        <f t="shared" si="292"/>
        <v>9334.0781280788215</v>
      </c>
      <c r="Q1058" s="4">
        <v>76500</v>
      </c>
      <c r="R1058" s="4" t="s">
        <v>41</v>
      </c>
      <c r="S1058" s="6">
        <v>524</v>
      </c>
      <c r="T1058">
        <v>7.5</v>
      </c>
      <c r="U1058" s="7">
        <f t="shared" si="289"/>
        <v>741.03945540209122</v>
      </c>
      <c r="V1058" s="2">
        <f t="shared" si="293"/>
        <v>9.3005445979088108</v>
      </c>
      <c r="W1058" s="9">
        <f t="shared" si="294"/>
        <v>0</v>
      </c>
      <c r="X1058" s="3">
        <v>76500</v>
      </c>
      <c r="Y1058" s="3">
        <f t="shared" si="295"/>
        <v>9334.0781280788215</v>
      </c>
      <c r="Z1058" s="7">
        <f t="shared" si="296"/>
        <v>741.03945540209122</v>
      </c>
      <c r="AA1058" s="2">
        <f t="shared" si="290"/>
        <v>9.3005445979088108</v>
      </c>
      <c r="AB1058" s="8">
        <f t="shared" si="297"/>
        <v>0</v>
      </c>
      <c r="AC1058" s="10">
        <v>7.5</v>
      </c>
      <c r="AD1058" s="7">
        <f t="shared" si="298"/>
        <v>741.03945540209122</v>
      </c>
      <c r="AE1058" s="2">
        <f t="shared" si="299"/>
        <v>9.3005445979088108</v>
      </c>
      <c r="AF1058" s="10">
        <v>0</v>
      </c>
      <c r="AG1058" s="3">
        <f t="shared" si="300"/>
        <v>0</v>
      </c>
      <c r="AH1058" s="7">
        <v>0</v>
      </c>
      <c r="AI1058">
        <f t="shared" si="301"/>
        <v>180</v>
      </c>
      <c r="AJ1058" t="e">
        <f>VLOOKUP(A1058,'Borrower Details'!$A$1:$H$1493,8,FALSE)</f>
        <v>#N/A</v>
      </c>
      <c r="AK1058" s="4" t="e">
        <f t="shared" si="302"/>
        <v>#N/A</v>
      </c>
      <c r="AL1058" s="10">
        <v>7.5</v>
      </c>
      <c r="AM1058" s="3">
        <f t="shared" si="303"/>
        <v>67025.910699999993</v>
      </c>
      <c r="AN1058">
        <v>7.5</v>
      </c>
      <c r="AO1058" s="7">
        <f t="shared" si="304"/>
        <v>649.26593938506142</v>
      </c>
      <c r="AP1058" s="2">
        <f t="shared" si="305"/>
        <v>101.07406061493862</v>
      </c>
    </row>
    <row r="1059" spans="1:42" x14ac:dyDescent="0.15">
      <c r="A1059" s="8">
        <v>410993265</v>
      </c>
      <c r="B1059" t="s">
        <v>35</v>
      </c>
      <c r="C1059" t="s">
        <v>16</v>
      </c>
      <c r="D1059" s="1">
        <v>39385</v>
      </c>
      <c r="E1059" s="2">
        <v>136000</v>
      </c>
      <c r="F1059" s="2">
        <v>108800</v>
      </c>
      <c r="G1059" t="s">
        <v>17</v>
      </c>
      <c r="H1059" s="2">
        <v>940.99</v>
      </c>
      <c r="I1059" s="2">
        <v>108700.76</v>
      </c>
      <c r="J1059">
        <v>0.10199999999999999</v>
      </c>
      <c r="K1059">
        <v>6</v>
      </c>
      <c r="L1059">
        <v>354</v>
      </c>
      <c r="M1059" t="str">
        <f t="shared" si="291"/>
        <v>30 Year Fixed</v>
      </c>
      <c r="N1059" s="2">
        <v>923.96</v>
      </c>
      <c r="O1059" t="str">
        <f t="shared" si="288"/>
        <v>Cash Out</v>
      </c>
      <c r="P1059" s="3">
        <f t="shared" si="292"/>
        <v>5190.865615763556</v>
      </c>
      <c r="Q1059" s="4">
        <v>115600</v>
      </c>
      <c r="R1059" s="4" t="s">
        <v>41</v>
      </c>
      <c r="S1059" s="6">
        <v>540</v>
      </c>
      <c r="T1059">
        <v>7.625</v>
      </c>
      <c r="U1059" s="7">
        <f t="shared" si="289"/>
        <v>866.37623745262624</v>
      </c>
      <c r="V1059" s="2">
        <f t="shared" si="293"/>
        <v>74.613762547373767</v>
      </c>
      <c r="W1059" s="9">
        <f t="shared" si="294"/>
        <v>0</v>
      </c>
      <c r="X1059" s="3">
        <v>115600</v>
      </c>
      <c r="Y1059" s="3">
        <f t="shared" si="295"/>
        <v>5190.865615763556</v>
      </c>
      <c r="Z1059" s="7">
        <f t="shared" si="296"/>
        <v>866.37623745262624</v>
      </c>
      <c r="AA1059" s="2">
        <f t="shared" si="290"/>
        <v>74.613762547373767</v>
      </c>
      <c r="AB1059" s="8">
        <f t="shared" si="297"/>
        <v>0</v>
      </c>
      <c r="AC1059" s="10">
        <v>7.625</v>
      </c>
      <c r="AD1059" s="7">
        <f t="shared" si="298"/>
        <v>866.37623745262624</v>
      </c>
      <c r="AE1059" s="2">
        <f t="shared" si="299"/>
        <v>74.613762547373767</v>
      </c>
      <c r="AF1059" s="10">
        <v>0</v>
      </c>
      <c r="AG1059" s="3">
        <f t="shared" si="300"/>
        <v>0</v>
      </c>
      <c r="AH1059" s="7">
        <v>5548.8</v>
      </c>
      <c r="AI1059">
        <f t="shared" si="301"/>
        <v>360</v>
      </c>
      <c r="AJ1059" t="e">
        <f>VLOOKUP(A1059,'Borrower Details'!$A$1:$H$1493,8,FALSE)</f>
        <v>#N/A</v>
      </c>
      <c r="AK1059" s="4" t="e">
        <f t="shared" si="302"/>
        <v>#N/A</v>
      </c>
      <c r="AL1059" s="10">
        <v>7.625</v>
      </c>
      <c r="AM1059" s="3">
        <f t="shared" si="303"/>
        <v>110331.27139999998</v>
      </c>
      <c r="AN1059">
        <v>7.625</v>
      </c>
      <c r="AO1059" s="7">
        <f t="shared" si="304"/>
        <v>826.88920232609473</v>
      </c>
      <c r="AP1059" s="2">
        <f t="shared" si="305"/>
        <v>114.10079767390528</v>
      </c>
    </row>
    <row r="1060" spans="1:42" x14ac:dyDescent="0.15">
      <c r="A1060" s="8">
        <v>411161847</v>
      </c>
      <c r="B1060" t="s">
        <v>37</v>
      </c>
      <c r="C1060" t="s">
        <v>16</v>
      </c>
      <c r="D1060" s="1">
        <v>39437</v>
      </c>
      <c r="E1060" s="2">
        <v>129000</v>
      </c>
      <c r="F1060" s="2">
        <v>116100</v>
      </c>
      <c r="G1060" t="s">
        <v>17</v>
      </c>
      <c r="H1060" s="2">
        <v>1114.43</v>
      </c>
      <c r="I1060" s="2">
        <v>115935.72</v>
      </c>
      <c r="J1060">
        <v>0.111</v>
      </c>
      <c r="K1060">
        <v>4</v>
      </c>
      <c r="L1060">
        <v>356</v>
      </c>
      <c r="M1060" t="str">
        <f t="shared" si="291"/>
        <v>30 Year Fixed</v>
      </c>
      <c r="N1060" s="2">
        <v>1072.4100000000001</v>
      </c>
      <c r="O1060" t="str">
        <f t="shared" si="288"/>
        <v>Refi</v>
      </c>
      <c r="P1060" s="3">
        <f t="shared" si="292"/>
        <v>0</v>
      </c>
      <c r="Q1060" s="4">
        <v>117675</v>
      </c>
      <c r="R1060" s="4" t="s">
        <v>41</v>
      </c>
      <c r="S1060" s="6">
        <v>642</v>
      </c>
      <c r="T1060">
        <v>6.75</v>
      </c>
      <c r="U1060" s="7">
        <f t="shared" si="289"/>
        <v>812.26906013664563</v>
      </c>
      <c r="V1060" s="2">
        <f t="shared" si="293"/>
        <v>302.16093986335443</v>
      </c>
      <c r="W1060" s="9">
        <f t="shared" si="294"/>
        <v>0</v>
      </c>
      <c r="X1060" s="3">
        <v>117675</v>
      </c>
      <c r="Y1060" s="3">
        <f t="shared" si="295"/>
        <v>0.24059113301336765</v>
      </c>
      <c r="Z1060" s="7">
        <f t="shared" si="296"/>
        <v>812.26906013664563</v>
      </c>
      <c r="AA1060" s="2">
        <f t="shared" si="290"/>
        <v>302.16093986335443</v>
      </c>
      <c r="AB1060" s="8">
        <f t="shared" si="297"/>
        <v>0</v>
      </c>
      <c r="AC1060" s="10">
        <v>6.75</v>
      </c>
      <c r="AD1060" s="7">
        <f t="shared" si="298"/>
        <v>812.26906013664563</v>
      </c>
      <c r="AE1060" s="2">
        <f t="shared" si="299"/>
        <v>302.16093986335443</v>
      </c>
      <c r="AF1060" s="10">
        <v>0</v>
      </c>
      <c r="AG1060" s="3">
        <f t="shared" si="300"/>
        <v>0</v>
      </c>
      <c r="AH1060" s="7">
        <v>0</v>
      </c>
      <c r="AI1060">
        <f t="shared" si="301"/>
        <v>360</v>
      </c>
      <c r="AJ1060" t="e">
        <f>VLOOKUP(A1060,'Borrower Details'!$A$1:$H$1493,8,FALSE)</f>
        <v>#N/A</v>
      </c>
      <c r="AK1060" s="4" t="e">
        <f t="shared" si="302"/>
        <v>#N/A</v>
      </c>
      <c r="AL1060" s="10">
        <v>6.75</v>
      </c>
      <c r="AM1060" s="3">
        <f t="shared" si="303"/>
        <v>117674.75579999998</v>
      </c>
      <c r="AN1060">
        <v>6.75</v>
      </c>
      <c r="AO1060" s="7">
        <f t="shared" si="304"/>
        <v>812.26737451009365</v>
      </c>
      <c r="AP1060" s="2">
        <f t="shared" si="305"/>
        <v>302.16262548990642</v>
      </c>
    </row>
    <row r="1061" spans="1:42" x14ac:dyDescent="0.15">
      <c r="A1061" s="8">
        <v>410618623</v>
      </c>
      <c r="B1061" t="s">
        <v>35</v>
      </c>
      <c r="C1061" t="s">
        <v>16</v>
      </c>
      <c r="D1061" s="1">
        <v>39293</v>
      </c>
      <c r="E1061" s="2">
        <v>98000</v>
      </c>
      <c r="F1061" s="2">
        <v>88200</v>
      </c>
      <c r="G1061" t="s">
        <v>17</v>
      </c>
      <c r="H1061" s="2">
        <v>716.04</v>
      </c>
      <c r="I1061" s="2">
        <v>87760.13</v>
      </c>
      <c r="J1061">
        <v>9.0999999999999998E-2</v>
      </c>
      <c r="K1061">
        <v>9</v>
      </c>
      <c r="L1061">
        <v>351</v>
      </c>
      <c r="M1061" t="str">
        <f t="shared" si="291"/>
        <v>30 Year Fixed</v>
      </c>
      <c r="N1061" s="2">
        <v>665.51</v>
      </c>
      <c r="O1061" t="str">
        <f t="shared" si="288"/>
        <v>Refi</v>
      </c>
      <c r="P1061" s="3">
        <f t="shared" si="292"/>
        <v>0</v>
      </c>
      <c r="Q1061" s="4">
        <v>89077</v>
      </c>
      <c r="R1061" s="4" t="s">
        <v>41</v>
      </c>
      <c r="S1061" s="6">
        <v>629</v>
      </c>
      <c r="T1061">
        <v>6.875</v>
      </c>
      <c r="U1061" s="7">
        <f t="shared" si="289"/>
        <v>622.28789602440634</v>
      </c>
      <c r="V1061" s="2">
        <f t="shared" si="293"/>
        <v>93.752103975593627</v>
      </c>
      <c r="W1061" s="9">
        <f t="shared" si="294"/>
        <v>0</v>
      </c>
      <c r="X1061" s="3">
        <v>89077</v>
      </c>
      <c r="Y1061" s="3">
        <f t="shared" si="295"/>
        <v>0.46113300492288545</v>
      </c>
      <c r="Z1061" s="7">
        <f t="shared" si="296"/>
        <v>622.28789602440634</v>
      </c>
      <c r="AA1061" s="2">
        <f t="shared" si="290"/>
        <v>93.752103975593627</v>
      </c>
      <c r="AB1061" s="8">
        <f t="shared" si="297"/>
        <v>0</v>
      </c>
      <c r="AC1061" s="10">
        <v>6.875</v>
      </c>
      <c r="AD1061" s="7">
        <f t="shared" si="298"/>
        <v>622.28789602440634</v>
      </c>
      <c r="AE1061" s="2">
        <f t="shared" si="299"/>
        <v>93.752103975593627</v>
      </c>
      <c r="AF1061" s="10">
        <v>0</v>
      </c>
      <c r="AG1061" s="3">
        <f t="shared" si="300"/>
        <v>0</v>
      </c>
      <c r="AH1061" s="7">
        <v>4013.1</v>
      </c>
      <c r="AI1061">
        <f t="shared" si="301"/>
        <v>360</v>
      </c>
      <c r="AJ1061" t="e">
        <f>VLOOKUP(A1061,'Borrower Details'!$A$1:$H$1493,8,FALSE)</f>
        <v>#N/A</v>
      </c>
      <c r="AK1061" s="4" t="e">
        <f t="shared" si="302"/>
        <v>#N/A</v>
      </c>
      <c r="AL1061" s="10">
        <v>6.875</v>
      </c>
      <c r="AM1061" s="3">
        <f t="shared" si="303"/>
        <v>89076.53194999999</v>
      </c>
      <c r="AN1061">
        <v>6.875</v>
      </c>
      <c r="AO1061" s="7">
        <f t="shared" si="304"/>
        <v>622.28462624826057</v>
      </c>
      <c r="AP1061" s="2">
        <f t="shared" si="305"/>
        <v>93.755373751739398</v>
      </c>
    </row>
    <row r="1062" spans="1:42" x14ac:dyDescent="0.15">
      <c r="A1062" s="8">
        <v>410774145</v>
      </c>
      <c r="B1062" t="s">
        <v>35</v>
      </c>
      <c r="C1062" t="s">
        <v>16</v>
      </c>
      <c r="D1062" s="1">
        <v>39314</v>
      </c>
      <c r="E1062" s="2">
        <v>123000</v>
      </c>
      <c r="F1062" s="2">
        <v>86100</v>
      </c>
      <c r="G1062" t="s">
        <v>17</v>
      </c>
      <c r="H1062" s="2">
        <v>733.42</v>
      </c>
      <c r="I1062" s="2">
        <v>85762.35</v>
      </c>
      <c r="J1062">
        <v>9.6500000000000002E-2</v>
      </c>
      <c r="K1062">
        <v>8</v>
      </c>
      <c r="L1062">
        <v>352</v>
      </c>
      <c r="M1062" t="str">
        <f t="shared" si="291"/>
        <v>30 Year Fixed</v>
      </c>
      <c r="N1062" s="2">
        <v>689.67</v>
      </c>
      <c r="O1062" t="str">
        <f t="shared" si="288"/>
        <v>Cash Out</v>
      </c>
      <c r="P1062" s="3">
        <f t="shared" si="292"/>
        <v>17242.576108374386</v>
      </c>
      <c r="Q1062" s="4">
        <v>104550</v>
      </c>
      <c r="R1062" s="4" t="s">
        <v>41</v>
      </c>
      <c r="S1062" s="6">
        <v>613</v>
      </c>
      <c r="T1062">
        <v>6.875</v>
      </c>
      <c r="U1062" s="7">
        <f t="shared" si="289"/>
        <v>730.38157469775228</v>
      </c>
      <c r="V1062" s="2">
        <f t="shared" si="293"/>
        <v>3.0384253022476742</v>
      </c>
      <c r="W1062" s="9">
        <f t="shared" si="294"/>
        <v>0</v>
      </c>
      <c r="X1062" s="3">
        <v>104550</v>
      </c>
      <c r="Y1062" s="3">
        <f t="shared" si="295"/>
        <v>17242.576108374386</v>
      </c>
      <c r="Z1062" s="7">
        <f t="shared" si="296"/>
        <v>730.38157469775228</v>
      </c>
      <c r="AA1062" s="2">
        <f t="shared" si="290"/>
        <v>3.0384253022476742</v>
      </c>
      <c r="AB1062" s="8">
        <f t="shared" si="297"/>
        <v>0</v>
      </c>
      <c r="AC1062" s="10">
        <v>7</v>
      </c>
      <c r="AD1062" s="7">
        <f t="shared" si="298"/>
        <v>739.13625870983549</v>
      </c>
      <c r="AE1062" s="2">
        <f t="shared" si="299"/>
        <v>-5.7162587098355289</v>
      </c>
      <c r="AF1062" s="10">
        <v>0</v>
      </c>
      <c r="AG1062" s="3">
        <f t="shared" si="300"/>
        <v>0</v>
      </c>
      <c r="AH1062" s="7">
        <v>4154.3249999999998</v>
      </c>
      <c r="AI1062">
        <f t="shared" si="301"/>
        <v>360</v>
      </c>
      <c r="AJ1062" t="e">
        <f>VLOOKUP(A1062,'Borrower Details'!$A$1:$H$1493,8,FALSE)</f>
        <v>#N/A</v>
      </c>
      <c r="AK1062" s="4" t="e">
        <f t="shared" si="302"/>
        <v>#N/A</v>
      </c>
      <c r="AL1062" s="10">
        <v>6.875</v>
      </c>
      <c r="AM1062" s="3">
        <f t="shared" si="303"/>
        <v>87048.785250000001</v>
      </c>
      <c r="AN1062">
        <v>7</v>
      </c>
      <c r="AO1062" s="7">
        <f t="shared" si="304"/>
        <v>615.40806747891827</v>
      </c>
      <c r="AP1062" s="2">
        <f t="shared" si="305"/>
        <v>118.01193252108169</v>
      </c>
    </row>
    <row r="1063" spans="1:42" x14ac:dyDescent="0.15">
      <c r="A1063" s="8">
        <v>410842355</v>
      </c>
      <c r="B1063" t="s">
        <v>36</v>
      </c>
      <c r="C1063" t="s">
        <v>18</v>
      </c>
      <c r="D1063" s="1">
        <v>39321</v>
      </c>
      <c r="E1063" s="2">
        <v>300000</v>
      </c>
      <c r="F1063" s="2">
        <v>255000</v>
      </c>
      <c r="G1063" t="s">
        <v>17</v>
      </c>
      <c r="H1063" s="2">
        <v>2077.84</v>
      </c>
      <c r="I1063" s="2">
        <v>254845.78</v>
      </c>
      <c r="J1063">
        <v>9.7000000000000003E-2</v>
      </c>
      <c r="K1063">
        <v>8</v>
      </c>
      <c r="L1063">
        <v>351</v>
      </c>
      <c r="M1063" t="str">
        <f t="shared" si="291"/>
        <v>30 Year Fixed</v>
      </c>
      <c r="N1063" s="2">
        <v>2060.15</v>
      </c>
      <c r="O1063" t="str">
        <f t="shared" si="288"/>
        <v>Refi</v>
      </c>
      <c r="P1063" s="3">
        <f t="shared" si="292"/>
        <v>0</v>
      </c>
      <c r="Q1063" s="4">
        <v>258668</v>
      </c>
      <c r="R1063" s="4" t="s">
        <v>41</v>
      </c>
      <c r="S1063" s="6">
        <v>635</v>
      </c>
      <c r="T1063">
        <v>6.75</v>
      </c>
      <c r="U1063" s="7">
        <f t="shared" si="289"/>
        <v>1785.4940577644006</v>
      </c>
      <c r="V1063" s="2">
        <f t="shared" si="293"/>
        <v>292.34594223559952</v>
      </c>
      <c r="W1063" s="9">
        <f t="shared" si="294"/>
        <v>0</v>
      </c>
      <c r="X1063" s="3">
        <v>258669</v>
      </c>
      <c r="Y1063" s="3">
        <f t="shared" si="295"/>
        <v>0.52541871924768202</v>
      </c>
      <c r="Z1063" s="7">
        <f t="shared" si="296"/>
        <v>1785.500960412033</v>
      </c>
      <c r="AA1063" s="2">
        <f t="shared" si="290"/>
        <v>292.33903958796714</v>
      </c>
      <c r="AB1063" s="8">
        <f t="shared" si="297"/>
        <v>0</v>
      </c>
      <c r="AC1063" s="10">
        <v>6.75</v>
      </c>
      <c r="AD1063" s="7">
        <f t="shared" si="298"/>
        <v>1785.500960412033</v>
      </c>
      <c r="AE1063" s="2">
        <f t="shared" si="299"/>
        <v>292.33903958796714</v>
      </c>
      <c r="AF1063" s="10">
        <v>0</v>
      </c>
      <c r="AG1063" s="3">
        <f t="shared" si="300"/>
        <v>0</v>
      </c>
      <c r="AH1063" s="7">
        <v>5100</v>
      </c>
      <c r="AI1063">
        <f t="shared" si="301"/>
        <v>360</v>
      </c>
      <c r="AJ1063" t="e">
        <f>VLOOKUP(A1063,'Borrower Details'!$A$1:$H$1493,8,FALSE)</f>
        <v>#N/A</v>
      </c>
      <c r="AK1063" s="4" t="e">
        <f t="shared" si="302"/>
        <v>#N/A</v>
      </c>
      <c r="AL1063" s="10">
        <v>6.75</v>
      </c>
      <c r="AM1063" s="3">
        <f t="shared" si="303"/>
        <v>258668.46669999996</v>
      </c>
      <c r="AN1063">
        <v>6.75</v>
      </c>
      <c r="AO1063" s="7">
        <f t="shared" si="304"/>
        <v>1785.4972792300505</v>
      </c>
      <c r="AP1063" s="2">
        <f t="shared" si="305"/>
        <v>292.34272076994966</v>
      </c>
    </row>
    <row r="1064" spans="1:42" x14ac:dyDescent="0.15">
      <c r="A1064" s="8">
        <v>410974653</v>
      </c>
      <c r="B1064" t="s">
        <v>36</v>
      </c>
      <c r="C1064" t="s">
        <v>18</v>
      </c>
      <c r="D1064" s="1">
        <v>39364</v>
      </c>
      <c r="E1064" s="2">
        <v>195000</v>
      </c>
      <c r="F1064" s="2">
        <v>126750</v>
      </c>
      <c r="G1064" t="s">
        <v>17</v>
      </c>
      <c r="H1064" s="2">
        <v>948.53</v>
      </c>
      <c r="I1064" s="2">
        <v>126599.88</v>
      </c>
      <c r="J1064">
        <v>8.6999999999999994E-2</v>
      </c>
      <c r="K1064">
        <v>6</v>
      </c>
      <c r="L1064">
        <v>355</v>
      </c>
      <c r="M1064" t="str">
        <f t="shared" si="291"/>
        <v>30 Year Fixed</v>
      </c>
      <c r="N1064" s="2">
        <v>917.85</v>
      </c>
      <c r="O1064" t="str">
        <f t="shared" si="288"/>
        <v>Cash Out</v>
      </c>
      <c r="P1064" s="3">
        <f t="shared" si="292"/>
        <v>36700.612610837445</v>
      </c>
      <c r="Q1064" s="4">
        <v>165750</v>
      </c>
      <c r="R1064" s="4" t="s">
        <v>41</v>
      </c>
      <c r="S1064" s="6">
        <v>528</v>
      </c>
      <c r="T1064">
        <v>7.625</v>
      </c>
      <c r="U1064" s="7">
        <f t="shared" si="289"/>
        <v>1242.2306345828099</v>
      </c>
      <c r="V1064" s="2">
        <f t="shared" si="293"/>
        <v>-293.70063458280993</v>
      </c>
      <c r="W1064" s="9">
        <f t="shared" si="294"/>
        <v>1</v>
      </c>
      <c r="X1064" s="3">
        <v>128499</v>
      </c>
      <c r="Y1064" s="3">
        <f t="shared" si="295"/>
        <v>0.1200000000098953</v>
      </c>
      <c r="Z1064" s="7">
        <f t="shared" si="296"/>
        <v>963.04913612824419</v>
      </c>
      <c r="AA1064" s="2">
        <f t="shared" si="290"/>
        <v>-14.519136128244213</v>
      </c>
      <c r="AB1064" s="8">
        <f t="shared" si="297"/>
        <v>1</v>
      </c>
      <c r="AC1064" s="10">
        <v>6.875</v>
      </c>
      <c r="AD1064" s="7">
        <f t="shared" si="298"/>
        <v>897.68820628490175</v>
      </c>
      <c r="AE1064" s="2">
        <f t="shared" si="299"/>
        <v>50.84179371509822</v>
      </c>
      <c r="AF1064" s="10">
        <v>1.75</v>
      </c>
      <c r="AG1064" s="3">
        <f t="shared" si="300"/>
        <v>2248.7325000000001</v>
      </c>
      <c r="AH1064" s="7">
        <v>2535</v>
      </c>
      <c r="AI1064">
        <f t="shared" si="301"/>
        <v>360</v>
      </c>
      <c r="AJ1064" t="e">
        <f>VLOOKUP(A1064,'Borrower Details'!$A$1:$H$1493,8,FALSE)</f>
        <v>#N/A</v>
      </c>
      <c r="AK1064" s="4" t="e">
        <f t="shared" si="302"/>
        <v>#N/A</v>
      </c>
      <c r="AL1064" s="10">
        <v>7.625</v>
      </c>
      <c r="AM1064" s="3">
        <f t="shared" si="303"/>
        <v>128498.87819999999</v>
      </c>
      <c r="AN1064">
        <v>7.625</v>
      </c>
      <c r="AO1064" s="7">
        <f t="shared" si="304"/>
        <v>963.04822328546106</v>
      </c>
      <c r="AP1064" s="2">
        <f t="shared" si="305"/>
        <v>-14.51822328546109</v>
      </c>
    </row>
    <row r="1065" spans="1:42" x14ac:dyDescent="0.15">
      <c r="A1065" s="8">
        <v>410758395</v>
      </c>
      <c r="B1065" t="s">
        <v>37</v>
      </c>
      <c r="C1065" t="s">
        <v>16</v>
      </c>
      <c r="D1065" s="1">
        <v>39307</v>
      </c>
      <c r="E1065" s="2">
        <v>131900</v>
      </c>
      <c r="F1065" s="2">
        <v>104150</v>
      </c>
      <c r="G1065" t="s">
        <v>17</v>
      </c>
      <c r="H1065" s="2">
        <v>887.43</v>
      </c>
      <c r="I1065" s="2">
        <v>102564.3</v>
      </c>
      <c r="J1065">
        <v>8.2500000000000004E-2</v>
      </c>
      <c r="K1065">
        <v>8</v>
      </c>
      <c r="L1065">
        <v>231</v>
      </c>
      <c r="M1065" t="str">
        <f t="shared" si="291"/>
        <v>30 Year Fixed</v>
      </c>
      <c r="N1065" s="2">
        <v>705.13</v>
      </c>
      <c r="O1065" t="str">
        <f t="shared" si="288"/>
        <v>Cash Out</v>
      </c>
      <c r="P1065" s="3">
        <f t="shared" si="292"/>
        <v>7893.8280788177362</v>
      </c>
      <c r="Q1065" s="4">
        <v>112115</v>
      </c>
      <c r="R1065" s="4" t="s">
        <v>41</v>
      </c>
      <c r="S1065" s="6">
        <v>623</v>
      </c>
      <c r="T1065">
        <v>6.75</v>
      </c>
      <c r="U1065" s="7">
        <f t="shared" si="289"/>
        <v>773.89033930078631</v>
      </c>
      <c r="V1065" s="2">
        <f t="shared" si="293"/>
        <v>113.53966069921364</v>
      </c>
      <c r="W1065" s="9">
        <f t="shared" si="294"/>
        <v>0</v>
      </c>
      <c r="X1065" s="3">
        <v>112115</v>
      </c>
      <c r="Y1065" s="3">
        <f t="shared" si="295"/>
        <v>7893.8280788177362</v>
      </c>
      <c r="Z1065" s="7">
        <f t="shared" si="296"/>
        <v>773.89033930078631</v>
      </c>
      <c r="AA1065" s="2">
        <f t="shared" si="290"/>
        <v>113.53966069921364</v>
      </c>
      <c r="AB1065" s="8">
        <f t="shared" si="297"/>
        <v>0</v>
      </c>
      <c r="AC1065" s="10">
        <v>6.75</v>
      </c>
      <c r="AD1065" s="7">
        <f t="shared" si="298"/>
        <v>773.89033930078631</v>
      </c>
      <c r="AE1065" s="2">
        <f t="shared" si="299"/>
        <v>113.53966069921364</v>
      </c>
      <c r="AF1065" s="10">
        <v>0</v>
      </c>
      <c r="AG1065" s="3">
        <f t="shared" si="300"/>
        <v>0</v>
      </c>
      <c r="AH1065" s="7">
        <v>0</v>
      </c>
      <c r="AI1065">
        <f t="shared" si="301"/>
        <v>360</v>
      </c>
      <c r="AJ1065" t="e">
        <f>VLOOKUP(A1065,'Borrower Details'!$A$1:$H$1493,8,FALSE)</f>
        <v>#N/A</v>
      </c>
      <c r="AK1065" s="4" t="e">
        <f t="shared" si="302"/>
        <v>#N/A</v>
      </c>
      <c r="AL1065" s="10">
        <v>6.75</v>
      </c>
      <c r="AM1065" s="3">
        <f t="shared" si="303"/>
        <v>104102.76449999999</v>
      </c>
      <c r="AN1065">
        <v>6.75</v>
      </c>
      <c r="AO1065" s="7">
        <f t="shared" si="304"/>
        <v>718.58470089689013</v>
      </c>
      <c r="AP1065" s="2">
        <f t="shared" si="305"/>
        <v>168.84529910310982</v>
      </c>
    </row>
    <row r="1066" spans="1:42" x14ac:dyDescent="0.15">
      <c r="A1066" s="8">
        <v>410913149</v>
      </c>
      <c r="B1066" t="s">
        <v>37</v>
      </c>
      <c r="C1066" t="s">
        <v>16</v>
      </c>
      <c r="D1066" s="1">
        <v>39357</v>
      </c>
      <c r="E1066" s="2">
        <v>125000</v>
      </c>
      <c r="F1066" s="2">
        <v>112500</v>
      </c>
      <c r="G1066" t="s">
        <v>20</v>
      </c>
      <c r="H1066" s="2">
        <v>1021.95</v>
      </c>
      <c r="I1066" s="2">
        <v>112383.3</v>
      </c>
      <c r="J1066">
        <v>0.1075</v>
      </c>
      <c r="K1066">
        <v>7</v>
      </c>
      <c r="L1066">
        <v>352</v>
      </c>
      <c r="M1066" t="str">
        <f t="shared" si="291"/>
        <v>30 Year Fixed</v>
      </c>
      <c r="N1066" s="2">
        <v>1006.9</v>
      </c>
      <c r="O1066" t="str">
        <f t="shared" si="288"/>
        <v>Refi</v>
      </c>
      <c r="P1066" s="3">
        <f t="shared" si="292"/>
        <v>0</v>
      </c>
      <c r="Q1066" s="4">
        <v>114069</v>
      </c>
      <c r="R1066" s="4" t="s">
        <v>41</v>
      </c>
      <c r="S1066" s="6">
        <v>580</v>
      </c>
      <c r="T1066">
        <v>7.375</v>
      </c>
      <c r="U1066" s="7">
        <f t="shared" si="289"/>
        <v>835.37498411280717</v>
      </c>
      <c r="V1066" s="2">
        <f t="shared" si="293"/>
        <v>186.57501588719288</v>
      </c>
      <c r="W1066" s="9">
        <f t="shared" si="294"/>
        <v>0</v>
      </c>
      <c r="X1066" s="3">
        <v>114069</v>
      </c>
      <c r="Y1066" s="3">
        <f t="shared" si="295"/>
        <v>-4.876847290142905E-2</v>
      </c>
      <c r="Z1066" s="7">
        <f t="shared" si="296"/>
        <v>835.37498411280717</v>
      </c>
      <c r="AA1066" s="2">
        <f t="shared" si="290"/>
        <v>186.57501588719288</v>
      </c>
      <c r="AB1066" s="8">
        <f t="shared" si="297"/>
        <v>0</v>
      </c>
      <c r="AC1066" s="10">
        <v>7.375</v>
      </c>
      <c r="AD1066" s="7">
        <f t="shared" si="298"/>
        <v>835.37498411280717</v>
      </c>
      <c r="AE1066" s="2">
        <f t="shared" si="299"/>
        <v>186.57501588719288</v>
      </c>
      <c r="AF1066" s="10">
        <v>0</v>
      </c>
      <c r="AG1066" s="3">
        <f t="shared" si="300"/>
        <v>0</v>
      </c>
      <c r="AH1066" s="7">
        <v>0</v>
      </c>
      <c r="AI1066">
        <f t="shared" si="301"/>
        <v>360</v>
      </c>
      <c r="AJ1066" t="e">
        <f>VLOOKUP(A1066,'Borrower Details'!$A$1:$H$1493,8,FALSE)</f>
        <v>#N/A</v>
      </c>
      <c r="AK1066" s="4" t="e">
        <f t="shared" si="302"/>
        <v>#N/A</v>
      </c>
      <c r="AL1066" s="10">
        <v>7.375</v>
      </c>
      <c r="AM1066" s="3">
        <f t="shared" si="303"/>
        <v>114069.04949999999</v>
      </c>
      <c r="AN1066">
        <v>7.375</v>
      </c>
      <c r="AO1066" s="7">
        <f t="shared" si="304"/>
        <v>835.37534662200528</v>
      </c>
      <c r="AP1066" s="2">
        <f t="shared" si="305"/>
        <v>186.57465337799476</v>
      </c>
    </row>
    <row r="1067" spans="1:42" x14ac:dyDescent="0.15">
      <c r="A1067" s="8">
        <v>1184817</v>
      </c>
      <c r="B1067" t="s">
        <v>37</v>
      </c>
      <c r="C1067" t="s">
        <v>19</v>
      </c>
      <c r="D1067" s="1">
        <v>39182</v>
      </c>
      <c r="E1067" s="2">
        <v>139000</v>
      </c>
      <c r="F1067" s="2">
        <v>83400</v>
      </c>
      <c r="G1067" t="s">
        <v>17</v>
      </c>
      <c r="H1067" s="2">
        <v>870.89</v>
      </c>
      <c r="I1067" s="2">
        <v>80759.3</v>
      </c>
      <c r="J1067">
        <v>9.5000000000000001E-2</v>
      </c>
      <c r="K1067">
        <v>12</v>
      </c>
      <c r="L1067">
        <v>168</v>
      </c>
      <c r="M1067" t="str">
        <f t="shared" si="291"/>
        <v>30 Year Fixed</v>
      </c>
      <c r="N1067" s="2">
        <v>639.34</v>
      </c>
      <c r="O1067" t="str">
        <f t="shared" si="288"/>
        <v>Cash Out</v>
      </c>
      <c r="P1067" s="3">
        <f t="shared" si="292"/>
        <v>35644.640886699519</v>
      </c>
      <c r="Q1067" s="4">
        <v>118150</v>
      </c>
      <c r="R1067" s="4" t="s">
        <v>41</v>
      </c>
      <c r="S1067" s="6">
        <v>535</v>
      </c>
      <c r="T1067">
        <v>7.625</v>
      </c>
      <c r="U1067" s="7">
        <f t="shared" si="289"/>
        <v>885.48747798466957</v>
      </c>
      <c r="V1067" s="2">
        <f t="shared" si="293"/>
        <v>-14.597477984669581</v>
      </c>
      <c r="W1067" s="9">
        <f t="shared" si="294"/>
        <v>1</v>
      </c>
      <c r="X1067" s="3">
        <v>116130</v>
      </c>
      <c r="Y1067" s="3">
        <f t="shared" si="295"/>
        <v>33654.493103448287</v>
      </c>
      <c r="Z1067" s="7">
        <f t="shared" si="296"/>
        <v>870.34837764163933</v>
      </c>
      <c r="AA1067" s="2">
        <f t="shared" si="290"/>
        <v>0.5416223583606552</v>
      </c>
      <c r="AB1067" s="8">
        <f t="shared" si="297"/>
        <v>0</v>
      </c>
      <c r="AC1067" s="10">
        <v>7.625</v>
      </c>
      <c r="AD1067" s="7">
        <f t="shared" si="298"/>
        <v>870.34837764163933</v>
      </c>
      <c r="AE1067" s="2">
        <f t="shared" si="299"/>
        <v>0.5416223583606552</v>
      </c>
      <c r="AF1067" s="10">
        <v>0</v>
      </c>
      <c r="AG1067" s="3">
        <f t="shared" si="300"/>
        <v>0</v>
      </c>
      <c r="AH1067" s="7">
        <v>0</v>
      </c>
      <c r="AI1067">
        <f t="shared" si="301"/>
        <v>360</v>
      </c>
      <c r="AJ1067" t="e">
        <f>VLOOKUP(A1067,'Borrower Details'!$A$1:$H$1493,8,FALSE)</f>
        <v>#N/A</v>
      </c>
      <c r="AK1067" s="4" t="e">
        <f t="shared" si="302"/>
        <v>#N/A</v>
      </c>
      <c r="AL1067" s="10">
        <v>7.625</v>
      </c>
      <c r="AM1067" s="3">
        <f t="shared" si="303"/>
        <v>81970.689499999993</v>
      </c>
      <c r="AN1067">
        <v>7.625</v>
      </c>
      <c r="AO1067" s="7">
        <f t="shared" si="304"/>
        <v>614.33786808310981</v>
      </c>
      <c r="AP1067" s="2">
        <f t="shared" si="305"/>
        <v>256.55213191689018</v>
      </c>
    </row>
    <row r="1068" spans="1:42" x14ac:dyDescent="0.15">
      <c r="A1068" s="8">
        <v>410867709</v>
      </c>
      <c r="B1068" t="s">
        <v>37</v>
      </c>
      <c r="C1068" t="s">
        <v>16</v>
      </c>
      <c r="D1068" s="1">
        <v>39385</v>
      </c>
      <c r="E1068" s="2">
        <v>136000</v>
      </c>
      <c r="F1068" s="2">
        <v>108800</v>
      </c>
      <c r="G1068" t="s">
        <v>20</v>
      </c>
      <c r="H1068" s="2">
        <v>855.94</v>
      </c>
      <c r="I1068" s="2">
        <v>108417.45</v>
      </c>
      <c r="J1068">
        <v>8.7499999999999994E-2</v>
      </c>
      <c r="K1068">
        <v>6</v>
      </c>
      <c r="L1068">
        <v>354</v>
      </c>
      <c r="M1068" t="str">
        <f t="shared" si="291"/>
        <v>30 Year Fixed</v>
      </c>
      <c r="N1068" s="2">
        <v>790.54</v>
      </c>
      <c r="O1068" t="str">
        <f t="shared" si="288"/>
        <v>Cash Out</v>
      </c>
      <c r="P1068" s="3">
        <f t="shared" si="292"/>
        <v>5474.1756157635537</v>
      </c>
      <c r="Q1068" s="4">
        <v>115600</v>
      </c>
      <c r="R1068" s="4" t="s">
        <v>41</v>
      </c>
      <c r="S1068" s="6">
        <v>649</v>
      </c>
      <c r="T1068">
        <v>6.75</v>
      </c>
      <c r="U1068" s="7">
        <f t="shared" si="289"/>
        <v>797.94606629952182</v>
      </c>
      <c r="V1068" s="2">
        <f t="shared" si="293"/>
        <v>57.993933700478237</v>
      </c>
      <c r="W1068" s="9">
        <f t="shared" si="294"/>
        <v>0</v>
      </c>
      <c r="X1068" s="3">
        <v>115600</v>
      </c>
      <c r="Y1068" s="3">
        <f t="shared" si="295"/>
        <v>5474.1756157635537</v>
      </c>
      <c r="Z1068" s="7">
        <f t="shared" si="296"/>
        <v>797.94606629952182</v>
      </c>
      <c r="AA1068" s="2">
        <f t="shared" si="290"/>
        <v>57.993933700478237</v>
      </c>
      <c r="AB1068" s="8">
        <f t="shared" si="297"/>
        <v>0</v>
      </c>
      <c r="AC1068" s="10">
        <v>6.75</v>
      </c>
      <c r="AD1068" s="7">
        <f t="shared" si="298"/>
        <v>797.94606629952182</v>
      </c>
      <c r="AE1068" s="2">
        <f t="shared" si="299"/>
        <v>57.993933700478237</v>
      </c>
      <c r="AF1068" s="10">
        <v>0</v>
      </c>
      <c r="AG1068" s="3">
        <f t="shared" si="300"/>
        <v>0</v>
      </c>
      <c r="AH1068" s="7">
        <v>0</v>
      </c>
      <c r="AI1068">
        <f t="shared" si="301"/>
        <v>360</v>
      </c>
      <c r="AJ1068" t="e">
        <f>VLOOKUP(A1068,'Borrower Details'!$A$1:$H$1493,8,FALSE)</f>
        <v>#N/A</v>
      </c>
      <c r="AK1068" s="4" t="e">
        <f t="shared" si="302"/>
        <v>#N/A</v>
      </c>
      <c r="AL1068" s="10">
        <v>6.75</v>
      </c>
      <c r="AM1068" s="3">
        <f t="shared" si="303"/>
        <v>110043.71174999999</v>
      </c>
      <c r="AN1068">
        <v>6.75</v>
      </c>
      <c r="AO1068" s="7">
        <f t="shared" si="304"/>
        <v>759.59296636601175</v>
      </c>
      <c r="AP1068" s="2">
        <f t="shared" si="305"/>
        <v>96.347033633988303</v>
      </c>
    </row>
    <row r="1069" spans="1:42" x14ac:dyDescent="0.15">
      <c r="A1069" s="8">
        <v>410910467</v>
      </c>
      <c r="B1069" t="s">
        <v>38</v>
      </c>
      <c r="C1069" t="s">
        <v>16</v>
      </c>
      <c r="D1069" s="1">
        <v>39339</v>
      </c>
      <c r="E1069" s="2">
        <v>200000</v>
      </c>
      <c r="F1069" s="2">
        <v>135405</v>
      </c>
      <c r="G1069" t="s">
        <v>20</v>
      </c>
      <c r="H1069" s="2">
        <v>1325.43</v>
      </c>
      <c r="I1069" s="2">
        <v>135082.91</v>
      </c>
      <c r="J1069">
        <v>0.1135</v>
      </c>
      <c r="K1069">
        <v>7</v>
      </c>
      <c r="L1069">
        <v>353</v>
      </c>
      <c r="M1069" t="str">
        <f t="shared" si="291"/>
        <v>30 Year Fixed</v>
      </c>
      <c r="N1069" s="2">
        <v>1277.6600000000001</v>
      </c>
      <c r="O1069" t="str">
        <f t="shared" si="288"/>
        <v>Cash Out</v>
      </c>
      <c r="P1069" s="3">
        <f t="shared" si="292"/>
        <v>32404.774729064055</v>
      </c>
      <c r="Q1069" s="4">
        <v>170000</v>
      </c>
      <c r="R1069" s="4" t="s">
        <v>41</v>
      </c>
      <c r="S1069" s="6">
        <v>521</v>
      </c>
      <c r="T1069">
        <v>7.625</v>
      </c>
      <c r="U1069" s="7">
        <f t="shared" si="289"/>
        <v>1274.0827021362152</v>
      </c>
      <c r="V1069" s="2">
        <f t="shared" si="293"/>
        <v>51.347297863784888</v>
      </c>
      <c r="W1069" s="9">
        <f t="shared" si="294"/>
        <v>0</v>
      </c>
      <c r="X1069" s="3">
        <v>170000</v>
      </c>
      <c r="Y1069" s="3">
        <f t="shared" si="295"/>
        <v>32404.774729064055</v>
      </c>
      <c r="Z1069" s="7">
        <f t="shared" si="296"/>
        <v>1274.0827021362152</v>
      </c>
      <c r="AA1069" s="2">
        <f t="shared" si="290"/>
        <v>51.347297863784888</v>
      </c>
      <c r="AB1069" s="8">
        <f t="shared" si="297"/>
        <v>0</v>
      </c>
      <c r="AC1069" s="10">
        <v>7.625</v>
      </c>
      <c r="AD1069" s="7">
        <f t="shared" si="298"/>
        <v>1274.0827021362152</v>
      </c>
      <c r="AE1069" s="2">
        <f t="shared" si="299"/>
        <v>51.347297863784888</v>
      </c>
      <c r="AF1069" s="10">
        <v>0</v>
      </c>
      <c r="AG1069" s="3">
        <f t="shared" si="300"/>
        <v>0</v>
      </c>
      <c r="AH1069" s="7">
        <v>0</v>
      </c>
      <c r="AI1069">
        <f t="shared" si="301"/>
        <v>360</v>
      </c>
      <c r="AJ1069" t="e">
        <f>VLOOKUP(A1069,'Borrower Details'!$A$1:$H$1493,8,FALSE)</f>
        <v>#N/A</v>
      </c>
      <c r="AK1069" s="4" t="e">
        <f t="shared" si="302"/>
        <v>#N/A</v>
      </c>
      <c r="AL1069" s="10">
        <v>7.625</v>
      </c>
      <c r="AM1069" s="3">
        <f t="shared" si="303"/>
        <v>137109.15364999999</v>
      </c>
      <c r="AN1069">
        <v>7.625</v>
      </c>
      <c r="AO1069" s="7">
        <f t="shared" si="304"/>
        <v>1027.5788292353029</v>
      </c>
      <c r="AP1069" s="2">
        <f t="shared" si="305"/>
        <v>297.85117076469714</v>
      </c>
    </row>
    <row r="1070" spans="1:42" x14ac:dyDescent="0.15">
      <c r="A1070" s="8">
        <v>411228315</v>
      </c>
      <c r="B1070" t="s">
        <v>35</v>
      </c>
      <c r="C1070" t="s">
        <v>16</v>
      </c>
      <c r="D1070" s="1">
        <v>39463</v>
      </c>
      <c r="E1070" s="2">
        <v>240000</v>
      </c>
      <c r="F1070" s="2">
        <v>192000</v>
      </c>
      <c r="G1070" t="s">
        <v>17</v>
      </c>
      <c r="H1070" s="2">
        <v>1756.3</v>
      </c>
      <c r="I1070" s="2">
        <v>191437.92</v>
      </c>
      <c r="J1070">
        <v>0.105</v>
      </c>
      <c r="K1070">
        <v>3</v>
      </c>
      <c r="L1070">
        <v>357</v>
      </c>
      <c r="M1070" t="str">
        <f t="shared" si="291"/>
        <v>30 Year Fixed</v>
      </c>
      <c r="N1070" s="2">
        <v>1675.08</v>
      </c>
      <c r="O1070" t="str">
        <f t="shared" si="288"/>
        <v>Cash Out</v>
      </c>
      <c r="P1070" s="3">
        <f t="shared" si="292"/>
        <v>9547.3016748768569</v>
      </c>
      <c r="Q1070" s="4">
        <v>204000</v>
      </c>
      <c r="R1070" s="4" t="s">
        <v>41</v>
      </c>
      <c r="S1070" s="6">
        <v>550</v>
      </c>
      <c r="T1070">
        <v>7.625</v>
      </c>
      <c r="U1070" s="7">
        <f t="shared" si="289"/>
        <v>1528.8992425634583</v>
      </c>
      <c r="V1070" s="2">
        <f t="shared" si="293"/>
        <v>227.40075743654165</v>
      </c>
      <c r="W1070" s="9">
        <f t="shared" si="294"/>
        <v>0</v>
      </c>
      <c r="X1070" s="3">
        <v>204000</v>
      </c>
      <c r="Y1070" s="3">
        <f t="shared" si="295"/>
        <v>9547.3016748768569</v>
      </c>
      <c r="Z1070" s="7">
        <f t="shared" si="296"/>
        <v>1528.8992425634583</v>
      </c>
      <c r="AA1070" s="2">
        <f t="shared" si="290"/>
        <v>227.40075743654165</v>
      </c>
      <c r="AB1070" s="8">
        <f t="shared" si="297"/>
        <v>0</v>
      </c>
      <c r="AC1070" s="10">
        <v>7.625</v>
      </c>
      <c r="AD1070" s="7">
        <f t="shared" si="298"/>
        <v>1528.8992425634583</v>
      </c>
      <c r="AE1070" s="2">
        <f t="shared" si="299"/>
        <v>227.40075743654165</v>
      </c>
      <c r="AF1070" s="10">
        <v>0</v>
      </c>
      <c r="AG1070" s="3">
        <f t="shared" si="300"/>
        <v>0</v>
      </c>
      <c r="AH1070" s="7">
        <v>10080</v>
      </c>
      <c r="AI1070">
        <f t="shared" si="301"/>
        <v>360</v>
      </c>
      <c r="AJ1070" t="e">
        <f>VLOOKUP(A1070,'Borrower Details'!$A$1:$H$1493,8,FALSE)</f>
        <v>#N/A</v>
      </c>
      <c r="AK1070" s="4" t="e">
        <f t="shared" si="302"/>
        <v>#N/A</v>
      </c>
      <c r="AL1070" s="10">
        <v>7.625</v>
      </c>
      <c r="AM1070" s="3">
        <f t="shared" si="303"/>
        <v>194309.48879999999</v>
      </c>
      <c r="AN1070">
        <v>7.625</v>
      </c>
      <c r="AO1070" s="7">
        <f t="shared" si="304"/>
        <v>1456.2726973000626</v>
      </c>
      <c r="AP1070" s="2">
        <f t="shared" si="305"/>
        <v>300.02730269993731</v>
      </c>
    </row>
    <row r="1071" spans="1:42" x14ac:dyDescent="0.15">
      <c r="A1071" s="8">
        <v>411121841</v>
      </c>
      <c r="B1071" t="s">
        <v>38</v>
      </c>
      <c r="C1071" t="s">
        <v>16</v>
      </c>
      <c r="D1071" s="1">
        <v>39412</v>
      </c>
      <c r="E1071" s="2">
        <v>180000</v>
      </c>
      <c r="F1071" s="2">
        <v>144000</v>
      </c>
      <c r="G1071" t="s">
        <v>20</v>
      </c>
      <c r="H1071" s="2">
        <v>1355.05</v>
      </c>
      <c r="I1071" s="2">
        <v>143784.91</v>
      </c>
      <c r="J1071">
        <v>0.1085</v>
      </c>
      <c r="K1071">
        <v>5</v>
      </c>
      <c r="L1071">
        <v>356</v>
      </c>
      <c r="M1071" t="str">
        <f t="shared" si="291"/>
        <v>30 Year Fixed</v>
      </c>
      <c r="N1071" s="2">
        <v>1300.06</v>
      </c>
      <c r="O1071" t="str">
        <f t="shared" si="288"/>
        <v>Cash Out</v>
      </c>
      <c r="P1071" s="3">
        <f t="shared" si="292"/>
        <v>6954.0062561576487</v>
      </c>
      <c r="Q1071" s="4">
        <v>153000</v>
      </c>
      <c r="R1071" s="4" t="s">
        <v>41</v>
      </c>
      <c r="S1071" s="6">
        <v>532</v>
      </c>
      <c r="T1071">
        <v>7.625</v>
      </c>
      <c r="U1071" s="7">
        <f t="shared" si="289"/>
        <v>1146.6744319225936</v>
      </c>
      <c r="V1071" s="2">
        <f t="shared" si="293"/>
        <v>208.37556807740634</v>
      </c>
      <c r="W1071" s="9">
        <f t="shared" si="294"/>
        <v>0</v>
      </c>
      <c r="X1071" s="3">
        <v>153000</v>
      </c>
      <c r="Y1071" s="3">
        <f t="shared" si="295"/>
        <v>6954.0062561576487</v>
      </c>
      <c r="Z1071" s="7">
        <f t="shared" si="296"/>
        <v>1146.6744319225936</v>
      </c>
      <c r="AA1071" s="2">
        <f t="shared" si="290"/>
        <v>208.37556807740634</v>
      </c>
      <c r="AB1071" s="8">
        <f t="shared" si="297"/>
        <v>0</v>
      </c>
      <c r="AC1071" s="10">
        <v>7.625</v>
      </c>
      <c r="AD1071" s="7">
        <f t="shared" si="298"/>
        <v>1146.6744319225936</v>
      </c>
      <c r="AE1071" s="2">
        <f t="shared" si="299"/>
        <v>208.37556807740634</v>
      </c>
      <c r="AF1071" s="10">
        <v>0</v>
      </c>
      <c r="AG1071" s="3">
        <f t="shared" si="300"/>
        <v>0</v>
      </c>
      <c r="AH1071" s="7">
        <v>0</v>
      </c>
      <c r="AI1071">
        <f t="shared" si="301"/>
        <v>360</v>
      </c>
      <c r="AJ1071" t="e">
        <f>VLOOKUP(A1071,'Borrower Details'!$A$1:$H$1493,8,FALSE)</f>
        <v>#N/A</v>
      </c>
      <c r="AK1071" s="4" t="e">
        <f t="shared" si="302"/>
        <v>#N/A</v>
      </c>
      <c r="AL1071" s="10">
        <v>7.625</v>
      </c>
      <c r="AM1071" s="3">
        <f t="shared" si="303"/>
        <v>145941.68364999999</v>
      </c>
      <c r="AN1071">
        <v>7.625</v>
      </c>
      <c r="AO1071" s="7">
        <f t="shared" si="304"/>
        <v>1093.7751450535334</v>
      </c>
      <c r="AP1071" s="2">
        <f t="shared" si="305"/>
        <v>261.27485494646658</v>
      </c>
    </row>
    <row r="1072" spans="1:42" x14ac:dyDescent="0.15">
      <c r="A1072" s="8">
        <v>411125313</v>
      </c>
      <c r="B1072" t="s">
        <v>37</v>
      </c>
      <c r="C1072" t="s">
        <v>16</v>
      </c>
      <c r="D1072" s="1">
        <v>39401</v>
      </c>
      <c r="E1072" s="2">
        <v>280000</v>
      </c>
      <c r="F1072" s="2">
        <v>203000</v>
      </c>
      <c r="G1072" t="s">
        <v>21</v>
      </c>
      <c r="H1072" s="2">
        <v>1145.3699999999999</v>
      </c>
      <c r="I1072" s="2">
        <v>202512.29</v>
      </c>
      <c r="J1072">
        <v>6.2E-2</v>
      </c>
      <c r="K1072">
        <v>5</v>
      </c>
      <c r="L1072">
        <v>355</v>
      </c>
      <c r="M1072" t="str">
        <f t="shared" si="291"/>
        <v>30 Year Fixed</v>
      </c>
      <c r="N1072" s="2">
        <v>1046.31</v>
      </c>
      <c r="O1072" t="str">
        <f t="shared" si="288"/>
        <v>Cash Out</v>
      </c>
      <c r="P1072" s="3">
        <f t="shared" si="292"/>
        <v>31970.468620689673</v>
      </c>
      <c r="Q1072" s="4">
        <v>238000</v>
      </c>
      <c r="R1072" s="4" t="s">
        <v>41</v>
      </c>
      <c r="S1072" s="6">
        <v>696</v>
      </c>
      <c r="T1072">
        <v>6.75</v>
      </c>
      <c r="U1072" s="7">
        <f t="shared" si="289"/>
        <v>1642.8301364990157</v>
      </c>
      <c r="V1072" s="2">
        <f t="shared" si="293"/>
        <v>-497.46013649901579</v>
      </c>
      <c r="W1072" s="9">
        <f t="shared" si="294"/>
        <v>1</v>
      </c>
      <c r="X1072" s="3">
        <v>205550</v>
      </c>
      <c r="Y1072" s="3">
        <f t="shared" si="295"/>
        <v>2.527093596290797E-2</v>
      </c>
      <c r="Z1072" s="7">
        <f t="shared" si="296"/>
        <v>1418.8392208292967</v>
      </c>
      <c r="AA1072" s="2">
        <f t="shared" si="290"/>
        <v>-273.46922082929677</v>
      </c>
      <c r="AB1072" s="8">
        <f t="shared" si="297"/>
        <v>1</v>
      </c>
      <c r="AC1072" s="10">
        <v>6.125</v>
      </c>
      <c r="AD1072" s="7">
        <f t="shared" si="298"/>
        <v>1334.5892974414407</v>
      </c>
      <c r="AE1072" s="2">
        <f t="shared" si="299"/>
        <v>-189.21929744144086</v>
      </c>
      <c r="AF1072" s="10">
        <v>3</v>
      </c>
      <c r="AG1072" s="3">
        <f t="shared" si="300"/>
        <v>6166.5</v>
      </c>
      <c r="AH1072" s="7">
        <v>2030</v>
      </c>
      <c r="AI1072">
        <f t="shared" si="301"/>
        <v>360</v>
      </c>
      <c r="AJ1072" t="e">
        <f>VLOOKUP(A1072,'Borrower Details'!$A$1:$H$1493,8,FALSE)</f>
        <v>#N/A</v>
      </c>
      <c r="AK1072" s="4" t="e">
        <f t="shared" si="302"/>
        <v>#N/A</v>
      </c>
      <c r="AL1072" s="10">
        <v>6.75</v>
      </c>
      <c r="AM1072" s="3">
        <f t="shared" si="303"/>
        <v>205549.97434999997</v>
      </c>
      <c r="AN1072">
        <v>6.75</v>
      </c>
      <c r="AO1072" s="7">
        <f t="shared" si="304"/>
        <v>1418.8390437763849</v>
      </c>
      <c r="AP1072" s="2">
        <f t="shared" si="305"/>
        <v>-273.46904377638498</v>
      </c>
    </row>
    <row r="1073" spans="1:42" x14ac:dyDescent="0.15">
      <c r="A1073" s="8">
        <v>411293541</v>
      </c>
      <c r="B1073" t="s">
        <v>36</v>
      </c>
      <c r="C1073" t="s">
        <v>18</v>
      </c>
      <c r="D1073" s="1">
        <v>39489</v>
      </c>
      <c r="E1073" s="2">
        <v>169500</v>
      </c>
      <c r="F1073" s="2">
        <v>134000</v>
      </c>
      <c r="G1073" t="s">
        <v>17</v>
      </c>
      <c r="H1073" s="2">
        <v>1077.24</v>
      </c>
      <c r="I1073" s="2">
        <v>133852.73000000001</v>
      </c>
      <c r="J1073">
        <v>8.9899999999999994E-2</v>
      </c>
      <c r="K1073">
        <v>2</v>
      </c>
      <c r="L1073">
        <v>358</v>
      </c>
      <c r="M1073" t="str">
        <f t="shared" si="291"/>
        <v>30 Year Fixed</v>
      </c>
      <c r="N1073" s="2">
        <v>1002.78</v>
      </c>
      <c r="O1073" t="str">
        <f t="shared" si="288"/>
        <v>Cash Out</v>
      </c>
      <c r="P1073" s="3">
        <f t="shared" si="292"/>
        <v>8093.0828078817867</v>
      </c>
      <c r="Q1073" s="4">
        <v>144075</v>
      </c>
      <c r="R1073" s="4" t="s">
        <v>41</v>
      </c>
      <c r="S1073" s="6">
        <v>626</v>
      </c>
      <c r="T1073">
        <v>6.75</v>
      </c>
      <c r="U1073" s="7">
        <f t="shared" si="289"/>
        <v>994.4989576306541</v>
      </c>
      <c r="V1073" s="2">
        <f t="shared" si="293"/>
        <v>82.741042369345905</v>
      </c>
      <c r="W1073" s="9">
        <f t="shared" si="294"/>
        <v>0</v>
      </c>
      <c r="X1073" s="3">
        <v>144075</v>
      </c>
      <c r="Y1073" s="3">
        <f t="shared" si="295"/>
        <v>8093.0828078817867</v>
      </c>
      <c r="Z1073" s="7">
        <f t="shared" si="296"/>
        <v>994.4989576306541</v>
      </c>
      <c r="AA1073" s="2">
        <f t="shared" si="290"/>
        <v>82.741042369345905</v>
      </c>
      <c r="AB1073" s="8">
        <f t="shared" si="297"/>
        <v>0</v>
      </c>
      <c r="AC1073" s="10">
        <v>6.75</v>
      </c>
      <c r="AD1073" s="7">
        <f t="shared" si="298"/>
        <v>994.4989576306541</v>
      </c>
      <c r="AE1073" s="2">
        <f t="shared" si="299"/>
        <v>82.741042369345905</v>
      </c>
      <c r="AF1073" s="10">
        <v>0</v>
      </c>
      <c r="AG1073" s="3">
        <f t="shared" si="300"/>
        <v>0</v>
      </c>
      <c r="AH1073" s="7">
        <v>2680</v>
      </c>
      <c r="AI1073">
        <f t="shared" si="301"/>
        <v>360</v>
      </c>
      <c r="AJ1073" t="e">
        <f>VLOOKUP(A1073,'Borrower Details'!$A$1:$H$1493,8,FALSE)</f>
        <v>#N/A</v>
      </c>
      <c r="AK1073" s="4" t="e">
        <f t="shared" si="302"/>
        <v>#N/A</v>
      </c>
      <c r="AL1073" s="10">
        <v>6.75</v>
      </c>
      <c r="AM1073" s="3">
        <f t="shared" si="303"/>
        <v>135860.52095000001</v>
      </c>
      <c r="AN1073">
        <v>6.75</v>
      </c>
      <c r="AO1073" s="7">
        <f t="shared" si="304"/>
        <v>937.7973032651928</v>
      </c>
      <c r="AP1073" s="2">
        <f t="shared" si="305"/>
        <v>139.44269673480721</v>
      </c>
    </row>
    <row r="1074" spans="1:42" x14ac:dyDescent="0.15">
      <c r="A1074" s="8">
        <v>1187796</v>
      </c>
      <c r="B1074" t="s">
        <v>38</v>
      </c>
      <c r="C1074" t="s">
        <v>19</v>
      </c>
      <c r="D1074" s="1">
        <v>39181</v>
      </c>
      <c r="E1074" s="2">
        <v>185000</v>
      </c>
      <c r="F1074" s="2">
        <v>160965</v>
      </c>
      <c r="G1074" t="s">
        <v>15</v>
      </c>
      <c r="H1074" s="2">
        <v>1220.6199999999999</v>
      </c>
      <c r="I1074" s="2">
        <v>159701.44</v>
      </c>
      <c r="J1074">
        <v>8.3500000000000005E-2</v>
      </c>
      <c r="K1074">
        <v>12</v>
      </c>
      <c r="L1074">
        <v>348</v>
      </c>
      <c r="M1074" t="str">
        <f t="shared" si="291"/>
        <v>30 Year Fixed</v>
      </c>
      <c r="N1074" s="2">
        <v>1111.26</v>
      </c>
      <c r="O1074" t="str">
        <f t="shared" si="288"/>
        <v>Refi</v>
      </c>
      <c r="P1074" s="3">
        <f t="shared" si="292"/>
        <v>0</v>
      </c>
      <c r="Q1074" s="4">
        <v>162097</v>
      </c>
      <c r="R1074" s="4" t="s">
        <v>41</v>
      </c>
      <c r="S1074" s="6">
        <v>624</v>
      </c>
      <c r="T1074">
        <v>6.75</v>
      </c>
      <c r="U1074" s="7">
        <f t="shared" si="289"/>
        <v>1118.8984732608442</v>
      </c>
      <c r="V1074" s="2">
        <f t="shared" si="293"/>
        <v>101.72152673915571</v>
      </c>
      <c r="W1074" s="9">
        <f t="shared" si="294"/>
        <v>0</v>
      </c>
      <c r="X1074" s="3">
        <v>162097</v>
      </c>
      <c r="Y1074" s="3">
        <f t="shared" si="295"/>
        <v>3.7832512316526845E-2</v>
      </c>
      <c r="Z1074" s="7">
        <f t="shared" si="296"/>
        <v>1118.8984732608442</v>
      </c>
      <c r="AA1074" s="2">
        <f t="shared" si="290"/>
        <v>101.72152673915571</v>
      </c>
      <c r="AB1074" s="8">
        <f t="shared" si="297"/>
        <v>1</v>
      </c>
      <c r="AC1074" s="10">
        <v>6.125</v>
      </c>
      <c r="AD1074" s="7">
        <f t="shared" si="298"/>
        <v>1052.4588730107771</v>
      </c>
      <c r="AE1074" s="2">
        <f t="shared" si="299"/>
        <v>168.16112698922279</v>
      </c>
      <c r="AF1074" s="10">
        <v>3</v>
      </c>
      <c r="AG1074" s="3">
        <f t="shared" si="300"/>
        <v>4862.91</v>
      </c>
      <c r="AH1074" s="7">
        <v>0</v>
      </c>
      <c r="AI1074">
        <f t="shared" si="301"/>
        <v>360</v>
      </c>
      <c r="AJ1074" t="e">
        <f>VLOOKUP(A1074,'Borrower Details'!$A$1:$H$1493,8,FALSE)</f>
        <v>#N/A</v>
      </c>
      <c r="AK1074" s="4" t="e">
        <f t="shared" si="302"/>
        <v>#N/A</v>
      </c>
      <c r="AL1074" s="10">
        <v>6.75</v>
      </c>
      <c r="AM1074" s="3">
        <f t="shared" si="303"/>
        <v>162096.96159999998</v>
      </c>
      <c r="AN1074">
        <v>6.75</v>
      </c>
      <c r="AO1074" s="7">
        <f t="shared" si="304"/>
        <v>1118.8982081991751</v>
      </c>
      <c r="AP1074" s="2">
        <f t="shared" si="305"/>
        <v>101.7217918008248</v>
      </c>
    </row>
    <row r="1075" spans="1:42" x14ac:dyDescent="0.15">
      <c r="A1075" s="8">
        <v>411096597</v>
      </c>
      <c r="B1075" t="s">
        <v>36</v>
      </c>
      <c r="C1075" t="s">
        <v>18</v>
      </c>
      <c r="D1075" s="1">
        <v>39399</v>
      </c>
      <c r="E1075" s="2">
        <v>330000</v>
      </c>
      <c r="F1075" s="2">
        <v>175000</v>
      </c>
      <c r="G1075" t="s">
        <v>17</v>
      </c>
      <c r="H1075" s="2">
        <v>1274.96</v>
      </c>
      <c r="I1075" s="2">
        <v>174395.92</v>
      </c>
      <c r="J1075">
        <v>7.9250000000000001E-2</v>
      </c>
      <c r="K1075">
        <v>5</v>
      </c>
      <c r="L1075">
        <v>355</v>
      </c>
      <c r="M1075" t="str">
        <f t="shared" si="291"/>
        <v>30 Year Fixed</v>
      </c>
      <c r="N1075" s="2">
        <v>1151.74</v>
      </c>
      <c r="O1075" t="str">
        <f t="shared" si="288"/>
        <v>Cash Out</v>
      </c>
      <c r="P1075" s="3">
        <f t="shared" si="292"/>
        <v>101958.7598029557</v>
      </c>
      <c r="Q1075" s="4">
        <v>280500</v>
      </c>
      <c r="R1075" s="4" t="s">
        <v>41</v>
      </c>
      <c r="S1075" s="6">
        <v>662</v>
      </c>
      <c r="T1075">
        <v>6.75</v>
      </c>
      <c r="U1075" s="7">
        <f t="shared" si="289"/>
        <v>1936.1926608738397</v>
      </c>
      <c r="V1075" s="2">
        <f t="shared" si="293"/>
        <v>-661.23266087383968</v>
      </c>
      <c r="W1075" s="9">
        <f t="shared" si="294"/>
        <v>1</v>
      </c>
      <c r="X1075" s="3">
        <v>184630</v>
      </c>
      <c r="Y1075" s="3">
        <f t="shared" si="295"/>
        <v>7505.557832512306</v>
      </c>
      <c r="Z1075" s="7">
        <f t="shared" si="296"/>
        <v>1274.4358323605597</v>
      </c>
      <c r="AA1075" s="2">
        <f t="shared" si="290"/>
        <v>0.52416763944029299</v>
      </c>
      <c r="AB1075" s="8">
        <f t="shared" si="297"/>
        <v>1</v>
      </c>
      <c r="AC1075" s="10">
        <v>6.125</v>
      </c>
      <c r="AD1075" s="7">
        <f t="shared" si="298"/>
        <v>1198.7605058944937</v>
      </c>
      <c r="AE1075" s="2">
        <f t="shared" si="299"/>
        <v>76.199494105506346</v>
      </c>
      <c r="AF1075" s="10">
        <v>3</v>
      </c>
      <c r="AG1075" s="3">
        <f t="shared" si="300"/>
        <v>5538.9</v>
      </c>
      <c r="AH1075" s="7">
        <v>3500</v>
      </c>
      <c r="AI1075">
        <f t="shared" si="301"/>
        <v>360</v>
      </c>
      <c r="AJ1075" t="e">
        <f>VLOOKUP(A1075,'Borrower Details'!$A$1:$H$1493,8,FALSE)</f>
        <v>#N/A</v>
      </c>
      <c r="AK1075" s="4" t="e">
        <f t="shared" si="302"/>
        <v>#N/A</v>
      </c>
      <c r="AL1075" s="10">
        <v>6.75</v>
      </c>
      <c r="AM1075" s="3">
        <f t="shared" si="303"/>
        <v>177011.85879999999</v>
      </c>
      <c r="AN1075">
        <v>6.75</v>
      </c>
      <c r="AO1075" s="7">
        <f t="shared" si="304"/>
        <v>1221.8504880434809</v>
      </c>
      <c r="AP1075" s="2">
        <f t="shared" si="305"/>
        <v>53.1095119565191</v>
      </c>
    </row>
    <row r="1076" spans="1:42" x14ac:dyDescent="0.15">
      <c r="A1076" s="8">
        <v>411227309</v>
      </c>
      <c r="B1076" t="s">
        <v>37</v>
      </c>
      <c r="C1076" t="s">
        <v>16</v>
      </c>
      <c r="D1076" s="1">
        <v>39493</v>
      </c>
      <c r="E1076" s="2">
        <v>180000</v>
      </c>
      <c r="F1076" s="2">
        <v>162000</v>
      </c>
      <c r="G1076" t="s">
        <v>17</v>
      </c>
      <c r="H1076" s="2">
        <v>1545.83</v>
      </c>
      <c r="I1076" s="2">
        <v>161884.57</v>
      </c>
      <c r="J1076">
        <v>0.11025</v>
      </c>
      <c r="K1076">
        <v>2</v>
      </c>
      <c r="L1076">
        <v>358</v>
      </c>
      <c r="M1076" t="str">
        <f t="shared" si="291"/>
        <v>30 Year Fixed</v>
      </c>
      <c r="N1076" s="2">
        <v>1487.31</v>
      </c>
      <c r="O1076" t="str">
        <f t="shared" si="288"/>
        <v>Refi</v>
      </c>
      <c r="P1076" s="3">
        <f t="shared" si="292"/>
        <v>0</v>
      </c>
      <c r="Q1076" s="4">
        <v>164313</v>
      </c>
      <c r="R1076" s="4" t="s">
        <v>41</v>
      </c>
      <c r="S1076" s="6">
        <v>613</v>
      </c>
      <c r="T1076">
        <v>6.875</v>
      </c>
      <c r="U1076" s="7">
        <f t="shared" si="289"/>
        <v>1147.883191614651</v>
      </c>
      <c r="V1076" s="2">
        <f t="shared" si="293"/>
        <v>397.94680838534896</v>
      </c>
      <c r="W1076" s="9">
        <f t="shared" si="294"/>
        <v>0</v>
      </c>
      <c r="X1076" s="3">
        <v>164313</v>
      </c>
      <c r="Y1076" s="3">
        <f t="shared" si="295"/>
        <v>0.15906403941335157</v>
      </c>
      <c r="Z1076" s="7">
        <f t="shared" si="296"/>
        <v>1147.883191614651</v>
      </c>
      <c r="AA1076" s="2">
        <f t="shared" si="290"/>
        <v>397.94680838534896</v>
      </c>
      <c r="AB1076" s="8">
        <f t="shared" si="297"/>
        <v>0</v>
      </c>
      <c r="AC1076" s="10">
        <v>6.875</v>
      </c>
      <c r="AD1076" s="7">
        <f t="shared" si="298"/>
        <v>1147.883191614651</v>
      </c>
      <c r="AE1076" s="2">
        <f t="shared" si="299"/>
        <v>397.94680838534896</v>
      </c>
      <c r="AF1076" s="10">
        <v>0</v>
      </c>
      <c r="AG1076" s="3">
        <f t="shared" si="300"/>
        <v>0</v>
      </c>
      <c r="AH1076" s="7">
        <v>0</v>
      </c>
      <c r="AI1076">
        <f t="shared" si="301"/>
        <v>360</v>
      </c>
      <c r="AJ1076" t="e">
        <f>VLOOKUP(A1076,'Borrower Details'!$A$1:$H$1493,8,FALSE)</f>
        <v>#N/A</v>
      </c>
      <c r="AK1076" s="4" t="e">
        <f t="shared" si="302"/>
        <v>#N/A</v>
      </c>
      <c r="AL1076" s="10">
        <v>6.875</v>
      </c>
      <c r="AM1076" s="3">
        <f t="shared" si="303"/>
        <v>164312.83854999999</v>
      </c>
      <c r="AN1076">
        <v>6.875</v>
      </c>
      <c r="AO1076" s="7">
        <f t="shared" si="304"/>
        <v>1147.8820637322481</v>
      </c>
      <c r="AP1076" s="2">
        <f t="shared" si="305"/>
        <v>397.94793626775186</v>
      </c>
    </row>
    <row r="1077" spans="1:42" x14ac:dyDescent="0.15">
      <c r="A1077" s="8">
        <v>1187002</v>
      </c>
      <c r="B1077" t="s">
        <v>36</v>
      </c>
      <c r="C1077" t="s">
        <v>18</v>
      </c>
      <c r="D1077" s="1">
        <v>39189</v>
      </c>
      <c r="E1077" s="2">
        <v>195000</v>
      </c>
      <c r="F1077" s="2">
        <v>146250</v>
      </c>
      <c r="G1077" t="s">
        <v>15</v>
      </c>
      <c r="H1077" s="2">
        <v>1093.5999999999999</v>
      </c>
      <c r="I1077" s="2">
        <v>145075.81</v>
      </c>
      <c r="J1077">
        <v>8.2000000000000003E-2</v>
      </c>
      <c r="K1077">
        <v>12</v>
      </c>
      <c r="L1077">
        <v>348</v>
      </c>
      <c r="M1077" t="str">
        <f t="shared" si="291"/>
        <v>30 Year Fixed</v>
      </c>
      <c r="N1077" s="2">
        <v>991.35</v>
      </c>
      <c r="O1077" t="str">
        <f t="shared" si="288"/>
        <v>Cash Out</v>
      </c>
      <c r="P1077" s="3">
        <f t="shared" si="292"/>
        <v>18224.682610837452</v>
      </c>
      <c r="Q1077" s="4">
        <v>165750</v>
      </c>
      <c r="R1077" s="4" t="s">
        <v>41</v>
      </c>
      <c r="S1077" s="6">
        <v>524</v>
      </c>
      <c r="T1077">
        <v>7.625</v>
      </c>
      <c r="U1077" s="7">
        <f t="shared" si="289"/>
        <v>1242.2306345828099</v>
      </c>
      <c r="V1077" s="2">
        <f t="shared" si="293"/>
        <v>-148.63063458280999</v>
      </c>
      <c r="W1077" s="9">
        <f t="shared" si="294"/>
        <v>1</v>
      </c>
      <c r="X1077" s="3">
        <v>147252</v>
      </c>
      <c r="Y1077" s="3">
        <f t="shared" si="295"/>
        <v>5.2068965538637713E-2</v>
      </c>
      <c r="Z1077" s="7">
        <f t="shared" si="296"/>
        <v>1103.5954473821291</v>
      </c>
      <c r="AA1077" s="2">
        <f t="shared" si="290"/>
        <v>-9.995447382129214</v>
      </c>
      <c r="AB1077" s="8">
        <f t="shared" si="297"/>
        <v>1</v>
      </c>
      <c r="AC1077" s="10">
        <v>6.875</v>
      </c>
      <c r="AD1077" s="7">
        <f t="shared" si="298"/>
        <v>1028.6958167134712</v>
      </c>
      <c r="AE1077" s="2">
        <f t="shared" si="299"/>
        <v>64.904183286528678</v>
      </c>
      <c r="AF1077" s="10">
        <v>1.75</v>
      </c>
      <c r="AG1077" s="3">
        <f t="shared" si="300"/>
        <v>2576.91</v>
      </c>
      <c r="AH1077" s="7">
        <v>2925</v>
      </c>
      <c r="AI1077">
        <f t="shared" si="301"/>
        <v>360</v>
      </c>
      <c r="AJ1077" t="e">
        <f>VLOOKUP(A1077,'Borrower Details'!$A$1:$H$1493,8,FALSE)</f>
        <v>#N/A</v>
      </c>
      <c r="AK1077" s="4" t="e">
        <f t="shared" si="302"/>
        <v>#N/A</v>
      </c>
      <c r="AL1077" s="10">
        <v>7.625</v>
      </c>
      <c r="AM1077" s="3">
        <f t="shared" si="303"/>
        <v>147251.94714999999</v>
      </c>
      <c r="AN1077">
        <v>7.625</v>
      </c>
      <c r="AO1077" s="7">
        <f t="shared" si="304"/>
        <v>1103.5950512923009</v>
      </c>
      <c r="AP1077" s="2">
        <f t="shared" si="305"/>
        <v>-9.9950512923010137</v>
      </c>
    </row>
    <row r="1078" spans="1:42" x14ac:dyDescent="0.15">
      <c r="A1078" s="8">
        <v>411308877</v>
      </c>
      <c r="B1078" t="s">
        <v>35</v>
      </c>
      <c r="C1078" t="s">
        <v>16</v>
      </c>
      <c r="D1078" s="1">
        <v>39504</v>
      </c>
      <c r="E1078" s="2">
        <v>152000</v>
      </c>
      <c r="F1078" s="2">
        <v>112500</v>
      </c>
      <c r="G1078" t="s">
        <v>17</v>
      </c>
      <c r="H1078" s="2">
        <v>937.77</v>
      </c>
      <c r="I1078" s="2">
        <v>112329.11</v>
      </c>
      <c r="J1078">
        <v>9.4E-2</v>
      </c>
      <c r="K1078">
        <v>2</v>
      </c>
      <c r="L1078">
        <v>357</v>
      </c>
      <c r="M1078" t="str">
        <f t="shared" si="291"/>
        <v>30 Year Fixed</v>
      </c>
      <c r="N1078" s="2">
        <v>880.36</v>
      </c>
      <c r="O1078" t="str">
        <f t="shared" si="288"/>
        <v>Cash Out</v>
      </c>
      <c r="P1078" s="3">
        <f t="shared" si="292"/>
        <v>14961.530394088681</v>
      </c>
      <c r="Q1078" s="4">
        <v>129200</v>
      </c>
      <c r="R1078" s="4" t="s">
        <v>41</v>
      </c>
      <c r="S1078" s="6">
        <v>597</v>
      </c>
      <c r="T1078">
        <v>7.375</v>
      </c>
      <c r="U1078" s="7">
        <f t="shared" si="289"/>
        <v>946.18562402909379</v>
      </c>
      <c r="V1078" s="2">
        <f t="shared" si="293"/>
        <v>-8.4156240290938058</v>
      </c>
      <c r="W1078" s="9">
        <f t="shared" si="294"/>
        <v>1</v>
      </c>
      <c r="X1078" s="3">
        <v>127980</v>
      </c>
      <c r="Y1078" s="3">
        <f t="shared" si="295"/>
        <v>13759.559950738927</v>
      </c>
      <c r="Z1078" s="7">
        <f t="shared" si="296"/>
        <v>937.25105389507291</v>
      </c>
      <c r="AA1078" s="2">
        <f t="shared" si="290"/>
        <v>0.51894610492706761</v>
      </c>
      <c r="AB1078" s="8">
        <f t="shared" si="297"/>
        <v>0</v>
      </c>
      <c r="AC1078" s="10">
        <v>7.375</v>
      </c>
      <c r="AD1078" s="7">
        <f t="shared" si="298"/>
        <v>937.25105389507291</v>
      </c>
      <c r="AE1078" s="2">
        <f t="shared" si="299"/>
        <v>0.51894610492706761</v>
      </c>
      <c r="AF1078" s="10">
        <v>0</v>
      </c>
      <c r="AG1078" s="3">
        <f t="shared" si="300"/>
        <v>0</v>
      </c>
      <c r="AH1078" s="7">
        <v>0</v>
      </c>
      <c r="AI1078">
        <f t="shared" si="301"/>
        <v>360</v>
      </c>
      <c r="AJ1078" t="e">
        <f>VLOOKUP(A1078,'Borrower Details'!$A$1:$H$1493,8,FALSE)</f>
        <v>#N/A</v>
      </c>
      <c r="AK1078" s="4" t="e">
        <f t="shared" si="302"/>
        <v>#N/A</v>
      </c>
      <c r="AL1078" s="10">
        <v>7.375</v>
      </c>
      <c r="AM1078" s="3">
        <f t="shared" si="303"/>
        <v>114014.04664999999</v>
      </c>
      <c r="AN1078">
        <v>7.375</v>
      </c>
      <c r="AO1078" s="7">
        <f t="shared" si="304"/>
        <v>834.97253775241836</v>
      </c>
      <c r="AP1078" s="2">
        <f t="shared" si="305"/>
        <v>102.79746224758162</v>
      </c>
    </row>
    <row r="1079" spans="1:42" x14ac:dyDescent="0.15">
      <c r="A1079" s="8">
        <v>411053507</v>
      </c>
      <c r="B1079" t="s">
        <v>35</v>
      </c>
      <c r="C1079" t="s">
        <v>16</v>
      </c>
      <c r="D1079" s="1">
        <v>39381</v>
      </c>
      <c r="E1079" s="2">
        <v>117000</v>
      </c>
      <c r="F1079" s="2">
        <v>92400</v>
      </c>
      <c r="G1079" t="s">
        <v>17</v>
      </c>
      <c r="H1079" s="2">
        <v>834.88</v>
      </c>
      <c r="I1079" s="2">
        <v>92074.87</v>
      </c>
      <c r="J1079">
        <v>0.10349999999999999</v>
      </c>
      <c r="K1079">
        <v>6</v>
      </c>
      <c r="L1079">
        <v>352</v>
      </c>
      <c r="M1079" t="str">
        <f t="shared" si="291"/>
        <v>30 Year Fixed</v>
      </c>
      <c r="N1079" s="2">
        <v>794.15</v>
      </c>
      <c r="O1079" t="str">
        <f t="shared" si="288"/>
        <v>Cash Out</v>
      </c>
      <c r="P1079" s="3">
        <f t="shared" si="292"/>
        <v>5905.425566502483</v>
      </c>
      <c r="Q1079" s="4">
        <v>99450</v>
      </c>
      <c r="R1079" s="4" t="s">
        <v>41</v>
      </c>
      <c r="S1079" s="6">
        <v>585</v>
      </c>
      <c r="T1079">
        <v>7.625</v>
      </c>
      <c r="U1079" s="7">
        <f t="shared" si="289"/>
        <v>745.33838074968594</v>
      </c>
      <c r="V1079" s="2">
        <f t="shared" si="293"/>
        <v>89.541619250314056</v>
      </c>
      <c r="W1079" s="9">
        <f t="shared" si="294"/>
        <v>0</v>
      </c>
      <c r="X1079" s="3">
        <v>99450</v>
      </c>
      <c r="Y1079" s="3">
        <f t="shared" si="295"/>
        <v>5905.425566502483</v>
      </c>
      <c r="Z1079" s="7">
        <f t="shared" si="296"/>
        <v>745.33838074968594</v>
      </c>
      <c r="AA1079" s="2">
        <f t="shared" si="290"/>
        <v>89.541619250314056</v>
      </c>
      <c r="AB1079" s="8">
        <f t="shared" si="297"/>
        <v>0</v>
      </c>
      <c r="AC1079" s="10">
        <v>7.625</v>
      </c>
      <c r="AD1079" s="7">
        <f t="shared" si="298"/>
        <v>745.33838074968594</v>
      </c>
      <c r="AE1079" s="2">
        <f t="shared" si="299"/>
        <v>89.541619250314056</v>
      </c>
      <c r="AF1079" s="10">
        <v>0</v>
      </c>
      <c r="AG1079" s="3">
        <f t="shared" si="300"/>
        <v>0</v>
      </c>
      <c r="AH1079" s="7">
        <v>4781.7</v>
      </c>
      <c r="AI1079">
        <f t="shared" si="301"/>
        <v>360</v>
      </c>
      <c r="AJ1079" t="e">
        <f>VLOOKUP(A1079,'Borrower Details'!$A$1:$H$1493,8,FALSE)</f>
        <v>#N/A</v>
      </c>
      <c r="AK1079" s="4" t="e">
        <f t="shared" si="302"/>
        <v>#N/A</v>
      </c>
      <c r="AL1079" s="10">
        <v>7.625</v>
      </c>
      <c r="AM1079" s="3">
        <f t="shared" si="303"/>
        <v>93455.99304999999</v>
      </c>
      <c r="AN1079">
        <v>7.625</v>
      </c>
      <c r="AO1079" s="7">
        <f t="shared" si="304"/>
        <v>700.41567150569017</v>
      </c>
      <c r="AP1079" s="2">
        <f t="shared" si="305"/>
        <v>134.46432849430983</v>
      </c>
    </row>
    <row r="1080" spans="1:42" x14ac:dyDescent="0.15">
      <c r="A1080" s="8">
        <v>411310451</v>
      </c>
      <c r="B1080" t="s">
        <v>37</v>
      </c>
      <c r="C1080" t="s">
        <v>16</v>
      </c>
      <c r="D1080" s="1">
        <v>39507</v>
      </c>
      <c r="E1080" s="2">
        <v>198000</v>
      </c>
      <c r="F1080" s="2">
        <v>178200</v>
      </c>
      <c r="G1080" t="s">
        <v>21</v>
      </c>
      <c r="H1080" s="2">
        <v>1567.13</v>
      </c>
      <c r="I1080" s="2">
        <v>178042.51</v>
      </c>
      <c r="J1080">
        <v>0.10025000000000001</v>
      </c>
      <c r="K1080">
        <v>2</v>
      </c>
      <c r="L1080">
        <v>358</v>
      </c>
      <c r="M1080" t="str">
        <f t="shared" si="291"/>
        <v>30 Year Fixed</v>
      </c>
      <c r="N1080" s="2">
        <v>1487.4</v>
      </c>
      <c r="O1080" t="str">
        <f t="shared" si="288"/>
        <v>Refi</v>
      </c>
      <c r="P1080" s="3">
        <f t="shared" si="292"/>
        <v>0</v>
      </c>
      <c r="Q1080" s="4">
        <v>180713</v>
      </c>
      <c r="R1080" s="4" t="s">
        <v>41</v>
      </c>
      <c r="S1080" s="6">
        <v>650</v>
      </c>
      <c r="T1080">
        <v>6.75</v>
      </c>
      <c r="U1080" s="7">
        <f t="shared" si="289"/>
        <v>1247.3981615846496</v>
      </c>
      <c r="V1080" s="2">
        <f t="shared" si="293"/>
        <v>319.73183841535047</v>
      </c>
      <c r="W1080" s="9">
        <f t="shared" si="294"/>
        <v>0</v>
      </c>
      <c r="X1080" s="3">
        <v>180714</v>
      </c>
      <c r="Y1080" s="3">
        <f t="shared" si="295"/>
        <v>0.83975369459949434</v>
      </c>
      <c r="Z1080" s="7">
        <f t="shared" si="296"/>
        <v>1247.4050642322818</v>
      </c>
      <c r="AA1080" s="2">
        <f t="shared" si="290"/>
        <v>319.72493576771831</v>
      </c>
      <c r="AB1080" s="8">
        <f t="shared" si="297"/>
        <v>0</v>
      </c>
      <c r="AC1080" s="10">
        <v>6.75</v>
      </c>
      <c r="AD1080" s="7">
        <f t="shared" si="298"/>
        <v>1247.4050642322818</v>
      </c>
      <c r="AE1080" s="2">
        <f t="shared" si="299"/>
        <v>319.72493576771831</v>
      </c>
      <c r="AF1080" s="10">
        <v>0</v>
      </c>
      <c r="AG1080" s="3">
        <f t="shared" si="300"/>
        <v>0</v>
      </c>
      <c r="AH1080" s="7">
        <v>0</v>
      </c>
      <c r="AI1080">
        <f t="shared" si="301"/>
        <v>360</v>
      </c>
      <c r="AJ1080" t="e">
        <f>VLOOKUP(A1080,'Borrower Details'!$A$1:$H$1493,8,FALSE)</f>
        <v>#N/A</v>
      </c>
      <c r="AK1080" s="4" t="e">
        <f t="shared" si="302"/>
        <v>#N/A</v>
      </c>
      <c r="AL1080" s="10">
        <v>6.75</v>
      </c>
      <c r="AM1080" s="3">
        <f t="shared" si="303"/>
        <v>180713.14765</v>
      </c>
      <c r="AN1080">
        <v>6.75</v>
      </c>
      <c r="AO1080" s="7">
        <f t="shared" si="304"/>
        <v>1247.3991807605723</v>
      </c>
      <c r="AP1080" s="2">
        <f t="shared" si="305"/>
        <v>319.73081923942777</v>
      </c>
    </row>
    <row r="1081" spans="1:42" x14ac:dyDescent="0.15">
      <c r="A1081" s="8">
        <v>411278393</v>
      </c>
      <c r="B1081" t="s">
        <v>37</v>
      </c>
      <c r="C1081" t="s">
        <v>16</v>
      </c>
      <c r="D1081" s="1">
        <v>39498</v>
      </c>
      <c r="E1081" s="2">
        <v>360000</v>
      </c>
      <c r="F1081" s="2">
        <v>270000</v>
      </c>
      <c r="G1081" t="s">
        <v>17</v>
      </c>
      <c r="H1081" s="2">
        <v>2409.4499999999998</v>
      </c>
      <c r="I1081" s="2">
        <v>269770.13</v>
      </c>
      <c r="J1081">
        <v>0.10199999999999999</v>
      </c>
      <c r="K1081">
        <v>2</v>
      </c>
      <c r="L1081">
        <v>358</v>
      </c>
      <c r="M1081" t="str">
        <f t="shared" si="291"/>
        <v>30 Year Fixed</v>
      </c>
      <c r="N1081" s="2">
        <v>2293.0500000000002</v>
      </c>
      <c r="O1081" t="str">
        <f t="shared" si="288"/>
        <v>Cash Out</v>
      </c>
      <c r="P1081" s="3">
        <f t="shared" si="292"/>
        <v>31707.7025123153</v>
      </c>
      <c r="Q1081" s="4">
        <v>306000</v>
      </c>
      <c r="R1081" s="4" t="s">
        <v>41</v>
      </c>
      <c r="S1081" s="6">
        <v>559</v>
      </c>
      <c r="T1081">
        <v>7.625</v>
      </c>
      <c r="U1081" s="7">
        <f t="shared" si="289"/>
        <v>2293.3488638451872</v>
      </c>
      <c r="V1081" s="2">
        <f t="shared" si="293"/>
        <v>116.10113615481259</v>
      </c>
      <c r="W1081" s="9">
        <f t="shared" si="294"/>
        <v>0</v>
      </c>
      <c r="X1081" s="3">
        <v>306000</v>
      </c>
      <c r="Y1081" s="3">
        <f t="shared" si="295"/>
        <v>31707.7025123153</v>
      </c>
      <c r="Z1081" s="7">
        <f t="shared" si="296"/>
        <v>2293.3488638451872</v>
      </c>
      <c r="AA1081" s="2">
        <f t="shared" si="290"/>
        <v>116.10113615481259</v>
      </c>
      <c r="AB1081" s="8">
        <f t="shared" si="297"/>
        <v>0</v>
      </c>
      <c r="AC1081" s="10">
        <v>7.625</v>
      </c>
      <c r="AD1081" s="7">
        <f t="shared" si="298"/>
        <v>2293.3488638451872</v>
      </c>
      <c r="AE1081" s="2">
        <f t="shared" si="299"/>
        <v>116.10113615481259</v>
      </c>
      <c r="AF1081" s="10">
        <v>0</v>
      </c>
      <c r="AG1081" s="3">
        <f t="shared" si="300"/>
        <v>0</v>
      </c>
      <c r="AH1081" s="7">
        <v>0</v>
      </c>
      <c r="AI1081">
        <f t="shared" si="301"/>
        <v>360</v>
      </c>
      <c r="AJ1081" t="e">
        <f>VLOOKUP(A1081,'Borrower Details'!$A$1:$H$1493,8,FALSE)</f>
        <v>#N/A</v>
      </c>
      <c r="AK1081" s="4" t="e">
        <f t="shared" si="302"/>
        <v>#N/A</v>
      </c>
      <c r="AL1081" s="10">
        <v>7.625</v>
      </c>
      <c r="AM1081" s="3">
        <f t="shared" si="303"/>
        <v>273816.68195</v>
      </c>
      <c r="AN1081">
        <v>7.625</v>
      </c>
      <c r="AO1081" s="7">
        <f t="shared" si="304"/>
        <v>2052.147635463698</v>
      </c>
      <c r="AP1081" s="2">
        <f t="shared" si="305"/>
        <v>357.30236453630187</v>
      </c>
    </row>
    <row r="1082" spans="1:42" x14ac:dyDescent="0.15">
      <c r="A1082" s="8">
        <v>410950521</v>
      </c>
      <c r="B1082" t="s">
        <v>36</v>
      </c>
      <c r="C1082" t="s">
        <v>16</v>
      </c>
      <c r="D1082" s="1">
        <v>39386</v>
      </c>
      <c r="E1082" s="2">
        <v>160000</v>
      </c>
      <c r="F1082" s="2">
        <v>144000</v>
      </c>
      <c r="G1082" t="s">
        <v>21</v>
      </c>
      <c r="H1082" s="2">
        <v>1262.47</v>
      </c>
      <c r="I1082" s="2">
        <v>143874.5</v>
      </c>
      <c r="J1082">
        <v>0.10349999999999999</v>
      </c>
      <c r="K1082">
        <v>6</v>
      </c>
      <c r="L1082">
        <v>354</v>
      </c>
      <c r="M1082" t="str">
        <f t="shared" si="291"/>
        <v>30 Year Fixed</v>
      </c>
      <c r="N1082" s="2">
        <v>1240.92</v>
      </c>
      <c r="O1082" t="str">
        <f t="shared" si="288"/>
        <v>Refi</v>
      </c>
      <c r="P1082" s="3">
        <f t="shared" si="292"/>
        <v>0</v>
      </c>
      <c r="Q1082" s="4">
        <v>146033</v>
      </c>
      <c r="R1082" s="4" t="s">
        <v>41</v>
      </c>
      <c r="S1082" s="6">
        <v>630</v>
      </c>
      <c r="T1082">
        <v>6.75</v>
      </c>
      <c r="U1082" s="7">
        <f t="shared" si="289"/>
        <v>1008.014341694793</v>
      </c>
      <c r="V1082" s="2">
        <f t="shared" si="293"/>
        <v>254.45565830520707</v>
      </c>
      <c r="W1082" s="9">
        <f t="shared" si="294"/>
        <v>0</v>
      </c>
      <c r="X1082" s="3">
        <v>146033</v>
      </c>
      <c r="Y1082" s="3">
        <f t="shared" si="295"/>
        <v>0.37684729066677392</v>
      </c>
      <c r="Z1082" s="7">
        <f t="shared" si="296"/>
        <v>1008.014341694793</v>
      </c>
      <c r="AA1082" s="2">
        <f t="shared" si="290"/>
        <v>254.45565830520707</v>
      </c>
      <c r="AB1082" s="8">
        <f t="shared" si="297"/>
        <v>0</v>
      </c>
      <c r="AC1082" s="10">
        <v>6.75</v>
      </c>
      <c r="AD1082" s="7">
        <f t="shared" si="298"/>
        <v>1008.014341694793</v>
      </c>
      <c r="AE1082" s="2">
        <f t="shared" si="299"/>
        <v>254.45565830520707</v>
      </c>
      <c r="AF1082" s="10">
        <v>0</v>
      </c>
      <c r="AG1082" s="3">
        <f t="shared" si="300"/>
        <v>0</v>
      </c>
      <c r="AH1082" s="7">
        <v>2880</v>
      </c>
      <c r="AI1082">
        <f t="shared" si="301"/>
        <v>360</v>
      </c>
      <c r="AJ1082" t="e">
        <f>VLOOKUP(A1082,'Borrower Details'!$A$1:$H$1493,8,FALSE)</f>
        <v>#N/A</v>
      </c>
      <c r="AK1082" s="4" t="e">
        <f t="shared" si="302"/>
        <v>#N/A</v>
      </c>
      <c r="AL1082" s="10">
        <v>6.75</v>
      </c>
      <c r="AM1082" s="3">
        <f t="shared" si="303"/>
        <v>146032.61749999999</v>
      </c>
      <c r="AN1082">
        <v>6.75</v>
      </c>
      <c r="AO1082" s="7">
        <f t="shared" si="304"/>
        <v>1008.0117014320737</v>
      </c>
      <c r="AP1082" s="2">
        <f t="shared" si="305"/>
        <v>254.45829856792636</v>
      </c>
    </row>
    <row r="1083" spans="1:42" x14ac:dyDescent="0.15">
      <c r="A1083" s="8">
        <v>1189050</v>
      </c>
      <c r="B1083" t="s">
        <v>37</v>
      </c>
      <c r="C1083" t="s">
        <v>19</v>
      </c>
      <c r="D1083" s="1">
        <v>39202</v>
      </c>
      <c r="E1083" s="2">
        <v>142000</v>
      </c>
      <c r="F1083" s="2">
        <v>113600</v>
      </c>
      <c r="G1083" t="s">
        <v>15</v>
      </c>
      <c r="H1083" s="2">
        <v>918.15</v>
      </c>
      <c r="I1083" s="2">
        <v>112830.76</v>
      </c>
      <c r="J1083">
        <v>9.0499999999999997E-2</v>
      </c>
      <c r="K1083">
        <v>12</v>
      </c>
      <c r="L1083">
        <v>348</v>
      </c>
      <c r="M1083" t="str">
        <f t="shared" si="291"/>
        <v>30 Year Fixed</v>
      </c>
      <c r="N1083" s="2">
        <v>850.93</v>
      </c>
      <c r="O1083" t="str">
        <f t="shared" si="288"/>
        <v>Cash Out</v>
      </c>
      <c r="P1083" s="3">
        <f t="shared" si="292"/>
        <v>6085.4961576354835</v>
      </c>
      <c r="Q1083" s="4">
        <v>120700</v>
      </c>
      <c r="R1083" s="4" t="s">
        <v>41</v>
      </c>
      <c r="S1083" s="6">
        <v>526</v>
      </c>
      <c r="T1083">
        <v>7.625</v>
      </c>
      <c r="U1083" s="7">
        <f t="shared" si="289"/>
        <v>904.59871851671278</v>
      </c>
      <c r="V1083" s="2">
        <f t="shared" si="293"/>
        <v>13.551281483287198</v>
      </c>
      <c r="W1083" s="9">
        <f t="shared" si="294"/>
        <v>0</v>
      </c>
      <c r="X1083" s="3">
        <v>120700</v>
      </c>
      <c r="Y1083" s="3">
        <f t="shared" si="295"/>
        <v>6085.4961576354835</v>
      </c>
      <c r="Z1083" s="7">
        <f t="shared" si="296"/>
        <v>904.59871851671278</v>
      </c>
      <c r="AA1083" s="2">
        <f t="shared" si="290"/>
        <v>13.551281483287198</v>
      </c>
      <c r="AB1083" s="8">
        <f t="shared" si="297"/>
        <v>1</v>
      </c>
      <c r="AC1083" s="10">
        <v>6.625</v>
      </c>
      <c r="AD1083" s="7">
        <f t="shared" si="298"/>
        <v>823.14699668433366</v>
      </c>
      <c r="AE1083" s="2">
        <f t="shared" si="299"/>
        <v>95.003003315666319</v>
      </c>
      <c r="AF1083" s="10">
        <v>2.875</v>
      </c>
      <c r="AG1083" s="3">
        <f t="shared" si="300"/>
        <v>3470.125</v>
      </c>
      <c r="AH1083" s="7">
        <v>0</v>
      </c>
      <c r="AI1083">
        <f t="shared" si="301"/>
        <v>360</v>
      </c>
      <c r="AJ1083" t="e">
        <f>VLOOKUP(A1083,'Borrower Details'!$A$1:$H$1493,8,FALSE)</f>
        <v>#N/A</v>
      </c>
      <c r="AK1083" s="4" t="e">
        <f t="shared" si="302"/>
        <v>#N/A</v>
      </c>
      <c r="AL1083" s="10">
        <v>7.625</v>
      </c>
      <c r="AM1083" s="3">
        <f t="shared" si="303"/>
        <v>114523.22139999998</v>
      </c>
      <c r="AN1083">
        <v>7.625</v>
      </c>
      <c r="AO1083" s="7">
        <f t="shared" si="304"/>
        <v>858.30620810974119</v>
      </c>
      <c r="AP1083" s="2">
        <f t="shared" si="305"/>
        <v>59.843791890258785</v>
      </c>
    </row>
    <row r="1084" spans="1:42" x14ac:dyDescent="0.15">
      <c r="A1084" s="8">
        <v>411065535</v>
      </c>
      <c r="B1084" t="s">
        <v>35</v>
      </c>
      <c r="C1084" t="s">
        <v>16</v>
      </c>
      <c r="D1084" s="1">
        <v>39392</v>
      </c>
      <c r="E1084" s="2">
        <v>275000</v>
      </c>
      <c r="F1084" s="2">
        <v>247500</v>
      </c>
      <c r="G1084" t="s">
        <v>20</v>
      </c>
      <c r="H1084" s="2">
        <v>2034.33</v>
      </c>
      <c r="I1084" s="2">
        <v>246847.12</v>
      </c>
      <c r="J1084">
        <v>9.2399999999999996E-2</v>
      </c>
      <c r="K1084">
        <v>5</v>
      </c>
      <c r="L1084">
        <v>355</v>
      </c>
      <c r="M1084" t="str">
        <f t="shared" si="291"/>
        <v>30 Year Fixed</v>
      </c>
      <c r="N1084" s="2">
        <v>1900.72</v>
      </c>
      <c r="O1084" t="str">
        <f t="shared" si="288"/>
        <v>Refi</v>
      </c>
      <c r="P1084" s="3">
        <f t="shared" si="292"/>
        <v>0</v>
      </c>
      <c r="Q1084" s="4">
        <v>250550</v>
      </c>
      <c r="R1084" s="4" t="s">
        <v>41</v>
      </c>
      <c r="S1084" s="6">
        <v>662</v>
      </c>
      <c r="T1084">
        <v>6.75</v>
      </c>
      <c r="U1084" s="7">
        <f t="shared" si="289"/>
        <v>1729.458364284993</v>
      </c>
      <c r="V1084" s="2">
        <f t="shared" si="293"/>
        <v>304.87163571500696</v>
      </c>
      <c r="W1084" s="9">
        <f t="shared" si="294"/>
        <v>0</v>
      </c>
      <c r="X1084" s="3">
        <v>250550</v>
      </c>
      <c r="Y1084" s="3">
        <f t="shared" si="295"/>
        <v>0.17064039412070997</v>
      </c>
      <c r="Z1084" s="7">
        <f t="shared" si="296"/>
        <v>1729.458364284993</v>
      </c>
      <c r="AA1084" s="2">
        <f t="shared" si="290"/>
        <v>304.87163571500696</v>
      </c>
      <c r="AB1084" s="8">
        <f t="shared" si="297"/>
        <v>0</v>
      </c>
      <c r="AC1084" s="10">
        <v>6.75</v>
      </c>
      <c r="AD1084" s="7">
        <f t="shared" si="298"/>
        <v>1729.458364284993</v>
      </c>
      <c r="AE1084" s="2">
        <f t="shared" si="299"/>
        <v>304.87163571500696</v>
      </c>
      <c r="AF1084" s="10">
        <v>0</v>
      </c>
      <c r="AG1084" s="3">
        <f t="shared" si="300"/>
        <v>0</v>
      </c>
      <c r="AH1084" s="7">
        <v>11434.5</v>
      </c>
      <c r="AI1084">
        <f t="shared" si="301"/>
        <v>360</v>
      </c>
      <c r="AJ1084" t="e">
        <f>VLOOKUP(A1084,'Borrower Details'!$A$1:$H$1493,8,FALSE)</f>
        <v>#N/A</v>
      </c>
      <c r="AK1084" s="4" t="e">
        <f t="shared" si="302"/>
        <v>#N/A</v>
      </c>
      <c r="AL1084" s="10">
        <v>6.75</v>
      </c>
      <c r="AM1084" s="3">
        <f t="shared" si="303"/>
        <v>250549.82679999998</v>
      </c>
      <c r="AN1084">
        <v>6.75</v>
      </c>
      <c r="AO1084" s="7">
        <f t="shared" si="304"/>
        <v>1729.4571687464231</v>
      </c>
      <c r="AP1084" s="2">
        <f t="shared" si="305"/>
        <v>304.87283125357681</v>
      </c>
    </row>
    <row r="1085" spans="1:42" x14ac:dyDescent="0.15">
      <c r="A1085" s="8">
        <v>1180555</v>
      </c>
      <c r="B1085" t="s">
        <v>35</v>
      </c>
      <c r="C1085" t="s">
        <v>16</v>
      </c>
      <c r="D1085" s="1">
        <v>39183</v>
      </c>
      <c r="E1085" s="2">
        <v>129000</v>
      </c>
      <c r="F1085" s="2">
        <v>122550</v>
      </c>
      <c r="G1085" t="s">
        <v>17</v>
      </c>
      <c r="H1085" s="2">
        <v>1157.83</v>
      </c>
      <c r="I1085" s="2">
        <v>122082.61</v>
      </c>
      <c r="J1085">
        <v>0.109</v>
      </c>
      <c r="K1085">
        <v>12</v>
      </c>
      <c r="L1085">
        <v>350</v>
      </c>
      <c r="M1085" t="str">
        <f t="shared" si="291"/>
        <v>30 Year Fixed</v>
      </c>
      <c r="N1085" s="2">
        <v>1108.92</v>
      </c>
      <c r="O1085" t="str">
        <f t="shared" si="288"/>
        <v>Refi</v>
      </c>
      <c r="P1085" s="3">
        <f t="shared" si="292"/>
        <v>0</v>
      </c>
      <c r="Q1085" s="4">
        <v>123914</v>
      </c>
      <c r="R1085" s="4" t="s">
        <v>41</v>
      </c>
      <c r="S1085" s="6">
        <v>578</v>
      </c>
      <c r="T1085">
        <v>7.625</v>
      </c>
      <c r="U1085" s="7">
        <f t="shared" si="289"/>
        <v>928.68637619121751</v>
      </c>
      <c r="V1085" s="2">
        <f t="shared" si="293"/>
        <v>229.14362380878242</v>
      </c>
      <c r="W1085" s="9">
        <f t="shared" si="294"/>
        <v>0</v>
      </c>
      <c r="X1085" s="3">
        <v>123914</v>
      </c>
      <c r="Y1085" s="3">
        <f t="shared" si="295"/>
        <v>0.14862068966613151</v>
      </c>
      <c r="Z1085" s="7">
        <f t="shared" si="296"/>
        <v>928.68637619121751</v>
      </c>
      <c r="AA1085" s="2">
        <f t="shared" si="290"/>
        <v>229.14362380878242</v>
      </c>
      <c r="AB1085" s="8">
        <f t="shared" si="297"/>
        <v>0</v>
      </c>
      <c r="AC1085" s="10">
        <v>7.625</v>
      </c>
      <c r="AD1085" s="7">
        <f t="shared" si="298"/>
        <v>928.68637619121751</v>
      </c>
      <c r="AE1085" s="2">
        <f t="shared" si="299"/>
        <v>229.14362380878242</v>
      </c>
      <c r="AF1085" s="10">
        <v>0</v>
      </c>
      <c r="AG1085" s="3">
        <f t="shared" si="300"/>
        <v>0</v>
      </c>
      <c r="AH1085" s="7">
        <v>6678.9750000000013</v>
      </c>
      <c r="AI1085">
        <f t="shared" si="301"/>
        <v>360</v>
      </c>
      <c r="AJ1085" t="e">
        <f>VLOOKUP(A1085,'Borrower Details'!$A$1:$H$1493,8,FALSE)</f>
        <v>#N/A</v>
      </c>
      <c r="AK1085" s="4" t="e">
        <f t="shared" si="302"/>
        <v>#N/A</v>
      </c>
      <c r="AL1085" s="10">
        <v>7.625</v>
      </c>
      <c r="AM1085" s="3">
        <f t="shared" si="303"/>
        <v>123913.84914999999</v>
      </c>
      <c r="AN1085">
        <v>7.625</v>
      </c>
      <c r="AO1085" s="7">
        <f t="shared" si="304"/>
        <v>928.68524563018445</v>
      </c>
      <c r="AP1085" s="2">
        <f t="shared" si="305"/>
        <v>229.14475436981547</v>
      </c>
    </row>
    <row r="1086" spans="1:42" x14ac:dyDescent="0.15">
      <c r="A1086" s="8">
        <v>411209273</v>
      </c>
      <c r="B1086" t="s">
        <v>37</v>
      </c>
      <c r="C1086" t="s">
        <v>16</v>
      </c>
      <c r="D1086" s="1">
        <v>39470</v>
      </c>
      <c r="E1086" s="2">
        <v>190000</v>
      </c>
      <c r="F1086" s="2">
        <v>161210</v>
      </c>
      <c r="G1086" t="s">
        <v>17</v>
      </c>
      <c r="H1086" s="2">
        <v>1480.69</v>
      </c>
      <c r="I1086" s="2">
        <v>161018.17000000001</v>
      </c>
      <c r="J1086">
        <v>0.1055</v>
      </c>
      <c r="K1086">
        <v>3</v>
      </c>
      <c r="L1086">
        <v>357</v>
      </c>
      <c r="M1086" t="str">
        <f t="shared" si="291"/>
        <v>30 Year Fixed</v>
      </c>
      <c r="N1086" s="2">
        <v>1415.62</v>
      </c>
      <c r="O1086" t="str">
        <f t="shared" si="288"/>
        <v>Refi</v>
      </c>
      <c r="P1086" s="3">
        <f t="shared" si="292"/>
        <v>0</v>
      </c>
      <c r="Q1086" s="4">
        <v>163433</v>
      </c>
      <c r="R1086" s="4" t="s">
        <v>41</v>
      </c>
      <c r="S1086" s="6">
        <v>560</v>
      </c>
      <c r="T1086">
        <v>7.625</v>
      </c>
      <c r="U1086" s="7">
        <f t="shared" si="289"/>
        <v>1224.8656368131062</v>
      </c>
      <c r="V1086" s="2">
        <f t="shared" si="293"/>
        <v>255.82436318689383</v>
      </c>
      <c r="W1086" s="9">
        <f t="shared" si="294"/>
        <v>0</v>
      </c>
      <c r="X1086" s="3">
        <v>163433</v>
      </c>
      <c r="Y1086" s="3">
        <f t="shared" si="295"/>
        <v>-0.4360098522156477</v>
      </c>
      <c r="Z1086" s="7">
        <f t="shared" si="296"/>
        <v>1224.8656368131062</v>
      </c>
      <c r="AA1086" s="2">
        <f t="shared" si="290"/>
        <v>255.82436318689383</v>
      </c>
      <c r="AB1086" s="8">
        <f t="shared" si="297"/>
        <v>0</v>
      </c>
      <c r="AC1086" s="10">
        <v>7.625</v>
      </c>
      <c r="AD1086" s="7">
        <f t="shared" si="298"/>
        <v>1224.8656368131062</v>
      </c>
      <c r="AE1086" s="2">
        <f t="shared" si="299"/>
        <v>255.82436318689383</v>
      </c>
      <c r="AF1086" s="10">
        <v>0</v>
      </c>
      <c r="AG1086" s="3">
        <f t="shared" si="300"/>
        <v>0</v>
      </c>
      <c r="AH1086" s="7">
        <v>0</v>
      </c>
      <c r="AI1086">
        <f t="shared" si="301"/>
        <v>360</v>
      </c>
      <c r="AJ1086" t="e">
        <f>VLOOKUP(A1086,'Borrower Details'!$A$1:$H$1493,8,FALSE)</f>
        <v>#N/A</v>
      </c>
      <c r="AK1086" s="4" t="e">
        <f t="shared" si="302"/>
        <v>#N/A</v>
      </c>
      <c r="AL1086" s="10">
        <v>7.625</v>
      </c>
      <c r="AM1086" s="3">
        <f t="shared" si="303"/>
        <v>163433.44255000001</v>
      </c>
      <c r="AN1086">
        <v>7.625</v>
      </c>
      <c r="AO1086" s="7">
        <f t="shared" si="304"/>
        <v>1224.868953550164</v>
      </c>
      <c r="AP1086" s="2">
        <f t="shared" si="305"/>
        <v>255.8210464498361</v>
      </c>
    </row>
    <row r="1087" spans="1:42" x14ac:dyDescent="0.15">
      <c r="A1087" s="8">
        <v>411073331</v>
      </c>
      <c r="B1087" t="s">
        <v>37</v>
      </c>
      <c r="C1087" t="s">
        <v>16</v>
      </c>
      <c r="D1087" s="1">
        <v>39423</v>
      </c>
      <c r="E1087" s="2">
        <v>160000</v>
      </c>
      <c r="F1087" s="2">
        <v>140250</v>
      </c>
      <c r="G1087" t="s">
        <v>20</v>
      </c>
      <c r="H1087" s="2">
        <v>1251.58</v>
      </c>
      <c r="I1087" s="2">
        <v>139947.64000000001</v>
      </c>
      <c r="J1087">
        <v>0.10199999999999999</v>
      </c>
      <c r="K1087">
        <v>4</v>
      </c>
      <c r="L1087">
        <v>355</v>
      </c>
      <c r="M1087" t="str">
        <f t="shared" si="291"/>
        <v>30 Year Fixed</v>
      </c>
      <c r="N1087" s="2">
        <v>1189.55</v>
      </c>
      <c r="O1087" t="str">
        <f t="shared" si="288"/>
        <v>Refi</v>
      </c>
      <c r="P1087" s="3">
        <f t="shared" si="292"/>
        <v>0</v>
      </c>
      <c r="Q1087" s="4">
        <v>142047</v>
      </c>
      <c r="R1087" s="4" t="s">
        <v>41</v>
      </c>
      <c r="S1087" s="6">
        <v>583</v>
      </c>
      <c r="T1087">
        <v>7.375</v>
      </c>
      <c r="U1087" s="7">
        <f t="shared" si="289"/>
        <v>1040.2695769075904</v>
      </c>
      <c r="V1087" s="2">
        <f t="shared" si="293"/>
        <v>211.31042309240956</v>
      </c>
      <c r="W1087" s="9">
        <f t="shared" si="294"/>
        <v>0</v>
      </c>
      <c r="X1087" s="3">
        <v>142047</v>
      </c>
      <c r="Y1087" s="3">
        <f t="shared" si="295"/>
        <v>0.14325123152229935</v>
      </c>
      <c r="Z1087" s="7">
        <f t="shared" si="296"/>
        <v>1040.2695769075904</v>
      </c>
      <c r="AA1087" s="2">
        <f t="shared" si="290"/>
        <v>211.31042309240956</v>
      </c>
      <c r="AB1087" s="8">
        <f t="shared" si="297"/>
        <v>0</v>
      </c>
      <c r="AC1087" s="10">
        <v>7.375</v>
      </c>
      <c r="AD1087" s="7">
        <f t="shared" si="298"/>
        <v>1040.2695769075904</v>
      </c>
      <c r="AE1087" s="2">
        <f t="shared" si="299"/>
        <v>211.31042309240956</v>
      </c>
      <c r="AF1087" s="10">
        <v>0</v>
      </c>
      <c r="AG1087" s="3">
        <f t="shared" si="300"/>
        <v>0</v>
      </c>
      <c r="AH1087" s="7">
        <v>0</v>
      </c>
      <c r="AI1087">
        <f t="shared" si="301"/>
        <v>360</v>
      </c>
      <c r="AJ1087" t="e">
        <f>VLOOKUP(A1087,'Borrower Details'!$A$1:$H$1493,8,FALSE)</f>
        <v>#N/A</v>
      </c>
      <c r="AK1087" s="4" t="e">
        <f t="shared" si="302"/>
        <v>#N/A</v>
      </c>
      <c r="AL1087" s="10">
        <v>7.375</v>
      </c>
      <c r="AM1087" s="3">
        <f t="shared" si="303"/>
        <v>142046.85459999999</v>
      </c>
      <c r="AN1087">
        <v>7.375</v>
      </c>
      <c r="AO1087" s="7">
        <f t="shared" si="304"/>
        <v>1040.2685120825925</v>
      </c>
      <c r="AP1087" s="2">
        <f t="shared" si="305"/>
        <v>211.31148791740748</v>
      </c>
    </row>
    <row r="1088" spans="1:42" x14ac:dyDescent="0.15">
      <c r="A1088" s="8">
        <v>410062897</v>
      </c>
      <c r="B1088" t="s">
        <v>35</v>
      </c>
      <c r="C1088" t="s">
        <v>16</v>
      </c>
      <c r="D1088" s="1">
        <v>39190</v>
      </c>
      <c r="E1088" s="2">
        <v>170500</v>
      </c>
      <c r="F1088" s="2">
        <v>153450</v>
      </c>
      <c r="G1088" t="s">
        <v>15</v>
      </c>
      <c r="H1088" s="2">
        <v>1119.1099999999999</v>
      </c>
      <c r="I1088" s="2">
        <v>152930.67000000001</v>
      </c>
      <c r="J1088">
        <v>8.4500000000000006E-2</v>
      </c>
      <c r="K1088">
        <v>12</v>
      </c>
      <c r="L1088">
        <v>348</v>
      </c>
      <c r="M1088" t="str">
        <f t="shared" si="291"/>
        <v>30 Year Fixed</v>
      </c>
      <c r="N1088" s="2">
        <v>1076.8900000000001</v>
      </c>
      <c r="O1088" t="str">
        <f t="shared" si="288"/>
        <v>Refi</v>
      </c>
      <c r="P1088" s="3">
        <f t="shared" si="292"/>
        <v>0</v>
      </c>
      <c r="Q1088" s="4">
        <v>155225</v>
      </c>
      <c r="R1088" s="4" t="s">
        <v>41</v>
      </c>
      <c r="S1088" s="6">
        <v>580</v>
      </c>
      <c r="T1088">
        <v>7.375</v>
      </c>
      <c r="U1088" s="7">
        <f t="shared" si="289"/>
        <v>1136.7775811913009</v>
      </c>
      <c r="V1088" s="2">
        <f t="shared" si="293"/>
        <v>-17.667581191300997</v>
      </c>
      <c r="W1088" s="9">
        <f t="shared" si="294"/>
        <v>0</v>
      </c>
      <c r="X1088" s="3">
        <v>155225</v>
      </c>
      <c r="Y1088" s="3">
        <f t="shared" si="295"/>
        <v>0.36448275862494484</v>
      </c>
      <c r="Z1088" s="7">
        <f t="shared" si="296"/>
        <v>1136.7775811913009</v>
      </c>
      <c r="AA1088" s="2">
        <f t="shared" si="290"/>
        <v>-17.667581191300997</v>
      </c>
      <c r="AB1088" s="8">
        <f t="shared" si="297"/>
        <v>1</v>
      </c>
      <c r="AC1088" s="10">
        <v>6.625</v>
      </c>
      <c r="AD1088" s="7">
        <f t="shared" si="298"/>
        <v>1058.5997726621847</v>
      </c>
      <c r="AE1088" s="2">
        <f t="shared" si="299"/>
        <v>60.510227337815195</v>
      </c>
      <c r="AF1088" s="10">
        <v>1.875</v>
      </c>
      <c r="AG1088" s="3">
        <f t="shared" si="300"/>
        <v>2910.46875</v>
      </c>
      <c r="AH1088" s="7">
        <v>6483.2625000000007</v>
      </c>
      <c r="AI1088">
        <f t="shared" si="301"/>
        <v>360</v>
      </c>
      <c r="AJ1088" t="e">
        <f>VLOOKUP(A1088,'Borrower Details'!$A$1:$H$1493,8,FALSE)</f>
        <v>#N/A</v>
      </c>
      <c r="AK1088" s="4" t="e">
        <f t="shared" si="302"/>
        <v>#N/A</v>
      </c>
      <c r="AL1088" s="10">
        <v>7.375</v>
      </c>
      <c r="AM1088" s="3">
        <f t="shared" si="303"/>
        <v>155224.63005000001</v>
      </c>
      <c r="AN1088">
        <v>7.375</v>
      </c>
      <c r="AO1088" s="7">
        <f t="shared" si="304"/>
        <v>1136.7748718927592</v>
      </c>
      <c r="AP1088" s="2">
        <f t="shared" si="305"/>
        <v>-17.664871892759265</v>
      </c>
    </row>
    <row r="1089" spans="1:42" x14ac:dyDescent="0.15">
      <c r="A1089" s="8">
        <v>1184708</v>
      </c>
      <c r="B1089" t="s">
        <v>36</v>
      </c>
      <c r="C1089" t="s">
        <v>19</v>
      </c>
      <c r="D1089" s="1">
        <v>39181</v>
      </c>
      <c r="E1089" s="2">
        <v>165000</v>
      </c>
      <c r="F1089" s="2">
        <v>100000</v>
      </c>
      <c r="G1089" t="s">
        <v>17</v>
      </c>
      <c r="H1089" s="2">
        <v>570.51</v>
      </c>
      <c r="I1089" s="2">
        <v>99734.85</v>
      </c>
      <c r="J1089">
        <v>6.59E-2</v>
      </c>
      <c r="K1089">
        <v>12</v>
      </c>
      <c r="L1089">
        <v>348</v>
      </c>
      <c r="M1089" t="str">
        <f t="shared" si="291"/>
        <v>30 Year Fixed</v>
      </c>
      <c r="N1089" s="2">
        <v>547.71</v>
      </c>
      <c r="O1089" t="str">
        <f t="shared" si="288"/>
        <v>Cash Out</v>
      </c>
      <c r="P1089" s="3">
        <f t="shared" si="292"/>
        <v>38442.489901477849</v>
      </c>
      <c r="Q1089" s="4">
        <v>140250</v>
      </c>
      <c r="R1089" s="4" t="s">
        <v>41</v>
      </c>
      <c r="S1089" s="6">
        <v>635</v>
      </c>
      <c r="T1089">
        <v>6.75</v>
      </c>
      <c r="U1089" s="7">
        <f t="shared" si="289"/>
        <v>968.09633043691986</v>
      </c>
      <c r="V1089" s="2">
        <f t="shared" si="293"/>
        <v>-397.58633043691987</v>
      </c>
      <c r="W1089" s="9">
        <f t="shared" si="294"/>
        <v>1</v>
      </c>
      <c r="X1089" s="3">
        <v>101231</v>
      </c>
      <c r="Y1089" s="3">
        <f t="shared" si="295"/>
        <v>0.12536945812462363</v>
      </c>
      <c r="Z1089" s="7">
        <f t="shared" si="296"/>
        <v>698.76192247030178</v>
      </c>
      <c r="AA1089" s="2">
        <f t="shared" si="290"/>
        <v>-128.25192247030179</v>
      </c>
      <c r="AB1089" s="8">
        <f t="shared" si="297"/>
        <v>1</v>
      </c>
      <c r="AC1089" s="10">
        <v>6</v>
      </c>
      <c r="AD1089" s="7">
        <f t="shared" si="298"/>
        <v>649.11057545072276</v>
      </c>
      <c r="AE1089" s="2">
        <f t="shared" si="299"/>
        <v>-78.600575450722772</v>
      </c>
      <c r="AF1089" s="10">
        <v>2.75</v>
      </c>
      <c r="AG1089" s="3">
        <f t="shared" si="300"/>
        <v>2783.8525</v>
      </c>
      <c r="AH1089" s="7">
        <v>2000</v>
      </c>
      <c r="AI1089">
        <f t="shared" si="301"/>
        <v>360</v>
      </c>
      <c r="AJ1089" t="e">
        <f>VLOOKUP(A1089,'Borrower Details'!$A$1:$H$1493,8,FALSE)</f>
        <v>#N/A</v>
      </c>
      <c r="AK1089" s="4" t="e">
        <f t="shared" si="302"/>
        <v>#N/A</v>
      </c>
      <c r="AL1089" s="10">
        <v>6.75</v>
      </c>
      <c r="AM1089" s="3">
        <f t="shared" si="303"/>
        <v>101230.87274999999</v>
      </c>
      <c r="AN1089">
        <v>6.75</v>
      </c>
      <c r="AO1089" s="7">
        <f t="shared" si="304"/>
        <v>698.76104410839059</v>
      </c>
      <c r="AP1089" s="2">
        <f t="shared" si="305"/>
        <v>-128.2510441083906</v>
      </c>
    </row>
    <row r="1090" spans="1:42" x14ac:dyDescent="0.15">
      <c r="A1090" s="8">
        <v>411238405</v>
      </c>
      <c r="B1090" t="s">
        <v>36</v>
      </c>
      <c r="C1090" t="s">
        <v>16</v>
      </c>
      <c r="D1090" s="1">
        <v>39482</v>
      </c>
      <c r="E1090" s="2">
        <v>169000</v>
      </c>
      <c r="F1090" s="2">
        <v>120000</v>
      </c>
      <c r="G1090" t="s">
        <v>17</v>
      </c>
      <c r="H1090" s="2">
        <v>1002.99</v>
      </c>
      <c r="I1090" s="2">
        <v>119383.94</v>
      </c>
      <c r="J1090">
        <v>7.9899999999999999E-2</v>
      </c>
      <c r="K1090">
        <v>2</v>
      </c>
      <c r="L1090">
        <v>237</v>
      </c>
      <c r="M1090" t="str">
        <f t="shared" si="291"/>
        <v>30 Year Fixed</v>
      </c>
      <c r="N1090" s="2">
        <v>794.9</v>
      </c>
      <c r="O1090" t="str">
        <f t="shared" ref="O1090:O1153" si="306">IF((0.85*E1090)&gt;(I1090*1.015),"Cash Out","Refi")</f>
        <v>Cash Out</v>
      </c>
      <c r="P1090" s="3">
        <f t="shared" si="292"/>
        <v>22143.153596059128</v>
      </c>
      <c r="Q1090" s="4">
        <v>143650</v>
      </c>
      <c r="R1090" s="4" t="s">
        <v>41</v>
      </c>
      <c r="S1090" s="6">
        <v>641</v>
      </c>
      <c r="T1090">
        <v>6.75</v>
      </c>
      <c r="U1090" s="7">
        <f t="shared" ref="U1090:U1153" si="307">(Q1090*((T1090/1200)/(1-(1+(T1090/1200))^-AI1090)))+((Q1090*0.005)/12)</f>
        <v>991.56533238690577</v>
      </c>
      <c r="V1090" s="2">
        <f t="shared" si="293"/>
        <v>11.424667613094243</v>
      </c>
      <c r="W1090" s="9">
        <f t="shared" si="294"/>
        <v>0</v>
      </c>
      <c r="X1090" s="3">
        <v>143650</v>
      </c>
      <c r="Y1090" s="3">
        <f t="shared" si="295"/>
        <v>22143.153596059128</v>
      </c>
      <c r="Z1090" s="7">
        <f t="shared" si="296"/>
        <v>991.56533238690577</v>
      </c>
      <c r="AA1090" s="2">
        <f t="shared" ref="AA1090:AA1153" si="308">H1090-Z1090</f>
        <v>11.424667613094243</v>
      </c>
      <c r="AB1090" s="8">
        <f t="shared" si="297"/>
        <v>0</v>
      </c>
      <c r="AC1090" s="10">
        <v>6.75</v>
      </c>
      <c r="AD1090" s="7">
        <f t="shared" si="298"/>
        <v>991.56533238690577</v>
      </c>
      <c r="AE1090" s="2">
        <f t="shared" si="299"/>
        <v>11.424667613094243</v>
      </c>
      <c r="AF1090" s="10">
        <v>0</v>
      </c>
      <c r="AG1090" s="3">
        <f t="shared" si="300"/>
        <v>0</v>
      </c>
      <c r="AH1090" s="7">
        <v>2400</v>
      </c>
      <c r="AI1090">
        <f t="shared" si="301"/>
        <v>360</v>
      </c>
      <c r="AJ1090" t="e">
        <f>VLOOKUP(A1090,'Borrower Details'!$A$1:$H$1493,8,FALSE)</f>
        <v>#N/A</v>
      </c>
      <c r="AK1090" s="4" t="e">
        <f t="shared" si="302"/>
        <v>#N/A</v>
      </c>
      <c r="AL1090" s="10">
        <v>6.75</v>
      </c>
      <c r="AM1090" s="3">
        <f t="shared" si="303"/>
        <v>121174.69909999998</v>
      </c>
      <c r="AN1090">
        <v>6.75</v>
      </c>
      <c r="AO1090" s="7">
        <f t="shared" si="304"/>
        <v>836.42624984319377</v>
      </c>
      <c r="AP1090" s="2">
        <f t="shared" si="305"/>
        <v>166.56375015680624</v>
      </c>
    </row>
    <row r="1091" spans="1:42" x14ac:dyDescent="0.15">
      <c r="A1091" s="8">
        <v>1179584</v>
      </c>
      <c r="B1091" t="s">
        <v>36</v>
      </c>
      <c r="C1091" t="s">
        <v>19</v>
      </c>
      <c r="D1091" s="1">
        <v>39195</v>
      </c>
      <c r="E1091" s="2">
        <v>300000</v>
      </c>
      <c r="F1091" s="2">
        <v>255000</v>
      </c>
      <c r="G1091" t="s">
        <v>15</v>
      </c>
      <c r="H1091" s="2">
        <v>2172.15</v>
      </c>
      <c r="I1091" s="2">
        <v>253454.35</v>
      </c>
      <c r="J1091">
        <v>9.6500000000000002E-2</v>
      </c>
      <c r="K1091">
        <v>12</v>
      </c>
      <c r="L1091">
        <v>348</v>
      </c>
      <c r="M1091" t="str">
        <f t="shared" ref="M1091:M1154" si="309">(IF((L1091+K1091)&lt;180,"15 Year Fixed","30 Year Fixed"))</f>
        <v>30 Year Fixed</v>
      </c>
      <c r="N1091" s="2">
        <v>2038.2</v>
      </c>
      <c r="O1091" t="str">
        <f t="shared" si="306"/>
        <v>Refi</v>
      </c>
      <c r="P1091" s="3">
        <f t="shared" ref="P1091:P1154" si="310">IF((0.85*E1091)&gt;(I1091*1.015),((0.85*E1091)/1.015)-(I1091),0)</f>
        <v>0</v>
      </c>
      <c r="Q1091" s="4">
        <v>257256</v>
      </c>
      <c r="R1091" s="4" t="s">
        <v>41</v>
      </c>
      <c r="S1091" s="6">
        <v>529</v>
      </c>
      <c r="T1091">
        <v>7.625</v>
      </c>
      <c r="U1091" s="7">
        <f t="shared" si="307"/>
        <v>1928.0318801220835</v>
      </c>
      <c r="V1091" s="2">
        <f t="shared" ref="V1091:V1154" si="311">H1091-U1091</f>
        <v>244.11811987791657</v>
      </c>
      <c r="W1091" s="9">
        <f t="shared" ref="W1091:W1154" si="312">IF(AND(O1091="Cash Out",V1091&lt;0),1,0)</f>
        <v>0</v>
      </c>
      <c r="X1091" s="3">
        <v>257256</v>
      </c>
      <c r="Y1091" s="3">
        <f t="shared" ref="Y1091:Y1154" si="313">(X1091/1.015)-(I1091)</f>
        <v>-0.16280788174481131</v>
      </c>
      <c r="Z1091" s="7">
        <f t="shared" ref="Z1091:Z1154" si="314">(X1091*((AL1091/1200)/(1-(1+(AL1091/1200))^-AI1091)))+((X1091*0.005)/12)</f>
        <v>1928.0318801220835</v>
      </c>
      <c r="AA1091" s="2">
        <f t="shared" si="308"/>
        <v>244.11811987791657</v>
      </c>
      <c r="AB1091" s="8">
        <f t="shared" ref="AB1091:AB1154" si="315">IF(I1091=0,0,IF(AND(AH1091&gt;0,(AP1091/AO1091)&lt;0.07),1,IF(AND(AH1091=0,(AP1091/AO1091)&lt;0.1),1,0)))</f>
        <v>0</v>
      </c>
      <c r="AC1091" s="10">
        <v>7.625</v>
      </c>
      <c r="AD1091" s="7">
        <f t="shared" ref="AD1091:AD1154" si="316">(X1091*((AC1091/1200)/(1-(1+(AC1091/1200))^-AI1091)))+((X1091*0.005)/12)</f>
        <v>1928.0318801220835</v>
      </c>
      <c r="AE1091" s="2">
        <f t="shared" ref="AE1091:AE1154" si="317">H1091-AD1091</f>
        <v>244.11811987791657</v>
      </c>
      <c r="AF1091" s="10">
        <v>0</v>
      </c>
      <c r="AG1091" s="3">
        <f t="shared" ref="AG1091:AG1154" si="318">AF1091*X1091/100</f>
        <v>0</v>
      </c>
      <c r="AH1091" s="7">
        <v>5100</v>
      </c>
      <c r="AI1091">
        <f t="shared" ref="AI1091:AI1154" si="319">IF(M1091="30 Year Fixed",360,180)</f>
        <v>360</v>
      </c>
      <c r="AJ1091" t="e">
        <f>VLOOKUP(A1091,'Borrower Details'!$A$1:$H$1493,8,FALSE)</f>
        <v>#N/A</v>
      </c>
      <c r="AK1091" s="4" t="e">
        <f t="shared" ref="AK1091:AK1154" si="320">IF(AJ1091&gt;360,PV((J1091/12),AJ1091-AI1091,-H1091),"NA")</f>
        <v>#N/A</v>
      </c>
      <c r="AL1091" s="10">
        <v>7.625</v>
      </c>
      <c r="AM1091" s="3">
        <f t="shared" ref="AM1091:AM1154" si="321">I1091*1.015</f>
        <v>257256.16524999999</v>
      </c>
      <c r="AN1091">
        <v>7.625</v>
      </c>
      <c r="AO1091" s="7">
        <f t="shared" ref="AO1091:AO1154" si="322">(AM1091*((AN1091/1200)/(1-(1+(AN1091/1200))^-AI1091)))+((AM1091*0.005)/12)</f>
        <v>1928.0331186054159</v>
      </c>
      <c r="AP1091" s="2">
        <f t="shared" ref="AP1091:AP1154" si="323">H1091-AO1091</f>
        <v>244.1168813945842</v>
      </c>
    </row>
    <row r="1092" spans="1:42" x14ac:dyDescent="0.15">
      <c r="A1092" s="8">
        <v>1152167</v>
      </c>
      <c r="B1092" t="s">
        <v>35</v>
      </c>
      <c r="C1092" t="s">
        <v>16</v>
      </c>
      <c r="D1092" s="1">
        <v>39141</v>
      </c>
      <c r="E1092" s="2">
        <v>116000</v>
      </c>
      <c r="F1092" s="2">
        <v>110200</v>
      </c>
      <c r="G1092" t="s">
        <v>15</v>
      </c>
      <c r="H1092" s="2">
        <v>869.09</v>
      </c>
      <c r="I1092" s="2">
        <v>110088.9</v>
      </c>
      <c r="J1092">
        <v>9.375E-2</v>
      </c>
      <c r="K1092">
        <v>14</v>
      </c>
      <c r="L1092">
        <v>347</v>
      </c>
      <c r="M1092" t="str">
        <f t="shared" si="309"/>
        <v>30 Year Fixed</v>
      </c>
      <c r="N1092" s="2">
        <v>860.07</v>
      </c>
      <c r="O1092" t="str">
        <f t="shared" si="306"/>
        <v>Refi</v>
      </c>
      <c r="P1092" s="3">
        <f t="shared" si="310"/>
        <v>0</v>
      </c>
      <c r="Q1092" s="4">
        <v>111740</v>
      </c>
      <c r="R1092" s="4" t="s">
        <v>41</v>
      </c>
      <c r="S1092" s="6">
        <v>574</v>
      </c>
      <c r="T1092">
        <v>7.625</v>
      </c>
      <c r="U1092" s="7">
        <f t="shared" si="307"/>
        <v>837.44706551000399</v>
      </c>
      <c r="V1092" s="2">
        <f t="shared" si="311"/>
        <v>31.642934489996037</v>
      </c>
      <c r="W1092" s="9">
        <f t="shared" si="312"/>
        <v>0</v>
      </c>
      <c r="X1092" s="3">
        <v>111740</v>
      </c>
      <c r="Y1092" s="3">
        <f t="shared" si="313"/>
        <v>-0.23004926106659696</v>
      </c>
      <c r="Z1092" s="7">
        <f t="shared" si="314"/>
        <v>837.44706551000399</v>
      </c>
      <c r="AA1092" s="2">
        <f t="shared" si="308"/>
        <v>31.642934489996037</v>
      </c>
      <c r="AB1092" s="8">
        <f t="shared" si="315"/>
        <v>1</v>
      </c>
      <c r="AC1092" s="10">
        <v>6.875</v>
      </c>
      <c r="AD1092" s="7">
        <f t="shared" si="316"/>
        <v>780.61058973435524</v>
      </c>
      <c r="AE1092" s="2">
        <f t="shared" si="317"/>
        <v>88.479410265644788</v>
      </c>
      <c r="AF1092" s="10">
        <v>1</v>
      </c>
      <c r="AG1092" s="3">
        <f t="shared" si="318"/>
        <v>1117.4000000000001</v>
      </c>
      <c r="AH1092" s="7">
        <v>5165.625</v>
      </c>
      <c r="AI1092">
        <f t="shared" si="319"/>
        <v>360</v>
      </c>
      <c r="AJ1092" t="e">
        <f>VLOOKUP(A1092,'Borrower Details'!$A$1:$H$1493,8,FALSE)</f>
        <v>#N/A</v>
      </c>
      <c r="AK1092" s="4" t="e">
        <f t="shared" si="320"/>
        <v>#N/A</v>
      </c>
      <c r="AL1092" s="10">
        <v>7.625</v>
      </c>
      <c r="AM1092" s="3">
        <f t="shared" si="321"/>
        <v>111740.23349999999</v>
      </c>
      <c r="AN1092">
        <v>7.625</v>
      </c>
      <c r="AO1092" s="7">
        <f t="shared" si="322"/>
        <v>837.44881550006835</v>
      </c>
      <c r="AP1092" s="2">
        <f t="shared" si="323"/>
        <v>31.641184499931683</v>
      </c>
    </row>
    <row r="1093" spans="1:42" x14ac:dyDescent="0.15">
      <c r="A1093" s="8">
        <v>1168961</v>
      </c>
      <c r="B1093" t="s">
        <v>35</v>
      </c>
      <c r="C1093" t="s">
        <v>16</v>
      </c>
      <c r="D1093" s="1">
        <v>39150</v>
      </c>
      <c r="E1093" s="2">
        <v>100000</v>
      </c>
      <c r="F1093" s="2">
        <v>93100</v>
      </c>
      <c r="G1093" t="s">
        <v>17</v>
      </c>
      <c r="H1093" s="2">
        <v>876.08</v>
      </c>
      <c r="I1093" s="2">
        <v>92629.09</v>
      </c>
      <c r="J1093">
        <v>0.1085</v>
      </c>
      <c r="K1093">
        <v>13</v>
      </c>
      <c r="L1093">
        <v>347</v>
      </c>
      <c r="M1093" t="str">
        <f t="shared" si="309"/>
        <v>30 Year Fixed</v>
      </c>
      <c r="N1093" s="2">
        <v>837.52</v>
      </c>
      <c r="O1093" t="str">
        <f t="shared" si="306"/>
        <v>Refi</v>
      </c>
      <c r="P1093" s="3">
        <f t="shared" si="310"/>
        <v>0</v>
      </c>
      <c r="Q1093" s="4">
        <v>94019</v>
      </c>
      <c r="R1093" s="4" t="s">
        <v>41</v>
      </c>
      <c r="S1093" s="6">
        <v>572</v>
      </c>
      <c r="T1093">
        <v>7.625</v>
      </c>
      <c r="U1093" s="7">
        <f t="shared" si="307"/>
        <v>704.63518571849886</v>
      </c>
      <c r="V1093" s="2">
        <f t="shared" si="311"/>
        <v>171.44481428150118</v>
      </c>
      <c r="W1093" s="9">
        <f t="shared" si="312"/>
        <v>0</v>
      </c>
      <c r="X1093" s="3">
        <v>94019</v>
      </c>
      <c r="Y1093" s="3">
        <f t="shared" si="313"/>
        <v>0.46665024632238783</v>
      </c>
      <c r="Z1093" s="7">
        <f t="shared" si="314"/>
        <v>704.63518571849886</v>
      </c>
      <c r="AA1093" s="2">
        <f t="shared" si="308"/>
        <v>171.44481428150118</v>
      </c>
      <c r="AB1093" s="8">
        <f t="shared" si="315"/>
        <v>0</v>
      </c>
      <c r="AC1093" s="10">
        <v>7.625</v>
      </c>
      <c r="AD1093" s="7">
        <f t="shared" si="316"/>
        <v>704.63518571849886</v>
      </c>
      <c r="AE1093" s="2">
        <f t="shared" si="317"/>
        <v>171.44481428150118</v>
      </c>
      <c r="AF1093" s="10">
        <v>0</v>
      </c>
      <c r="AG1093" s="3">
        <f t="shared" si="318"/>
        <v>0</v>
      </c>
      <c r="AH1093" s="7">
        <v>5050.6750000000002</v>
      </c>
      <c r="AI1093">
        <f t="shared" si="319"/>
        <v>360</v>
      </c>
      <c r="AJ1093" t="e">
        <f>VLOOKUP(A1093,'Borrower Details'!$A$1:$H$1493,8,FALSE)</f>
        <v>#N/A</v>
      </c>
      <c r="AK1093" s="4" t="e">
        <f t="shared" si="320"/>
        <v>#N/A</v>
      </c>
      <c r="AL1093" s="10">
        <v>7.625</v>
      </c>
      <c r="AM1093" s="3">
        <f t="shared" si="321"/>
        <v>94018.526349999986</v>
      </c>
      <c r="AN1093">
        <v>7.625</v>
      </c>
      <c r="AO1093" s="7">
        <f t="shared" si="322"/>
        <v>704.63163589925261</v>
      </c>
      <c r="AP1093" s="2">
        <f t="shared" si="323"/>
        <v>171.44836410074743</v>
      </c>
    </row>
    <row r="1094" spans="1:42" x14ac:dyDescent="0.15">
      <c r="A1094" s="8">
        <v>410017495</v>
      </c>
      <c r="B1094" t="s">
        <v>36</v>
      </c>
      <c r="C1094" t="s">
        <v>19</v>
      </c>
      <c r="D1094" s="1">
        <v>39196</v>
      </c>
      <c r="E1094" s="2">
        <v>305000</v>
      </c>
      <c r="F1094" s="2">
        <v>227000</v>
      </c>
      <c r="G1094" t="s">
        <v>17</v>
      </c>
      <c r="H1094" s="2">
        <v>1742.26</v>
      </c>
      <c r="I1094" s="2">
        <v>226374.12</v>
      </c>
      <c r="J1094">
        <v>8.9499999999999996E-2</v>
      </c>
      <c r="K1094">
        <v>12</v>
      </c>
      <c r="L1094">
        <v>348</v>
      </c>
      <c r="M1094" t="str">
        <f t="shared" si="309"/>
        <v>30 Year Fixed</v>
      </c>
      <c r="N1094" s="2">
        <v>1688.37</v>
      </c>
      <c r="O1094" t="str">
        <f t="shared" si="306"/>
        <v>Cash Out</v>
      </c>
      <c r="P1094" s="3">
        <f t="shared" si="310"/>
        <v>29044.5992118227</v>
      </c>
      <c r="Q1094" s="4">
        <v>259250</v>
      </c>
      <c r="R1094" s="4" t="s">
        <v>41</v>
      </c>
      <c r="S1094" s="6">
        <v>544</v>
      </c>
      <c r="T1094">
        <v>7.625</v>
      </c>
      <c r="U1094" s="7">
        <f t="shared" si="307"/>
        <v>1942.976120757728</v>
      </c>
      <c r="V1094" s="2">
        <f t="shared" si="311"/>
        <v>-200.71612075772805</v>
      </c>
      <c r="W1094" s="9">
        <f t="shared" si="312"/>
        <v>1</v>
      </c>
      <c r="X1094" s="3">
        <v>232400</v>
      </c>
      <c r="Y1094" s="3">
        <f t="shared" si="313"/>
        <v>2591.3972413793381</v>
      </c>
      <c r="Z1094" s="7">
        <f t="shared" si="314"/>
        <v>1741.7459998615082</v>
      </c>
      <c r="AA1094" s="2">
        <f t="shared" si="308"/>
        <v>0.51400013849183779</v>
      </c>
      <c r="AB1094" s="8">
        <f t="shared" si="315"/>
        <v>1</v>
      </c>
      <c r="AC1094" s="10">
        <v>6.875</v>
      </c>
      <c r="AD1094" s="7">
        <f t="shared" si="316"/>
        <v>1623.5358963152332</v>
      </c>
      <c r="AE1094" s="2">
        <f t="shared" si="317"/>
        <v>118.72410368476676</v>
      </c>
      <c r="AF1094" s="10">
        <v>1</v>
      </c>
      <c r="AG1094" s="3">
        <f t="shared" si="318"/>
        <v>2324</v>
      </c>
      <c r="AH1094" s="7">
        <v>4540</v>
      </c>
      <c r="AI1094">
        <f t="shared" si="319"/>
        <v>360</v>
      </c>
      <c r="AJ1094" t="e">
        <f>VLOOKUP(A1094,'Borrower Details'!$A$1:$H$1493,8,FALSE)</f>
        <v>#N/A</v>
      </c>
      <c r="AK1094" s="4" t="e">
        <f t="shared" si="320"/>
        <v>#N/A</v>
      </c>
      <c r="AL1094" s="10">
        <v>7.625</v>
      </c>
      <c r="AM1094" s="3">
        <f t="shared" si="321"/>
        <v>229769.73179999998</v>
      </c>
      <c r="AN1094">
        <v>7.625</v>
      </c>
      <c r="AO1094" s="7">
        <f t="shared" si="322"/>
        <v>1722.0331809462202</v>
      </c>
      <c r="AP1094" s="2">
        <f t="shared" si="323"/>
        <v>20.226819053779764</v>
      </c>
    </row>
    <row r="1095" spans="1:42" x14ac:dyDescent="0.15">
      <c r="A1095" s="8">
        <v>410091979</v>
      </c>
      <c r="B1095" t="s">
        <v>38</v>
      </c>
      <c r="C1095" t="s">
        <v>19</v>
      </c>
      <c r="D1095" s="1">
        <v>39202</v>
      </c>
      <c r="E1095" s="2">
        <v>102900</v>
      </c>
      <c r="F1095" s="2">
        <v>97755</v>
      </c>
      <c r="G1095" t="s">
        <v>15</v>
      </c>
      <c r="H1095" s="2">
        <v>800.5</v>
      </c>
      <c r="I1095" s="2">
        <v>97640.67</v>
      </c>
      <c r="J1095">
        <v>9.7500000000000003E-2</v>
      </c>
      <c r="K1095">
        <v>12</v>
      </c>
      <c r="L1095">
        <v>349</v>
      </c>
      <c r="M1095" t="str">
        <f t="shared" si="309"/>
        <v>30 Year Fixed</v>
      </c>
      <c r="N1095" s="2">
        <v>793.33</v>
      </c>
      <c r="O1095" t="str">
        <f t="shared" si="306"/>
        <v>Refi</v>
      </c>
      <c r="P1095" s="3">
        <f t="shared" si="310"/>
        <v>0</v>
      </c>
      <c r="Q1095" s="4">
        <v>99105</v>
      </c>
      <c r="R1095" s="4" t="s">
        <v>41</v>
      </c>
      <c r="S1095" s="6">
        <v>619</v>
      </c>
      <c r="T1095">
        <v>7</v>
      </c>
      <c r="U1095" s="7">
        <f t="shared" si="307"/>
        <v>700.64178784732894</v>
      </c>
      <c r="V1095" s="2">
        <f t="shared" si="311"/>
        <v>99.858212152671058</v>
      </c>
      <c r="W1095" s="9">
        <f t="shared" si="312"/>
        <v>0</v>
      </c>
      <c r="X1095" s="3">
        <v>99106</v>
      </c>
      <c r="Y1095" s="3">
        <f t="shared" si="313"/>
        <v>0.70931034484237898</v>
      </c>
      <c r="Z1095" s="7">
        <f t="shared" si="314"/>
        <v>700.64885753894748</v>
      </c>
      <c r="AA1095" s="2">
        <f t="shared" si="308"/>
        <v>99.851142461052518</v>
      </c>
      <c r="AB1095" s="8">
        <f t="shared" si="315"/>
        <v>0</v>
      </c>
      <c r="AC1095" s="10">
        <v>7</v>
      </c>
      <c r="AD1095" s="7">
        <f t="shared" si="316"/>
        <v>700.64885753894748</v>
      </c>
      <c r="AE1095" s="2">
        <f t="shared" si="317"/>
        <v>99.851142461052518</v>
      </c>
      <c r="AF1095" s="10">
        <v>0</v>
      </c>
      <c r="AG1095" s="3">
        <f t="shared" si="318"/>
        <v>0</v>
      </c>
      <c r="AH1095" s="7">
        <v>0</v>
      </c>
      <c r="AI1095">
        <f t="shared" si="319"/>
        <v>360</v>
      </c>
      <c r="AJ1095" t="e">
        <f>VLOOKUP(A1095,'Borrower Details'!$A$1:$H$1493,8,FALSE)</f>
        <v>#N/A</v>
      </c>
      <c r="AK1095" s="4" t="e">
        <f t="shared" si="320"/>
        <v>#N/A</v>
      </c>
      <c r="AL1095" s="10">
        <v>7</v>
      </c>
      <c r="AM1095" s="3">
        <f t="shared" si="321"/>
        <v>99105.280049999987</v>
      </c>
      <c r="AN1095">
        <v>7</v>
      </c>
      <c r="AO1095" s="7">
        <f t="shared" si="322"/>
        <v>700.64376771446655</v>
      </c>
      <c r="AP1095" s="2">
        <f t="shared" si="323"/>
        <v>99.856232285533451</v>
      </c>
    </row>
    <row r="1096" spans="1:42" x14ac:dyDescent="0.15">
      <c r="A1096" s="8">
        <v>1153947</v>
      </c>
      <c r="B1096" t="s">
        <v>35</v>
      </c>
      <c r="C1096" t="s">
        <v>16</v>
      </c>
      <c r="D1096" s="1">
        <v>39153</v>
      </c>
      <c r="E1096" s="2">
        <v>138000</v>
      </c>
      <c r="F1096" s="2">
        <v>124200</v>
      </c>
      <c r="G1096" t="s">
        <v>17</v>
      </c>
      <c r="H1096" s="2">
        <v>776.88</v>
      </c>
      <c r="I1096" s="2">
        <v>122540.52</v>
      </c>
      <c r="J1096">
        <v>6.4000000000000001E-2</v>
      </c>
      <c r="K1096">
        <v>13</v>
      </c>
      <c r="L1096">
        <v>346</v>
      </c>
      <c r="M1096" t="str">
        <f t="shared" si="309"/>
        <v>30 Year Fixed</v>
      </c>
      <c r="N1096" s="2">
        <v>653.54999999999995</v>
      </c>
      <c r="O1096" t="str">
        <f t="shared" si="306"/>
        <v>Refi</v>
      </c>
      <c r="P1096" s="3">
        <f t="shared" si="310"/>
        <v>0</v>
      </c>
      <c r="Q1096" s="4">
        <v>124379</v>
      </c>
      <c r="R1096" s="4" t="s">
        <v>41</v>
      </c>
      <c r="S1096" s="6">
        <v>726</v>
      </c>
      <c r="T1096">
        <v>6.75</v>
      </c>
      <c r="U1096" s="7">
        <f t="shared" si="307"/>
        <v>858.54440986391194</v>
      </c>
      <c r="V1096" s="2">
        <f t="shared" si="311"/>
        <v>-81.664409863911942</v>
      </c>
      <c r="W1096" s="9">
        <f t="shared" si="312"/>
        <v>0</v>
      </c>
      <c r="X1096" s="3">
        <v>124379</v>
      </c>
      <c r="Y1096" s="3">
        <f t="shared" si="313"/>
        <v>0.36669950740179047</v>
      </c>
      <c r="Z1096" s="7">
        <f t="shared" si="314"/>
        <v>858.54440986391194</v>
      </c>
      <c r="AA1096" s="2">
        <f t="shared" si="308"/>
        <v>-81.664409863911942</v>
      </c>
      <c r="AB1096" s="8">
        <f t="shared" si="315"/>
        <v>1</v>
      </c>
      <c r="AC1096" s="10">
        <v>6.125</v>
      </c>
      <c r="AD1096" s="7">
        <f t="shared" si="316"/>
        <v>807.5644963583992</v>
      </c>
      <c r="AE1096" s="2">
        <f t="shared" si="317"/>
        <v>-30.684496358399201</v>
      </c>
      <c r="AF1096" s="10">
        <v>3</v>
      </c>
      <c r="AG1096" s="3">
        <f t="shared" si="318"/>
        <v>3731.37</v>
      </c>
      <c r="AH1096" s="7">
        <v>3974.4</v>
      </c>
      <c r="AI1096">
        <f t="shared" si="319"/>
        <v>360</v>
      </c>
      <c r="AJ1096" t="e">
        <f>VLOOKUP(A1096,'Borrower Details'!$A$1:$H$1493,8,FALSE)</f>
        <v>#N/A</v>
      </c>
      <c r="AK1096" s="4" t="e">
        <f t="shared" si="320"/>
        <v>#N/A</v>
      </c>
      <c r="AL1096" s="10">
        <v>6.75</v>
      </c>
      <c r="AM1096" s="3">
        <f t="shared" si="321"/>
        <v>124378.62779999999</v>
      </c>
      <c r="AN1096">
        <v>6.75</v>
      </c>
      <c r="AO1096" s="7">
        <f t="shared" si="322"/>
        <v>858.54184069846315</v>
      </c>
      <c r="AP1096" s="2">
        <f t="shared" si="323"/>
        <v>-81.661840698463152</v>
      </c>
    </row>
    <row r="1097" spans="1:42" x14ac:dyDescent="0.15">
      <c r="A1097" s="8">
        <v>1148022</v>
      </c>
      <c r="B1097" t="s">
        <v>35</v>
      </c>
      <c r="C1097" t="s">
        <v>16</v>
      </c>
      <c r="D1097" s="1">
        <v>39141</v>
      </c>
      <c r="E1097" s="2">
        <v>90000</v>
      </c>
      <c r="F1097" s="2">
        <v>81000</v>
      </c>
      <c r="G1097" t="s">
        <v>15</v>
      </c>
      <c r="H1097" s="2">
        <v>604.74</v>
      </c>
      <c r="I1097" s="2">
        <v>80891.820000000007</v>
      </c>
      <c r="J1097">
        <v>8.8499999999999995E-2</v>
      </c>
      <c r="K1097">
        <v>14</v>
      </c>
      <c r="L1097">
        <v>346</v>
      </c>
      <c r="M1097" t="str">
        <f t="shared" si="309"/>
        <v>30 Year Fixed</v>
      </c>
      <c r="N1097" s="2">
        <v>596.58000000000004</v>
      </c>
      <c r="O1097" t="str">
        <f t="shared" si="306"/>
        <v>Refi</v>
      </c>
      <c r="P1097" s="3">
        <f t="shared" si="310"/>
        <v>0</v>
      </c>
      <c r="Q1097" s="4">
        <v>82105</v>
      </c>
      <c r="R1097" s="4" t="s">
        <v>41</v>
      </c>
      <c r="S1097" s="6">
        <v>602</v>
      </c>
      <c r="T1097">
        <v>7</v>
      </c>
      <c r="U1097" s="7">
        <f t="shared" si="307"/>
        <v>580.45703033353459</v>
      </c>
      <c r="V1097" s="2">
        <f t="shared" si="311"/>
        <v>24.282969666465419</v>
      </c>
      <c r="W1097" s="9">
        <f t="shared" si="312"/>
        <v>0</v>
      </c>
      <c r="X1097" s="3">
        <v>82105</v>
      </c>
      <c r="Y1097" s="3">
        <f t="shared" si="313"/>
        <v>-0.19438423645624425</v>
      </c>
      <c r="Z1097" s="7">
        <f t="shared" si="314"/>
        <v>580.45703033353459</v>
      </c>
      <c r="AA1097" s="2">
        <f t="shared" si="308"/>
        <v>24.282969666465419</v>
      </c>
      <c r="AB1097" s="8">
        <f t="shared" si="315"/>
        <v>1</v>
      </c>
      <c r="AC1097" s="10">
        <v>6.25</v>
      </c>
      <c r="AD1097" s="7">
        <f t="shared" si="316"/>
        <v>539.74502407675709</v>
      </c>
      <c r="AE1097" s="2">
        <f t="shared" si="317"/>
        <v>64.994975923242919</v>
      </c>
      <c r="AF1097" s="10">
        <v>2.75</v>
      </c>
      <c r="AG1097" s="3">
        <f t="shared" si="318"/>
        <v>2257.8874999999998</v>
      </c>
      <c r="AH1097" s="7">
        <v>3584.25</v>
      </c>
      <c r="AI1097">
        <f t="shared" si="319"/>
        <v>360</v>
      </c>
      <c r="AJ1097" t="e">
        <f>VLOOKUP(A1097,'Borrower Details'!$A$1:$H$1493,8,FALSE)</f>
        <v>#N/A</v>
      </c>
      <c r="AK1097" s="4" t="e">
        <f t="shared" si="320"/>
        <v>#N/A</v>
      </c>
      <c r="AL1097" s="10">
        <v>7</v>
      </c>
      <c r="AM1097" s="3">
        <f t="shared" si="321"/>
        <v>82105.1973</v>
      </c>
      <c r="AN1097">
        <v>7</v>
      </c>
      <c r="AO1097" s="7">
        <f t="shared" si="322"/>
        <v>580.45842518369091</v>
      </c>
      <c r="AP1097" s="2">
        <f t="shared" si="323"/>
        <v>24.281574816309103</v>
      </c>
    </row>
    <row r="1098" spans="1:42" x14ac:dyDescent="0.15">
      <c r="A1098" s="8">
        <v>1155113</v>
      </c>
      <c r="B1098" t="s">
        <v>36</v>
      </c>
      <c r="C1098" t="s">
        <v>19</v>
      </c>
      <c r="D1098" s="1">
        <v>39148</v>
      </c>
      <c r="E1098" s="2">
        <v>367000</v>
      </c>
      <c r="F1098" s="2">
        <v>330300</v>
      </c>
      <c r="G1098" t="s">
        <v>15</v>
      </c>
      <c r="H1098" s="2">
        <v>2275.6799999999998</v>
      </c>
      <c r="I1098" s="2">
        <v>326817.52</v>
      </c>
      <c r="J1098">
        <v>7.3499999999999996E-2</v>
      </c>
      <c r="K1098">
        <v>13</v>
      </c>
      <c r="L1098">
        <v>347</v>
      </c>
      <c r="M1098" t="str">
        <f t="shared" si="309"/>
        <v>30 Year Fixed</v>
      </c>
      <c r="N1098" s="2">
        <v>2001.76</v>
      </c>
      <c r="O1098" t="str">
        <f t="shared" si="306"/>
        <v>Refi</v>
      </c>
      <c r="P1098" s="3">
        <f t="shared" si="310"/>
        <v>0</v>
      </c>
      <c r="Q1098" s="4">
        <v>331720</v>
      </c>
      <c r="R1098" s="4" t="s">
        <v>41</v>
      </c>
      <c r="S1098" s="6">
        <v>626</v>
      </c>
      <c r="T1098">
        <v>6.75</v>
      </c>
      <c r="U1098" s="7">
        <f t="shared" si="307"/>
        <v>2289.7462726027456</v>
      </c>
      <c r="V1098" s="2">
        <f t="shared" si="311"/>
        <v>-14.066272602745812</v>
      </c>
      <c r="W1098" s="9">
        <f t="shared" si="312"/>
        <v>0</v>
      </c>
      <c r="X1098" s="3">
        <v>331720</v>
      </c>
      <c r="Y1098" s="3">
        <f t="shared" si="313"/>
        <v>0.21399014780763537</v>
      </c>
      <c r="Z1098" s="7">
        <f t="shared" si="314"/>
        <v>2289.7462726027456</v>
      </c>
      <c r="AA1098" s="2">
        <f t="shared" si="308"/>
        <v>-14.066272602745812</v>
      </c>
      <c r="AB1098" s="8">
        <f t="shared" si="315"/>
        <v>1</v>
      </c>
      <c r="AC1098" s="10">
        <v>6.125</v>
      </c>
      <c r="AD1098" s="7">
        <f t="shared" si="316"/>
        <v>2153.78234856373</v>
      </c>
      <c r="AE1098" s="2">
        <f t="shared" si="317"/>
        <v>121.89765143626983</v>
      </c>
      <c r="AF1098" s="10">
        <v>3</v>
      </c>
      <c r="AG1098" s="3">
        <f t="shared" si="318"/>
        <v>9951.6</v>
      </c>
      <c r="AH1098" s="7">
        <v>6606</v>
      </c>
      <c r="AI1098">
        <f t="shared" si="319"/>
        <v>360</v>
      </c>
      <c r="AJ1098" t="e">
        <f>VLOOKUP(A1098,'Borrower Details'!$A$1:$H$1493,8,FALSE)</f>
        <v>#N/A</v>
      </c>
      <c r="AK1098" s="4" t="e">
        <f t="shared" si="320"/>
        <v>#N/A</v>
      </c>
      <c r="AL1098" s="10">
        <v>6.75</v>
      </c>
      <c r="AM1098" s="3">
        <f t="shared" si="321"/>
        <v>331719.78279999999</v>
      </c>
      <c r="AN1098">
        <v>6.75</v>
      </c>
      <c r="AO1098" s="7">
        <f t="shared" si="322"/>
        <v>2289.7447733476797</v>
      </c>
      <c r="AP1098" s="2">
        <f t="shared" si="323"/>
        <v>-14.064773347679875</v>
      </c>
    </row>
    <row r="1099" spans="1:42" x14ac:dyDescent="0.15">
      <c r="A1099" s="8">
        <v>1157399</v>
      </c>
      <c r="B1099" t="s">
        <v>35</v>
      </c>
      <c r="C1099" t="s">
        <v>16</v>
      </c>
      <c r="D1099" s="1">
        <v>39146</v>
      </c>
      <c r="E1099" s="2">
        <v>78000</v>
      </c>
      <c r="F1099" s="2">
        <v>70200</v>
      </c>
      <c r="G1099" t="s">
        <v>17</v>
      </c>
      <c r="H1099" s="2">
        <v>610.88</v>
      </c>
      <c r="I1099" s="2">
        <v>69766.45</v>
      </c>
      <c r="J1099">
        <v>9.9000000000000005E-2</v>
      </c>
      <c r="K1099">
        <v>13</v>
      </c>
      <c r="L1099">
        <v>347</v>
      </c>
      <c r="M1099" t="str">
        <f t="shared" si="309"/>
        <v>30 Year Fixed</v>
      </c>
      <c r="N1099" s="2">
        <v>575.57000000000005</v>
      </c>
      <c r="O1099" t="str">
        <f t="shared" si="306"/>
        <v>Refi</v>
      </c>
      <c r="P1099" s="3">
        <f t="shared" si="310"/>
        <v>0</v>
      </c>
      <c r="Q1099" s="4">
        <v>70813</v>
      </c>
      <c r="R1099" s="4" t="s">
        <v>41</v>
      </c>
      <c r="S1099" s="6">
        <v>611</v>
      </c>
      <c r="T1099">
        <v>7</v>
      </c>
      <c r="U1099" s="7">
        <f t="shared" si="307"/>
        <v>500.62607257790131</v>
      </c>
      <c r="V1099" s="2">
        <f t="shared" si="311"/>
        <v>110.25392742209868</v>
      </c>
      <c r="W1099" s="9">
        <f t="shared" si="312"/>
        <v>0</v>
      </c>
      <c r="X1099" s="3">
        <v>70813</v>
      </c>
      <c r="Y1099" s="3">
        <f t="shared" si="313"/>
        <v>5.2463054191321135E-2</v>
      </c>
      <c r="Z1099" s="7">
        <f t="shared" si="314"/>
        <v>500.62607257790131</v>
      </c>
      <c r="AA1099" s="2">
        <f t="shared" si="308"/>
        <v>110.25392742209868</v>
      </c>
      <c r="AB1099" s="8">
        <f t="shared" si="315"/>
        <v>0</v>
      </c>
      <c r="AC1099" s="10">
        <v>7</v>
      </c>
      <c r="AD1099" s="7">
        <f t="shared" si="316"/>
        <v>500.62607257790131</v>
      </c>
      <c r="AE1099" s="2">
        <f t="shared" si="317"/>
        <v>110.25392742209868</v>
      </c>
      <c r="AF1099" s="10">
        <v>0</v>
      </c>
      <c r="AG1099" s="3">
        <f t="shared" si="318"/>
        <v>0</v>
      </c>
      <c r="AH1099" s="7">
        <v>3474.9</v>
      </c>
      <c r="AI1099">
        <f t="shared" si="319"/>
        <v>360</v>
      </c>
      <c r="AJ1099" t="e">
        <f>VLOOKUP(A1099,'Borrower Details'!$A$1:$H$1493,8,FALSE)</f>
        <v>#N/A</v>
      </c>
      <c r="AK1099" s="4" t="e">
        <f t="shared" si="320"/>
        <v>#N/A</v>
      </c>
      <c r="AL1099" s="10">
        <v>7</v>
      </c>
      <c r="AM1099" s="3">
        <f t="shared" si="321"/>
        <v>70812.946749999988</v>
      </c>
      <c r="AN1099">
        <v>7</v>
      </c>
      <c r="AO1099" s="7">
        <f t="shared" si="322"/>
        <v>500.6256961168225</v>
      </c>
      <c r="AP1099" s="2">
        <f t="shared" si="323"/>
        <v>110.2543038831775</v>
      </c>
    </row>
    <row r="1100" spans="1:42" x14ac:dyDescent="0.15">
      <c r="A1100" s="8">
        <v>1186175</v>
      </c>
      <c r="B1100" t="s">
        <v>36</v>
      </c>
      <c r="C1100" t="s">
        <v>19</v>
      </c>
      <c r="D1100" s="1">
        <v>39176</v>
      </c>
      <c r="E1100" s="2">
        <v>535000</v>
      </c>
      <c r="F1100" s="2">
        <v>425000</v>
      </c>
      <c r="G1100" t="s">
        <v>17</v>
      </c>
      <c r="H1100" s="2">
        <v>2870.48</v>
      </c>
      <c r="I1100" s="2">
        <v>420806.07</v>
      </c>
      <c r="J1100">
        <v>7.1499999999999994E-2</v>
      </c>
      <c r="K1100">
        <v>12</v>
      </c>
      <c r="L1100">
        <v>348</v>
      </c>
      <c r="M1100" t="str">
        <f t="shared" si="309"/>
        <v>30 Year Fixed</v>
      </c>
      <c r="N1100" s="2">
        <v>2507.3000000000002</v>
      </c>
      <c r="O1100" t="str">
        <f t="shared" si="306"/>
        <v>Cash Out</v>
      </c>
      <c r="P1100" s="3">
        <f t="shared" si="310"/>
        <v>27223.48665024637</v>
      </c>
      <c r="Q1100" s="4">
        <v>454750</v>
      </c>
      <c r="R1100" s="4" t="s">
        <v>41</v>
      </c>
      <c r="S1100" s="6">
        <v>650</v>
      </c>
      <c r="T1100">
        <v>7.375</v>
      </c>
      <c r="U1100" s="7">
        <f t="shared" si="307"/>
        <v>3330.32440036556</v>
      </c>
      <c r="V1100" s="2">
        <f t="shared" si="311"/>
        <v>-459.84440036555998</v>
      </c>
      <c r="W1100" s="9">
        <f t="shared" si="312"/>
        <v>1</v>
      </c>
      <c r="X1100" s="3">
        <v>427118</v>
      </c>
      <c r="Y1100" s="3">
        <f t="shared" si="313"/>
        <v>-0.15866995073156431</v>
      </c>
      <c r="Z1100" s="7">
        <f t="shared" si="314"/>
        <v>3127.9637102481306</v>
      </c>
      <c r="AA1100" s="2">
        <f t="shared" si="308"/>
        <v>-257.48371024813059</v>
      </c>
      <c r="AB1100" s="8">
        <f t="shared" si="315"/>
        <v>1</v>
      </c>
      <c r="AC1100" s="10">
        <v>6.625</v>
      </c>
      <c r="AD1100" s="7">
        <f t="shared" si="316"/>
        <v>2912.8492040581541</v>
      </c>
      <c r="AE1100" s="2">
        <f t="shared" si="317"/>
        <v>-42.369204058154082</v>
      </c>
      <c r="AF1100" s="10">
        <v>1.875</v>
      </c>
      <c r="AG1100" s="3">
        <f t="shared" si="318"/>
        <v>8008.4624999999996</v>
      </c>
      <c r="AH1100" s="7">
        <v>8500</v>
      </c>
      <c r="AI1100">
        <f t="shared" si="319"/>
        <v>360</v>
      </c>
      <c r="AJ1100" t="e">
        <f>VLOOKUP(A1100,'Borrower Details'!$A$1:$H$1493,8,FALSE)</f>
        <v>#N/A</v>
      </c>
      <c r="AK1100" s="4" t="e">
        <f t="shared" si="320"/>
        <v>#N/A</v>
      </c>
      <c r="AL1100" s="10">
        <v>7.375</v>
      </c>
      <c r="AM1100" s="3">
        <f t="shared" si="321"/>
        <v>427118.16104999994</v>
      </c>
      <c r="AN1100">
        <v>7.375</v>
      </c>
      <c r="AO1100" s="7">
        <f t="shared" si="322"/>
        <v>3127.964889684622</v>
      </c>
      <c r="AP1100" s="2">
        <f t="shared" si="323"/>
        <v>-257.48488968462198</v>
      </c>
    </row>
    <row r="1101" spans="1:42" x14ac:dyDescent="0.15">
      <c r="A1101" s="8">
        <v>410139885</v>
      </c>
      <c r="B1101" t="s">
        <v>36</v>
      </c>
      <c r="C1101" t="s">
        <v>18</v>
      </c>
      <c r="D1101" s="1">
        <v>39202</v>
      </c>
      <c r="E1101" s="2">
        <v>229000</v>
      </c>
      <c r="F1101" s="2">
        <v>206100</v>
      </c>
      <c r="G1101" t="s">
        <v>15</v>
      </c>
      <c r="H1101" s="2">
        <v>1412.97</v>
      </c>
      <c r="I1101" s="2">
        <v>204124.42</v>
      </c>
      <c r="J1101">
        <v>7.2999999999999995E-2</v>
      </c>
      <c r="K1101">
        <v>12</v>
      </c>
      <c r="L1101">
        <v>348</v>
      </c>
      <c r="M1101" t="str">
        <f t="shared" si="309"/>
        <v>30 Year Fixed</v>
      </c>
      <c r="N1101" s="2">
        <v>1241.76</v>
      </c>
      <c r="O1101" t="str">
        <f t="shared" si="306"/>
        <v>Refi</v>
      </c>
      <c r="P1101" s="3">
        <f t="shared" si="310"/>
        <v>0</v>
      </c>
      <c r="Q1101" s="4">
        <v>207186</v>
      </c>
      <c r="R1101" s="4" t="s">
        <v>41</v>
      </c>
      <c r="S1101" s="6">
        <v>659</v>
      </c>
      <c r="T1101">
        <v>6.75</v>
      </c>
      <c r="U1101" s="7">
        <f t="shared" si="307"/>
        <v>1430.1319523558195</v>
      </c>
      <c r="V1101" s="2">
        <f t="shared" si="311"/>
        <v>-17.161952355819494</v>
      </c>
      <c r="W1101" s="9">
        <f t="shared" si="312"/>
        <v>0</v>
      </c>
      <c r="X1101" s="3">
        <v>207186</v>
      </c>
      <c r="Y1101" s="3">
        <f t="shared" si="313"/>
        <v>-0.28206896552001126</v>
      </c>
      <c r="Z1101" s="7">
        <f t="shared" si="314"/>
        <v>1430.1319523558195</v>
      </c>
      <c r="AA1101" s="2">
        <f t="shared" si="308"/>
        <v>-17.161952355819494</v>
      </c>
      <c r="AB1101" s="8">
        <f t="shared" si="315"/>
        <v>1</v>
      </c>
      <c r="AC1101" s="10">
        <v>6.125</v>
      </c>
      <c r="AD1101" s="7">
        <f t="shared" si="316"/>
        <v>1345.2114725356475</v>
      </c>
      <c r="AE1101" s="2">
        <f t="shared" si="317"/>
        <v>67.758527464352483</v>
      </c>
      <c r="AF1101" s="10">
        <v>3</v>
      </c>
      <c r="AG1101" s="3">
        <f t="shared" si="318"/>
        <v>6215.58</v>
      </c>
      <c r="AH1101" s="7">
        <v>4122</v>
      </c>
      <c r="AI1101">
        <f t="shared" si="319"/>
        <v>360</v>
      </c>
      <c r="AJ1101" t="e">
        <f>VLOOKUP(A1101,'Borrower Details'!$A$1:$H$1493,8,FALSE)</f>
        <v>#N/A</v>
      </c>
      <c r="AK1101" s="4" t="e">
        <f t="shared" si="320"/>
        <v>#N/A</v>
      </c>
      <c r="AL1101" s="10">
        <v>6.75</v>
      </c>
      <c r="AM1101" s="3">
        <f t="shared" si="321"/>
        <v>207186.28630000001</v>
      </c>
      <c r="AN1101">
        <v>6.75</v>
      </c>
      <c r="AO1101" s="7">
        <f t="shared" si="322"/>
        <v>1430.1339285838367</v>
      </c>
      <c r="AP1101" s="2">
        <f t="shared" si="323"/>
        <v>-17.16392858383665</v>
      </c>
    </row>
    <row r="1102" spans="1:42" x14ac:dyDescent="0.15">
      <c r="A1102" s="8">
        <v>1175134</v>
      </c>
      <c r="B1102" t="s">
        <v>35</v>
      </c>
      <c r="C1102" t="s">
        <v>16</v>
      </c>
      <c r="D1102" s="1">
        <v>39192</v>
      </c>
      <c r="E1102" s="2">
        <v>132000</v>
      </c>
      <c r="F1102" s="2">
        <v>117000</v>
      </c>
      <c r="G1102" t="s">
        <v>17</v>
      </c>
      <c r="H1102" s="2">
        <v>937.21</v>
      </c>
      <c r="I1102" s="2">
        <v>116192.38</v>
      </c>
      <c r="J1102">
        <v>8.9499999999999996E-2</v>
      </c>
      <c r="K1102">
        <v>12</v>
      </c>
      <c r="L1102">
        <v>348</v>
      </c>
      <c r="M1102" t="str">
        <f t="shared" si="309"/>
        <v>30 Year Fixed</v>
      </c>
      <c r="N1102" s="2">
        <v>866.6</v>
      </c>
      <c r="O1102" t="str">
        <f t="shared" si="306"/>
        <v>Refi</v>
      </c>
      <c r="P1102" s="3">
        <f t="shared" si="310"/>
        <v>0</v>
      </c>
      <c r="Q1102" s="4">
        <v>117935</v>
      </c>
      <c r="R1102" s="4" t="s">
        <v>41</v>
      </c>
      <c r="S1102" s="6">
        <v>597</v>
      </c>
      <c r="T1102">
        <v>7.375</v>
      </c>
      <c r="U1102" s="7">
        <f t="shared" si="307"/>
        <v>863.68731865225368</v>
      </c>
      <c r="V1102" s="2">
        <f t="shared" si="311"/>
        <v>73.522681347746357</v>
      </c>
      <c r="W1102" s="9">
        <f t="shared" si="312"/>
        <v>0</v>
      </c>
      <c r="X1102" s="3">
        <v>117935</v>
      </c>
      <c r="Y1102" s="3">
        <f t="shared" si="313"/>
        <v>-0.26177339900459629</v>
      </c>
      <c r="Z1102" s="7">
        <f t="shared" si="314"/>
        <v>863.68731865225368</v>
      </c>
      <c r="AA1102" s="2">
        <f t="shared" si="308"/>
        <v>73.522681347746357</v>
      </c>
      <c r="AB1102" s="8">
        <f t="shared" si="315"/>
        <v>0</v>
      </c>
      <c r="AC1102" s="10">
        <v>7.375</v>
      </c>
      <c r="AD1102" s="7">
        <f t="shared" si="316"/>
        <v>863.68731865225368</v>
      </c>
      <c r="AE1102" s="2">
        <f t="shared" si="317"/>
        <v>73.522681347746357</v>
      </c>
      <c r="AF1102" s="10">
        <v>0</v>
      </c>
      <c r="AG1102" s="3">
        <f t="shared" si="318"/>
        <v>0</v>
      </c>
      <c r="AH1102" s="7">
        <v>5235.75</v>
      </c>
      <c r="AI1102">
        <f t="shared" si="319"/>
        <v>360</v>
      </c>
      <c r="AJ1102" t="e">
        <f>VLOOKUP(A1102,'Borrower Details'!$A$1:$H$1493,8,FALSE)</f>
        <v>#N/A</v>
      </c>
      <c r="AK1102" s="4" t="e">
        <f t="shared" si="320"/>
        <v>#N/A</v>
      </c>
      <c r="AL1102" s="10">
        <v>7.375</v>
      </c>
      <c r="AM1102" s="3">
        <f t="shared" si="321"/>
        <v>117935.26569999999</v>
      </c>
      <c r="AN1102">
        <v>7.375</v>
      </c>
      <c r="AO1102" s="7">
        <f t="shared" si="322"/>
        <v>863.68926448445404</v>
      </c>
      <c r="AP1102" s="2">
        <f t="shared" si="323"/>
        <v>73.520735515545994</v>
      </c>
    </row>
    <row r="1103" spans="1:42" x14ac:dyDescent="0.15">
      <c r="A1103" s="8">
        <v>1148615</v>
      </c>
      <c r="B1103" t="s">
        <v>38</v>
      </c>
      <c r="C1103" t="s">
        <v>19</v>
      </c>
      <c r="D1103" s="1">
        <v>39147</v>
      </c>
      <c r="E1103" s="2">
        <v>87500</v>
      </c>
      <c r="F1103" s="2">
        <v>73950</v>
      </c>
      <c r="G1103" t="s">
        <v>15</v>
      </c>
      <c r="H1103" s="2">
        <v>590.42999999999995</v>
      </c>
      <c r="I1103" s="2">
        <v>73756</v>
      </c>
      <c r="J1103">
        <v>9.35E-2</v>
      </c>
      <c r="K1103">
        <v>13</v>
      </c>
      <c r="L1103">
        <v>347</v>
      </c>
      <c r="M1103" t="str">
        <f t="shared" si="309"/>
        <v>30 Year Fixed</v>
      </c>
      <c r="N1103" s="2">
        <v>574.67999999999995</v>
      </c>
      <c r="O1103" t="str">
        <f t="shared" si="306"/>
        <v>Refi</v>
      </c>
      <c r="P1103" s="3">
        <f t="shared" si="310"/>
        <v>0</v>
      </c>
      <c r="Q1103" s="4">
        <v>74862</v>
      </c>
      <c r="R1103" s="4" t="s">
        <v>41</v>
      </c>
      <c r="S1103" s="6">
        <v>539</v>
      </c>
      <c r="T1103">
        <v>7.625</v>
      </c>
      <c r="U1103" s="7">
        <f t="shared" si="307"/>
        <v>561.06105439600788</v>
      </c>
      <c r="V1103" s="2">
        <f t="shared" si="311"/>
        <v>29.368945603992074</v>
      </c>
      <c r="W1103" s="9">
        <f t="shared" si="312"/>
        <v>0</v>
      </c>
      <c r="X1103" s="3">
        <v>74862</v>
      </c>
      <c r="Y1103" s="3">
        <f t="shared" si="313"/>
        <v>-0.33497536944923922</v>
      </c>
      <c r="Z1103" s="7">
        <f t="shared" si="314"/>
        <v>561.06105439600788</v>
      </c>
      <c r="AA1103" s="2">
        <f t="shared" si="308"/>
        <v>29.368945603992074</v>
      </c>
      <c r="AB1103" s="8">
        <f t="shared" si="315"/>
        <v>1</v>
      </c>
      <c r="AC1103" s="10">
        <v>6.5</v>
      </c>
      <c r="AD1103" s="7">
        <f t="shared" si="316"/>
        <v>504.37126374730423</v>
      </c>
      <c r="AE1103" s="2">
        <f t="shared" si="317"/>
        <v>86.058736252695724</v>
      </c>
      <c r="AF1103" s="10">
        <v>2.625</v>
      </c>
      <c r="AG1103" s="3">
        <f t="shared" si="318"/>
        <v>1965.1275000000001</v>
      </c>
      <c r="AH1103" s="7">
        <v>0</v>
      </c>
      <c r="AI1103">
        <f t="shared" si="319"/>
        <v>360</v>
      </c>
      <c r="AJ1103" t="e">
        <f>VLOOKUP(A1103,'Borrower Details'!$A$1:$H$1493,8,FALSE)</f>
        <v>#N/A</v>
      </c>
      <c r="AK1103" s="4" t="e">
        <f t="shared" si="320"/>
        <v>#N/A</v>
      </c>
      <c r="AL1103" s="10">
        <v>7.625</v>
      </c>
      <c r="AM1103" s="3">
        <f t="shared" si="321"/>
        <v>74862.34</v>
      </c>
      <c r="AN1103">
        <v>7.625</v>
      </c>
      <c r="AO1103" s="7">
        <f t="shared" si="322"/>
        <v>561.06360256141215</v>
      </c>
      <c r="AP1103" s="2">
        <f t="shared" si="323"/>
        <v>29.366397438587796</v>
      </c>
    </row>
    <row r="1104" spans="1:42" x14ac:dyDescent="0.15">
      <c r="A1104" s="8">
        <v>1160432</v>
      </c>
      <c r="B1104" t="s">
        <v>37</v>
      </c>
      <c r="C1104" t="s">
        <v>19</v>
      </c>
      <c r="D1104" s="1">
        <v>39150</v>
      </c>
      <c r="E1104" s="2">
        <v>78000</v>
      </c>
      <c r="F1104" s="2">
        <v>76500</v>
      </c>
      <c r="G1104" t="s">
        <v>15</v>
      </c>
      <c r="H1104" s="2">
        <v>569.35</v>
      </c>
      <c r="I1104" s="2">
        <v>75771.350000000006</v>
      </c>
      <c r="J1104">
        <v>8.1500000000000003E-2</v>
      </c>
      <c r="K1104">
        <v>13</v>
      </c>
      <c r="L1104">
        <v>346</v>
      </c>
      <c r="M1104" t="str">
        <f t="shared" si="309"/>
        <v>30 Year Fixed</v>
      </c>
      <c r="N1104" s="2">
        <v>514.61</v>
      </c>
      <c r="O1104" t="str">
        <f t="shared" si="306"/>
        <v>Refi</v>
      </c>
      <c r="P1104" s="3">
        <f t="shared" si="310"/>
        <v>0</v>
      </c>
      <c r="Q1104" s="4">
        <v>76908</v>
      </c>
      <c r="R1104" s="4" t="s">
        <v>41</v>
      </c>
      <c r="S1104" s="6">
        <v>706</v>
      </c>
      <c r="T1104">
        <v>6.875</v>
      </c>
      <c r="U1104" s="7">
        <f t="shared" si="307"/>
        <v>537.27581202156603</v>
      </c>
      <c r="V1104" s="2">
        <f t="shared" si="311"/>
        <v>32.074187978433997</v>
      </c>
      <c r="W1104" s="9">
        <f t="shared" si="312"/>
        <v>0</v>
      </c>
      <c r="X1104" s="3">
        <v>76908</v>
      </c>
      <c r="Y1104" s="3">
        <f t="shared" si="313"/>
        <v>7.8571428573923185E-2</v>
      </c>
      <c r="Z1104" s="7">
        <f t="shared" si="314"/>
        <v>537.27581202156603</v>
      </c>
      <c r="AA1104" s="2">
        <f t="shared" si="308"/>
        <v>32.074187978433997</v>
      </c>
      <c r="AB1104" s="8">
        <f t="shared" si="315"/>
        <v>1</v>
      </c>
      <c r="AC1104" s="10">
        <v>6.25</v>
      </c>
      <c r="AD1104" s="7">
        <f t="shared" si="316"/>
        <v>505.58078450393077</v>
      </c>
      <c r="AE1104" s="2">
        <f t="shared" si="317"/>
        <v>63.769215496069251</v>
      </c>
      <c r="AF1104" s="10">
        <v>2.5</v>
      </c>
      <c r="AG1104" s="3">
        <f t="shared" si="318"/>
        <v>1922.7</v>
      </c>
      <c r="AH1104" s="7">
        <v>0</v>
      </c>
      <c r="AI1104">
        <f t="shared" si="319"/>
        <v>360</v>
      </c>
      <c r="AJ1104" t="e">
        <f>VLOOKUP(A1104,'Borrower Details'!$A$1:$H$1493,8,FALSE)</f>
        <v>#N/A</v>
      </c>
      <c r="AK1104" s="4" t="e">
        <f t="shared" si="320"/>
        <v>#N/A</v>
      </c>
      <c r="AL1104" s="10">
        <v>6.875</v>
      </c>
      <c r="AM1104" s="3">
        <f t="shared" si="321"/>
        <v>76907.920249999996</v>
      </c>
      <c r="AN1104">
        <v>6.875</v>
      </c>
      <c r="AO1104" s="7">
        <f t="shared" si="322"/>
        <v>537.27525489167044</v>
      </c>
      <c r="AP1104" s="2">
        <f t="shared" si="323"/>
        <v>32.07474510832958</v>
      </c>
    </row>
    <row r="1105" spans="1:42" x14ac:dyDescent="0.15">
      <c r="A1105" s="8">
        <v>1156495</v>
      </c>
      <c r="B1105" t="s">
        <v>35</v>
      </c>
      <c r="C1105" t="s">
        <v>16</v>
      </c>
      <c r="D1105" s="1">
        <v>39146</v>
      </c>
      <c r="E1105" s="2">
        <v>70000</v>
      </c>
      <c r="F1105" s="2">
        <v>59500</v>
      </c>
      <c r="G1105" t="s">
        <v>15</v>
      </c>
      <c r="H1105" s="2">
        <v>521.05999999999995</v>
      </c>
      <c r="I1105" s="2">
        <v>59120.89</v>
      </c>
      <c r="J1105">
        <v>9.9750000000000005E-2</v>
      </c>
      <c r="K1105">
        <v>13</v>
      </c>
      <c r="L1105">
        <v>348</v>
      </c>
      <c r="M1105" t="str">
        <f t="shared" si="309"/>
        <v>30 Year Fixed</v>
      </c>
      <c r="N1105" s="2">
        <v>491.44</v>
      </c>
      <c r="O1105" t="str">
        <f t="shared" si="306"/>
        <v>Refi</v>
      </c>
      <c r="P1105" s="3">
        <f t="shared" si="310"/>
        <v>0</v>
      </c>
      <c r="Q1105" s="4">
        <v>60008</v>
      </c>
      <c r="R1105" s="4" t="s">
        <v>41</v>
      </c>
      <c r="S1105" s="6">
        <v>524</v>
      </c>
      <c r="T1105">
        <v>7.625</v>
      </c>
      <c r="U1105" s="7">
        <f t="shared" si="307"/>
        <v>449.73620464582353</v>
      </c>
      <c r="V1105" s="2">
        <f t="shared" si="311"/>
        <v>71.323795354176411</v>
      </c>
      <c r="W1105" s="9">
        <f t="shared" si="312"/>
        <v>0</v>
      </c>
      <c r="X1105" s="3">
        <v>60008</v>
      </c>
      <c r="Y1105" s="3">
        <f t="shared" si="313"/>
        <v>0.2922660098556662</v>
      </c>
      <c r="Z1105" s="7">
        <f t="shared" si="314"/>
        <v>449.73620464582353</v>
      </c>
      <c r="AA1105" s="2">
        <f t="shared" si="308"/>
        <v>71.323795354176411</v>
      </c>
      <c r="AB1105" s="8">
        <f t="shared" si="315"/>
        <v>0</v>
      </c>
      <c r="AC1105" s="10">
        <v>7.625</v>
      </c>
      <c r="AD1105" s="7">
        <f t="shared" si="316"/>
        <v>449.73620464582353</v>
      </c>
      <c r="AE1105" s="2">
        <f t="shared" si="317"/>
        <v>71.323795354176411</v>
      </c>
      <c r="AF1105" s="10">
        <v>0</v>
      </c>
      <c r="AG1105" s="3">
        <f t="shared" si="318"/>
        <v>0</v>
      </c>
      <c r="AH1105" s="7">
        <v>2967.5625</v>
      </c>
      <c r="AI1105">
        <f t="shared" si="319"/>
        <v>360</v>
      </c>
      <c r="AJ1105" t="e">
        <f>VLOOKUP(A1105,'Borrower Details'!$A$1:$H$1493,8,FALSE)</f>
        <v>#N/A</v>
      </c>
      <c r="AK1105" s="4" t="e">
        <f t="shared" si="320"/>
        <v>#N/A</v>
      </c>
      <c r="AL1105" s="10">
        <v>7.625</v>
      </c>
      <c r="AM1105" s="3">
        <f t="shared" si="321"/>
        <v>60007.703349999996</v>
      </c>
      <c r="AN1105">
        <v>7.625</v>
      </c>
      <c r="AO1105" s="7">
        <f t="shared" si="322"/>
        <v>449.73398137150826</v>
      </c>
      <c r="AP1105" s="2">
        <f t="shared" si="323"/>
        <v>71.326018628491681</v>
      </c>
    </row>
    <row r="1106" spans="1:42" x14ac:dyDescent="0.15">
      <c r="A1106" s="8">
        <v>1156464</v>
      </c>
      <c r="B1106" t="s">
        <v>36</v>
      </c>
      <c r="C1106" t="s">
        <v>19</v>
      </c>
      <c r="D1106" s="1">
        <v>39146</v>
      </c>
      <c r="E1106" s="2">
        <v>200000</v>
      </c>
      <c r="F1106" s="2">
        <v>148000</v>
      </c>
      <c r="G1106" t="s">
        <v>15</v>
      </c>
      <c r="H1106" s="2">
        <v>935.89</v>
      </c>
      <c r="I1106" s="2">
        <v>147258.76</v>
      </c>
      <c r="J1106">
        <v>7.1499999999999994E-2</v>
      </c>
      <c r="K1106">
        <v>13</v>
      </c>
      <c r="L1106">
        <v>347</v>
      </c>
      <c r="M1106" t="str">
        <f t="shared" si="309"/>
        <v>30 Year Fixed</v>
      </c>
      <c r="N1106" s="2">
        <v>877.42</v>
      </c>
      <c r="O1106" t="str">
        <f t="shared" si="306"/>
        <v>Cash Out</v>
      </c>
      <c r="P1106" s="3">
        <f t="shared" si="310"/>
        <v>20228.924729064049</v>
      </c>
      <c r="Q1106" s="4">
        <v>170000</v>
      </c>
      <c r="R1106" s="4" t="s">
        <v>41</v>
      </c>
      <c r="S1106" s="6">
        <v>554</v>
      </c>
      <c r="T1106">
        <v>7.625</v>
      </c>
      <c r="U1106" s="7">
        <f t="shared" si="307"/>
        <v>1274.0827021362152</v>
      </c>
      <c r="V1106" s="2">
        <f t="shared" si="311"/>
        <v>-338.19270213621519</v>
      </c>
      <c r="W1106" s="9">
        <f t="shared" si="312"/>
        <v>1</v>
      </c>
      <c r="X1106" s="3">
        <v>149468</v>
      </c>
      <c r="Y1106" s="3">
        <f t="shared" si="313"/>
        <v>0.35330049262847751</v>
      </c>
      <c r="Z1106" s="7">
        <f t="shared" si="314"/>
        <v>1120.2034901346813</v>
      </c>
      <c r="AA1106" s="2">
        <f t="shared" si="308"/>
        <v>-184.31349013468127</v>
      </c>
      <c r="AB1106" s="8">
        <f t="shared" si="315"/>
        <v>1</v>
      </c>
      <c r="AC1106" s="10">
        <v>6.875</v>
      </c>
      <c r="AD1106" s="7">
        <f t="shared" si="316"/>
        <v>1044.176692557854</v>
      </c>
      <c r="AE1106" s="2">
        <f t="shared" si="317"/>
        <v>-108.28669255785405</v>
      </c>
      <c r="AF1106" s="10">
        <v>1</v>
      </c>
      <c r="AG1106" s="3">
        <f t="shared" si="318"/>
        <v>1494.68</v>
      </c>
      <c r="AH1106" s="7">
        <v>2960</v>
      </c>
      <c r="AI1106">
        <f t="shared" si="319"/>
        <v>360</v>
      </c>
      <c r="AJ1106" t="e">
        <f>VLOOKUP(A1106,'Borrower Details'!$A$1:$H$1493,8,FALSE)</f>
        <v>#N/A</v>
      </c>
      <c r="AK1106" s="4" t="e">
        <f t="shared" si="320"/>
        <v>#N/A</v>
      </c>
      <c r="AL1106" s="10">
        <v>7.625</v>
      </c>
      <c r="AM1106" s="3">
        <f t="shared" si="321"/>
        <v>149467.64139999999</v>
      </c>
      <c r="AN1106">
        <v>7.625</v>
      </c>
      <c r="AO1106" s="7">
        <f t="shared" si="322"/>
        <v>1120.20080256964</v>
      </c>
      <c r="AP1106" s="2">
        <f t="shared" si="323"/>
        <v>-184.31080256964003</v>
      </c>
    </row>
    <row r="1107" spans="1:42" x14ac:dyDescent="0.15">
      <c r="A1107" s="8">
        <v>1188661</v>
      </c>
      <c r="B1107" t="s">
        <v>36</v>
      </c>
      <c r="C1107" t="s">
        <v>19</v>
      </c>
      <c r="D1107" s="1">
        <v>39185</v>
      </c>
      <c r="E1107" s="2">
        <v>197000</v>
      </c>
      <c r="F1107" s="2">
        <v>128400</v>
      </c>
      <c r="G1107" t="s">
        <v>17</v>
      </c>
      <c r="H1107" s="2">
        <v>897.47</v>
      </c>
      <c r="I1107" s="2">
        <v>128216.53</v>
      </c>
      <c r="J1107">
        <v>8.2500000000000004E-2</v>
      </c>
      <c r="K1107">
        <v>12</v>
      </c>
      <c r="L1107">
        <v>348</v>
      </c>
      <c r="M1107" t="str">
        <f t="shared" si="309"/>
        <v>30 Year Fixed</v>
      </c>
      <c r="N1107" s="2">
        <v>881.49</v>
      </c>
      <c r="O1107" t="str">
        <f t="shared" si="306"/>
        <v>Cash Out</v>
      </c>
      <c r="P1107" s="3">
        <f t="shared" si="310"/>
        <v>36758.839458128088</v>
      </c>
      <c r="Q1107" s="4">
        <v>167450</v>
      </c>
      <c r="R1107" s="4" t="s">
        <v>41</v>
      </c>
      <c r="S1107" s="6">
        <v>597</v>
      </c>
      <c r="T1107">
        <v>7.375</v>
      </c>
      <c r="U1107" s="7">
        <f t="shared" si="307"/>
        <v>1226.3063679850754</v>
      </c>
      <c r="V1107" s="2">
        <f t="shared" si="311"/>
        <v>-328.83636798507541</v>
      </c>
      <c r="W1107" s="9">
        <f t="shared" si="312"/>
        <v>1</v>
      </c>
      <c r="X1107" s="3">
        <v>130140</v>
      </c>
      <c r="Y1107" s="3">
        <f t="shared" si="313"/>
        <v>0.21876847291423474</v>
      </c>
      <c r="Z1107" s="7">
        <f t="shared" si="314"/>
        <v>953.06963708317539</v>
      </c>
      <c r="AA1107" s="2">
        <f t="shared" si="308"/>
        <v>-55.599637083175367</v>
      </c>
      <c r="AB1107" s="8">
        <f t="shared" si="315"/>
        <v>1</v>
      </c>
      <c r="AC1107" s="10">
        <v>6.625</v>
      </c>
      <c r="AD1107" s="7">
        <f t="shared" si="316"/>
        <v>887.52568474315819</v>
      </c>
      <c r="AE1107" s="2">
        <f t="shared" si="317"/>
        <v>9.9443152568418327</v>
      </c>
      <c r="AF1107" s="10">
        <v>1.875</v>
      </c>
      <c r="AG1107" s="3">
        <f t="shared" si="318"/>
        <v>2440.125</v>
      </c>
      <c r="AH1107" s="7">
        <v>2568</v>
      </c>
      <c r="AI1107">
        <f t="shared" si="319"/>
        <v>360</v>
      </c>
      <c r="AJ1107" t="e">
        <f>VLOOKUP(A1107,'Borrower Details'!$A$1:$H$1493,8,FALSE)</f>
        <v>#N/A</v>
      </c>
      <c r="AK1107" s="4" t="e">
        <f t="shared" si="320"/>
        <v>#N/A</v>
      </c>
      <c r="AL1107" s="10">
        <v>7.375</v>
      </c>
      <c r="AM1107" s="3">
        <f t="shared" si="321"/>
        <v>130139.77794999999</v>
      </c>
      <c r="AN1107">
        <v>7.375</v>
      </c>
      <c r="AO1107" s="7">
        <f t="shared" si="322"/>
        <v>953.0680109181767</v>
      </c>
      <c r="AP1107" s="2">
        <f t="shared" si="323"/>
        <v>-55.598010918176669</v>
      </c>
    </row>
    <row r="1108" spans="1:42" x14ac:dyDescent="0.15">
      <c r="A1108" s="8">
        <v>410103097</v>
      </c>
      <c r="B1108" t="s">
        <v>37</v>
      </c>
      <c r="C1108" t="s">
        <v>19</v>
      </c>
      <c r="D1108" s="1">
        <v>39203</v>
      </c>
      <c r="E1108" s="2">
        <v>187600</v>
      </c>
      <c r="F1108" s="2">
        <v>149995</v>
      </c>
      <c r="G1108" t="s">
        <v>15</v>
      </c>
      <c r="H1108" s="2">
        <v>1239.42</v>
      </c>
      <c r="I1108" s="2">
        <v>149031.07999999999</v>
      </c>
      <c r="J1108">
        <v>9.2999999999999999E-2</v>
      </c>
      <c r="K1108">
        <v>12</v>
      </c>
      <c r="L1108">
        <v>348</v>
      </c>
      <c r="M1108" t="str">
        <f t="shared" si="309"/>
        <v>30 Year Fixed</v>
      </c>
      <c r="N1108" s="2">
        <v>1154.99</v>
      </c>
      <c r="O1108" t="str">
        <f t="shared" si="306"/>
        <v>Cash Out</v>
      </c>
      <c r="P1108" s="3">
        <f t="shared" si="310"/>
        <v>8072.3682758620998</v>
      </c>
      <c r="Q1108" s="4">
        <v>159460</v>
      </c>
      <c r="R1108" s="4" t="s">
        <v>41</v>
      </c>
      <c r="S1108" s="6">
        <v>530</v>
      </c>
      <c r="T1108">
        <v>7.625</v>
      </c>
      <c r="U1108" s="7">
        <f t="shared" si="307"/>
        <v>1195.0895746037697</v>
      </c>
      <c r="V1108" s="2">
        <f t="shared" si="311"/>
        <v>44.330425396230339</v>
      </c>
      <c r="W1108" s="9">
        <f t="shared" si="312"/>
        <v>0</v>
      </c>
      <c r="X1108" s="3">
        <v>159460</v>
      </c>
      <c r="Y1108" s="3">
        <f t="shared" si="313"/>
        <v>8072.3682758620998</v>
      </c>
      <c r="Z1108" s="7">
        <f t="shared" si="314"/>
        <v>1195.0895746037697</v>
      </c>
      <c r="AA1108" s="2">
        <f t="shared" si="308"/>
        <v>44.330425396230339</v>
      </c>
      <c r="AB1108" s="8">
        <f t="shared" si="315"/>
        <v>1</v>
      </c>
      <c r="AC1108" s="10">
        <v>6.5</v>
      </c>
      <c r="AD1108" s="7">
        <f t="shared" si="316"/>
        <v>1074.3373369285503</v>
      </c>
      <c r="AE1108" s="2">
        <f t="shared" si="317"/>
        <v>165.08266307144982</v>
      </c>
      <c r="AF1108" s="10">
        <v>2.375</v>
      </c>
      <c r="AG1108" s="3">
        <f t="shared" si="318"/>
        <v>3787.1750000000002</v>
      </c>
      <c r="AH1108" s="7">
        <v>0</v>
      </c>
      <c r="AI1108">
        <f t="shared" si="319"/>
        <v>360</v>
      </c>
      <c r="AJ1108" t="e">
        <f>VLOOKUP(A1108,'Borrower Details'!$A$1:$H$1493,8,FALSE)</f>
        <v>#N/A</v>
      </c>
      <c r="AK1108" s="4" t="e">
        <f t="shared" si="320"/>
        <v>#N/A</v>
      </c>
      <c r="AL1108" s="10">
        <v>7.625</v>
      </c>
      <c r="AM1108" s="3">
        <f t="shared" si="321"/>
        <v>151266.54619999998</v>
      </c>
      <c r="AN1108">
        <v>7.625</v>
      </c>
      <c r="AO1108" s="7">
        <f t="shared" si="322"/>
        <v>1133.6828819135799</v>
      </c>
      <c r="AP1108" s="2">
        <f t="shared" si="323"/>
        <v>105.7371180864202</v>
      </c>
    </row>
    <row r="1109" spans="1:42" x14ac:dyDescent="0.15">
      <c r="A1109" s="8">
        <v>1171489</v>
      </c>
      <c r="B1109" t="s">
        <v>36</v>
      </c>
      <c r="C1109" t="s">
        <v>19</v>
      </c>
      <c r="D1109" s="1">
        <v>39169</v>
      </c>
      <c r="E1109" s="2">
        <v>215000</v>
      </c>
      <c r="F1109" s="2">
        <v>175000</v>
      </c>
      <c r="G1109" t="s">
        <v>17</v>
      </c>
      <c r="H1109" s="2">
        <v>1253.06</v>
      </c>
      <c r="I1109" s="2">
        <v>174372.7</v>
      </c>
      <c r="J1109">
        <v>8.2750000000000004E-2</v>
      </c>
      <c r="K1109">
        <v>13</v>
      </c>
      <c r="L1109">
        <v>347</v>
      </c>
      <c r="M1109" t="str">
        <f t="shared" si="309"/>
        <v>30 Year Fixed</v>
      </c>
      <c r="N1109" s="2">
        <v>1202.45</v>
      </c>
      <c r="O1109" t="str">
        <f t="shared" si="306"/>
        <v>Cash Out</v>
      </c>
      <c r="P1109" s="3">
        <f t="shared" si="310"/>
        <v>5676.5610837438435</v>
      </c>
      <c r="Q1109" s="4">
        <v>182750</v>
      </c>
      <c r="R1109" s="4" t="s">
        <v>41</v>
      </c>
      <c r="S1109" s="6">
        <v>560</v>
      </c>
      <c r="T1109">
        <v>7.625</v>
      </c>
      <c r="U1109" s="7">
        <f t="shared" si="307"/>
        <v>1369.6389047964312</v>
      </c>
      <c r="V1109" s="2">
        <f t="shared" si="311"/>
        <v>-116.57890479643129</v>
      </c>
      <c r="W1109" s="9">
        <f t="shared" si="312"/>
        <v>1</v>
      </c>
      <c r="X1109" s="3">
        <v>176989</v>
      </c>
      <c r="Y1109" s="3">
        <f t="shared" si="313"/>
        <v>0.69901477833627723</v>
      </c>
      <c r="Z1109" s="7">
        <f t="shared" si="314"/>
        <v>1326.4624904022739</v>
      </c>
      <c r="AA1109" s="2">
        <f t="shared" si="308"/>
        <v>-73.402490402273997</v>
      </c>
      <c r="AB1109" s="8">
        <f t="shared" si="315"/>
        <v>1</v>
      </c>
      <c r="AC1109" s="10">
        <v>6.875</v>
      </c>
      <c r="AD1109" s="7">
        <f t="shared" si="316"/>
        <v>1236.4371547028263</v>
      </c>
      <c r="AE1109" s="2">
        <f t="shared" si="317"/>
        <v>16.622845297173626</v>
      </c>
      <c r="AF1109" s="10">
        <v>1</v>
      </c>
      <c r="AG1109" s="3">
        <f t="shared" si="318"/>
        <v>1769.89</v>
      </c>
      <c r="AH1109" s="7">
        <v>3500</v>
      </c>
      <c r="AI1109">
        <f t="shared" si="319"/>
        <v>360</v>
      </c>
      <c r="AJ1109" t="e">
        <f>VLOOKUP(A1109,'Borrower Details'!$A$1:$H$1493,8,FALSE)</f>
        <v>#N/A</v>
      </c>
      <c r="AK1109" s="4" t="e">
        <f t="shared" si="320"/>
        <v>#N/A</v>
      </c>
      <c r="AL1109" s="10">
        <v>7.625</v>
      </c>
      <c r="AM1109" s="3">
        <f t="shared" si="321"/>
        <v>176988.2905</v>
      </c>
      <c r="AN1109">
        <v>7.625</v>
      </c>
      <c r="AO1109" s="7">
        <f t="shared" si="322"/>
        <v>1326.4571729806437</v>
      </c>
      <c r="AP1109" s="2">
        <f t="shared" si="323"/>
        <v>-73.397172980643745</v>
      </c>
    </row>
    <row r="1110" spans="1:42" x14ac:dyDescent="0.15">
      <c r="A1110" s="8">
        <v>1149883</v>
      </c>
      <c r="B1110" t="s">
        <v>36</v>
      </c>
      <c r="C1110" t="s">
        <v>19</v>
      </c>
      <c r="D1110" s="1">
        <v>39147</v>
      </c>
      <c r="E1110" s="2">
        <v>255300</v>
      </c>
      <c r="F1110" s="2">
        <v>142000</v>
      </c>
      <c r="G1110" t="s">
        <v>17</v>
      </c>
      <c r="H1110" s="2">
        <v>1040.96</v>
      </c>
      <c r="I1110" s="2">
        <v>140707.97</v>
      </c>
      <c r="J1110">
        <v>7.9899999999999999E-2</v>
      </c>
      <c r="K1110">
        <v>13</v>
      </c>
      <c r="L1110">
        <v>347</v>
      </c>
      <c r="M1110" t="str">
        <f t="shared" si="309"/>
        <v>30 Year Fixed</v>
      </c>
      <c r="N1110" s="2">
        <v>936.88</v>
      </c>
      <c r="O1110" t="str">
        <f t="shared" si="306"/>
        <v>Cash Out</v>
      </c>
      <c r="P1110" s="3">
        <f t="shared" si="310"/>
        <v>73090.05955665026</v>
      </c>
      <c r="Q1110" s="4">
        <v>217005</v>
      </c>
      <c r="R1110" s="4" t="s">
        <v>41</v>
      </c>
      <c r="S1110" s="6">
        <v>552</v>
      </c>
      <c r="T1110">
        <v>7.625</v>
      </c>
      <c r="U1110" s="7">
        <f t="shared" si="307"/>
        <v>1626.3665692768786</v>
      </c>
      <c r="V1110" s="2">
        <f t="shared" si="311"/>
        <v>-585.4065692768786</v>
      </c>
      <c r="W1110" s="9">
        <f t="shared" si="312"/>
        <v>1</v>
      </c>
      <c r="X1110" s="3">
        <v>142819</v>
      </c>
      <c r="Y1110" s="3">
        <f t="shared" si="313"/>
        <v>0.4043842364626471</v>
      </c>
      <c r="Z1110" s="7">
        <f t="shared" si="314"/>
        <v>1070.3718672728949</v>
      </c>
      <c r="AA1110" s="2">
        <f t="shared" si="308"/>
        <v>-29.411867272894824</v>
      </c>
      <c r="AB1110" s="8">
        <f t="shared" si="315"/>
        <v>1</v>
      </c>
      <c r="AC1110" s="10">
        <v>6.875</v>
      </c>
      <c r="AD1110" s="7">
        <f t="shared" si="316"/>
        <v>997.72707906990229</v>
      </c>
      <c r="AE1110" s="2">
        <f t="shared" si="317"/>
        <v>43.232920930097748</v>
      </c>
      <c r="AF1110" s="10">
        <v>1</v>
      </c>
      <c r="AG1110" s="3">
        <f t="shared" si="318"/>
        <v>1428.19</v>
      </c>
      <c r="AH1110" s="7">
        <v>2840</v>
      </c>
      <c r="AI1110">
        <f t="shared" si="319"/>
        <v>360</v>
      </c>
      <c r="AJ1110" t="e">
        <f>VLOOKUP(A1110,'Borrower Details'!$A$1:$H$1493,8,FALSE)</f>
        <v>#N/A</v>
      </c>
      <c r="AK1110" s="4" t="e">
        <f t="shared" si="320"/>
        <v>#N/A</v>
      </c>
      <c r="AL1110" s="10">
        <v>7.625</v>
      </c>
      <c r="AM1110" s="3">
        <f t="shared" si="321"/>
        <v>142818.58954999998</v>
      </c>
      <c r="AN1110">
        <v>7.625</v>
      </c>
      <c r="AO1110" s="7">
        <f t="shared" si="322"/>
        <v>1070.3687911126294</v>
      </c>
      <c r="AP1110" s="2">
        <f t="shared" si="323"/>
        <v>-29.408791112629387</v>
      </c>
    </row>
    <row r="1111" spans="1:42" x14ac:dyDescent="0.15">
      <c r="A1111" s="8">
        <v>1167685</v>
      </c>
      <c r="B1111" t="s">
        <v>36</v>
      </c>
      <c r="C1111" t="s">
        <v>19</v>
      </c>
      <c r="D1111" s="1">
        <v>39167</v>
      </c>
      <c r="E1111" s="2">
        <v>326000</v>
      </c>
      <c r="F1111" s="2">
        <v>293400</v>
      </c>
      <c r="G1111" t="s">
        <v>15</v>
      </c>
      <c r="H1111" s="2">
        <v>1676.09</v>
      </c>
      <c r="I1111" s="2">
        <v>292560.65000000002</v>
      </c>
      <c r="J1111">
        <v>6.6000000000000003E-2</v>
      </c>
      <c r="K1111">
        <v>13</v>
      </c>
      <c r="L1111">
        <v>347</v>
      </c>
      <c r="M1111" t="str">
        <f t="shared" si="309"/>
        <v>30 Year Fixed</v>
      </c>
      <c r="N1111" s="2">
        <v>1609.08</v>
      </c>
      <c r="O1111" t="str">
        <f t="shared" si="306"/>
        <v>Refi</v>
      </c>
      <c r="P1111" s="3">
        <f t="shared" si="310"/>
        <v>0</v>
      </c>
      <c r="Q1111" s="4">
        <v>296949</v>
      </c>
      <c r="R1111" s="4" t="s">
        <v>41</v>
      </c>
      <c r="S1111" s="6">
        <v>617</v>
      </c>
      <c r="T1111">
        <v>6.875</v>
      </c>
      <c r="U1111" s="7">
        <f t="shared" si="307"/>
        <v>2074.472292921309</v>
      </c>
      <c r="V1111" s="2">
        <f t="shared" si="311"/>
        <v>-398.38229292130904</v>
      </c>
      <c r="W1111" s="9">
        <f t="shared" si="312"/>
        <v>0</v>
      </c>
      <c r="X1111" s="3">
        <v>296949</v>
      </c>
      <c r="Y1111" s="3">
        <f t="shared" si="313"/>
        <v>-5.8866995095741004E-2</v>
      </c>
      <c r="Z1111" s="7">
        <f t="shared" si="314"/>
        <v>2074.472292921309</v>
      </c>
      <c r="AA1111" s="2">
        <f t="shared" si="308"/>
        <v>-398.38229292130904</v>
      </c>
      <c r="AB1111" s="8">
        <f t="shared" si="315"/>
        <v>1</v>
      </c>
      <c r="AC1111" s="10">
        <v>6.25</v>
      </c>
      <c r="AD1111" s="7">
        <f t="shared" si="316"/>
        <v>1952.0948194941714</v>
      </c>
      <c r="AE1111" s="2">
        <f t="shared" si="317"/>
        <v>-276.00481949417144</v>
      </c>
      <c r="AF1111" s="10">
        <v>2.5</v>
      </c>
      <c r="AG1111" s="3">
        <f t="shared" si="318"/>
        <v>7423.7250000000004</v>
      </c>
      <c r="AH1111" s="7">
        <v>5868</v>
      </c>
      <c r="AI1111">
        <f t="shared" si="319"/>
        <v>360</v>
      </c>
      <c r="AJ1111" t="e">
        <f>VLOOKUP(A1111,'Borrower Details'!$A$1:$H$1493,8,FALSE)</f>
        <v>#N/A</v>
      </c>
      <c r="AK1111" s="4" t="e">
        <f t="shared" si="320"/>
        <v>#N/A</v>
      </c>
      <c r="AL1111" s="10">
        <v>6.875</v>
      </c>
      <c r="AM1111" s="3">
        <f t="shared" si="321"/>
        <v>296949.05975000001</v>
      </c>
      <c r="AN1111">
        <v>6.875</v>
      </c>
      <c r="AO1111" s="7">
        <f t="shared" si="322"/>
        <v>2074.4727103321084</v>
      </c>
      <c r="AP1111" s="2">
        <f t="shared" si="323"/>
        <v>-398.38271033210845</v>
      </c>
    </row>
    <row r="1112" spans="1:42" x14ac:dyDescent="0.15">
      <c r="A1112" s="8">
        <v>410181747</v>
      </c>
      <c r="B1112" t="s">
        <v>35</v>
      </c>
      <c r="C1112" t="s">
        <v>16</v>
      </c>
      <c r="D1112" s="1">
        <v>39216</v>
      </c>
      <c r="E1112" s="2">
        <v>92000</v>
      </c>
      <c r="F1112" s="2">
        <v>82800</v>
      </c>
      <c r="G1112" t="s">
        <v>17</v>
      </c>
      <c r="H1112" s="2">
        <v>687.19</v>
      </c>
      <c r="I1112" s="2">
        <v>82319.12</v>
      </c>
      <c r="J1112">
        <v>9.35E-2</v>
      </c>
      <c r="K1112">
        <v>11</v>
      </c>
      <c r="L1112">
        <v>349</v>
      </c>
      <c r="M1112" t="str">
        <f t="shared" si="309"/>
        <v>30 Year Fixed</v>
      </c>
      <c r="N1112" s="2">
        <v>641.4</v>
      </c>
      <c r="O1112" t="str">
        <f t="shared" si="306"/>
        <v>Refi</v>
      </c>
      <c r="P1112" s="3">
        <f t="shared" si="310"/>
        <v>0</v>
      </c>
      <c r="Q1112" s="4">
        <v>83554</v>
      </c>
      <c r="R1112" s="4" t="s">
        <v>41</v>
      </c>
      <c r="S1112" s="6">
        <v>607</v>
      </c>
      <c r="T1112">
        <v>7</v>
      </c>
      <c r="U1112" s="7">
        <f t="shared" si="307"/>
        <v>590.70101348868093</v>
      </c>
      <c r="V1112" s="2">
        <f t="shared" si="311"/>
        <v>96.488986511319126</v>
      </c>
      <c r="W1112" s="9">
        <f t="shared" si="312"/>
        <v>0</v>
      </c>
      <c r="X1112" s="3">
        <v>83554</v>
      </c>
      <c r="Y1112" s="3">
        <f t="shared" si="313"/>
        <v>9.1822660106117837E-2</v>
      </c>
      <c r="Z1112" s="7">
        <f t="shared" si="314"/>
        <v>590.70101348868093</v>
      </c>
      <c r="AA1112" s="2">
        <f t="shared" si="308"/>
        <v>96.488986511319126</v>
      </c>
      <c r="AB1112" s="8">
        <f t="shared" si="315"/>
        <v>0</v>
      </c>
      <c r="AC1112" s="10">
        <v>7</v>
      </c>
      <c r="AD1112" s="7">
        <f t="shared" si="316"/>
        <v>590.70101348868093</v>
      </c>
      <c r="AE1112" s="2">
        <f t="shared" si="317"/>
        <v>96.488986511319126</v>
      </c>
      <c r="AF1112" s="10">
        <v>0</v>
      </c>
      <c r="AG1112" s="3">
        <f t="shared" si="318"/>
        <v>0</v>
      </c>
      <c r="AH1112" s="7">
        <v>3870.9</v>
      </c>
      <c r="AI1112">
        <f t="shared" si="319"/>
        <v>360</v>
      </c>
      <c r="AJ1112" t="e">
        <f>VLOOKUP(A1112,'Borrower Details'!$A$1:$H$1493,8,FALSE)</f>
        <v>#N/A</v>
      </c>
      <c r="AK1112" s="4" t="e">
        <f t="shared" si="320"/>
        <v>#N/A</v>
      </c>
      <c r="AL1112" s="10">
        <v>7</v>
      </c>
      <c r="AM1112" s="3">
        <f t="shared" si="321"/>
        <v>83553.906799999982</v>
      </c>
      <c r="AN1112">
        <v>7</v>
      </c>
      <c r="AO1112" s="7">
        <f t="shared" si="322"/>
        <v>590.70035459342205</v>
      </c>
      <c r="AP1112" s="2">
        <f t="shared" si="323"/>
        <v>96.489645406578006</v>
      </c>
    </row>
    <row r="1113" spans="1:42" x14ac:dyDescent="0.15">
      <c r="A1113" s="8">
        <v>1150345</v>
      </c>
      <c r="B1113" t="s">
        <v>36</v>
      </c>
      <c r="C1113" t="s">
        <v>19</v>
      </c>
      <c r="D1113" s="1">
        <v>39140</v>
      </c>
      <c r="E1113" s="2">
        <v>220000</v>
      </c>
      <c r="F1113" s="2">
        <v>198000</v>
      </c>
      <c r="G1113" t="s">
        <v>15</v>
      </c>
      <c r="H1113" s="2">
        <v>1173.3399999999999</v>
      </c>
      <c r="I1113" s="2">
        <v>196685.02</v>
      </c>
      <c r="J1113">
        <v>6.6000000000000003E-2</v>
      </c>
      <c r="K1113">
        <v>14</v>
      </c>
      <c r="L1113">
        <v>345</v>
      </c>
      <c r="M1113" t="str">
        <f t="shared" si="309"/>
        <v>30 Year Fixed</v>
      </c>
      <c r="N1113" s="2">
        <v>1082.27</v>
      </c>
      <c r="O1113" t="str">
        <f t="shared" si="306"/>
        <v>Refi</v>
      </c>
      <c r="P1113" s="3">
        <f t="shared" si="310"/>
        <v>0</v>
      </c>
      <c r="Q1113" s="4">
        <v>199635</v>
      </c>
      <c r="R1113" s="4" t="s">
        <v>41</v>
      </c>
      <c r="S1113" s="6">
        <v>683</v>
      </c>
      <c r="T1113">
        <v>6.75</v>
      </c>
      <c r="U1113" s="7">
        <f t="shared" si="307"/>
        <v>1378.0100600839537</v>
      </c>
      <c r="V1113" s="2">
        <f t="shared" si="311"/>
        <v>-204.67006008395379</v>
      </c>
      <c r="W1113" s="9">
        <f t="shared" si="312"/>
        <v>0</v>
      </c>
      <c r="X1113" s="3">
        <v>199635</v>
      </c>
      <c r="Y1113" s="3">
        <f t="shared" si="313"/>
        <v>-0.29093596056918614</v>
      </c>
      <c r="Z1113" s="7">
        <f t="shared" si="314"/>
        <v>1378.0100600839537</v>
      </c>
      <c r="AA1113" s="2">
        <f t="shared" si="308"/>
        <v>-204.67006008395379</v>
      </c>
      <c r="AB1113" s="8">
        <f t="shared" si="315"/>
        <v>1</v>
      </c>
      <c r="AC1113" s="10">
        <v>6.125</v>
      </c>
      <c r="AD1113" s="7">
        <f t="shared" si="316"/>
        <v>1296.1845506919099</v>
      </c>
      <c r="AE1113" s="2">
        <f t="shared" si="317"/>
        <v>-122.84455069190994</v>
      </c>
      <c r="AF1113" s="10">
        <v>3</v>
      </c>
      <c r="AG1113" s="3">
        <f t="shared" si="318"/>
        <v>5989.05</v>
      </c>
      <c r="AH1113" s="7">
        <v>3960</v>
      </c>
      <c r="AI1113">
        <f t="shared" si="319"/>
        <v>360</v>
      </c>
      <c r="AJ1113" t="e">
        <f>VLOOKUP(A1113,'Borrower Details'!$A$1:$H$1493,8,FALSE)</f>
        <v>#N/A</v>
      </c>
      <c r="AK1113" s="4" t="e">
        <f t="shared" si="320"/>
        <v>#N/A</v>
      </c>
      <c r="AL1113" s="10">
        <v>6.75</v>
      </c>
      <c r="AM1113" s="3">
        <f t="shared" si="321"/>
        <v>199635.29529999997</v>
      </c>
      <c r="AN1113">
        <v>6.75</v>
      </c>
      <c r="AO1113" s="7">
        <f t="shared" si="322"/>
        <v>1378.0120984357991</v>
      </c>
      <c r="AP1113" s="2">
        <f t="shared" si="323"/>
        <v>-204.67209843579917</v>
      </c>
    </row>
    <row r="1114" spans="1:42" x14ac:dyDescent="0.15">
      <c r="A1114" s="8">
        <v>1182597</v>
      </c>
      <c r="B1114" t="s">
        <v>36</v>
      </c>
      <c r="C1114" t="s">
        <v>19</v>
      </c>
      <c r="D1114" s="1">
        <v>39176</v>
      </c>
      <c r="E1114" s="2">
        <v>163500</v>
      </c>
      <c r="F1114" s="2">
        <v>155325</v>
      </c>
      <c r="G1114" t="s">
        <v>15</v>
      </c>
      <c r="H1114" s="2">
        <v>1252.19</v>
      </c>
      <c r="I1114" s="2">
        <v>154897.39000000001</v>
      </c>
      <c r="J1114">
        <v>9.4500000000000001E-2</v>
      </c>
      <c r="K1114">
        <v>13</v>
      </c>
      <c r="L1114">
        <v>346</v>
      </c>
      <c r="M1114" t="str">
        <f t="shared" si="309"/>
        <v>30 Year Fixed</v>
      </c>
      <c r="N1114" s="2">
        <v>1220.07</v>
      </c>
      <c r="O1114" t="str">
        <f t="shared" si="306"/>
        <v>Refi</v>
      </c>
      <c r="P1114" s="3">
        <f t="shared" si="310"/>
        <v>0</v>
      </c>
      <c r="Q1114" s="4">
        <v>157221</v>
      </c>
      <c r="R1114" s="4" t="s">
        <v>41</v>
      </c>
      <c r="S1114" s="6">
        <v>583</v>
      </c>
      <c r="T1114">
        <v>7.375</v>
      </c>
      <c r="U1114" s="7">
        <f t="shared" si="307"/>
        <v>1151.3951238040104</v>
      </c>
      <c r="V1114" s="2">
        <f t="shared" si="311"/>
        <v>100.79487619598967</v>
      </c>
      <c r="W1114" s="9">
        <f t="shared" si="312"/>
        <v>0</v>
      </c>
      <c r="X1114" s="3">
        <v>157221</v>
      </c>
      <c r="Y1114" s="3">
        <f t="shared" si="313"/>
        <v>0.14694581279763952</v>
      </c>
      <c r="Z1114" s="7">
        <f t="shared" si="314"/>
        <v>1151.3951238040104</v>
      </c>
      <c r="AA1114" s="2">
        <f t="shared" si="308"/>
        <v>100.79487619598967</v>
      </c>
      <c r="AB1114" s="8">
        <f t="shared" si="315"/>
        <v>0</v>
      </c>
      <c r="AC1114" s="10">
        <v>7.375</v>
      </c>
      <c r="AD1114" s="7">
        <f t="shared" si="316"/>
        <v>1151.3951238040104</v>
      </c>
      <c r="AE1114" s="2">
        <f t="shared" si="317"/>
        <v>100.79487619598967</v>
      </c>
      <c r="AF1114" s="10">
        <v>0</v>
      </c>
      <c r="AG1114" s="3">
        <f t="shared" si="318"/>
        <v>0</v>
      </c>
      <c r="AH1114" s="7">
        <v>3106.5</v>
      </c>
      <c r="AI1114">
        <f t="shared" si="319"/>
        <v>360</v>
      </c>
      <c r="AJ1114" t="e">
        <f>VLOOKUP(A1114,'Borrower Details'!$A$1:$H$1493,8,FALSE)</f>
        <v>#N/A</v>
      </c>
      <c r="AK1114" s="4" t="e">
        <f t="shared" si="320"/>
        <v>#N/A</v>
      </c>
      <c r="AL1114" s="10">
        <v>7.375</v>
      </c>
      <c r="AM1114" s="3">
        <f t="shared" si="321"/>
        <v>157220.85084999999</v>
      </c>
      <c r="AN1114">
        <v>7.375</v>
      </c>
      <c r="AO1114" s="7">
        <f t="shared" si="322"/>
        <v>1151.3940315161944</v>
      </c>
      <c r="AP1114" s="2">
        <f t="shared" si="323"/>
        <v>100.79596848380561</v>
      </c>
    </row>
    <row r="1115" spans="1:42" x14ac:dyDescent="0.15">
      <c r="A1115" s="8">
        <v>410422083</v>
      </c>
      <c r="B1115" t="s">
        <v>36</v>
      </c>
      <c r="C1115" t="s">
        <v>18</v>
      </c>
      <c r="D1115" s="1">
        <v>39247</v>
      </c>
      <c r="E1115" s="2">
        <v>179500</v>
      </c>
      <c r="F1115" s="2">
        <v>151300</v>
      </c>
      <c r="G1115" t="s">
        <v>17</v>
      </c>
      <c r="H1115" s="2">
        <v>1163.3699999999999</v>
      </c>
      <c r="I1115" s="2">
        <v>150353.62</v>
      </c>
      <c r="J1115">
        <v>8.5000000000000006E-2</v>
      </c>
      <c r="K1115">
        <v>10</v>
      </c>
      <c r="L1115">
        <v>350</v>
      </c>
      <c r="M1115" t="str">
        <f t="shared" si="309"/>
        <v>30 Year Fixed</v>
      </c>
      <c r="N1115" s="2">
        <v>1065</v>
      </c>
      <c r="O1115" t="str">
        <f t="shared" si="306"/>
        <v>Refi</v>
      </c>
      <c r="P1115" s="3">
        <f t="shared" si="310"/>
        <v>0</v>
      </c>
      <c r="Q1115" s="4">
        <v>152609</v>
      </c>
      <c r="R1115" s="4" t="s">
        <v>41</v>
      </c>
      <c r="S1115" s="6">
        <v>614</v>
      </c>
      <c r="T1115">
        <v>6.875</v>
      </c>
      <c r="U1115" s="7">
        <f t="shared" si="307"/>
        <v>1066.1195765954019</v>
      </c>
      <c r="V1115" s="2">
        <f t="shared" si="311"/>
        <v>97.250423404597996</v>
      </c>
      <c r="W1115" s="9">
        <f t="shared" si="312"/>
        <v>0</v>
      </c>
      <c r="X1115" s="3">
        <v>152609</v>
      </c>
      <c r="Y1115" s="3">
        <f t="shared" si="313"/>
        <v>7.4581280816346407E-2</v>
      </c>
      <c r="Z1115" s="7">
        <f t="shared" si="314"/>
        <v>1066.1195765954019</v>
      </c>
      <c r="AA1115" s="2">
        <f t="shared" si="308"/>
        <v>97.250423404597996</v>
      </c>
      <c r="AB1115" s="8">
        <f t="shared" si="315"/>
        <v>0</v>
      </c>
      <c r="AC1115" s="10">
        <v>6.875</v>
      </c>
      <c r="AD1115" s="7">
        <f t="shared" si="316"/>
        <v>1066.1195765954019</v>
      </c>
      <c r="AE1115" s="2">
        <f t="shared" si="317"/>
        <v>97.250423404597996</v>
      </c>
      <c r="AF1115" s="10">
        <v>0</v>
      </c>
      <c r="AG1115" s="3">
        <f t="shared" si="318"/>
        <v>0</v>
      </c>
      <c r="AH1115" s="7">
        <v>3026</v>
      </c>
      <c r="AI1115">
        <f t="shared" si="319"/>
        <v>360</v>
      </c>
      <c r="AJ1115" t="e">
        <f>VLOOKUP(A1115,'Borrower Details'!$A$1:$H$1493,8,FALSE)</f>
        <v>#N/A</v>
      </c>
      <c r="AK1115" s="4" t="e">
        <f t="shared" si="320"/>
        <v>#N/A</v>
      </c>
      <c r="AL1115" s="10">
        <v>6.875</v>
      </c>
      <c r="AM1115" s="3">
        <f t="shared" si="321"/>
        <v>152608.92429999998</v>
      </c>
      <c r="AN1115">
        <v>6.875</v>
      </c>
      <c r="AO1115" s="7">
        <f t="shared" si="322"/>
        <v>1066.1190477586233</v>
      </c>
      <c r="AP1115" s="2">
        <f t="shared" si="323"/>
        <v>97.250952241376581</v>
      </c>
    </row>
    <row r="1116" spans="1:42" x14ac:dyDescent="0.15">
      <c r="A1116" s="8">
        <v>1159476</v>
      </c>
      <c r="B1116" t="s">
        <v>35</v>
      </c>
      <c r="C1116" t="s">
        <v>16</v>
      </c>
      <c r="D1116" s="1">
        <v>39146</v>
      </c>
      <c r="E1116" s="2">
        <v>215000</v>
      </c>
      <c r="F1116" s="2">
        <v>155000</v>
      </c>
      <c r="G1116" t="s">
        <v>17</v>
      </c>
      <c r="H1116" s="2">
        <v>1059.48</v>
      </c>
      <c r="I1116" s="2">
        <v>153093.82</v>
      </c>
      <c r="J1116">
        <v>7.2700000000000001E-2</v>
      </c>
      <c r="K1116">
        <v>13</v>
      </c>
      <c r="L1116">
        <v>347</v>
      </c>
      <c r="M1116" t="str">
        <f t="shared" si="309"/>
        <v>30 Year Fixed</v>
      </c>
      <c r="N1116" s="2">
        <v>927.49</v>
      </c>
      <c r="O1116" t="str">
        <f t="shared" si="306"/>
        <v>Cash Out</v>
      </c>
      <c r="P1116" s="3">
        <f t="shared" si="310"/>
        <v>26955.441083743848</v>
      </c>
      <c r="Q1116" s="4">
        <v>182750</v>
      </c>
      <c r="R1116" s="4" t="s">
        <v>41</v>
      </c>
      <c r="S1116" s="6">
        <v>626</v>
      </c>
      <c r="T1116">
        <v>6.75</v>
      </c>
      <c r="U1116" s="7">
        <f t="shared" si="307"/>
        <v>1261.458854811744</v>
      </c>
      <c r="V1116" s="2">
        <f t="shared" si="311"/>
        <v>-201.97885481174399</v>
      </c>
      <c r="W1116" s="9">
        <f t="shared" si="312"/>
        <v>1</v>
      </c>
      <c r="X1116" s="3">
        <v>155390</v>
      </c>
      <c r="Y1116" s="3">
        <f t="shared" si="313"/>
        <v>-0.22394088670262136</v>
      </c>
      <c r="Z1116" s="7">
        <f t="shared" si="314"/>
        <v>1072.6024155906807</v>
      </c>
      <c r="AA1116" s="2">
        <f t="shared" si="308"/>
        <v>-13.122415590680703</v>
      </c>
      <c r="AB1116" s="8">
        <f t="shared" si="315"/>
        <v>1</v>
      </c>
      <c r="AC1116" s="10">
        <v>6.125</v>
      </c>
      <c r="AD1116" s="7">
        <f t="shared" si="316"/>
        <v>1008.911850787767</v>
      </c>
      <c r="AE1116" s="2">
        <f t="shared" si="317"/>
        <v>50.568149212233038</v>
      </c>
      <c r="AF1116" s="10">
        <v>3</v>
      </c>
      <c r="AG1116" s="3">
        <f t="shared" si="318"/>
        <v>4661.7</v>
      </c>
      <c r="AH1116" s="7">
        <v>5634.25</v>
      </c>
      <c r="AI1116">
        <f t="shared" si="319"/>
        <v>360</v>
      </c>
      <c r="AJ1116" t="e">
        <f>VLOOKUP(A1116,'Borrower Details'!$A$1:$H$1493,8,FALSE)</f>
        <v>#N/A</v>
      </c>
      <c r="AK1116" s="4" t="e">
        <f t="shared" si="320"/>
        <v>#N/A</v>
      </c>
      <c r="AL1116" s="10">
        <v>6.75</v>
      </c>
      <c r="AM1116" s="3">
        <f t="shared" si="321"/>
        <v>155390.2273</v>
      </c>
      <c r="AN1116">
        <v>6.75</v>
      </c>
      <c r="AO1116" s="7">
        <f t="shared" si="322"/>
        <v>1072.6039845624875</v>
      </c>
      <c r="AP1116" s="2">
        <f t="shared" si="323"/>
        <v>-13.123984562487522</v>
      </c>
    </row>
    <row r="1117" spans="1:42" x14ac:dyDescent="0.15">
      <c r="A1117" s="8">
        <v>1152458</v>
      </c>
      <c r="B1117" t="s">
        <v>36</v>
      </c>
      <c r="C1117" t="s">
        <v>18</v>
      </c>
      <c r="D1117" s="1">
        <v>39139</v>
      </c>
      <c r="E1117" s="2">
        <v>360000</v>
      </c>
      <c r="F1117" s="2">
        <v>270000</v>
      </c>
      <c r="G1117" t="s">
        <v>17</v>
      </c>
      <c r="H1117" s="2">
        <v>1794.51</v>
      </c>
      <c r="I1117" s="2">
        <v>266534.49</v>
      </c>
      <c r="J1117">
        <v>6.9900000000000004E-2</v>
      </c>
      <c r="K1117">
        <v>14</v>
      </c>
      <c r="L1117">
        <v>345</v>
      </c>
      <c r="M1117" t="str">
        <f t="shared" si="309"/>
        <v>30 Year Fixed</v>
      </c>
      <c r="N1117" s="2">
        <v>1553.96</v>
      </c>
      <c r="O1117" t="str">
        <f t="shared" si="306"/>
        <v>Cash Out</v>
      </c>
      <c r="P1117" s="3">
        <f t="shared" si="310"/>
        <v>34943.342512315314</v>
      </c>
      <c r="Q1117" s="4">
        <v>306000</v>
      </c>
      <c r="R1117" s="4" t="s">
        <v>41</v>
      </c>
      <c r="S1117" s="6">
        <v>650</v>
      </c>
      <c r="T1117">
        <v>6.75</v>
      </c>
      <c r="U1117" s="7">
        <f t="shared" si="307"/>
        <v>2112.2101754987343</v>
      </c>
      <c r="V1117" s="2">
        <f t="shared" si="311"/>
        <v>-317.70017549873432</v>
      </c>
      <c r="W1117" s="9">
        <f t="shared" si="312"/>
        <v>1</v>
      </c>
      <c r="X1117" s="3">
        <v>270532</v>
      </c>
      <c r="Y1117" s="3">
        <f t="shared" si="313"/>
        <v>-0.49985221668612212</v>
      </c>
      <c r="Z1117" s="7">
        <f t="shared" si="314"/>
        <v>1867.3870692745868</v>
      </c>
      <c r="AA1117" s="2">
        <f t="shared" si="308"/>
        <v>-72.877069274586802</v>
      </c>
      <c r="AB1117" s="8">
        <f t="shared" si="315"/>
        <v>1</v>
      </c>
      <c r="AC1117" s="10">
        <v>6.125</v>
      </c>
      <c r="AD1117" s="7">
        <f t="shared" si="316"/>
        <v>1756.5026116050979</v>
      </c>
      <c r="AE1117" s="2">
        <f t="shared" si="317"/>
        <v>38.007388394902136</v>
      </c>
      <c r="AF1117" s="10">
        <v>3</v>
      </c>
      <c r="AG1117" s="3">
        <f t="shared" si="318"/>
        <v>8115.96</v>
      </c>
      <c r="AH1117" s="7">
        <v>5400</v>
      </c>
      <c r="AI1117">
        <f t="shared" si="319"/>
        <v>360</v>
      </c>
      <c r="AJ1117" t="e">
        <f>VLOOKUP(A1117,'Borrower Details'!$A$1:$H$1493,8,FALSE)</f>
        <v>#N/A</v>
      </c>
      <c r="AK1117" s="4" t="e">
        <f t="shared" si="320"/>
        <v>#N/A</v>
      </c>
      <c r="AL1117" s="10">
        <v>6.75</v>
      </c>
      <c r="AM1117" s="3">
        <f t="shared" si="321"/>
        <v>270532.50734999997</v>
      </c>
      <c r="AN1117">
        <v>6.75</v>
      </c>
      <c r="AO1117" s="7">
        <f t="shared" si="322"/>
        <v>1867.3905713328629</v>
      </c>
      <c r="AP1117" s="2">
        <f t="shared" si="323"/>
        <v>-72.880571332862928</v>
      </c>
    </row>
    <row r="1118" spans="1:42" x14ac:dyDescent="0.15">
      <c r="A1118" s="8">
        <v>1148178</v>
      </c>
      <c r="B1118" t="s">
        <v>35</v>
      </c>
      <c r="C1118" t="s">
        <v>16</v>
      </c>
      <c r="D1118" s="1">
        <v>39143</v>
      </c>
      <c r="E1118" s="2">
        <v>360000</v>
      </c>
      <c r="F1118" s="2">
        <v>324000</v>
      </c>
      <c r="G1118" t="s">
        <v>15</v>
      </c>
      <c r="H1118" s="2">
        <v>2630.33</v>
      </c>
      <c r="I1118" s="2">
        <v>321831.06</v>
      </c>
      <c r="J1118">
        <v>9.0999999999999998E-2</v>
      </c>
      <c r="K1118">
        <v>13</v>
      </c>
      <c r="L1118">
        <v>348</v>
      </c>
      <c r="M1118" t="str">
        <f t="shared" si="309"/>
        <v>30 Year Fixed</v>
      </c>
      <c r="N1118" s="2">
        <v>2440.5500000000002</v>
      </c>
      <c r="O1118" t="str">
        <f t="shared" si="306"/>
        <v>Refi</v>
      </c>
      <c r="P1118" s="3">
        <f t="shared" si="310"/>
        <v>0</v>
      </c>
      <c r="Q1118" s="4">
        <v>326659</v>
      </c>
      <c r="R1118" s="4" t="s">
        <v>41</v>
      </c>
      <c r="S1118" s="6">
        <v>551</v>
      </c>
      <c r="T1118">
        <v>7.625</v>
      </c>
      <c r="U1118" s="7">
        <f t="shared" si="307"/>
        <v>2448.1798905712585</v>
      </c>
      <c r="V1118" s="2">
        <f t="shared" si="311"/>
        <v>182.15010942874142</v>
      </c>
      <c r="W1118" s="9">
        <f t="shared" si="312"/>
        <v>0</v>
      </c>
      <c r="X1118" s="3">
        <v>326659</v>
      </c>
      <c r="Y1118" s="3">
        <f t="shared" si="313"/>
        <v>0.46709359611850232</v>
      </c>
      <c r="Z1118" s="7">
        <f t="shared" si="314"/>
        <v>2448.1798905712585</v>
      </c>
      <c r="AA1118" s="2">
        <f t="shared" si="308"/>
        <v>182.15010942874142</v>
      </c>
      <c r="AB1118" s="8">
        <f t="shared" si="315"/>
        <v>0</v>
      </c>
      <c r="AC1118" s="10">
        <v>7.625</v>
      </c>
      <c r="AD1118" s="7">
        <f t="shared" si="316"/>
        <v>2448.1798905712585</v>
      </c>
      <c r="AE1118" s="2">
        <f t="shared" si="317"/>
        <v>182.15010942874142</v>
      </c>
      <c r="AF1118" s="10">
        <v>0</v>
      </c>
      <c r="AG1118" s="3">
        <f t="shared" si="318"/>
        <v>0</v>
      </c>
      <c r="AH1118" s="7">
        <v>14742</v>
      </c>
      <c r="AI1118">
        <f t="shared" si="319"/>
        <v>360</v>
      </c>
      <c r="AJ1118" t="e">
        <f>VLOOKUP(A1118,'Borrower Details'!$A$1:$H$1493,8,FALSE)</f>
        <v>#N/A</v>
      </c>
      <c r="AK1118" s="4" t="e">
        <f t="shared" si="320"/>
        <v>#N/A</v>
      </c>
      <c r="AL1118" s="10">
        <v>7.625</v>
      </c>
      <c r="AM1118" s="3">
        <f t="shared" si="321"/>
        <v>326658.52589999995</v>
      </c>
      <c r="AN1118">
        <v>7.625</v>
      </c>
      <c r="AO1118" s="7">
        <f t="shared" si="322"/>
        <v>2448.1763373794402</v>
      </c>
      <c r="AP1118" s="2">
        <f t="shared" si="323"/>
        <v>182.15366262055977</v>
      </c>
    </row>
    <row r="1119" spans="1:42" x14ac:dyDescent="0.15">
      <c r="A1119" s="8">
        <v>1123703</v>
      </c>
      <c r="B1119" t="s">
        <v>36</v>
      </c>
      <c r="C1119" t="s">
        <v>19</v>
      </c>
      <c r="D1119" s="1">
        <v>39146</v>
      </c>
      <c r="E1119" s="2">
        <v>280000</v>
      </c>
      <c r="F1119" s="2">
        <v>165000</v>
      </c>
      <c r="G1119" t="s">
        <v>17</v>
      </c>
      <c r="H1119" s="2">
        <v>1042.92</v>
      </c>
      <c r="I1119" s="2">
        <v>162828.06</v>
      </c>
      <c r="J1119">
        <v>6.5000000000000002E-2</v>
      </c>
      <c r="K1119">
        <v>13</v>
      </c>
      <c r="L1119">
        <v>346</v>
      </c>
      <c r="M1119" t="str">
        <f t="shared" si="309"/>
        <v>30 Year Fixed</v>
      </c>
      <c r="N1119" s="2">
        <v>881.99</v>
      </c>
      <c r="O1119" t="str">
        <f t="shared" si="306"/>
        <v>Cash Out</v>
      </c>
      <c r="P1119" s="3">
        <f t="shared" si="310"/>
        <v>71654.698620689684</v>
      </c>
      <c r="Q1119" s="4">
        <v>238000</v>
      </c>
      <c r="R1119" s="4" t="s">
        <v>41</v>
      </c>
      <c r="S1119" s="6">
        <v>657</v>
      </c>
      <c r="T1119">
        <v>6.75</v>
      </c>
      <c r="U1119" s="7">
        <f t="shared" si="307"/>
        <v>1642.8301364990157</v>
      </c>
      <c r="V1119" s="2">
        <f t="shared" si="311"/>
        <v>-599.91013649901561</v>
      </c>
      <c r="W1119" s="9">
        <f t="shared" si="312"/>
        <v>1</v>
      </c>
      <c r="X1119" s="3">
        <v>165270</v>
      </c>
      <c r="Y1119" s="3">
        <f t="shared" si="313"/>
        <v>-0.47379310341784731</v>
      </c>
      <c r="Z1119" s="7">
        <f t="shared" si="314"/>
        <v>1140.800574198287</v>
      </c>
      <c r="AA1119" s="2">
        <f t="shared" si="308"/>
        <v>-97.880574198286922</v>
      </c>
      <c r="AB1119" s="8">
        <f t="shared" si="315"/>
        <v>1</v>
      </c>
      <c r="AC1119" s="10">
        <v>6.125</v>
      </c>
      <c r="AD1119" s="7">
        <f t="shared" si="316"/>
        <v>1073.0604387650058</v>
      </c>
      <c r="AE1119" s="2">
        <f t="shared" si="317"/>
        <v>-30.140438765005683</v>
      </c>
      <c r="AF1119" s="10">
        <v>3</v>
      </c>
      <c r="AG1119" s="3">
        <f t="shared" si="318"/>
        <v>4958.1000000000004</v>
      </c>
      <c r="AH1119" s="7">
        <v>3300</v>
      </c>
      <c r="AI1119">
        <f t="shared" si="319"/>
        <v>360</v>
      </c>
      <c r="AJ1119" t="e">
        <f>VLOOKUP(A1119,'Borrower Details'!$A$1:$H$1493,8,FALSE)</f>
        <v>#N/A</v>
      </c>
      <c r="AK1119" s="4" t="e">
        <f t="shared" si="320"/>
        <v>#N/A</v>
      </c>
      <c r="AL1119" s="10">
        <v>6.75</v>
      </c>
      <c r="AM1119" s="3">
        <f t="shared" si="321"/>
        <v>165270.4809</v>
      </c>
      <c r="AN1119">
        <v>6.75</v>
      </c>
      <c r="AO1119" s="7">
        <f t="shared" si="322"/>
        <v>1140.8038936815333</v>
      </c>
      <c r="AP1119" s="2">
        <f t="shared" si="323"/>
        <v>-97.883893681533209</v>
      </c>
    </row>
    <row r="1120" spans="1:42" x14ac:dyDescent="0.15">
      <c r="A1120" s="8">
        <v>410149595</v>
      </c>
      <c r="B1120" t="s">
        <v>36</v>
      </c>
      <c r="C1120" t="s">
        <v>18</v>
      </c>
      <c r="D1120" s="1">
        <v>39204</v>
      </c>
      <c r="E1120" s="2">
        <v>215000</v>
      </c>
      <c r="F1120" s="2">
        <v>110000</v>
      </c>
      <c r="G1120" t="s">
        <v>15</v>
      </c>
      <c r="H1120" s="2">
        <v>790.62</v>
      </c>
      <c r="I1120" s="2">
        <v>109856.79</v>
      </c>
      <c r="J1120">
        <v>8.5000000000000006E-2</v>
      </c>
      <c r="K1120">
        <v>12</v>
      </c>
      <c r="L1120">
        <v>348</v>
      </c>
      <c r="M1120" t="str">
        <f t="shared" si="309"/>
        <v>30 Year Fixed</v>
      </c>
      <c r="N1120" s="2">
        <v>778.15</v>
      </c>
      <c r="O1120" t="str">
        <f t="shared" si="306"/>
        <v>Cash Out</v>
      </c>
      <c r="P1120" s="3">
        <f t="shared" si="310"/>
        <v>70192.471083743862</v>
      </c>
      <c r="Q1120" s="4">
        <v>182750</v>
      </c>
      <c r="R1120" s="4" t="s">
        <v>41</v>
      </c>
      <c r="S1120" s="6">
        <v>536</v>
      </c>
      <c r="T1120">
        <v>7.625</v>
      </c>
      <c r="U1120" s="7">
        <f t="shared" si="307"/>
        <v>1369.6389047964312</v>
      </c>
      <c r="V1120" s="2">
        <f t="shared" si="311"/>
        <v>-579.01890479643123</v>
      </c>
      <c r="W1120" s="9">
        <f t="shared" si="312"/>
        <v>1</v>
      </c>
      <c r="X1120" s="3">
        <v>111505</v>
      </c>
      <c r="Y1120" s="3">
        <f t="shared" si="313"/>
        <v>0.35285714287601877</v>
      </c>
      <c r="Z1120" s="7">
        <f t="shared" si="314"/>
        <v>835.68583353940403</v>
      </c>
      <c r="AA1120" s="2">
        <f t="shared" si="308"/>
        <v>-45.065833539404025</v>
      </c>
      <c r="AB1120" s="8">
        <f t="shared" si="315"/>
        <v>1</v>
      </c>
      <c r="AC1120" s="10">
        <v>6.875</v>
      </c>
      <c r="AD1120" s="7">
        <f t="shared" si="316"/>
        <v>778.96889035555114</v>
      </c>
      <c r="AE1120" s="2">
        <f t="shared" si="317"/>
        <v>11.651109644448866</v>
      </c>
      <c r="AF1120" s="10">
        <v>1</v>
      </c>
      <c r="AG1120" s="3">
        <f t="shared" si="318"/>
        <v>1115.05</v>
      </c>
      <c r="AH1120" s="7">
        <v>2200</v>
      </c>
      <c r="AI1120">
        <f t="shared" si="319"/>
        <v>360</v>
      </c>
      <c r="AJ1120" t="e">
        <f>VLOOKUP(A1120,'Borrower Details'!$A$1:$H$1493,8,FALSE)</f>
        <v>#N/A</v>
      </c>
      <c r="AK1120" s="4" t="e">
        <f t="shared" si="320"/>
        <v>#N/A</v>
      </c>
      <c r="AL1120" s="10">
        <v>7.625</v>
      </c>
      <c r="AM1120" s="3">
        <f t="shared" si="321"/>
        <v>111504.64184999999</v>
      </c>
      <c r="AN1120">
        <v>7.625</v>
      </c>
      <c r="AO1120" s="7">
        <f t="shared" si="322"/>
        <v>835.68314934693456</v>
      </c>
      <c r="AP1120" s="2">
        <f t="shared" si="323"/>
        <v>-45.063149346934551</v>
      </c>
    </row>
    <row r="1121" spans="1:42" x14ac:dyDescent="0.15">
      <c r="A1121" s="8">
        <v>410244081</v>
      </c>
      <c r="B1121" t="s">
        <v>35</v>
      </c>
      <c r="C1121" t="s">
        <v>16</v>
      </c>
      <c r="D1121" s="1">
        <v>39233</v>
      </c>
      <c r="E1121" s="2">
        <v>120000</v>
      </c>
      <c r="F1121" s="2">
        <v>114000</v>
      </c>
      <c r="G1121" t="s">
        <v>20</v>
      </c>
      <c r="H1121" s="2">
        <v>909.08</v>
      </c>
      <c r="I1121" s="2">
        <v>113205.13</v>
      </c>
      <c r="J1121">
        <v>8.8999999999999996E-2</v>
      </c>
      <c r="K1121">
        <v>11</v>
      </c>
      <c r="L1121">
        <v>348</v>
      </c>
      <c r="M1121" t="str">
        <f t="shared" si="309"/>
        <v>30 Year Fixed</v>
      </c>
      <c r="N1121" s="2">
        <v>840.12</v>
      </c>
      <c r="O1121" t="str">
        <f t="shared" si="306"/>
        <v>Refi</v>
      </c>
      <c r="P1121" s="3">
        <f t="shared" si="310"/>
        <v>0</v>
      </c>
      <c r="Q1121" s="4">
        <v>114903</v>
      </c>
      <c r="R1121" s="4" t="s">
        <v>41</v>
      </c>
      <c r="S1121" s="6">
        <v>644</v>
      </c>
      <c r="T1121">
        <v>6.75</v>
      </c>
      <c r="U1121" s="7">
        <f t="shared" si="307"/>
        <v>793.13492089977478</v>
      </c>
      <c r="V1121" s="2">
        <f t="shared" si="311"/>
        <v>115.94507910022526</v>
      </c>
      <c r="W1121" s="9">
        <f t="shared" si="312"/>
        <v>0</v>
      </c>
      <c r="X1121" s="3">
        <v>114903</v>
      </c>
      <c r="Y1121" s="3">
        <f t="shared" si="313"/>
        <v>-0.20389162561332341</v>
      </c>
      <c r="Z1121" s="7">
        <f t="shared" si="314"/>
        <v>793.13492089977478</v>
      </c>
      <c r="AA1121" s="2">
        <f t="shared" si="308"/>
        <v>115.94507910022526</v>
      </c>
      <c r="AB1121" s="8">
        <f t="shared" si="315"/>
        <v>0</v>
      </c>
      <c r="AC1121" s="10">
        <v>6.75</v>
      </c>
      <c r="AD1121" s="7">
        <f t="shared" si="316"/>
        <v>793.13492089977478</v>
      </c>
      <c r="AE1121" s="2">
        <f t="shared" si="317"/>
        <v>115.94507910022526</v>
      </c>
      <c r="AF1121" s="10">
        <v>0</v>
      </c>
      <c r="AG1121" s="3">
        <f t="shared" si="318"/>
        <v>0</v>
      </c>
      <c r="AH1121" s="7">
        <v>5073</v>
      </c>
      <c r="AI1121">
        <f t="shared" si="319"/>
        <v>360</v>
      </c>
      <c r="AJ1121" t="e">
        <f>VLOOKUP(A1121,'Borrower Details'!$A$1:$H$1493,8,FALSE)</f>
        <v>#N/A</v>
      </c>
      <c r="AK1121" s="4" t="e">
        <f t="shared" si="320"/>
        <v>#N/A</v>
      </c>
      <c r="AL1121" s="10">
        <v>6.75</v>
      </c>
      <c r="AM1121" s="3">
        <f t="shared" si="321"/>
        <v>114903.20694999999</v>
      </c>
      <c r="AN1121">
        <v>6.75</v>
      </c>
      <c r="AO1121" s="7">
        <f t="shared" si="322"/>
        <v>793.13634940270219</v>
      </c>
      <c r="AP1121" s="2">
        <f t="shared" si="323"/>
        <v>115.94365059729785</v>
      </c>
    </row>
    <row r="1122" spans="1:42" x14ac:dyDescent="0.15">
      <c r="A1122" s="8">
        <v>1165798</v>
      </c>
      <c r="B1122" t="s">
        <v>37</v>
      </c>
      <c r="C1122" t="s">
        <v>19</v>
      </c>
      <c r="D1122" s="1">
        <v>39157</v>
      </c>
      <c r="E1122" s="2">
        <v>206000</v>
      </c>
      <c r="F1122" s="2">
        <v>175100</v>
      </c>
      <c r="G1122" t="s">
        <v>15</v>
      </c>
      <c r="H1122" s="2">
        <v>1377.52</v>
      </c>
      <c r="I1122" s="2">
        <v>173620.66</v>
      </c>
      <c r="J1122">
        <v>8.7499999999999994E-2</v>
      </c>
      <c r="K1122">
        <v>13</v>
      </c>
      <c r="L1122">
        <v>346</v>
      </c>
      <c r="M1122" t="str">
        <f t="shared" si="309"/>
        <v>30 Year Fixed</v>
      </c>
      <c r="N1122" s="2">
        <v>1265.98</v>
      </c>
      <c r="O1122" t="str">
        <f t="shared" si="306"/>
        <v>Refi</v>
      </c>
      <c r="P1122" s="3">
        <f t="shared" si="310"/>
        <v>0</v>
      </c>
      <c r="Q1122" s="4">
        <v>176225</v>
      </c>
      <c r="R1122" s="4" t="s">
        <v>41</v>
      </c>
      <c r="S1122" s="6">
        <v>582</v>
      </c>
      <c r="T1122">
        <v>7.375</v>
      </c>
      <c r="U1122" s="7">
        <f t="shared" si="307"/>
        <v>1290.5693621867417</v>
      </c>
      <c r="V1122" s="2">
        <f t="shared" si="311"/>
        <v>86.950637813258254</v>
      </c>
      <c r="W1122" s="9">
        <f t="shared" si="312"/>
        <v>0</v>
      </c>
      <c r="X1122" s="3">
        <v>176225</v>
      </c>
      <c r="Y1122" s="3">
        <f t="shared" si="313"/>
        <v>2.9655172431375831E-2</v>
      </c>
      <c r="Z1122" s="7">
        <f t="shared" si="314"/>
        <v>1290.5693621867417</v>
      </c>
      <c r="AA1122" s="2">
        <f t="shared" si="308"/>
        <v>86.950637813258254</v>
      </c>
      <c r="AB1122" s="8">
        <f t="shared" si="315"/>
        <v>1</v>
      </c>
      <c r="AC1122" s="10">
        <v>6.625</v>
      </c>
      <c r="AD1122" s="7">
        <f t="shared" si="316"/>
        <v>1201.8150744879595</v>
      </c>
      <c r="AE1122" s="2">
        <f t="shared" si="317"/>
        <v>175.70492551204052</v>
      </c>
      <c r="AF1122" s="10">
        <v>1.875</v>
      </c>
      <c r="AG1122" s="3">
        <f t="shared" si="318"/>
        <v>3304.21875</v>
      </c>
      <c r="AH1122" s="7">
        <v>1751</v>
      </c>
      <c r="AI1122">
        <f t="shared" si="319"/>
        <v>360</v>
      </c>
      <c r="AJ1122" t="e">
        <f>VLOOKUP(A1122,'Borrower Details'!$A$1:$H$1493,8,FALSE)</f>
        <v>#N/A</v>
      </c>
      <c r="AK1122" s="4" t="e">
        <f t="shared" si="320"/>
        <v>#N/A</v>
      </c>
      <c r="AL1122" s="10">
        <v>7.375</v>
      </c>
      <c r="AM1122" s="3">
        <f t="shared" si="321"/>
        <v>176224.9699</v>
      </c>
      <c r="AN1122">
        <v>7.375</v>
      </c>
      <c r="AO1122" s="7">
        <f t="shared" si="322"/>
        <v>1290.5691417518558</v>
      </c>
      <c r="AP1122" s="2">
        <f t="shared" si="323"/>
        <v>86.950858248144186</v>
      </c>
    </row>
    <row r="1123" spans="1:42" x14ac:dyDescent="0.15">
      <c r="A1123" s="8">
        <v>1137229</v>
      </c>
      <c r="B1123" t="s">
        <v>35</v>
      </c>
      <c r="C1123" t="s">
        <v>16</v>
      </c>
      <c r="D1123" s="1">
        <v>39133</v>
      </c>
      <c r="E1123" s="2">
        <v>120000</v>
      </c>
      <c r="F1123" s="2">
        <v>108000</v>
      </c>
      <c r="G1123" t="s">
        <v>15</v>
      </c>
      <c r="H1123" s="2">
        <v>861.24</v>
      </c>
      <c r="I1123" s="2">
        <v>107179.43</v>
      </c>
      <c r="J1123">
        <v>8.8999999999999996E-2</v>
      </c>
      <c r="K1123">
        <v>14</v>
      </c>
      <c r="L1123">
        <v>347</v>
      </c>
      <c r="M1123" t="str">
        <f t="shared" si="309"/>
        <v>30 Year Fixed</v>
      </c>
      <c r="N1123" s="2">
        <v>794.91</v>
      </c>
      <c r="O1123" t="str">
        <f t="shared" si="306"/>
        <v>Refi</v>
      </c>
      <c r="P1123" s="3">
        <f t="shared" si="310"/>
        <v>0</v>
      </c>
      <c r="Q1123" s="4">
        <v>108787</v>
      </c>
      <c r="R1123" s="4" t="s">
        <v>41</v>
      </c>
      <c r="S1123" s="6">
        <v>527</v>
      </c>
      <c r="T1123">
        <v>7.625</v>
      </c>
      <c r="U1123" s="7">
        <f t="shared" si="307"/>
        <v>815.31549951348495</v>
      </c>
      <c r="V1123" s="2">
        <f t="shared" si="311"/>
        <v>45.924500486515058</v>
      </c>
      <c r="W1123" s="9">
        <f t="shared" si="312"/>
        <v>0</v>
      </c>
      <c r="X1123" s="3">
        <v>108787</v>
      </c>
      <c r="Y1123" s="3">
        <f t="shared" si="313"/>
        <v>-0.11965517239877954</v>
      </c>
      <c r="Z1123" s="7">
        <f t="shared" si="314"/>
        <v>815.31549951348495</v>
      </c>
      <c r="AA1123" s="2">
        <f t="shared" si="308"/>
        <v>45.924500486515058</v>
      </c>
      <c r="AB1123" s="8">
        <f t="shared" si="315"/>
        <v>1</v>
      </c>
      <c r="AC1123" s="10">
        <v>6.875</v>
      </c>
      <c r="AD1123" s="7">
        <f t="shared" si="316"/>
        <v>759.9810651998506</v>
      </c>
      <c r="AE1123" s="2">
        <f t="shared" si="317"/>
        <v>101.2589348001494</v>
      </c>
      <c r="AF1123" s="10">
        <v>1.75</v>
      </c>
      <c r="AG1123" s="3">
        <f t="shared" si="318"/>
        <v>1903.7725</v>
      </c>
      <c r="AH1123" s="7">
        <v>4806</v>
      </c>
      <c r="AI1123">
        <f t="shared" si="319"/>
        <v>360</v>
      </c>
      <c r="AJ1123" t="e">
        <f>VLOOKUP(A1123,'Borrower Details'!$A$1:$H$1493,8,FALSE)</f>
        <v>#N/A</v>
      </c>
      <c r="AK1123" s="4" t="e">
        <f t="shared" si="320"/>
        <v>#N/A</v>
      </c>
      <c r="AL1123" s="10">
        <v>7.625</v>
      </c>
      <c r="AM1123" s="3">
        <f t="shared" si="321"/>
        <v>108787.12144999998</v>
      </c>
      <c r="AN1123">
        <v>7.625</v>
      </c>
      <c r="AO1123" s="7">
        <f t="shared" si="322"/>
        <v>815.31640973315643</v>
      </c>
      <c r="AP1123" s="2">
        <f t="shared" si="323"/>
        <v>45.923590266843576</v>
      </c>
    </row>
    <row r="1124" spans="1:42" x14ac:dyDescent="0.15">
      <c r="A1124" s="8">
        <v>1150033</v>
      </c>
      <c r="B1124" t="s">
        <v>38</v>
      </c>
      <c r="C1124" t="s">
        <v>19</v>
      </c>
      <c r="D1124" s="1">
        <v>39141</v>
      </c>
      <c r="E1124" s="2">
        <v>155000</v>
      </c>
      <c r="F1124" s="2">
        <v>147250</v>
      </c>
      <c r="G1124" t="s">
        <v>15</v>
      </c>
      <c r="H1124" s="2">
        <v>1079.45</v>
      </c>
      <c r="I1124" s="2">
        <v>145688.69</v>
      </c>
      <c r="J1124">
        <v>7.9899999999999999E-2</v>
      </c>
      <c r="K1124">
        <v>14</v>
      </c>
      <c r="L1124">
        <v>345</v>
      </c>
      <c r="M1124" t="str">
        <f t="shared" si="309"/>
        <v>30 Year Fixed</v>
      </c>
      <c r="N1124" s="2">
        <v>970.04</v>
      </c>
      <c r="O1124" t="str">
        <f t="shared" si="306"/>
        <v>Refi</v>
      </c>
      <c r="P1124" s="3">
        <f t="shared" si="310"/>
        <v>0</v>
      </c>
      <c r="Q1124" s="4">
        <v>147874</v>
      </c>
      <c r="R1124" s="4" t="s">
        <v>41</v>
      </c>
      <c r="S1124" s="6">
        <v>646</v>
      </c>
      <c r="T1124">
        <v>6.75</v>
      </c>
      <c r="U1124" s="7">
        <f t="shared" si="307"/>
        <v>1020.7221159859471</v>
      </c>
      <c r="V1124" s="2">
        <f t="shared" si="311"/>
        <v>58.727884014052961</v>
      </c>
      <c r="W1124" s="9">
        <f t="shared" si="312"/>
        <v>0</v>
      </c>
      <c r="X1124" s="3">
        <v>147874</v>
      </c>
      <c r="Y1124" s="3">
        <f t="shared" si="313"/>
        <v>-2.0049261074746028E-2</v>
      </c>
      <c r="Z1124" s="7">
        <f t="shared" si="314"/>
        <v>1020.7221159859471</v>
      </c>
      <c r="AA1124" s="2">
        <f t="shared" si="308"/>
        <v>58.727884014052961</v>
      </c>
      <c r="AB1124" s="8">
        <f t="shared" si="315"/>
        <v>1</v>
      </c>
      <c r="AC1124" s="10">
        <v>6.125</v>
      </c>
      <c r="AD1124" s="7">
        <f t="shared" si="316"/>
        <v>960.11217596621555</v>
      </c>
      <c r="AE1124" s="2">
        <f t="shared" si="317"/>
        <v>119.3378240337845</v>
      </c>
      <c r="AF1124" s="10">
        <v>3</v>
      </c>
      <c r="AG1124" s="3">
        <f t="shared" si="318"/>
        <v>4436.22</v>
      </c>
      <c r="AH1124" s="7">
        <v>0</v>
      </c>
      <c r="AI1124">
        <f t="shared" si="319"/>
        <v>360</v>
      </c>
      <c r="AJ1124" t="e">
        <f>VLOOKUP(A1124,'Borrower Details'!$A$1:$H$1493,8,FALSE)</f>
        <v>#N/A</v>
      </c>
      <c r="AK1124" s="4" t="e">
        <f t="shared" si="320"/>
        <v>#N/A</v>
      </c>
      <c r="AL1124" s="10">
        <v>6.75</v>
      </c>
      <c r="AM1124" s="3">
        <f t="shared" si="321"/>
        <v>147874.02034999998</v>
      </c>
      <c r="AN1124">
        <v>6.75</v>
      </c>
      <c r="AO1124" s="7">
        <f t="shared" si="322"/>
        <v>1020.7222564548263</v>
      </c>
      <c r="AP1124" s="2">
        <f t="shared" si="323"/>
        <v>58.72774354517378</v>
      </c>
    </row>
    <row r="1125" spans="1:42" x14ac:dyDescent="0.15">
      <c r="A1125" s="8">
        <v>410373955</v>
      </c>
      <c r="B1125" t="s">
        <v>36</v>
      </c>
      <c r="C1125" t="s">
        <v>19</v>
      </c>
      <c r="D1125" s="1">
        <v>39245</v>
      </c>
      <c r="E1125" s="2">
        <v>85000</v>
      </c>
      <c r="F1125" s="2">
        <v>59500</v>
      </c>
      <c r="G1125" t="s">
        <v>17</v>
      </c>
      <c r="H1125" s="2">
        <v>487.34</v>
      </c>
      <c r="I1125" s="2">
        <v>59176.51</v>
      </c>
      <c r="J1125">
        <v>9.1999999999999998E-2</v>
      </c>
      <c r="K1125">
        <v>10</v>
      </c>
      <c r="L1125">
        <v>350</v>
      </c>
      <c r="M1125" t="str">
        <f t="shared" si="309"/>
        <v>30 Year Fixed</v>
      </c>
      <c r="N1125" s="2">
        <v>453.69</v>
      </c>
      <c r="O1125" t="str">
        <f t="shared" si="306"/>
        <v>Cash Out</v>
      </c>
      <c r="P1125" s="3">
        <f t="shared" si="310"/>
        <v>12005.756009852215</v>
      </c>
      <c r="Q1125" s="4">
        <v>72250</v>
      </c>
      <c r="R1125" s="4" t="s">
        <v>41</v>
      </c>
      <c r="S1125" s="6">
        <v>634</v>
      </c>
      <c r="T1125">
        <v>6.875</v>
      </c>
      <c r="U1125" s="7">
        <f t="shared" si="307"/>
        <v>504.73523454722721</v>
      </c>
      <c r="V1125" s="2">
        <f t="shared" si="311"/>
        <v>-17.395234547227233</v>
      </c>
      <c r="W1125" s="9">
        <f t="shared" si="312"/>
        <v>1</v>
      </c>
      <c r="X1125" s="3">
        <v>69680</v>
      </c>
      <c r="Y1125" s="3">
        <f t="shared" si="313"/>
        <v>9473.7363054187226</v>
      </c>
      <c r="Z1125" s="7">
        <f t="shared" si="314"/>
        <v>486.78133070243314</v>
      </c>
      <c r="AA1125" s="2">
        <f t="shared" si="308"/>
        <v>0.55866929756683703</v>
      </c>
      <c r="AB1125" s="8">
        <f t="shared" si="315"/>
        <v>0</v>
      </c>
      <c r="AC1125" s="10">
        <v>6.875</v>
      </c>
      <c r="AD1125" s="7">
        <f t="shared" si="316"/>
        <v>486.78133070243314</v>
      </c>
      <c r="AE1125" s="2">
        <f t="shared" si="317"/>
        <v>0.55866929756683703</v>
      </c>
      <c r="AF1125" s="10">
        <v>0</v>
      </c>
      <c r="AG1125" s="3">
        <f t="shared" si="318"/>
        <v>0</v>
      </c>
      <c r="AH1125" s="7">
        <v>1190</v>
      </c>
      <c r="AI1125">
        <f t="shared" si="319"/>
        <v>360</v>
      </c>
      <c r="AJ1125" t="e">
        <f>VLOOKUP(A1125,'Borrower Details'!$A$1:$H$1493,8,FALSE)</f>
        <v>#N/A</v>
      </c>
      <c r="AK1125" s="4" t="e">
        <f t="shared" si="320"/>
        <v>#N/A</v>
      </c>
      <c r="AL1125" s="10">
        <v>6.875</v>
      </c>
      <c r="AM1125" s="3">
        <f t="shared" si="321"/>
        <v>60064.157649999994</v>
      </c>
      <c r="AN1125">
        <v>6.875</v>
      </c>
      <c r="AO1125" s="7">
        <f t="shared" si="322"/>
        <v>419.60549064850352</v>
      </c>
      <c r="AP1125" s="2">
        <f t="shared" si="323"/>
        <v>67.734509351496456</v>
      </c>
    </row>
    <row r="1126" spans="1:42" x14ac:dyDescent="0.15">
      <c r="A1126" s="8">
        <v>1185326</v>
      </c>
      <c r="B1126" t="s">
        <v>36</v>
      </c>
      <c r="C1126" t="s">
        <v>19</v>
      </c>
      <c r="D1126" s="1">
        <v>39202</v>
      </c>
      <c r="E1126" s="2">
        <v>170000</v>
      </c>
      <c r="F1126" s="2">
        <v>119000</v>
      </c>
      <c r="G1126" t="s">
        <v>17</v>
      </c>
      <c r="H1126" s="2">
        <v>872.36</v>
      </c>
      <c r="I1126" s="2">
        <v>118003.82</v>
      </c>
      <c r="J1126">
        <v>7.9899999999999999E-2</v>
      </c>
      <c r="K1126">
        <v>12</v>
      </c>
      <c r="L1126">
        <v>348</v>
      </c>
      <c r="M1126" t="str">
        <f t="shared" si="309"/>
        <v>30 Year Fixed</v>
      </c>
      <c r="N1126" s="2">
        <v>785.71</v>
      </c>
      <c r="O1126" t="str">
        <f t="shared" si="306"/>
        <v>Cash Out</v>
      </c>
      <c r="P1126" s="3">
        <f t="shared" si="310"/>
        <v>24360.712019704428</v>
      </c>
      <c r="Q1126" s="4">
        <v>144500</v>
      </c>
      <c r="R1126" s="4" t="s">
        <v>41</v>
      </c>
      <c r="S1126" s="6">
        <v>647</v>
      </c>
      <c r="T1126">
        <v>6.75</v>
      </c>
      <c r="U1126" s="7">
        <f t="shared" si="307"/>
        <v>997.43258287440233</v>
      </c>
      <c r="V1126" s="2">
        <f t="shared" si="311"/>
        <v>-125.07258287440231</v>
      </c>
      <c r="W1126" s="9">
        <f t="shared" si="312"/>
        <v>1</v>
      </c>
      <c r="X1126" s="3">
        <v>126300</v>
      </c>
      <c r="Y1126" s="3">
        <f t="shared" si="313"/>
        <v>6429.6775369458192</v>
      </c>
      <c r="Z1126" s="7">
        <f t="shared" si="314"/>
        <v>871.80439596565407</v>
      </c>
      <c r="AA1126" s="2">
        <f t="shared" si="308"/>
        <v>0.55560403434594718</v>
      </c>
      <c r="AB1126" s="8">
        <f t="shared" si="315"/>
        <v>1</v>
      </c>
      <c r="AC1126" s="10">
        <v>6.125</v>
      </c>
      <c r="AD1126" s="7">
        <f t="shared" si="316"/>
        <v>820.03711149041101</v>
      </c>
      <c r="AE1126" s="2">
        <f t="shared" si="317"/>
        <v>52.322888509589006</v>
      </c>
      <c r="AF1126" s="10">
        <v>3</v>
      </c>
      <c r="AG1126" s="3">
        <f t="shared" si="318"/>
        <v>3789</v>
      </c>
      <c r="AH1126" s="7">
        <v>2380</v>
      </c>
      <c r="AI1126">
        <f t="shared" si="319"/>
        <v>360</v>
      </c>
      <c r="AJ1126" t="e">
        <f>VLOOKUP(A1126,'Borrower Details'!$A$1:$H$1493,8,FALSE)</f>
        <v>#N/A</v>
      </c>
      <c r="AK1126" s="4" t="e">
        <f t="shared" si="320"/>
        <v>#N/A</v>
      </c>
      <c r="AL1126" s="10">
        <v>6.75</v>
      </c>
      <c r="AM1126" s="3">
        <f t="shared" si="321"/>
        <v>119773.87729999999</v>
      </c>
      <c r="AN1126">
        <v>6.75</v>
      </c>
      <c r="AO1126" s="7">
        <f t="shared" si="322"/>
        <v>826.75687056208119</v>
      </c>
      <c r="AP1126" s="2">
        <f t="shared" si="323"/>
        <v>45.603129437918824</v>
      </c>
    </row>
    <row r="1127" spans="1:42" x14ac:dyDescent="0.15">
      <c r="A1127" s="8">
        <v>1180979</v>
      </c>
      <c r="B1127" t="s">
        <v>36</v>
      </c>
      <c r="C1127" t="s">
        <v>19</v>
      </c>
      <c r="D1127" s="1">
        <v>39175</v>
      </c>
      <c r="E1127" s="2">
        <v>168900</v>
      </c>
      <c r="F1127" s="2">
        <v>126675</v>
      </c>
      <c r="G1127" t="s">
        <v>15</v>
      </c>
      <c r="H1127" s="2">
        <v>1000.18</v>
      </c>
      <c r="I1127" s="2">
        <v>125641.37</v>
      </c>
      <c r="J1127">
        <v>8.7900000000000006E-2</v>
      </c>
      <c r="K1127">
        <v>12</v>
      </c>
      <c r="L1127">
        <v>347</v>
      </c>
      <c r="M1127" t="str">
        <f t="shared" si="309"/>
        <v>30 Year Fixed</v>
      </c>
      <c r="N1127" s="2">
        <v>920.9</v>
      </c>
      <c r="O1127" t="str">
        <f t="shared" si="306"/>
        <v>Cash Out</v>
      </c>
      <c r="P1127" s="3">
        <f t="shared" si="310"/>
        <v>15801.979753694613</v>
      </c>
      <c r="Q1127" s="4">
        <v>143565</v>
      </c>
      <c r="R1127" s="4" t="s">
        <v>41</v>
      </c>
      <c r="S1127" s="6">
        <v>539</v>
      </c>
      <c r="T1127">
        <v>7.625</v>
      </c>
      <c r="U1127" s="7">
        <f t="shared" si="307"/>
        <v>1075.9628419540336</v>
      </c>
      <c r="V1127" s="2">
        <f t="shared" si="311"/>
        <v>-75.782841954033643</v>
      </c>
      <c r="W1127" s="9">
        <f t="shared" si="312"/>
        <v>1</v>
      </c>
      <c r="X1127" s="3">
        <v>133385</v>
      </c>
      <c r="Y1127" s="3">
        <f t="shared" si="313"/>
        <v>5772.4231034482946</v>
      </c>
      <c r="Z1127" s="7">
        <f t="shared" si="314"/>
        <v>999.66777190846506</v>
      </c>
      <c r="AA1127" s="2">
        <f t="shared" si="308"/>
        <v>0.51222809153489379</v>
      </c>
      <c r="AB1127" s="8">
        <f t="shared" si="315"/>
        <v>1</v>
      </c>
      <c r="AC1127" s="10">
        <v>6.875</v>
      </c>
      <c r="AD1127" s="7">
        <f t="shared" si="316"/>
        <v>931.82158145442077</v>
      </c>
      <c r="AE1127" s="2">
        <f t="shared" si="317"/>
        <v>68.358418545579184</v>
      </c>
      <c r="AF1127" s="10">
        <v>1</v>
      </c>
      <c r="AG1127" s="3">
        <f t="shared" si="318"/>
        <v>1333.85</v>
      </c>
      <c r="AH1127" s="7">
        <v>2533.5</v>
      </c>
      <c r="AI1127">
        <f t="shared" si="319"/>
        <v>360</v>
      </c>
      <c r="AJ1127" t="e">
        <f>VLOOKUP(A1127,'Borrower Details'!$A$1:$H$1493,8,FALSE)</f>
        <v>#N/A</v>
      </c>
      <c r="AK1127" s="4" t="e">
        <f t="shared" si="320"/>
        <v>#N/A</v>
      </c>
      <c r="AL1127" s="10">
        <v>7.625</v>
      </c>
      <c r="AM1127" s="3">
        <f t="shared" si="321"/>
        <v>127525.99054999999</v>
      </c>
      <c r="AN1127">
        <v>7.625</v>
      </c>
      <c r="AO1127" s="7">
        <f t="shared" si="322"/>
        <v>955.7568154855378</v>
      </c>
      <c r="AP1127" s="2">
        <f t="shared" si="323"/>
        <v>44.42318451446215</v>
      </c>
    </row>
    <row r="1128" spans="1:42" x14ac:dyDescent="0.15">
      <c r="A1128" s="8">
        <v>1163476</v>
      </c>
      <c r="B1128" t="s">
        <v>36</v>
      </c>
      <c r="C1128" t="s">
        <v>19</v>
      </c>
      <c r="D1128" s="1">
        <v>39167</v>
      </c>
      <c r="E1128" s="2">
        <v>189000</v>
      </c>
      <c r="F1128" s="2">
        <v>150200</v>
      </c>
      <c r="G1128" t="s">
        <v>17</v>
      </c>
      <c r="H1128" s="2">
        <v>1004.34</v>
      </c>
      <c r="I1128" s="2">
        <v>147298.38</v>
      </c>
      <c r="J1128">
        <v>7.0499999999999993E-2</v>
      </c>
      <c r="K1128">
        <v>13</v>
      </c>
      <c r="L1128">
        <v>347</v>
      </c>
      <c r="M1128" t="str">
        <f t="shared" si="309"/>
        <v>30 Year Fixed</v>
      </c>
      <c r="N1128" s="2">
        <v>865.38</v>
      </c>
      <c r="O1128" t="str">
        <f t="shared" si="306"/>
        <v>Cash Out</v>
      </c>
      <c r="P1128" s="3">
        <f t="shared" si="310"/>
        <v>10977.482068965532</v>
      </c>
      <c r="Q1128" s="4">
        <v>160650</v>
      </c>
      <c r="R1128" s="4" t="s">
        <v>41</v>
      </c>
      <c r="S1128" s="6">
        <v>608</v>
      </c>
      <c r="T1128">
        <v>6.875</v>
      </c>
      <c r="U1128" s="7">
        <f t="shared" si="307"/>
        <v>1122.2936391697169</v>
      </c>
      <c r="V1128" s="2">
        <f t="shared" si="311"/>
        <v>-117.95363916971689</v>
      </c>
      <c r="W1128" s="9">
        <f t="shared" si="312"/>
        <v>1</v>
      </c>
      <c r="X1128" s="3">
        <v>149507</v>
      </c>
      <c r="Y1128" s="3">
        <f t="shared" si="313"/>
        <v>-0.84305418719304726</v>
      </c>
      <c r="Z1128" s="7">
        <f t="shared" si="314"/>
        <v>1044.4491447951875</v>
      </c>
      <c r="AA1128" s="2">
        <f t="shared" si="308"/>
        <v>-40.10914479518749</v>
      </c>
      <c r="AB1128" s="8">
        <f t="shared" si="315"/>
        <v>1</v>
      </c>
      <c r="AC1128" s="10">
        <v>6.25</v>
      </c>
      <c r="AD1128" s="7">
        <f t="shared" si="316"/>
        <v>982.83489817482155</v>
      </c>
      <c r="AE1128" s="2">
        <f t="shared" si="317"/>
        <v>21.505101825178485</v>
      </c>
      <c r="AF1128" s="10">
        <v>2.5</v>
      </c>
      <c r="AG1128" s="3">
        <f t="shared" si="318"/>
        <v>3737.6750000000002</v>
      </c>
      <c r="AH1128" s="7">
        <v>3004</v>
      </c>
      <c r="AI1128">
        <f t="shared" si="319"/>
        <v>360</v>
      </c>
      <c r="AJ1128" t="e">
        <f>VLOOKUP(A1128,'Borrower Details'!$A$1:$H$1493,8,FALSE)</f>
        <v>#N/A</v>
      </c>
      <c r="AK1128" s="4" t="e">
        <f t="shared" si="320"/>
        <v>#N/A</v>
      </c>
      <c r="AL1128" s="10">
        <v>6.875</v>
      </c>
      <c r="AM1128" s="3">
        <f t="shared" si="321"/>
        <v>149507.85569999999</v>
      </c>
      <c r="AN1128">
        <v>6.875</v>
      </c>
      <c r="AO1128" s="7">
        <f t="shared" si="322"/>
        <v>1044.4551226767128</v>
      </c>
      <c r="AP1128" s="2">
        <f t="shared" si="323"/>
        <v>-40.115122676712758</v>
      </c>
    </row>
    <row r="1129" spans="1:42" x14ac:dyDescent="0.15">
      <c r="A1129" s="8">
        <v>410187231</v>
      </c>
      <c r="B1129" t="s">
        <v>36</v>
      </c>
      <c r="C1129" t="s">
        <v>19</v>
      </c>
      <c r="D1129" s="1">
        <v>39225</v>
      </c>
      <c r="E1129" s="2">
        <v>150000</v>
      </c>
      <c r="F1129" s="2">
        <v>112500</v>
      </c>
      <c r="G1129" t="s">
        <v>17</v>
      </c>
      <c r="H1129" s="2">
        <v>881.03</v>
      </c>
      <c r="I1129" s="2">
        <v>111753.89</v>
      </c>
      <c r="J1129">
        <v>8.6999999999999994E-2</v>
      </c>
      <c r="K1129">
        <v>11</v>
      </c>
      <c r="L1129">
        <v>349</v>
      </c>
      <c r="M1129" t="str">
        <f t="shared" si="309"/>
        <v>30 Year Fixed</v>
      </c>
      <c r="N1129" s="2">
        <v>810.22</v>
      </c>
      <c r="O1129" t="str">
        <f t="shared" si="306"/>
        <v>Cash Out</v>
      </c>
      <c r="P1129" s="3">
        <f t="shared" si="310"/>
        <v>13861.873546798044</v>
      </c>
      <c r="Q1129" s="4">
        <v>127500</v>
      </c>
      <c r="R1129" s="4" t="s">
        <v>41</v>
      </c>
      <c r="S1129" s="6">
        <v>565</v>
      </c>
      <c r="T1129">
        <v>7.625</v>
      </c>
      <c r="U1129" s="7">
        <f t="shared" si="307"/>
        <v>955.56202660216138</v>
      </c>
      <c r="V1129" s="2">
        <f t="shared" si="311"/>
        <v>-74.532026602161409</v>
      </c>
      <c r="W1129" s="9">
        <f t="shared" si="312"/>
        <v>1</v>
      </c>
      <c r="X1129" s="3">
        <v>117480</v>
      </c>
      <c r="Y1129" s="3">
        <f t="shared" si="313"/>
        <v>3989.9523645320296</v>
      </c>
      <c r="Z1129" s="7">
        <f t="shared" si="314"/>
        <v>880.46609321742687</v>
      </c>
      <c r="AA1129" s="2">
        <f t="shared" si="308"/>
        <v>0.56390678257309901</v>
      </c>
      <c r="AB1129" s="8">
        <f t="shared" si="315"/>
        <v>1</v>
      </c>
      <c r="AC1129" s="10">
        <v>6.875</v>
      </c>
      <c r="AD1129" s="7">
        <f t="shared" si="316"/>
        <v>820.70997030599665</v>
      </c>
      <c r="AE1129" s="2">
        <f t="shared" si="317"/>
        <v>60.320029694003324</v>
      </c>
      <c r="AF1129" s="10">
        <v>1</v>
      </c>
      <c r="AG1129" s="3">
        <f t="shared" si="318"/>
        <v>1174.8</v>
      </c>
      <c r="AH1129" s="7">
        <v>2250</v>
      </c>
      <c r="AI1129">
        <f t="shared" si="319"/>
        <v>360</v>
      </c>
      <c r="AJ1129" t="e">
        <f>VLOOKUP(A1129,'Borrower Details'!$A$1:$H$1493,8,FALSE)</f>
        <v>#N/A</v>
      </c>
      <c r="AK1129" s="4" t="e">
        <f t="shared" si="320"/>
        <v>#N/A</v>
      </c>
      <c r="AL1129" s="10">
        <v>7.625</v>
      </c>
      <c r="AM1129" s="3">
        <f t="shared" si="321"/>
        <v>113430.19834999999</v>
      </c>
      <c r="AN1129">
        <v>7.625</v>
      </c>
      <c r="AO1129" s="7">
        <f t="shared" si="322"/>
        <v>850.11443304479326</v>
      </c>
      <c r="AP1129" s="2">
        <f t="shared" si="323"/>
        <v>30.915566955206714</v>
      </c>
    </row>
    <row r="1130" spans="1:42" x14ac:dyDescent="0.15">
      <c r="A1130" s="8">
        <v>1183375</v>
      </c>
      <c r="B1130" t="s">
        <v>37</v>
      </c>
      <c r="C1130" t="s">
        <v>18</v>
      </c>
      <c r="D1130" s="1">
        <v>39174</v>
      </c>
      <c r="E1130" s="2">
        <v>239500</v>
      </c>
      <c r="F1130" s="2">
        <v>191600</v>
      </c>
      <c r="G1130" t="s">
        <v>21</v>
      </c>
      <c r="H1130" s="2">
        <v>1339.7</v>
      </c>
      <c r="I1130" s="2">
        <v>189831.97</v>
      </c>
      <c r="J1130">
        <v>7.4999999999999997E-2</v>
      </c>
      <c r="K1130">
        <v>12</v>
      </c>
      <c r="L1130">
        <v>348</v>
      </c>
      <c r="M1130" t="str">
        <f t="shared" si="309"/>
        <v>30 Year Fixed</v>
      </c>
      <c r="N1130" s="2">
        <v>1186.45</v>
      </c>
      <c r="O1130" t="str">
        <f t="shared" si="306"/>
        <v>Cash Out</v>
      </c>
      <c r="P1130" s="3">
        <f t="shared" si="310"/>
        <v>10734.532463054202</v>
      </c>
      <c r="Q1130" s="4">
        <v>203575</v>
      </c>
      <c r="R1130" s="4" t="s">
        <v>41</v>
      </c>
      <c r="S1130" s="6">
        <v>640</v>
      </c>
      <c r="T1130">
        <v>6.75</v>
      </c>
      <c r="U1130" s="7">
        <f t="shared" si="307"/>
        <v>1405.206491755408</v>
      </c>
      <c r="V1130" s="2">
        <f t="shared" si="311"/>
        <v>-65.506491755407978</v>
      </c>
      <c r="W1130" s="9">
        <f t="shared" si="312"/>
        <v>1</v>
      </c>
      <c r="X1130" s="3">
        <v>194005</v>
      </c>
      <c r="Y1130" s="3">
        <f t="shared" si="313"/>
        <v>1305.9610344827815</v>
      </c>
      <c r="Z1130" s="7">
        <f t="shared" si="314"/>
        <v>1339.1481539138297</v>
      </c>
      <c r="AA1130" s="2">
        <f t="shared" si="308"/>
        <v>0.55184608617037156</v>
      </c>
      <c r="AB1130" s="8">
        <f t="shared" si="315"/>
        <v>1</v>
      </c>
      <c r="AC1130" s="10">
        <v>6.125</v>
      </c>
      <c r="AD1130" s="7">
        <f t="shared" si="316"/>
        <v>1259.6302439801834</v>
      </c>
      <c r="AE1130" s="2">
        <f t="shared" si="317"/>
        <v>80.069756019816623</v>
      </c>
      <c r="AF1130" s="10">
        <v>3</v>
      </c>
      <c r="AG1130" s="3">
        <f t="shared" si="318"/>
        <v>5820.15</v>
      </c>
      <c r="AH1130" s="7">
        <v>1916</v>
      </c>
      <c r="AI1130">
        <f t="shared" si="319"/>
        <v>360</v>
      </c>
      <c r="AJ1130" t="e">
        <f>VLOOKUP(A1130,'Borrower Details'!$A$1:$H$1493,8,FALSE)</f>
        <v>#N/A</v>
      </c>
      <c r="AK1130" s="4" t="e">
        <f t="shared" si="320"/>
        <v>#N/A</v>
      </c>
      <c r="AL1130" s="10">
        <v>6.75</v>
      </c>
      <c r="AM1130" s="3">
        <f t="shared" si="321"/>
        <v>192679.44954999999</v>
      </c>
      <c r="AN1130">
        <v>6.75</v>
      </c>
      <c r="AO1130" s="7">
        <f t="shared" si="322"/>
        <v>1329.9983462385785</v>
      </c>
      <c r="AP1130" s="2">
        <f t="shared" si="323"/>
        <v>9.7016537614215395</v>
      </c>
    </row>
    <row r="1131" spans="1:42" x14ac:dyDescent="0.15">
      <c r="A1131" s="8">
        <v>410055735</v>
      </c>
      <c r="B1131" t="s">
        <v>37</v>
      </c>
      <c r="C1131" t="s">
        <v>19</v>
      </c>
      <c r="D1131" s="1">
        <v>39204</v>
      </c>
      <c r="E1131" s="2">
        <v>123000</v>
      </c>
      <c r="F1131" s="2">
        <v>116850</v>
      </c>
      <c r="G1131" t="s">
        <v>15</v>
      </c>
      <c r="H1131" s="2">
        <v>971.9</v>
      </c>
      <c r="I1131" s="2">
        <v>116238.73</v>
      </c>
      <c r="J1131">
        <v>9.375E-2</v>
      </c>
      <c r="K1131">
        <v>11</v>
      </c>
      <c r="L1131">
        <v>350</v>
      </c>
      <c r="M1131" t="str">
        <f t="shared" si="309"/>
        <v>30 Year Fixed</v>
      </c>
      <c r="N1131" s="2">
        <v>908.12</v>
      </c>
      <c r="O1131" t="str">
        <f t="shared" si="306"/>
        <v>Refi</v>
      </c>
      <c r="P1131" s="3">
        <f t="shared" si="310"/>
        <v>0</v>
      </c>
      <c r="Q1131" s="4">
        <v>117982</v>
      </c>
      <c r="R1131" s="4" t="s">
        <v>41</v>
      </c>
      <c r="S1131" s="6">
        <v>624</v>
      </c>
      <c r="T1131">
        <v>6.75</v>
      </c>
      <c r="U1131" s="7">
        <f t="shared" si="307"/>
        <v>814.38817295977674</v>
      </c>
      <c r="V1131" s="2">
        <f t="shared" si="311"/>
        <v>157.51182704022324</v>
      </c>
      <c r="W1131" s="9">
        <f t="shared" si="312"/>
        <v>0</v>
      </c>
      <c r="X1131" s="3">
        <v>117983</v>
      </c>
      <c r="Y1131" s="3">
        <f t="shared" si="313"/>
        <v>0.67886699509108439</v>
      </c>
      <c r="Z1131" s="7">
        <f t="shared" si="314"/>
        <v>814.39507560740901</v>
      </c>
      <c r="AA1131" s="2">
        <f t="shared" si="308"/>
        <v>157.50492439259096</v>
      </c>
      <c r="AB1131" s="8">
        <f t="shared" si="315"/>
        <v>0</v>
      </c>
      <c r="AC1131" s="10">
        <v>6.75</v>
      </c>
      <c r="AD1131" s="7">
        <f t="shared" si="316"/>
        <v>814.39507560740901</v>
      </c>
      <c r="AE1131" s="2">
        <f t="shared" si="317"/>
        <v>157.50492439259096</v>
      </c>
      <c r="AF1131" s="10">
        <v>0</v>
      </c>
      <c r="AG1131" s="3">
        <f t="shared" si="318"/>
        <v>0</v>
      </c>
      <c r="AH1131" s="7">
        <v>0</v>
      </c>
      <c r="AI1131">
        <f t="shared" si="319"/>
        <v>360</v>
      </c>
      <c r="AJ1131" t="e">
        <f>VLOOKUP(A1131,'Borrower Details'!$A$1:$H$1493,8,FALSE)</f>
        <v>#N/A</v>
      </c>
      <c r="AK1131" s="4" t="e">
        <f t="shared" si="320"/>
        <v>#N/A</v>
      </c>
      <c r="AL1131" s="10">
        <v>6.75</v>
      </c>
      <c r="AM1131" s="3">
        <f t="shared" si="321"/>
        <v>117982.31094999998</v>
      </c>
      <c r="AN1131">
        <v>6.75</v>
      </c>
      <c r="AO1131" s="7">
        <f t="shared" si="322"/>
        <v>814.39031933805791</v>
      </c>
      <c r="AP1131" s="2">
        <f t="shared" si="323"/>
        <v>157.50968066194207</v>
      </c>
    </row>
    <row r="1132" spans="1:42" x14ac:dyDescent="0.15">
      <c r="A1132" s="8">
        <v>1154078</v>
      </c>
      <c r="B1132" t="s">
        <v>36</v>
      </c>
      <c r="C1132" t="s">
        <v>19</v>
      </c>
      <c r="D1132" s="1">
        <v>39155</v>
      </c>
      <c r="E1132" s="2">
        <v>296500</v>
      </c>
      <c r="F1132" s="2">
        <v>265500</v>
      </c>
      <c r="G1132" t="s">
        <v>17</v>
      </c>
      <c r="H1132" s="2">
        <v>1938.9</v>
      </c>
      <c r="I1132" s="2">
        <v>263260.01</v>
      </c>
      <c r="J1132">
        <v>7.9500000000000001E-2</v>
      </c>
      <c r="K1132">
        <v>13</v>
      </c>
      <c r="L1132">
        <v>348</v>
      </c>
      <c r="M1132" t="str">
        <f t="shared" si="309"/>
        <v>30 Year Fixed</v>
      </c>
      <c r="N1132" s="2">
        <v>1744.1</v>
      </c>
      <c r="O1132" t="str">
        <f t="shared" si="306"/>
        <v>Refi</v>
      </c>
      <c r="P1132" s="3">
        <f t="shared" si="310"/>
        <v>0</v>
      </c>
      <c r="Q1132" s="4">
        <v>267209</v>
      </c>
      <c r="R1132" s="4" t="s">
        <v>41</v>
      </c>
      <c r="S1132" s="6">
        <v>618</v>
      </c>
      <c r="T1132">
        <v>6.875</v>
      </c>
      <c r="U1132" s="7">
        <f t="shared" si="307"/>
        <v>1866.7099970675438</v>
      </c>
      <c r="V1132" s="2">
        <f t="shared" si="311"/>
        <v>72.190002932456309</v>
      </c>
      <c r="W1132" s="9">
        <f t="shared" si="312"/>
        <v>0</v>
      </c>
      <c r="X1132" s="3">
        <v>267209</v>
      </c>
      <c r="Y1132" s="3">
        <f t="shared" si="313"/>
        <v>8.8522167527116835E-2</v>
      </c>
      <c r="Z1132" s="7">
        <f t="shared" si="314"/>
        <v>1866.7099970675438</v>
      </c>
      <c r="AA1132" s="2">
        <f t="shared" si="308"/>
        <v>72.190002932456309</v>
      </c>
      <c r="AB1132" s="8">
        <f t="shared" si="315"/>
        <v>1</v>
      </c>
      <c r="AC1132" s="10">
        <v>6.25</v>
      </c>
      <c r="AD1132" s="7">
        <f t="shared" si="316"/>
        <v>1756.5888574206951</v>
      </c>
      <c r="AE1132" s="2">
        <f t="shared" si="317"/>
        <v>182.31114257930494</v>
      </c>
      <c r="AF1132" s="10">
        <v>2.5</v>
      </c>
      <c r="AG1132" s="3">
        <f t="shared" si="318"/>
        <v>6680.2250000000004</v>
      </c>
      <c r="AH1132" s="7">
        <v>5310</v>
      </c>
      <c r="AI1132">
        <f t="shared" si="319"/>
        <v>360</v>
      </c>
      <c r="AJ1132" t="e">
        <f>VLOOKUP(A1132,'Borrower Details'!$A$1:$H$1493,8,FALSE)</f>
        <v>#N/A</v>
      </c>
      <c r="AK1132" s="4" t="e">
        <f t="shared" si="320"/>
        <v>#N/A</v>
      </c>
      <c r="AL1132" s="10">
        <v>6.875</v>
      </c>
      <c r="AM1132" s="3">
        <f t="shared" si="321"/>
        <v>267208.91015000001</v>
      </c>
      <c r="AN1132">
        <v>6.875</v>
      </c>
      <c r="AO1132" s="7">
        <f t="shared" si="322"/>
        <v>1866.7093693795048</v>
      </c>
      <c r="AP1132" s="2">
        <f t="shared" si="323"/>
        <v>72.190630620495313</v>
      </c>
    </row>
    <row r="1133" spans="1:42" x14ac:dyDescent="0.15">
      <c r="A1133" s="8">
        <v>410462659</v>
      </c>
      <c r="B1133" t="s">
        <v>36</v>
      </c>
      <c r="C1133" t="s">
        <v>18</v>
      </c>
      <c r="D1133" s="1">
        <v>39275</v>
      </c>
      <c r="E1133" s="2">
        <v>255000</v>
      </c>
      <c r="F1133" s="2">
        <v>216435</v>
      </c>
      <c r="G1133" t="s">
        <v>17</v>
      </c>
      <c r="H1133" s="2">
        <v>1781.09</v>
      </c>
      <c r="I1133" s="2">
        <v>216219.33</v>
      </c>
      <c r="J1133">
        <v>9.8000000000000004E-2</v>
      </c>
      <c r="K1133">
        <v>9</v>
      </c>
      <c r="L1133">
        <v>351</v>
      </c>
      <c r="M1133" t="str">
        <f t="shared" si="309"/>
        <v>30 Year Fixed</v>
      </c>
      <c r="N1133" s="2">
        <v>1765.79</v>
      </c>
      <c r="O1133" t="str">
        <f t="shared" si="306"/>
        <v>Refi</v>
      </c>
      <c r="P1133" s="3">
        <f t="shared" si="310"/>
        <v>0</v>
      </c>
      <c r="Q1133" s="4">
        <v>219463</v>
      </c>
      <c r="R1133" s="4" t="s">
        <v>41</v>
      </c>
      <c r="S1133" s="6">
        <v>550</v>
      </c>
      <c r="T1133">
        <v>7.625</v>
      </c>
      <c r="U1133" s="7">
        <f t="shared" si="307"/>
        <v>1644.7883062289422</v>
      </c>
      <c r="V1133" s="2">
        <f t="shared" si="311"/>
        <v>136.30169377105767</v>
      </c>
      <c r="W1133" s="9">
        <f t="shared" si="312"/>
        <v>0</v>
      </c>
      <c r="X1133" s="3">
        <v>219463</v>
      </c>
      <c r="Y1133" s="3">
        <f t="shared" si="313"/>
        <v>0.37443349757813849</v>
      </c>
      <c r="Z1133" s="7">
        <f t="shared" si="314"/>
        <v>1644.7883062289422</v>
      </c>
      <c r="AA1133" s="2">
        <f t="shared" si="308"/>
        <v>136.30169377105767</v>
      </c>
      <c r="AB1133" s="8">
        <f t="shared" si="315"/>
        <v>0</v>
      </c>
      <c r="AC1133" s="10">
        <v>7.625</v>
      </c>
      <c r="AD1133" s="7">
        <f t="shared" si="316"/>
        <v>1644.7883062289422</v>
      </c>
      <c r="AE1133" s="2">
        <f t="shared" si="317"/>
        <v>136.30169377105767</v>
      </c>
      <c r="AF1133" s="10">
        <v>0</v>
      </c>
      <c r="AG1133" s="3">
        <f t="shared" si="318"/>
        <v>0</v>
      </c>
      <c r="AH1133" s="7">
        <v>4328.7</v>
      </c>
      <c r="AI1133">
        <f t="shared" si="319"/>
        <v>360</v>
      </c>
      <c r="AJ1133" t="e">
        <f>VLOOKUP(A1133,'Borrower Details'!$A$1:$H$1493,8,FALSE)</f>
        <v>#N/A</v>
      </c>
      <c r="AK1133" s="4" t="e">
        <f t="shared" si="320"/>
        <v>#N/A</v>
      </c>
      <c r="AL1133" s="10">
        <v>7.625</v>
      </c>
      <c r="AM1133" s="3">
        <f t="shared" si="321"/>
        <v>219462.61994999996</v>
      </c>
      <c r="AN1133">
        <v>7.625</v>
      </c>
      <c r="AO1133" s="7">
        <f t="shared" si="322"/>
        <v>1644.7854579046425</v>
      </c>
      <c r="AP1133" s="2">
        <f t="shared" si="323"/>
        <v>136.30454209535742</v>
      </c>
    </row>
    <row r="1134" spans="1:42" x14ac:dyDescent="0.15">
      <c r="A1134" s="8">
        <v>411174097</v>
      </c>
      <c r="B1134" t="s">
        <v>35</v>
      </c>
      <c r="C1134" t="s">
        <v>16</v>
      </c>
      <c r="D1134" s="1">
        <v>39433</v>
      </c>
      <c r="E1134" s="2">
        <v>75000</v>
      </c>
      <c r="F1134" s="2">
        <v>63750</v>
      </c>
      <c r="G1134" t="s">
        <v>17</v>
      </c>
      <c r="H1134" s="2">
        <v>636.17999999999995</v>
      </c>
      <c r="I1134" s="2">
        <v>63669.120000000003</v>
      </c>
      <c r="J1134">
        <v>0.11600000000000001</v>
      </c>
      <c r="K1134">
        <v>4</v>
      </c>
      <c r="L1134">
        <v>356</v>
      </c>
      <c r="M1134" t="str">
        <f t="shared" si="309"/>
        <v>30 Year Fixed</v>
      </c>
      <c r="N1134" s="2">
        <v>615.47</v>
      </c>
      <c r="O1134" t="str">
        <f t="shared" si="306"/>
        <v>Refi</v>
      </c>
      <c r="P1134" s="3">
        <f t="shared" si="310"/>
        <v>0</v>
      </c>
      <c r="Q1134" s="4">
        <v>64624</v>
      </c>
      <c r="R1134" s="4" t="s">
        <v>41</v>
      </c>
      <c r="S1134" s="6">
        <v>563</v>
      </c>
      <c r="T1134">
        <v>7.625</v>
      </c>
      <c r="U1134" s="7">
        <f t="shared" si="307"/>
        <v>484.3312973108869</v>
      </c>
      <c r="V1134" s="2">
        <f t="shared" si="311"/>
        <v>151.84870268911305</v>
      </c>
      <c r="W1134" s="9">
        <f t="shared" si="312"/>
        <v>0</v>
      </c>
      <c r="X1134" s="3">
        <v>64624</v>
      </c>
      <c r="Y1134" s="3">
        <f t="shared" si="313"/>
        <v>-0.15448275861854199</v>
      </c>
      <c r="Z1134" s="7">
        <f t="shared" si="314"/>
        <v>484.3312973108869</v>
      </c>
      <c r="AA1134" s="2">
        <f t="shared" si="308"/>
        <v>151.84870268911305</v>
      </c>
      <c r="AB1134" s="8">
        <f t="shared" si="315"/>
        <v>0</v>
      </c>
      <c r="AC1134" s="10">
        <v>7.625</v>
      </c>
      <c r="AD1134" s="7">
        <f t="shared" si="316"/>
        <v>484.3312973108869</v>
      </c>
      <c r="AE1134" s="2">
        <f t="shared" si="317"/>
        <v>151.84870268911305</v>
      </c>
      <c r="AF1134" s="10">
        <v>0</v>
      </c>
      <c r="AG1134" s="3">
        <f t="shared" si="318"/>
        <v>0</v>
      </c>
      <c r="AH1134" s="7">
        <v>3697.5</v>
      </c>
      <c r="AI1134">
        <f t="shared" si="319"/>
        <v>360</v>
      </c>
      <c r="AJ1134" t="e">
        <f>VLOOKUP(A1134,'Borrower Details'!$A$1:$H$1493,8,FALSE)</f>
        <v>#N/A</v>
      </c>
      <c r="AK1134" s="4" t="e">
        <f t="shared" si="320"/>
        <v>#N/A</v>
      </c>
      <c r="AL1134" s="10">
        <v>7.625</v>
      </c>
      <c r="AM1134" s="3">
        <f t="shared" si="321"/>
        <v>64624.156799999997</v>
      </c>
      <c r="AN1134">
        <v>7.625</v>
      </c>
      <c r="AO1134" s="7">
        <f t="shared" si="322"/>
        <v>484.33247246481449</v>
      </c>
      <c r="AP1134" s="2">
        <f t="shared" si="323"/>
        <v>151.84752753518546</v>
      </c>
    </row>
    <row r="1135" spans="1:42" x14ac:dyDescent="0.15">
      <c r="A1135" s="8">
        <v>1154604</v>
      </c>
      <c r="B1135" t="s">
        <v>38</v>
      </c>
      <c r="C1135" t="s">
        <v>19</v>
      </c>
      <c r="D1135" s="1">
        <v>39140</v>
      </c>
      <c r="E1135" s="2">
        <v>77000</v>
      </c>
      <c r="F1135" s="2">
        <v>73150</v>
      </c>
      <c r="G1135" t="s">
        <v>15</v>
      </c>
      <c r="H1135" s="2">
        <v>607.89</v>
      </c>
      <c r="I1135" s="2">
        <v>73087.509999999995</v>
      </c>
      <c r="J1135">
        <v>9.9000000000000005E-2</v>
      </c>
      <c r="K1135">
        <v>14</v>
      </c>
      <c r="L1135">
        <v>348</v>
      </c>
      <c r="M1135" t="str">
        <f t="shared" si="309"/>
        <v>30 Year Fixed</v>
      </c>
      <c r="N1135" s="2">
        <v>602.97</v>
      </c>
      <c r="O1135" t="str">
        <f t="shared" si="306"/>
        <v>Refi</v>
      </c>
      <c r="P1135" s="3">
        <f t="shared" si="310"/>
        <v>0</v>
      </c>
      <c r="Q1135" s="4">
        <v>74184</v>
      </c>
      <c r="R1135" s="4" t="s">
        <v>41</v>
      </c>
      <c r="S1135" s="6">
        <v>587</v>
      </c>
      <c r="T1135">
        <v>7.625</v>
      </c>
      <c r="U1135" s="7">
        <f t="shared" si="307"/>
        <v>555.97971279572346</v>
      </c>
      <c r="V1135" s="2">
        <f t="shared" si="311"/>
        <v>51.910287204276528</v>
      </c>
      <c r="W1135" s="9">
        <f t="shared" si="312"/>
        <v>0</v>
      </c>
      <c r="X1135" s="3">
        <v>74184</v>
      </c>
      <c r="Y1135" s="3">
        <f t="shared" si="313"/>
        <v>0.17472906404873356</v>
      </c>
      <c r="Z1135" s="7">
        <f t="shared" si="314"/>
        <v>555.97971279572346</v>
      </c>
      <c r="AA1135" s="2">
        <f t="shared" si="308"/>
        <v>51.910287204276528</v>
      </c>
      <c r="AB1135" s="8">
        <f t="shared" si="315"/>
        <v>1</v>
      </c>
      <c r="AC1135" s="10">
        <v>6.5</v>
      </c>
      <c r="AD1135" s="7">
        <f t="shared" si="316"/>
        <v>499.80334254802193</v>
      </c>
      <c r="AE1135" s="2">
        <f t="shared" si="317"/>
        <v>108.08665745197806</v>
      </c>
      <c r="AF1135" s="10">
        <v>2.375</v>
      </c>
      <c r="AG1135" s="3">
        <f t="shared" si="318"/>
        <v>1761.87</v>
      </c>
      <c r="AH1135" s="7">
        <v>0</v>
      </c>
      <c r="AI1135">
        <f t="shared" si="319"/>
        <v>360</v>
      </c>
      <c r="AJ1135" t="e">
        <f>VLOOKUP(A1135,'Borrower Details'!$A$1:$H$1493,8,FALSE)</f>
        <v>#N/A</v>
      </c>
      <c r="AK1135" s="4" t="e">
        <f t="shared" si="320"/>
        <v>#N/A</v>
      </c>
      <c r="AL1135" s="10">
        <v>7.625</v>
      </c>
      <c r="AM1135" s="3">
        <f t="shared" si="321"/>
        <v>74183.822649999987</v>
      </c>
      <c r="AN1135">
        <v>7.625</v>
      </c>
      <c r="AO1135" s="7">
        <f t="shared" si="322"/>
        <v>555.97838362768084</v>
      </c>
      <c r="AP1135" s="2">
        <f t="shared" si="323"/>
        <v>51.911616372319145</v>
      </c>
    </row>
    <row r="1136" spans="1:42" x14ac:dyDescent="0.15">
      <c r="A1136" s="8">
        <v>410968580</v>
      </c>
      <c r="B1136" t="s">
        <v>37</v>
      </c>
      <c r="C1136" t="s">
        <v>18</v>
      </c>
      <c r="D1136" s="1">
        <v>39353</v>
      </c>
      <c r="E1136" s="2">
        <v>155000</v>
      </c>
      <c r="F1136" s="2">
        <v>139500</v>
      </c>
      <c r="G1136" t="s">
        <v>17</v>
      </c>
      <c r="H1136" s="2">
        <v>1360.21</v>
      </c>
      <c r="I1136" s="2">
        <v>139164.56</v>
      </c>
      <c r="J1136">
        <v>0.113</v>
      </c>
      <c r="K1136">
        <v>7</v>
      </c>
      <c r="L1136">
        <v>353</v>
      </c>
      <c r="M1136" t="str">
        <f t="shared" si="309"/>
        <v>30 Year Fixed</v>
      </c>
      <c r="N1136" s="2">
        <v>1310.47</v>
      </c>
      <c r="O1136" t="str">
        <f t="shared" si="306"/>
        <v>Refi</v>
      </c>
      <c r="P1136" s="3">
        <f t="shared" si="310"/>
        <v>0</v>
      </c>
      <c r="Q1136" s="4">
        <v>141252</v>
      </c>
      <c r="R1136" s="4" t="s">
        <v>41</v>
      </c>
      <c r="S1136" s="6">
        <v>596</v>
      </c>
      <c r="T1136">
        <v>7.375</v>
      </c>
      <c r="U1136" s="7">
        <f t="shared" si="307"/>
        <v>1034.4474594841915</v>
      </c>
      <c r="V1136" s="2">
        <f t="shared" si="311"/>
        <v>325.7625405158085</v>
      </c>
      <c r="W1136" s="9">
        <f t="shared" si="312"/>
        <v>0</v>
      </c>
      <c r="X1136" s="3">
        <v>141252</v>
      </c>
      <c r="Y1136" s="3">
        <f t="shared" si="313"/>
        <v>-2.7980295562883839E-2</v>
      </c>
      <c r="Z1136" s="7">
        <f t="shared" si="314"/>
        <v>1034.4474594841915</v>
      </c>
      <c r="AA1136" s="2">
        <f t="shared" si="308"/>
        <v>325.7625405158085</v>
      </c>
      <c r="AB1136" s="8">
        <f t="shared" si="315"/>
        <v>0</v>
      </c>
      <c r="AC1136" s="10">
        <v>7.375</v>
      </c>
      <c r="AD1136" s="7">
        <f t="shared" si="316"/>
        <v>1034.4474594841915</v>
      </c>
      <c r="AE1136" s="2">
        <f t="shared" si="317"/>
        <v>325.7625405158085</v>
      </c>
      <c r="AF1136" s="10">
        <v>0</v>
      </c>
      <c r="AG1136" s="3">
        <f t="shared" si="318"/>
        <v>0</v>
      </c>
      <c r="AH1136" s="7">
        <v>0</v>
      </c>
      <c r="AI1136">
        <f t="shared" si="319"/>
        <v>360</v>
      </c>
      <c r="AJ1136" t="e">
        <f>VLOOKUP(A1136,'Borrower Details'!$A$1:$H$1493,8,FALSE)</f>
        <v>#N/A</v>
      </c>
      <c r="AK1136" s="4" t="e">
        <f t="shared" si="320"/>
        <v>#N/A</v>
      </c>
      <c r="AL1136" s="10">
        <v>7.375</v>
      </c>
      <c r="AM1136" s="3">
        <f t="shared" si="321"/>
        <v>141252.02839999998</v>
      </c>
      <c r="AN1136">
        <v>7.375</v>
      </c>
      <c r="AO1136" s="7">
        <f t="shared" si="322"/>
        <v>1034.4476674692667</v>
      </c>
      <c r="AP1136" s="2">
        <f t="shared" si="323"/>
        <v>325.76233253073337</v>
      </c>
    </row>
    <row r="1137" spans="1:42" x14ac:dyDescent="0.15">
      <c r="A1137" s="8">
        <v>1157403</v>
      </c>
      <c r="B1137" t="s">
        <v>35</v>
      </c>
      <c r="C1137" t="s">
        <v>16</v>
      </c>
      <c r="D1137" s="1">
        <v>39154</v>
      </c>
      <c r="E1137" s="2">
        <v>150000</v>
      </c>
      <c r="F1137" s="2">
        <v>92000</v>
      </c>
      <c r="G1137" t="s">
        <v>17</v>
      </c>
      <c r="H1137" s="2">
        <v>611.47</v>
      </c>
      <c r="I1137" s="2">
        <v>90581.59</v>
      </c>
      <c r="J1137">
        <v>6.9900000000000004E-2</v>
      </c>
      <c r="K1137">
        <v>13</v>
      </c>
      <c r="L1137">
        <v>346</v>
      </c>
      <c r="M1137" t="str">
        <f t="shared" si="309"/>
        <v>30 Year Fixed</v>
      </c>
      <c r="N1137" s="2">
        <v>527.64</v>
      </c>
      <c r="O1137" t="str">
        <f t="shared" si="306"/>
        <v>Cash Out</v>
      </c>
      <c r="P1137" s="3">
        <f t="shared" si="310"/>
        <v>35034.173546798047</v>
      </c>
      <c r="Q1137" s="4">
        <v>127500</v>
      </c>
      <c r="R1137" s="4" t="s">
        <v>41</v>
      </c>
      <c r="S1137" s="6">
        <v>606</v>
      </c>
      <c r="T1137">
        <v>6.875</v>
      </c>
      <c r="U1137" s="7">
        <f t="shared" si="307"/>
        <v>890.70923743628327</v>
      </c>
      <c r="V1137" s="2">
        <f t="shared" si="311"/>
        <v>-279.23923743628325</v>
      </c>
      <c r="W1137" s="9">
        <f t="shared" si="312"/>
        <v>1</v>
      </c>
      <c r="X1137" s="3">
        <v>91941</v>
      </c>
      <c r="Y1137" s="3">
        <f t="shared" si="313"/>
        <v>0.6760098522354383</v>
      </c>
      <c r="Z1137" s="7">
        <f t="shared" si="314"/>
        <v>649.99451709269238</v>
      </c>
      <c r="AA1137" s="2">
        <f t="shared" si="308"/>
        <v>-38.524517092692349</v>
      </c>
      <c r="AB1137" s="8">
        <f t="shared" si="315"/>
        <v>1</v>
      </c>
      <c r="AC1137" s="10">
        <v>6.25</v>
      </c>
      <c r="AD1137" s="7">
        <f t="shared" si="316"/>
        <v>604.40530124403051</v>
      </c>
      <c r="AE1137" s="2">
        <f t="shared" si="317"/>
        <v>7.0646987559695162</v>
      </c>
      <c r="AF1137" s="10">
        <v>2.75</v>
      </c>
      <c r="AG1137" s="3">
        <f t="shared" si="318"/>
        <v>2528.3775000000001</v>
      </c>
      <c r="AH1137" s="7">
        <v>3215.4</v>
      </c>
      <c r="AI1137">
        <f t="shared" si="319"/>
        <v>360</v>
      </c>
      <c r="AJ1137" t="e">
        <f>VLOOKUP(A1137,'Borrower Details'!$A$1:$H$1493,8,FALSE)</f>
        <v>#N/A</v>
      </c>
      <c r="AK1137" s="4" t="e">
        <f t="shared" si="320"/>
        <v>#N/A</v>
      </c>
      <c r="AL1137" s="10">
        <v>7</v>
      </c>
      <c r="AM1137" s="3">
        <f t="shared" si="321"/>
        <v>91940.313849999991</v>
      </c>
      <c r="AN1137">
        <v>7</v>
      </c>
      <c r="AO1137" s="7">
        <f t="shared" si="322"/>
        <v>649.98966622378828</v>
      </c>
      <c r="AP1137" s="2">
        <f t="shared" si="323"/>
        <v>-38.519666223788249</v>
      </c>
    </row>
    <row r="1138" spans="1:42" x14ac:dyDescent="0.15">
      <c r="A1138" s="8">
        <v>410320766</v>
      </c>
      <c r="B1138" t="s">
        <v>37</v>
      </c>
      <c r="C1138" t="s">
        <v>19</v>
      </c>
      <c r="D1138" s="1">
        <v>39238</v>
      </c>
      <c r="E1138" s="2">
        <v>189000</v>
      </c>
      <c r="F1138" s="2">
        <v>169650</v>
      </c>
      <c r="G1138" t="s">
        <v>15</v>
      </c>
      <c r="H1138" s="2">
        <v>1221.27</v>
      </c>
      <c r="I1138" s="2">
        <v>168270.07</v>
      </c>
      <c r="J1138">
        <v>7.8E-2</v>
      </c>
      <c r="K1138">
        <v>10</v>
      </c>
      <c r="L1138">
        <v>350</v>
      </c>
      <c r="M1138" t="str">
        <f t="shared" si="309"/>
        <v>30 Year Fixed</v>
      </c>
      <c r="N1138" s="2">
        <v>1093.76</v>
      </c>
      <c r="O1138" t="str">
        <f t="shared" si="306"/>
        <v>Refi</v>
      </c>
      <c r="P1138" s="3">
        <f t="shared" si="310"/>
        <v>0</v>
      </c>
      <c r="Q1138" s="4">
        <v>170794</v>
      </c>
      <c r="R1138" s="4" t="s">
        <v>41</v>
      </c>
      <c r="S1138" s="6">
        <v>645</v>
      </c>
      <c r="T1138">
        <v>6.75</v>
      </c>
      <c r="U1138" s="7">
        <f t="shared" si="307"/>
        <v>1178.9307997193819</v>
      </c>
      <c r="V1138" s="2">
        <f t="shared" si="311"/>
        <v>42.339200280618115</v>
      </c>
      <c r="W1138" s="9">
        <f t="shared" si="312"/>
        <v>0</v>
      </c>
      <c r="X1138" s="3">
        <v>170794</v>
      </c>
      <c r="Y1138" s="3">
        <f t="shared" si="313"/>
        <v>-0.11926108374609612</v>
      </c>
      <c r="Z1138" s="7">
        <f t="shared" si="314"/>
        <v>1178.9307997193819</v>
      </c>
      <c r="AA1138" s="2">
        <f t="shared" si="308"/>
        <v>42.339200280618115</v>
      </c>
      <c r="AB1138" s="8">
        <f t="shared" si="315"/>
        <v>1</v>
      </c>
      <c r="AC1138" s="10">
        <v>6.125</v>
      </c>
      <c r="AD1138" s="7">
        <f t="shared" si="316"/>
        <v>1108.9265116381098</v>
      </c>
      <c r="AE1138" s="2">
        <f t="shared" si="317"/>
        <v>112.34348836189019</v>
      </c>
      <c r="AF1138" s="10">
        <v>3</v>
      </c>
      <c r="AG1138" s="3">
        <f t="shared" si="318"/>
        <v>5123.82</v>
      </c>
      <c r="AH1138" s="7">
        <v>0</v>
      </c>
      <c r="AI1138">
        <f t="shared" si="319"/>
        <v>360</v>
      </c>
      <c r="AJ1138" t="e">
        <f>VLOOKUP(A1138,'Borrower Details'!$A$1:$H$1493,8,FALSE)</f>
        <v>#N/A</v>
      </c>
      <c r="AK1138" s="4" t="e">
        <f t="shared" si="320"/>
        <v>#N/A</v>
      </c>
      <c r="AL1138" s="10">
        <v>6.75</v>
      </c>
      <c r="AM1138" s="3">
        <f t="shared" si="321"/>
        <v>170794.12104999999</v>
      </c>
      <c r="AN1138">
        <v>6.75</v>
      </c>
      <c r="AO1138" s="7">
        <f t="shared" si="322"/>
        <v>1178.9316352848775</v>
      </c>
      <c r="AP1138" s="2">
        <f t="shared" si="323"/>
        <v>42.338364715122452</v>
      </c>
    </row>
    <row r="1139" spans="1:42" x14ac:dyDescent="0.15">
      <c r="A1139" s="8">
        <v>1186792</v>
      </c>
      <c r="B1139" t="s">
        <v>38</v>
      </c>
      <c r="C1139" t="s">
        <v>19</v>
      </c>
      <c r="D1139" s="1">
        <v>39181</v>
      </c>
      <c r="E1139" s="2">
        <v>149000</v>
      </c>
      <c r="F1139" s="2">
        <v>126650</v>
      </c>
      <c r="G1139" t="s">
        <v>17</v>
      </c>
      <c r="H1139" s="2">
        <v>1116.1300000000001</v>
      </c>
      <c r="I1139" s="2">
        <v>125598.74</v>
      </c>
      <c r="J1139">
        <v>0.10050000000000001</v>
      </c>
      <c r="K1139">
        <v>12</v>
      </c>
      <c r="L1139">
        <v>348</v>
      </c>
      <c r="M1139" t="str">
        <f t="shared" si="309"/>
        <v>30 Year Fixed</v>
      </c>
      <c r="N1139" s="2">
        <v>1051.8900000000001</v>
      </c>
      <c r="O1139" t="str">
        <f t="shared" si="306"/>
        <v>Refi</v>
      </c>
      <c r="P1139" s="3">
        <f t="shared" si="310"/>
        <v>0</v>
      </c>
      <c r="Q1139" s="4">
        <v>127483</v>
      </c>
      <c r="R1139" s="4" t="s">
        <v>41</v>
      </c>
      <c r="S1139" s="6">
        <v>540</v>
      </c>
      <c r="T1139">
        <v>7.625</v>
      </c>
      <c r="U1139" s="7">
        <f t="shared" si="307"/>
        <v>955.43461833194783</v>
      </c>
      <c r="V1139" s="2">
        <f t="shared" si="311"/>
        <v>160.69538166805228</v>
      </c>
      <c r="W1139" s="9">
        <f t="shared" si="312"/>
        <v>0</v>
      </c>
      <c r="X1139" s="3">
        <v>127483</v>
      </c>
      <c r="Y1139" s="3">
        <f t="shared" si="313"/>
        <v>0.27477832512522582</v>
      </c>
      <c r="Z1139" s="7">
        <f t="shared" si="314"/>
        <v>955.43461833194783</v>
      </c>
      <c r="AA1139" s="2">
        <f t="shared" si="308"/>
        <v>160.69538166805228</v>
      </c>
      <c r="AB1139" s="8">
        <f t="shared" si="315"/>
        <v>0</v>
      </c>
      <c r="AC1139" s="10">
        <v>7.625</v>
      </c>
      <c r="AD1139" s="7">
        <f t="shared" si="316"/>
        <v>955.43461833194783</v>
      </c>
      <c r="AE1139" s="2">
        <f t="shared" si="317"/>
        <v>160.69538166805228</v>
      </c>
      <c r="AF1139" s="10">
        <v>0</v>
      </c>
      <c r="AG1139" s="3">
        <f t="shared" si="318"/>
        <v>0</v>
      </c>
      <c r="AH1139" s="7">
        <v>0</v>
      </c>
      <c r="AI1139">
        <f t="shared" si="319"/>
        <v>360</v>
      </c>
      <c r="AJ1139" t="e">
        <f>VLOOKUP(A1139,'Borrower Details'!$A$1:$H$1493,8,FALSE)</f>
        <v>#N/A</v>
      </c>
      <c r="AK1139" s="4" t="e">
        <f t="shared" si="320"/>
        <v>#N/A</v>
      </c>
      <c r="AL1139" s="10">
        <v>7.625</v>
      </c>
      <c r="AM1139" s="3">
        <f t="shared" si="321"/>
        <v>127482.7211</v>
      </c>
      <c r="AN1139">
        <v>7.625</v>
      </c>
      <c r="AO1139" s="7">
        <f t="shared" si="322"/>
        <v>955.43252808685588</v>
      </c>
      <c r="AP1139" s="2">
        <f t="shared" si="323"/>
        <v>160.69747191314423</v>
      </c>
    </row>
    <row r="1140" spans="1:42" x14ac:dyDescent="0.15">
      <c r="A1140" s="8">
        <v>410161988</v>
      </c>
      <c r="B1140" t="s">
        <v>36</v>
      </c>
      <c r="C1140" t="s">
        <v>19</v>
      </c>
      <c r="D1140" s="1">
        <v>39203</v>
      </c>
      <c r="E1140" s="2">
        <v>350000</v>
      </c>
      <c r="F1140" s="2">
        <v>250000</v>
      </c>
      <c r="G1140" t="s">
        <v>17</v>
      </c>
      <c r="H1140" s="2">
        <v>1596.65</v>
      </c>
      <c r="I1140" s="2">
        <v>247248.21</v>
      </c>
      <c r="J1140">
        <v>6.6000000000000003E-2</v>
      </c>
      <c r="K1140">
        <v>12</v>
      </c>
      <c r="L1140">
        <v>348</v>
      </c>
      <c r="M1140" t="str">
        <f t="shared" si="309"/>
        <v>30 Year Fixed</v>
      </c>
      <c r="N1140" s="2">
        <v>1359.87</v>
      </c>
      <c r="O1140" t="str">
        <f t="shared" si="306"/>
        <v>Cash Out</v>
      </c>
      <c r="P1140" s="3">
        <f t="shared" si="310"/>
        <v>45855.238275862095</v>
      </c>
      <c r="Q1140" s="4">
        <v>297500</v>
      </c>
      <c r="R1140" s="4" t="s">
        <v>41</v>
      </c>
      <c r="S1140" s="6">
        <v>679</v>
      </c>
      <c r="T1140">
        <v>6.75</v>
      </c>
      <c r="U1140" s="7">
        <f t="shared" si="307"/>
        <v>2053.5376706237694</v>
      </c>
      <c r="V1140" s="2">
        <f t="shared" si="311"/>
        <v>-456.88767062376928</v>
      </c>
      <c r="W1140" s="9">
        <f t="shared" si="312"/>
        <v>1</v>
      </c>
      <c r="X1140" s="3">
        <v>250957</v>
      </c>
      <c r="Y1140" s="3">
        <f t="shared" si="313"/>
        <v>6.5862068993737921E-2</v>
      </c>
      <c r="Z1140" s="7">
        <f t="shared" si="314"/>
        <v>1732.267741871359</v>
      </c>
      <c r="AA1140" s="2">
        <f t="shared" si="308"/>
        <v>-135.61774187135893</v>
      </c>
      <c r="AB1140" s="8">
        <f t="shared" si="315"/>
        <v>1</v>
      </c>
      <c r="AC1140" s="10">
        <v>6.125</v>
      </c>
      <c r="AD1140" s="7">
        <f t="shared" si="316"/>
        <v>1629.4065984821777</v>
      </c>
      <c r="AE1140" s="2">
        <f t="shared" si="317"/>
        <v>-32.756598482177651</v>
      </c>
      <c r="AF1140" s="10">
        <v>3</v>
      </c>
      <c r="AG1140" s="3">
        <f t="shared" si="318"/>
        <v>7528.71</v>
      </c>
      <c r="AH1140" s="7">
        <v>5000</v>
      </c>
      <c r="AI1140">
        <f t="shared" si="319"/>
        <v>360</v>
      </c>
      <c r="AJ1140" t="e">
        <f>VLOOKUP(A1140,'Borrower Details'!$A$1:$H$1493,8,FALSE)</f>
        <v>#N/A</v>
      </c>
      <c r="AK1140" s="4" t="e">
        <f t="shared" si="320"/>
        <v>#N/A</v>
      </c>
      <c r="AL1140" s="10">
        <v>6.75</v>
      </c>
      <c r="AM1140" s="3">
        <f t="shared" si="321"/>
        <v>250956.93314999997</v>
      </c>
      <c r="AN1140">
        <v>6.75</v>
      </c>
      <c r="AO1140" s="7">
        <f t="shared" si="322"/>
        <v>1732.2672804293645</v>
      </c>
      <c r="AP1140" s="2">
        <f t="shared" si="323"/>
        <v>-135.61728042936443</v>
      </c>
    </row>
    <row r="1141" spans="1:42" x14ac:dyDescent="0.15">
      <c r="A1141" s="8">
        <v>1156769</v>
      </c>
      <c r="B1141" t="s">
        <v>37</v>
      </c>
      <c r="C1141" t="s">
        <v>19</v>
      </c>
      <c r="D1141" s="1">
        <v>39153</v>
      </c>
      <c r="E1141" s="2">
        <v>88000</v>
      </c>
      <c r="F1141" s="2">
        <v>88000</v>
      </c>
      <c r="G1141" t="s">
        <v>15</v>
      </c>
      <c r="H1141" s="2">
        <v>739.96</v>
      </c>
      <c r="I1141" s="2">
        <v>87354.15</v>
      </c>
      <c r="J1141">
        <v>9.5000000000000001E-2</v>
      </c>
      <c r="K1141">
        <v>13</v>
      </c>
      <c r="L1141">
        <v>346</v>
      </c>
      <c r="M1141" t="str">
        <f t="shared" si="309"/>
        <v>30 Year Fixed</v>
      </c>
      <c r="N1141" s="2">
        <v>691.93</v>
      </c>
      <c r="O1141" t="str">
        <f t="shared" si="306"/>
        <v>Refi</v>
      </c>
      <c r="P1141" s="3">
        <f t="shared" si="310"/>
        <v>0</v>
      </c>
      <c r="Q1141" s="4">
        <v>88664</v>
      </c>
      <c r="R1141" s="4" t="s">
        <v>41</v>
      </c>
      <c r="S1141" s="6">
        <v>632</v>
      </c>
      <c r="T1141">
        <v>6.875</v>
      </c>
      <c r="U1141" s="7">
        <f t="shared" si="307"/>
        <v>619.40269669059319</v>
      </c>
      <c r="V1141" s="2">
        <f t="shared" si="311"/>
        <v>120.55730330940685</v>
      </c>
      <c r="W1141" s="9">
        <f t="shared" si="312"/>
        <v>0</v>
      </c>
      <c r="X1141" s="3">
        <v>88664</v>
      </c>
      <c r="Y1141" s="3">
        <f t="shared" si="313"/>
        <v>-0.45541871919704136</v>
      </c>
      <c r="Z1141" s="7">
        <f t="shared" si="314"/>
        <v>619.40269669059319</v>
      </c>
      <c r="AA1141" s="2">
        <f t="shared" si="308"/>
        <v>120.55730330940685</v>
      </c>
      <c r="AB1141" s="8">
        <f t="shared" si="315"/>
        <v>0</v>
      </c>
      <c r="AC1141" s="10">
        <v>6.875</v>
      </c>
      <c r="AD1141" s="7">
        <f t="shared" si="316"/>
        <v>619.40269669059319</v>
      </c>
      <c r="AE1141" s="2">
        <f t="shared" si="317"/>
        <v>120.55730330940685</v>
      </c>
      <c r="AF1141" s="10">
        <v>0</v>
      </c>
      <c r="AG1141" s="3">
        <f t="shared" si="318"/>
        <v>0</v>
      </c>
      <c r="AH1141" s="7">
        <v>0</v>
      </c>
      <c r="AI1141">
        <f t="shared" si="319"/>
        <v>360</v>
      </c>
      <c r="AJ1141" t="e">
        <f>VLOOKUP(A1141,'Borrower Details'!$A$1:$H$1493,8,FALSE)</f>
        <v>#N/A</v>
      </c>
      <c r="AK1141" s="4" t="e">
        <f t="shared" si="320"/>
        <v>#N/A</v>
      </c>
      <c r="AL1141" s="10">
        <v>6.875</v>
      </c>
      <c r="AM1141" s="3">
        <f t="shared" si="321"/>
        <v>88664.462249999982</v>
      </c>
      <c r="AN1141">
        <v>6.875</v>
      </c>
      <c r="AO1141" s="7">
        <f t="shared" si="322"/>
        <v>619.40592594820089</v>
      </c>
      <c r="AP1141" s="2">
        <f t="shared" si="323"/>
        <v>120.55407405179915</v>
      </c>
    </row>
    <row r="1142" spans="1:42" x14ac:dyDescent="0.15">
      <c r="A1142" s="8">
        <v>1147079</v>
      </c>
      <c r="B1142" t="s">
        <v>38</v>
      </c>
      <c r="C1142" t="s">
        <v>19</v>
      </c>
      <c r="D1142" s="1">
        <v>39141</v>
      </c>
      <c r="E1142" s="2">
        <v>140000</v>
      </c>
      <c r="F1142" s="2">
        <v>133000</v>
      </c>
      <c r="G1142" t="s">
        <v>17</v>
      </c>
      <c r="H1142" s="2">
        <v>1015.69</v>
      </c>
      <c r="I1142" s="2">
        <v>132492.78</v>
      </c>
      <c r="J1142">
        <v>8.8999999999999996E-2</v>
      </c>
      <c r="K1142">
        <v>14</v>
      </c>
      <c r="L1142">
        <v>347</v>
      </c>
      <c r="M1142" t="str">
        <f t="shared" si="309"/>
        <v>30 Year Fixed</v>
      </c>
      <c r="N1142" s="2">
        <v>982.65</v>
      </c>
      <c r="O1142" t="str">
        <f t="shared" si="306"/>
        <v>Refi</v>
      </c>
      <c r="P1142" s="3">
        <f t="shared" si="310"/>
        <v>0</v>
      </c>
      <c r="Q1142" s="4">
        <v>134480</v>
      </c>
      <c r="R1142" s="4" t="s">
        <v>41</v>
      </c>
      <c r="S1142" s="6">
        <v>620</v>
      </c>
      <c r="T1142">
        <v>6.75</v>
      </c>
      <c r="U1142" s="7">
        <f t="shared" si="307"/>
        <v>928.26805359826722</v>
      </c>
      <c r="V1142" s="2">
        <f t="shared" si="311"/>
        <v>87.421946401732839</v>
      </c>
      <c r="W1142" s="9">
        <f t="shared" si="312"/>
        <v>0</v>
      </c>
      <c r="X1142" s="3">
        <v>134480</v>
      </c>
      <c r="Y1142" s="3">
        <f t="shared" si="313"/>
        <v>-0.16916256156400777</v>
      </c>
      <c r="Z1142" s="7">
        <f t="shared" si="314"/>
        <v>928.26805359826722</v>
      </c>
      <c r="AA1142" s="2">
        <f t="shared" si="308"/>
        <v>87.421946401732839</v>
      </c>
      <c r="AB1142" s="8">
        <f t="shared" si="315"/>
        <v>1</v>
      </c>
      <c r="AC1142" s="10">
        <v>6.125</v>
      </c>
      <c r="AD1142" s="7">
        <f t="shared" si="316"/>
        <v>873.14798696144464</v>
      </c>
      <c r="AE1142" s="2">
        <f t="shared" si="317"/>
        <v>142.54201303855541</v>
      </c>
      <c r="AF1142" s="10">
        <v>3</v>
      </c>
      <c r="AG1142" s="3">
        <f t="shared" si="318"/>
        <v>4034.4</v>
      </c>
      <c r="AH1142" s="7">
        <v>0</v>
      </c>
      <c r="AI1142">
        <f t="shared" si="319"/>
        <v>360</v>
      </c>
      <c r="AJ1142" t="e">
        <f>VLOOKUP(A1142,'Borrower Details'!$A$1:$H$1493,8,FALSE)</f>
        <v>#N/A</v>
      </c>
      <c r="AK1142" s="4" t="e">
        <f t="shared" si="320"/>
        <v>#N/A</v>
      </c>
      <c r="AL1142" s="10">
        <v>6.75</v>
      </c>
      <c r="AM1142" s="3">
        <f t="shared" si="321"/>
        <v>134480.17169999998</v>
      </c>
      <c r="AN1142">
        <v>6.75</v>
      </c>
      <c r="AO1142" s="7">
        <f t="shared" si="322"/>
        <v>928.26923878286561</v>
      </c>
      <c r="AP1142" s="2">
        <f t="shared" si="323"/>
        <v>87.420761217134441</v>
      </c>
    </row>
    <row r="1143" spans="1:42" x14ac:dyDescent="0.15">
      <c r="A1143" s="8">
        <v>1134118</v>
      </c>
      <c r="B1143" t="s">
        <v>37</v>
      </c>
      <c r="C1143" t="s">
        <v>19</v>
      </c>
      <c r="D1143" s="1">
        <v>39141</v>
      </c>
      <c r="E1143" s="2">
        <v>92500</v>
      </c>
      <c r="F1143" s="2">
        <v>83250</v>
      </c>
      <c r="G1143" t="s">
        <v>17</v>
      </c>
      <c r="H1143" s="2">
        <v>767.13</v>
      </c>
      <c r="I1143" s="2">
        <v>82783.45</v>
      </c>
      <c r="J1143">
        <v>0.10589999999999999</v>
      </c>
      <c r="K1143">
        <v>14</v>
      </c>
      <c r="L1143">
        <v>347</v>
      </c>
      <c r="M1143" t="str">
        <f t="shared" si="309"/>
        <v>30 Year Fixed</v>
      </c>
      <c r="N1143" s="2">
        <v>730.56</v>
      </c>
      <c r="O1143" t="str">
        <f t="shared" si="306"/>
        <v>Refi</v>
      </c>
      <c r="P1143" s="3">
        <f t="shared" si="310"/>
        <v>0</v>
      </c>
      <c r="Q1143" s="4">
        <v>84025</v>
      </c>
      <c r="R1143" s="4" t="s">
        <v>41</v>
      </c>
      <c r="S1143" s="6">
        <v>528</v>
      </c>
      <c r="T1143">
        <v>7.625</v>
      </c>
      <c r="U1143" s="7">
        <f t="shared" si="307"/>
        <v>629.73411204114984</v>
      </c>
      <c r="V1143" s="2">
        <f t="shared" si="311"/>
        <v>137.39588795885015</v>
      </c>
      <c r="W1143" s="9">
        <f t="shared" si="312"/>
        <v>0</v>
      </c>
      <c r="X1143" s="3">
        <v>84025</v>
      </c>
      <c r="Y1143" s="3">
        <f t="shared" si="313"/>
        <v>-0.19876847289560828</v>
      </c>
      <c r="Z1143" s="7">
        <f t="shared" si="314"/>
        <v>629.73411204114984</v>
      </c>
      <c r="AA1143" s="2">
        <f t="shared" si="308"/>
        <v>137.39588795885015</v>
      </c>
      <c r="AB1143" s="8">
        <f t="shared" si="315"/>
        <v>0</v>
      </c>
      <c r="AC1143" s="10">
        <v>7.625</v>
      </c>
      <c r="AD1143" s="7">
        <f t="shared" si="316"/>
        <v>629.73411204114984</v>
      </c>
      <c r="AE1143" s="2">
        <f t="shared" si="317"/>
        <v>137.39588795885015</v>
      </c>
      <c r="AF1143" s="10">
        <v>0</v>
      </c>
      <c r="AG1143" s="3">
        <f t="shared" si="318"/>
        <v>0</v>
      </c>
      <c r="AH1143" s="7">
        <v>0</v>
      </c>
      <c r="AI1143">
        <f t="shared" si="319"/>
        <v>360</v>
      </c>
      <c r="AJ1143" t="e">
        <f>VLOOKUP(A1143,'Borrower Details'!$A$1:$H$1493,8,FALSE)</f>
        <v>#N/A</v>
      </c>
      <c r="AK1143" s="4" t="e">
        <f t="shared" si="320"/>
        <v>#N/A</v>
      </c>
      <c r="AL1143" s="10">
        <v>7.625</v>
      </c>
      <c r="AM1143" s="3">
        <f t="shared" si="321"/>
        <v>84025.201749999993</v>
      </c>
      <c r="AN1143">
        <v>7.625</v>
      </c>
      <c r="AO1143" s="7">
        <f t="shared" si="322"/>
        <v>629.73562407753309</v>
      </c>
      <c r="AP1143" s="2">
        <f t="shared" si="323"/>
        <v>137.39437592246691</v>
      </c>
    </row>
    <row r="1144" spans="1:42" x14ac:dyDescent="0.15">
      <c r="A1144" s="8">
        <v>410359798</v>
      </c>
      <c r="B1144" t="s">
        <v>36</v>
      </c>
      <c r="C1144" t="s">
        <v>18</v>
      </c>
      <c r="D1144" s="1">
        <v>39253</v>
      </c>
      <c r="E1144" s="2">
        <v>105000</v>
      </c>
      <c r="F1144" s="2">
        <v>94500</v>
      </c>
      <c r="G1144" t="s">
        <v>17</v>
      </c>
      <c r="H1144" s="2">
        <v>843.45</v>
      </c>
      <c r="I1144" s="2">
        <v>94356.01</v>
      </c>
      <c r="J1144">
        <v>0.1055</v>
      </c>
      <c r="K1144">
        <v>10</v>
      </c>
      <c r="L1144">
        <v>350</v>
      </c>
      <c r="M1144" t="str">
        <f t="shared" si="309"/>
        <v>30 Year Fixed</v>
      </c>
      <c r="N1144" s="2">
        <v>829.55</v>
      </c>
      <c r="O1144" t="str">
        <f t="shared" si="306"/>
        <v>Refi</v>
      </c>
      <c r="P1144" s="3">
        <f t="shared" si="310"/>
        <v>0</v>
      </c>
      <c r="Q1144" s="4">
        <v>95771</v>
      </c>
      <c r="R1144" s="4" t="s">
        <v>41</v>
      </c>
      <c r="S1144" s="6">
        <v>546</v>
      </c>
      <c r="T1144">
        <v>7.625</v>
      </c>
      <c r="U1144" s="7">
        <f t="shared" si="307"/>
        <v>717.76573215463213</v>
      </c>
      <c r="V1144" s="2">
        <f t="shared" si="311"/>
        <v>125.68426784536791</v>
      </c>
      <c r="W1144" s="9">
        <f t="shared" si="312"/>
        <v>0</v>
      </c>
      <c r="X1144" s="3">
        <v>95771</v>
      </c>
      <c r="Y1144" s="3">
        <f t="shared" si="313"/>
        <v>-0.34497536944400053</v>
      </c>
      <c r="Z1144" s="7">
        <f t="shared" si="314"/>
        <v>717.76573215463213</v>
      </c>
      <c r="AA1144" s="2">
        <f t="shared" si="308"/>
        <v>125.68426784536791</v>
      </c>
      <c r="AB1144" s="8">
        <f t="shared" si="315"/>
        <v>0</v>
      </c>
      <c r="AC1144" s="10">
        <v>7.625</v>
      </c>
      <c r="AD1144" s="7">
        <f t="shared" si="316"/>
        <v>717.76573215463213</v>
      </c>
      <c r="AE1144" s="2">
        <f t="shared" si="317"/>
        <v>125.68426784536791</v>
      </c>
      <c r="AF1144" s="10">
        <v>0</v>
      </c>
      <c r="AG1144" s="3">
        <f t="shared" si="318"/>
        <v>0</v>
      </c>
      <c r="AH1144" s="7">
        <v>1890</v>
      </c>
      <c r="AI1144">
        <f t="shared" si="319"/>
        <v>360</v>
      </c>
      <c r="AJ1144" t="e">
        <f>VLOOKUP(A1144,'Borrower Details'!$A$1:$H$1493,8,FALSE)</f>
        <v>#N/A</v>
      </c>
      <c r="AK1144" s="4" t="e">
        <f t="shared" si="320"/>
        <v>#N/A</v>
      </c>
      <c r="AL1144" s="10">
        <v>7.625</v>
      </c>
      <c r="AM1144" s="3">
        <f t="shared" si="321"/>
        <v>95771.350149999984</v>
      </c>
      <c r="AN1144">
        <v>7.625</v>
      </c>
      <c r="AO1144" s="7">
        <f t="shared" si="322"/>
        <v>717.76835639026831</v>
      </c>
      <c r="AP1144" s="2">
        <f t="shared" si="323"/>
        <v>125.68164360973174</v>
      </c>
    </row>
    <row r="1145" spans="1:42" x14ac:dyDescent="0.15">
      <c r="A1145" s="8">
        <v>1152363</v>
      </c>
      <c r="B1145" t="s">
        <v>36</v>
      </c>
      <c r="C1145" t="s">
        <v>19</v>
      </c>
      <c r="D1145" s="1">
        <v>39141</v>
      </c>
      <c r="E1145" s="2">
        <v>160000</v>
      </c>
      <c r="F1145" s="2">
        <v>118000</v>
      </c>
      <c r="G1145" t="s">
        <v>17</v>
      </c>
      <c r="H1145" s="2">
        <v>808.98</v>
      </c>
      <c r="I1145" s="2">
        <v>116672.25</v>
      </c>
      <c r="J1145">
        <v>7.2999999999999995E-2</v>
      </c>
      <c r="K1145">
        <v>14</v>
      </c>
      <c r="L1145">
        <v>346</v>
      </c>
      <c r="M1145" t="str">
        <f t="shared" si="309"/>
        <v>30 Year Fixed</v>
      </c>
      <c r="N1145" s="2">
        <v>709.76</v>
      </c>
      <c r="O1145" t="str">
        <f t="shared" si="306"/>
        <v>Cash Out</v>
      </c>
      <c r="P1145" s="3">
        <f t="shared" si="310"/>
        <v>17317.897783251246</v>
      </c>
      <c r="Q1145" s="4">
        <v>136000</v>
      </c>
      <c r="R1145" s="4" t="s">
        <v>41</v>
      </c>
      <c r="S1145" s="6">
        <v>596</v>
      </c>
      <c r="T1145">
        <v>7.375</v>
      </c>
      <c r="U1145" s="7">
        <f t="shared" si="307"/>
        <v>995.98486739904604</v>
      </c>
      <c r="V1145" s="2">
        <f t="shared" si="311"/>
        <v>-187.00486739904602</v>
      </c>
      <c r="W1145" s="9">
        <f t="shared" si="312"/>
        <v>1</v>
      </c>
      <c r="X1145" s="3">
        <v>118422</v>
      </c>
      <c r="Y1145" s="3">
        <f t="shared" si="313"/>
        <v>-0.3288177339854883</v>
      </c>
      <c r="Z1145" s="7">
        <f t="shared" si="314"/>
        <v>867.25382328771934</v>
      </c>
      <c r="AA1145" s="2">
        <f t="shared" si="308"/>
        <v>-58.273823287719324</v>
      </c>
      <c r="AB1145" s="8">
        <f t="shared" si="315"/>
        <v>1</v>
      </c>
      <c r="AC1145" s="10">
        <v>6.625</v>
      </c>
      <c r="AD1145" s="7">
        <f t="shared" si="316"/>
        <v>807.61154632437581</v>
      </c>
      <c r="AE1145" s="2">
        <f t="shared" si="317"/>
        <v>1.3684536756242096</v>
      </c>
      <c r="AF1145" s="10">
        <v>1.875</v>
      </c>
      <c r="AG1145" s="3">
        <f t="shared" si="318"/>
        <v>2220.4124999999999</v>
      </c>
      <c r="AH1145" s="7">
        <v>2360</v>
      </c>
      <c r="AI1145">
        <f t="shared" si="319"/>
        <v>360</v>
      </c>
      <c r="AJ1145" t="e">
        <f>VLOOKUP(A1145,'Borrower Details'!$A$1:$H$1493,8,FALSE)</f>
        <v>#N/A</v>
      </c>
      <c r="AK1145" s="4" t="e">
        <f t="shared" si="320"/>
        <v>#N/A</v>
      </c>
      <c r="AL1145" s="10">
        <v>7.375</v>
      </c>
      <c r="AM1145" s="3">
        <f t="shared" si="321"/>
        <v>118422.33374999999</v>
      </c>
      <c r="AN1145">
        <v>7.375</v>
      </c>
      <c r="AO1145" s="7">
        <f t="shared" si="322"/>
        <v>867.25626747852436</v>
      </c>
      <c r="AP1145" s="2">
        <f t="shared" si="323"/>
        <v>-58.276267478524346</v>
      </c>
    </row>
    <row r="1146" spans="1:42" x14ac:dyDescent="0.15">
      <c r="A1146" s="8">
        <v>410812010</v>
      </c>
      <c r="B1146" t="s">
        <v>37</v>
      </c>
      <c r="C1146" t="s">
        <v>16</v>
      </c>
      <c r="D1146" s="1">
        <v>39322</v>
      </c>
      <c r="E1146" s="2">
        <v>291000</v>
      </c>
      <c r="F1146" s="2">
        <v>261900</v>
      </c>
      <c r="G1146" t="s">
        <v>20</v>
      </c>
      <c r="H1146" s="2">
        <v>2173.6</v>
      </c>
      <c r="I1146" s="2">
        <v>260805.35</v>
      </c>
      <c r="J1146">
        <v>9.35E-2</v>
      </c>
      <c r="K1146">
        <v>8</v>
      </c>
      <c r="L1146">
        <v>352</v>
      </c>
      <c r="M1146" t="str">
        <f t="shared" si="309"/>
        <v>30 Year Fixed</v>
      </c>
      <c r="N1146" s="2">
        <v>2032.11</v>
      </c>
      <c r="O1146" t="str">
        <f t="shared" si="306"/>
        <v>Refi</v>
      </c>
      <c r="P1146" s="3">
        <f t="shared" si="310"/>
        <v>0</v>
      </c>
      <c r="Q1146" s="4">
        <v>264717</v>
      </c>
      <c r="R1146" s="4" t="s">
        <v>41</v>
      </c>
      <c r="S1146" s="6">
        <v>633</v>
      </c>
      <c r="T1146">
        <v>6.75</v>
      </c>
      <c r="U1146" s="7">
        <f t="shared" si="307"/>
        <v>1827.2481732924784</v>
      </c>
      <c r="V1146" s="2">
        <f t="shared" si="311"/>
        <v>346.35182670752147</v>
      </c>
      <c r="W1146" s="9">
        <f t="shared" si="312"/>
        <v>0</v>
      </c>
      <c r="X1146" s="3">
        <v>264717</v>
      </c>
      <c r="Y1146" s="3">
        <f t="shared" si="313"/>
        <v>-0.42389162559993565</v>
      </c>
      <c r="Z1146" s="7">
        <f t="shared" si="314"/>
        <v>1827.2481732924784</v>
      </c>
      <c r="AA1146" s="2">
        <f t="shared" si="308"/>
        <v>346.35182670752147</v>
      </c>
      <c r="AB1146" s="8">
        <f t="shared" si="315"/>
        <v>0</v>
      </c>
      <c r="AC1146" s="10">
        <v>6.75</v>
      </c>
      <c r="AD1146" s="7">
        <f t="shared" si="316"/>
        <v>1827.2481732924784</v>
      </c>
      <c r="AE1146" s="2">
        <f t="shared" si="317"/>
        <v>346.35182670752147</v>
      </c>
      <c r="AF1146" s="10">
        <v>0</v>
      </c>
      <c r="AG1146" s="3">
        <f t="shared" si="318"/>
        <v>0</v>
      </c>
      <c r="AH1146" s="7">
        <v>2619</v>
      </c>
      <c r="AI1146">
        <f t="shared" si="319"/>
        <v>360</v>
      </c>
      <c r="AJ1146" t="e">
        <f>VLOOKUP(A1146,'Borrower Details'!$A$1:$H$1493,8,FALSE)</f>
        <v>#N/A</v>
      </c>
      <c r="AK1146" s="4" t="e">
        <f t="shared" si="320"/>
        <v>#N/A</v>
      </c>
      <c r="AL1146" s="10">
        <v>6.75</v>
      </c>
      <c r="AM1146" s="3">
        <f t="shared" si="321"/>
        <v>264717.43024999998</v>
      </c>
      <c r="AN1146">
        <v>6.75</v>
      </c>
      <c r="AO1146" s="7">
        <f t="shared" si="322"/>
        <v>1827.2511431566222</v>
      </c>
      <c r="AP1146" s="2">
        <f t="shared" si="323"/>
        <v>346.34885684337769</v>
      </c>
    </row>
    <row r="1147" spans="1:42" x14ac:dyDescent="0.15">
      <c r="A1147" s="8">
        <v>410273098</v>
      </c>
      <c r="B1147" t="s">
        <v>35</v>
      </c>
      <c r="C1147" t="s">
        <v>16</v>
      </c>
      <c r="D1147" s="1">
        <v>39223</v>
      </c>
      <c r="E1147" s="2">
        <v>79000</v>
      </c>
      <c r="F1147" s="2">
        <v>59250</v>
      </c>
      <c r="G1147" t="s">
        <v>17</v>
      </c>
      <c r="H1147" s="2">
        <v>517.78</v>
      </c>
      <c r="I1147" s="2">
        <v>58946.12</v>
      </c>
      <c r="J1147">
        <v>9.9500000000000005E-2</v>
      </c>
      <c r="K1147">
        <v>11</v>
      </c>
      <c r="L1147">
        <v>349</v>
      </c>
      <c r="M1147" t="str">
        <f t="shared" si="309"/>
        <v>30 Year Fixed</v>
      </c>
      <c r="N1147" s="2">
        <v>488.76</v>
      </c>
      <c r="O1147" t="str">
        <f t="shared" si="306"/>
        <v>Cash Out</v>
      </c>
      <c r="P1147" s="3">
        <f t="shared" si="310"/>
        <v>7211.5154679803018</v>
      </c>
      <c r="Q1147" s="4">
        <v>67150</v>
      </c>
      <c r="R1147" s="4" t="s">
        <v>41</v>
      </c>
      <c r="S1147" s="6">
        <v>546</v>
      </c>
      <c r="T1147">
        <v>7.625</v>
      </c>
      <c r="U1147" s="7">
        <f t="shared" si="307"/>
        <v>503.26266734380505</v>
      </c>
      <c r="V1147" s="2">
        <f t="shared" si="311"/>
        <v>14.517332656194924</v>
      </c>
      <c r="W1147" s="9">
        <f t="shared" si="312"/>
        <v>0</v>
      </c>
      <c r="X1147" s="3">
        <v>67150</v>
      </c>
      <c r="Y1147" s="3">
        <f t="shared" si="313"/>
        <v>7211.5154679803018</v>
      </c>
      <c r="Z1147" s="7">
        <f t="shared" si="314"/>
        <v>503.26266734380505</v>
      </c>
      <c r="AA1147" s="2">
        <f t="shared" si="308"/>
        <v>14.517332656194924</v>
      </c>
      <c r="AB1147" s="8">
        <f t="shared" si="315"/>
        <v>0</v>
      </c>
      <c r="AC1147" s="10">
        <v>7.625</v>
      </c>
      <c r="AD1147" s="7">
        <f t="shared" si="316"/>
        <v>503.26266734380505</v>
      </c>
      <c r="AE1147" s="2">
        <f t="shared" si="317"/>
        <v>14.517332656194924</v>
      </c>
      <c r="AF1147" s="10">
        <v>0</v>
      </c>
      <c r="AG1147" s="3">
        <f t="shared" si="318"/>
        <v>0</v>
      </c>
      <c r="AH1147" s="7">
        <v>2947.6875</v>
      </c>
      <c r="AI1147">
        <f t="shared" si="319"/>
        <v>360</v>
      </c>
      <c r="AJ1147" t="e">
        <f>VLOOKUP(A1147,'Borrower Details'!$A$1:$H$1493,8,FALSE)</f>
        <v>#N/A</v>
      </c>
      <c r="AK1147" s="4" t="e">
        <f t="shared" si="320"/>
        <v>#N/A</v>
      </c>
      <c r="AL1147" s="10">
        <v>7.625</v>
      </c>
      <c r="AM1147" s="3">
        <f t="shared" si="321"/>
        <v>59830.311799999996</v>
      </c>
      <c r="AN1147">
        <v>7.625</v>
      </c>
      <c r="AO1147" s="7">
        <f t="shared" si="322"/>
        <v>448.40450192821339</v>
      </c>
      <c r="AP1147" s="2">
        <f t="shared" si="323"/>
        <v>69.375498071786581</v>
      </c>
    </row>
    <row r="1148" spans="1:42" x14ac:dyDescent="0.15">
      <c r="A1148" s="8">
        <v>410193684</v>
      </c>
      <c r="B1148" t="s">
        <v>37</v>
      </c>
      <c r="C1148" t="s">
        <v>19</v>
      </c>
      <c r="D1148" s="1">
        <v>39233</v>
      </c>
      <c r="E1148" s="2">
        <v>171000</v>
      </c>
      <c r="F1148" s="2">
        <v>153900</v>
      </c>
      <c r="G1148" t="s">
        <v>15</v>
      </c>
      <c r="H1148" s="2">
        <v>1128.2</v>
      </c>
      <c r="I1148" s="2">
        <v>152833.62</v>
      </c>
      <c r="J1148">
        <v>7.9899999999999999E-2</v>
      </c>
      <c r="K1148">
        <v>11</v>
      </c>
      <c r="L1148">
        <v>350</v>
      </c>
      <c r="M1148" t="str">
        <f t="shared" si="309"/>
        <v>30 Year Fixed</v>
      </c>
      <c r="N1148" s="2">
        <v>1017.62</v>
      </c>
      <c r="O1148" t="str">
        <f t="shared" si="306"/>
        <v>Refi</v>
      </c>
      <c r="P1148" s="3">
        <f t="shared" si="310"/>
        <v>0</v>
      </c>
      <c r="Q1148" s="4">
        <v>155126</v>
      </c>
      <c r="R1148" s="4" t="s">
        <v>41</v>
      </c>
      <c r="S1148" s="6">
        <v>634</v>
      </c>
      <c r="T1148">
        <v>6.75</v>
      </c>
      <c r="U1148" s="7">
        <f t="shared" si="307"/>
        <v>1070.7801166157408</v>
      </c>
      <c r="V1148" s="2">
        <f t="shared" si="311"/>
        <v>57.419883384259265</v>
      </c>
      <c r="W1148" s="9">
        <f t="shared" si="312"/>
        <v>0</v>
      </c>
      <c r="X1148" s="3">
        <v>155127</v>
      </c>
      <c r="Y1148" s="3">
        <f t="shared" si="313"/>
        <v>0.86275862070033327</v>
      </c>
      <c r="Z1148" s="7">
        <f t="shared" si="314"/>
        <v>1070.7870192633729</v>
      </c>
      <c r="AA1148" s="2">
        <f t="shared" si="308"/>
        <v>57.412980736627105</v>
      </c>
      <c r="AB1148" s="8">
        <f t="shared" si="315"/>
        <v>1</v>
      </c>
      <c r="AC1148" s="10">
        <v>6.125</v>
      </c>
      <c r="AD1148" s="7">
        <f t="shared" si="316"/>
        <v>1007.2042517353364</v>
      </c>
      <c r="AE1148" s="2">
        <f t="shared" si="317"/>
        <v>120.99574826466369</v>
      </c>
      <c r="AF1148" s="10">
        <v>3</v>
      </c>
      <c r="AG1148" s="3">
        <f t="shared" si="318"/>
        <v>4653.8100000000004</v>
      </c>
      <c r="AH1148" s="7">
        <v>1539</v>
      </c>
      <c r="AI1148">
        <f t="shared" si="319"/>
        <v>360</v>
      </c>
      <c r="AJ1148" t="e">
        <f>VLOOKUP(A1148,'Borrower Details'!$A$1:$H$1493,8,FALSE)</f>
        <v>#N/A</v>
      </c>
      <c r="AK1148" s="4" t="e">
        <f t="shared" si="320"/>
        <v>#N/A</v>
      </c>
      <c r="AL1148" s="10">
        <v>6.75</v>
      </c>
      <c r="AM1148" s="3">
        <f t="shared" si="321"/>
        <v>155126.12429999997</v>
      </c>
      <c r="AN1148">
        <v>6.75</v>
      </c>
      <c r="AO1148" s="7">
        <f t="shared" si="322"/>
        <v>1070.7809746148412</v>
      </c>
      <c r="AP1148" s="2">
        <f t="shared" si="323"/>
        <v>57.419025385158875</v>
      </c>
    </row>
    <row r="1149" spans="1:42" x14ac:dyDescent="0.15">
      <c r="A1149" s="8">
        <v>1175371</v>
      </c>
      <c r="B1149" t="s">
        <v>36</v>
      </c>
      <c r="C1149" t="s">
        <v>19</v>
      </c>
      <c r="D1149" s="1">
        <v>39169</v>
      </c>
      <c r="E1149" s="2">
        <v>215000</v>
      </c>
      <c r="F1149" s="2">
        <v>183000</v>
      </c>
      <c r="G1149" t="s">
        <v>17</v>
      </c>
      <c r="H1149" s="2">
        <v>1267.06</v>
      </c>
      <c r="I1149" s="2">
        <v>179409.3</v>
      </c>
      <c r="J1149">
        <v>7.3999999999999996E-2</v>
      </c>
      <c r="K1149">
        <v>13</v>
      </c>
      <c r="L1149">
        <v>346</v>
      </c>
      <c r="M1149" t="str">
        <f t="shared" si="309"/>
        <v>30 Year Fixed</v>
      </c>
      <c r="N1149" s="2">
        <v>1106.3599999999999</v>
      </c>
      <c r="O1149" t="str">
        <f t="shared" si="306"/>
        <v>Cash Out</v>
      </c>
      <c r="P1149" s="3">
        <f t="shared" si="310"/>
        <v>639.96108374386677</v>
      </c>
      <c r="Q1149" s="4">
        <v>182750</v>
      </c>
      <c r="R1149" s="4" t="s">
        <v>41</v>
      </c>
      <c r="S1149" s="6">
        <v>737</v>
      </c>
      <c r="T1149">
        <v>6.75</v>
      </c>
      <c r="U1149" s="7">
        <f t="shared" si="307"/>
        <v>1261.458854811744</v>
      </c>
      <c r="V1149" s="2">
        <f t="shared" si="311"/>
        <v>5.6011451882559413</v>
      </c>
      <c r="W1149" s="9">
        <f t="shared" si="312"/>
        <v>0</v>
      </c>
      <c r="X1149" s="3">
        <v>182750</v>
      </c>
      <c r="Y1149" s="3">
        <f t="shared" si="313"/>
        <v>639.96108374386677</v>
      </c>
      <c r="Z1149" s="7">
        <f t="shared" si="314"/>
        <v>1261.458854811744</v>
      </c>
      <c r="AA1149" s="2">
        <f t="shared" si="308"/>
        <v>5.6011451882559413</v>
      </c>
      <c r="AB1149" s="8">
        <f t="shared" si="315"/>
        <v>1</v>
      </c>
      <c r="AC1149" s="10">
        <v>6.125</v>
      </c>
      <c r="AD1149" s="7">
        <f t="shared" si="316"/>
        <v>1186.5540944170434</v>
      </c>
      <c r="AE1149" s="2">
        <f t="shared" si="317"/>
        <v>80.50590558295653</v>
      </c>
      <c r="AF1149" s="10">
        <v>3</v>
      </c>
      <c r="AG1149" s="3">
        <f t="shared" si="318"/>
        <v>5482.5</v>
      </c>
      <c r="AH1149" s="7">
        <v>3660</v>
      </c>
      <c r="AI1149">
        <f t="shared" si="319"/>
        <v>360</v>
      </c>
      <c r="AJ1149" t="e">
        <f>VLOOKUP(A1149,'Borrower Details'!$A$1:$H$1493,8,FALSE)</f>
        <v>#N/A</v>
      </c>
      <c r="AK1149" s="4" t="e">
        <f t="shared" si="320"/>
        <v>#N/A</v>
      </c>
      <c r="AL1149" s="10">
        <v>6.75</v>
      </c>
      <c r="AM1149" s="3">
        <f t="shared" si="321"/>
        <v>182100.43949999998</v>
      </c>
      <c r="AN1149">
        <v>6.75</v>
      </c>
      <c r="AO1149" s="7">
        <f t="shared" si="322"/>
        <v>1256.9751675643515</v>
      </c>
      <c r="AP1149" s="2">
        <f t="shared" si="323"/>
        <v>10.084832435648423</v>
      </c>
    </row>
    <row r="1150" spans="1:42" x14ac:dyDescent="0.15">
      <c r="A1150" s="8">
        <v>1175399</v>
      </c>
      <c r="B1150" t="s">
        <v>36</v>
      </c>
      <c r="C1150" t="s">
        <v>18</v>
      </c>
      <c r="D1150" s="1">
        <v>39197</v>
      </c>
      <c r="E1150" s="2">
        <v>170000</v>
      </c>
      <c r="F1150" s="2">
        <v>127500</v>
      </c>
      <c r="G1150" t="s">
        <v>15</v>
      </c>
      <c r="H1150" s="2">
        <v>1062.8</v>
      </c>
      <c r="I1150" s="2">
        <v>126567.8</v>
      </c>
      <c r="J1150">
        <v>9.4E-2</v>
      </c>
      <c r="K1150">
        <v>12</v>
      </c>
      <c r="L1150">
        <v>347</v>
      </c>
      <c r="M1150" t="str">
        <f t="shared" si="309"/>
        <v>30 Year Fixed</v>
      </c>
      <c r="N1150" s="2">
        <v>991.45</v>
      </c>
      <c r="O1150" t="str">
        <f t="shared" si="306"/>
        <v>Cash Out</v>
      </c>
      <c r="P1150" s="3">
        <f t="shared" si="310"/>
        <v>15796.732019704432</v>
      </c>
      <c r="Q1150" s="4">
        <v>144500</v>
      </c>
      <c r="R1150" s="4" t="s">
        <v>41</v>
      </c>
      <c r="S1150" s="6">
        <v>536</v>
      </c>
      <c r="T1150">
        <v>7.625</v>
      </c>
      <c r="U1150" s="7">
        <f t="shared" si="307"/>
        <v>1082.9702968157828</v>
      </c>
      <c r="V1150" s="2">
        <f t="shared" si="311"/>
        <v>-20.170296815782876</v>
      </c>
      <c r="W1150" s="9">
        <f t="shared" si="312"/>
        <v>1</v>
      </c>
      <c r="X1150" s="3">
        <v>141740</v>
      </c>
      <c r="Y1150" s="3">
        <f t="shared" si="313"/>
        <v>13077.520197044345</v>
      </c>
      <c r="Z1150" s="7">
        <f t="shared" si="314"/>
        <v>1062.285189416395</v>
      </c>
      <c r="AA1150" s="2">
        <f t="shared" si="308"/>
        <v>0.51481058360491261</v>
      </c>
      <c r="AB1150" s="8">
        <f t="shared" si="315"/>
        <v>0</v>
      </c>
      <c r="AC1150" s="10">
        <v>7.625</v>
      </c>
      <c r="AD1150" s="7">
        <f t="shared" si="316"/>
        <v>1062.285189416395</v>
      </c>
      <c r="AE1150" s="2">
        <f t="shared" si="317"/>
        <v>0.51481058360491261</v>
      </c>
      <c r="AF1150" s="10">
        <v>0</v>
      </c>
      <c r="AG1150" s="3">
        <f t="shared" si="318"/>
        <v>0</v>
      </c>
      <c r="AH1150" s="7">
        <v>2550</v>
      </c>
      <c r="AI1150">
        <f t="shared" si="319"/>
        <v>360</v>
      </c>
      <c r="AJ1150" t="e">
        <f>VLOOKUP(A1150,'Borrower Details'!$A$1:$H$1493,8,FALSE)</f>
        <v>#N/A</v>
      </c>
      <c r="AK1150" s="4" t="e">
        <f t="shared" si="320"/>
        <v>#N/A</v>
      </c>
      <c r="AL1150" s="10">
        <v>7.625</v>
      </c>
      <c r="AM1150" s="3">
        <f t="shared" si="321"/>
        <v>128466.317</v>
      </c>
      <c r="AN1150">
        <v>7.625</v>
      </c>
      <c r="AO1150" s="7">
        <f t="shared" si="322"/>
        <v>962.80418998145637</v>
      </c>
      <c r="AP1150" s="2">
        <f t="shared" si="323"/>
        <v>99.99581001854358</v>
      </c>
    </row>
    <row r="1151" spans="1:42" x14ac:dyDescent="0.15">
      <c r="A1151" s="8">
        <v>411277510</v>
      </c>
      <c r="B1151" t="s">
        <v>36</v>
      </c>
      <c r="C1151" t="s">
        <v>16</v>
      </c>
      <c r="D1151" s="1">
        <v>39479</v>
      </c>
      <c r="E1151" s="2">
        <v>307000</v>
      </c>
      <c r="F1151" s="2">
        <v>272700</v>
      </c>
      <c r="G1151" t="s">
        <v>17</v>
      </c>
      <c r="H1151" s="2">
        <v>2428.48</v>
      </c>
      <c r="I1151" s="2">
        <v>272142.03000000003</v>
      </c>
      <c r="J1151">
        <v>0.10174999999999999</v>
      </c>
      <c r="K1151">
        <v>3</v>
      </c>
      <c r="L1151">
        <v>356</v>
      </c>
      <c r="M1151" t="str">
        <f t="shared" si="309"/>
        <v>30 Year Fixed</v>
      </c>
      <c r="N1151" s="2">
        <v>2307.54</v>
      </c>
      <c r="O1151" t="str">
        <f t="shared" si="306"/>
        <v>Refi</v>
      </c>
      <c r="P1151" s="3">
        <f t="shared" si="310"/>
        <v>0</v>
      </c>
      <c r="Q1151" s="4">
        <v>276224</v>
      </c>
      <c r="R1151" s="4" t="s">
        <v>41</v>
      </c>
      <c r="S1151" s="6">
        <v>638</v>
      </c>
      <c r="T1151">
        <v>6.75</v>
      </c>
      <c r="U1151" s="7">
        <f t="shared" si="307"/>
        <v>1906.6769395979161</v>
      </c>
      <c r="V1151" s="2">
        <f t="shared" si="311"/>
        <v>521.80306040208393</v>
      </c>
      <c r="W1151" s="9">
        <f t="shared" si="312"/>
        <v>0</v>
      </c>
      <c r="X1151" s="3">
        <v>276224</v>
      </c>
      <c r="Y1151" s="3">
        <f t="shared" si="313"/>
        <v>-0.15807881770888343</v>
      </c>
      <c r="Z1151" s="7">
        <f t="shared" si="314"/>
        <v>1906.6769395979161</v>
      </c>
      <c r="AA1151" s="2">
        <f t="shared" si="308"/>
        <v>521.80306040208393</v>
      </c>
      <c r="AB1151" s="8">
        <f t="shared" si="315"/>
        <v>0</v>
      </c>
      <c r="AC1151" s="10">
        <v>6.75</v>
      </c>
      <c r="AD1151" s="7">
        <f t="shared" si="316"/>
        <v>1906.6769395979161</v>
      </c>
      <c r="AE1151" s="2">
        <f t="shared" si="317"/>
        <v>521.80306040208393</v>
      </c>
      <c r="AF1151" s="10">
        <v>0</v>
      </c>
      <c r="AG1151" s="3">
        <f t="shared" si="318"/>
        <v>0</v>
      </c>
      <c r="AH1151" s="7">
        <v>5454</v>
      </c>
      <c r="AI1151">
        <f t="shared" si="319"/>
        <v>360</v>
      </c>
      <c r="AJ1151" t="e">
        <f>VLOOKUP(A1151,'Borrower Details'!$A$1:$H$1493,8,FALSE)</f>
        <v>#N/A</v>
      </c>
      <c r="AK1151" s="4" t="e">
        <f t="shared" si="320"/>
        <v>#N/A</v>
      </c>
      <c r="AL1151" s="10">
        <v>6.75</v>
      </c>
      <c r="AM1151" s="3">
        <f t="shared" si="321"/>
        <v>276224.16045000002</v>
      </c>
      <c r="AN1151">
        <v>6.75</v>
      </c>
      <c r="AO1151" s="7">
        <f t="shared" si="322"/>
        <v>1906.6780471277291</v>
      </c>
      <c r="AP1151" s="2">
        <f t="shared" si="323"/>
        <v>521.80195287227093</v>
      </c>
    </row>
    <row r="1152" spans="1:42" x14ac:dyDescent="0.15">
      <c r="A1152" s="8">
        <v>410927917</v>
      </c>
      <c r="B1152" t="s">
        <v>36</v>
      </c>
      <c r="C1152" t="s">
        <v>18</v>
      </c>
      <c r="D1152" s="1">
        <v>39346</v>
      </c>
      <c r="E1152" s="2">
        <v>242000</v>
      </c>
      <c r="F1152" s="2">
        <v>217800</v>
      </c>
      <c r="G1152" t="s">
        <v>20</v>
      </c>
      <c r="H1152" s="2">
        <v>2107.15</v>
      </c>
      <c r="I1152" s="2">
        <v>217264.77</v>
      </c>
      <c r="J1152">
        <v>0.112</v>
      </c>
      <c r="K1152">
        <v>7</v>
      </c>
      <c r="L1152">
        <v>353</v>
      </c>
      <c r="M1152" t="str">
        <f t="shared" si="309"/>
        <v>30 Year Fixed</v>
      </c>
      <c r="N1152" s="2">
        <v>2027.8</v>
      </c>
      <c r="O1152" t="str">
        <f t="shared" si="306"/>
        <v>Refi</v>
      </c>
      <c r="P1152" s="3">
        <f t="shared" si="310"/>
        <v>0</v>
      </c>
      <c r="Q1152" s="4">
        <v>220524</v>
      </c>
      <c r="R1152" s="4" t="s">
        <v>41</v>
      </c>
      <c r="S1152" s="6">
        <v>607</v>
      </c>
      <c r="T1152">
        <v>6.875</v>
      </c>
      <c r="U1152" s="7">
        <f t="shared" si="307"/>
        <v>1540.5706970697956</v>
      </c>
      <c r="V1152" s="2">
        <f t="shared" si="311"/>
        <v>566.57930293020445</v>
      </c>
      <c r="W1152" s="9">
        <f t="shared" si="312"/>
        <v>0</v>
      </c>
      <c r="X1152" s="3">
        <v>220524</v>
      </c>
      <c r="Y1152" s="3">
        <f t="shared" si="313"/>
        <v>0.25463054189458489</v>
      </c>
      <c r="Z1152" s="7">
        <f t="shared" si="314"/>
        <v>1540.5706970697956</v>
      </c>
      <c r="AA1152" s="2">
        <f t="shared" si="308"/>
        <v>566.57930293020445</v>
      </c>
      <c r="AB1152" s="8">
        <f t="shared" si="315"/>
        <v>0</v>
      </c>
      <c r="AC1152" s="10">
        <v>6.875</v>
      </c>
      <c r="AD1152" s="7">
        <f t="shared" si="316"/>
        <v>1540.5706970697956</v>
      </c>
      <c r="AE1152" s="2">
        <f t="shared" si="317"/>
        <v>566.57930293020445</v>
      </c>
      <c r="AF1152" s="10">
        <v>0</v>
      </c>
      <c r="AG1152" s="3">
        <f t="shared" si="318"/>
        <v>0</v>
      </c>
      <c r="AH1152" s="7">
        <v>4356</v>
      </c>
      <c r="AI1152">
        <f t="shared" si="319"/>
        <v>360</v>
      </c>
      <c r="AJ1152" t="e">
        <f>VLOOKUP(A1152,'Borrower Details'!$A$1:$H$1493,8,FALSE)</f>
        <v>#N/A</v>
      </c>
      <c r="AK1152" s="4" t="e">
        <f t="shared" si="320"/>
        <v>#N/A</v>
      </c>
      <c r="AL1152" s="10">
        <v>6.875</v>
      </c>
      <c r="AM1152" s="3">
        <f t="shared" si="321"/>
        <v>220523.74154999998</v>
      </c>
      <c r="AN1152">
        <v>6.875</v>
      </c>
      <c r="AO1152" s="7">
        <f t="shared" si="322"/>
        <v>1540.5688915497765</v>
      </c>
      <c r="AP1152" s="2">
        <f t="shared" si="323"/>
        <v>566.58110845022361</v>
      </c>
    </row>
    <row r="1153" spans="1:42" x14ac:dyDescent="0.15">
      <c r="A1153" s="8">
        <v>411308778</v>
      </c>
      <c r="B1153" t="s">
        <v>35</v>
      </c>
      <c r="C1153" t="s">
        <v>16</v>
      </c>
      <c r="D1153" s="1">
        <v>39503</v>
      </c>
      <c r="E1153" s="2">
        <v>145000</v>
      </c>
      <c r="F1153" s="2">
        <v>116000</v>
      </c>
      <c r="G1153" t="s">
        <v>17</v>
      </c>
      <c r="H1153" s="2">
        <v>932.53</v>
      </c>
      <c r="I1153" s="2">
        <v>115808.08</v>
      </c>
      <c r="J1153">
        <v>8.9899999999999994E-2</v>
      </c>
      <c r="K1153">
        <v>2</v>
      </c>
      <c r="L1153">
        <v>357</v>
      </c>
      <c r="M1153" t="str">
        <f t="shared" si="309"/>
        <v>30 Year Fixed</v>
      </c>
      <c r="N1153" s="2">
        <v>867.6</v>
      </c>
      <c r="O1153" t="str">
        <f t="shared" si="306"/>
        <v>Cash Out</v>
      </c>
      <c r="P1153" s="3">
        <f t="shared" si="310"/>
        <v>5620.4914285714331</v>
      </c>
      <c r="Q1153" s="4">
        <v>123250</v>
      </c>
      <c r="R1153" s="4" t="s">
        <v>41</v>
      </c>
      <c r="S1153" s="6">
        <v>604</v>
      </c>
      <c r="T1153">
        <v>6.875</v>
      </c>
      <c r="U1153" s="7">
        <f t="shared" si="307"/>
        <v>861.01892952174046</v>
      </c>
      <c r="V1153" s="2">
        <f t="shared" si="311"/>
        <v>71.511070478259512</v>
      </c>
      <c r="W1153" s="9">
        <f t="shared" si="312"/>
        <v>0</v>
      </c>
      <c r="X1153" s="3">
        <v>123250</v>
      </c>
      <c r="Y1153" s="3">
        <f t="shared" si="313"/>
        <v>5620.4914285714331</v>
      </c>
      <c r="Z1153" s="7">
        <f t="shared" si="314"/>
        <v>861.01892952174046</v>
      </c>
      <c r="AA1153" s="2">
        <f t="shared" si="308"/>
        <v>71.511070478259512</v>
      </c>
      <c r="AB1153" s="8">
        <f t="shared" si="315"/>
        <v>0</v>
      </c>
      <c r="AC1153" s="10">
        <v>6.875</v>
      </c>
      <c r="AD1153" s="7">
        <f t="shared" si="316"/>
        <v>861.01892952174046</v>
      </c>
      <c r="AE1153" s="2">
        <f t="shared" si="317"/>
        <v>71.511070478259512</v>
      </c>
      <c r="AF1153" s="10">
        <v>0</v>
      </c>
      <c r="AG1153" s="3">
        <f t="shared" si="318"/>
        <v>0</v>
      </c>
      <c r="AH1153" s="7">
        <v>5214.2</v>
      </c>
      <c r="AI1153">
        <f t="shared" si="319"/>
        <v>360</v>
      </c>
      <c r="AJ1153" t="e">
        <f>VLOOKUP(A1153,'Borrower Details'!$A$1:$H$1493,8,FALSE)</f>
        <v>#N/A</v>
      </c>
      <c r="AK1153" s="4" t="e">
        <f t="shared" si="320"/>
        <v>#N/A</v>
      </c>
      <c r="AL1153" s="10">
        <v>6.875</v>
      </c>
      <c r="AM1153" s="3">
        <f t="shared" si="321"/>
        <v>117545.2012</v>
      </c>
      <c r="AN1153">
        <v>6.875</v>
      </c>
      <c r="AO1153" s="7">
        <f t="shared" si="322"/>
        <v>821.16546294232535</v>
      </c>
      <c r="AP1153" s="2">
        <f t="shared" si="323"/>
        <v>111.36453705767462</v>
      </c>
    </row>
    <row r="1154" spans="1:42" x14ac:dyDescent="0.15">
      <c r="A1154" s="8">
        <v>1162967</v>
      </c>
      <c r="B1154" t="s">
        <v>37</v>
      </c>
      <c r="C1154" t="s">
        <v>18</v>
      </c>
      <c r="D1154" s="1">
        <v>39195</v>
      </c>
      <c r="E1154" s="2">
        <v>110000</v>
      </c>
      <c r="F1154" s="2">
        <v>93500</v>
      </c>
      <c r="G1154" t="s">
        <v>17</v>
      </c>
      <c r="H1154" s="2">
        <v>762.44</v>
      </c>
      <c r="I1154" s="2">
        <v>92826.18</v>
      </c>
      <c r="J1154">
        <v>9.1499999999999998E-2</v>
      </c>
      <c r="K1154">
        <v>12</v>
      </c>
      <c r="L1154">
        <v>347</v>
      </c>
      <c r="M1154" t="str">
        <f t="shared" si="309"/>
        <v>30 Year Fixed</v>
      </c>
      <c r="N1154" s="2">
        <v>707.8</v>
      </c>
      <c r="O1154" t="str">
        <f t="shared" ref="O1154:O1217" si="324">IF((0.85*E1154)&gt;(I1154*1.015),"Cash Out","Refi")</f>
        <v>Refi</v>
      </c>
      <c r="P1154" s="3">
        <f t="shared" si="310"/>
        <v>0</v>
      </c>
      <c r="Q1154" s="4">
        <v>94219</v>
      </c>
      <c r="R1154" s="4" t="s">
        <v>41</v>
      </c>
      <c r="S1154" s="6">
        <v>644</v>
      </c>
      <c r="T1154">
        <v>6.875</v>
      </c>
      <c r="U1154" s="7">
        <f t="shared" ref="U1154:U1217" si="325">(Q1154*((T1154/1200)/(1-(1+(T1154/1200))^-AI1154)))+((Q1154*0.005)/12)</f>
        <v>658.20967562360136</v>
      </c>
      <c r="V1154" s="2">
        <f t="shared" si="311"/>
        <v>104.2303243763987</v>
      </c>
      <c r="W1154" s="9">
        <f t="shared" si="312"/>
        <v>0</v>
      </c>
      <c r="X1154" s="3">
        <v>94219</v>
      </c>
      <c r="Y1154" s="3">
        <f t="shared" si="313"/>
        <v>0.42098522168816999</v>
      </c>
      <c r="Z1154" s="7">
        <f t="shared" si="314"/>
        <v>658.20967562360136</v>
      </c>
      <c r="AA1154" s="2">
        <f t="shared" ref="AA1154:AA1217" si="326">H1154-Z1154</f>
        <v>104.2303243763987</v>
      </c>
      <c r="AB1154" s="8">
        <f t="shared" si="315"/>
        <v>0</v>
      </c>
      <c r="AC1154" s="10">
        <v>6.875</v>
      </c>
      <c r="AD1154" s="7">
        <f t="shared" si="316"/>
        <v>658.20967562360136</v>
      </c>
      <c r="AE1154" s="2">
        <f t="shared" si="317"/>
        <v>104.2303243763987</v>
      </c>
      <c r="AF1154" s="10">
        <v>0</v>
      </c>
      <c r="AG1154" s="3">
        <f t="shared" si="318"/>
        <v>0</v>
      </c>
      <c r="AH1154" s="7">
        <v>0</v>
      </c>
      <c r="AI1154">
        <f t="shared" si="319"/>
        <v>360</v>
      </c>
      <c r="AJ1154" t="e">
        <f>VLOOKUP(A1154,'Borrower Details'!$A$1:$H$1493,8,FALSE)</f>
        <v>#N/A</v>
      </c>
      <c r="AK1154" s="4" t="e">
        <f t="shared" si="320"/>
        <v>#N/A</v>
      </c>
      <c r="AL1154" s="10">
        <v>6.875</v>
      </c>
      <c r="AM1154" s="3">
        <f t="shared" si="321"/>
        <v>94218.57269999999</v>
      </c>
      <c r="AN1154">
        <v>6.875</v>
      </c>
      <c r="AO1154" s="7">
        <f t="shared" si="322"/>
        <v>658.2066905251138</v>
      </c>
      <c r="AP1154" s="2">
        <f t="shared" si="323"/>
        <v>104.23330947488625</v>
      </c>
    </row>
    <row r="1155" spans="1:42" x14ac:dyDescent="0.15">
      <c r="A1155" s="8">
        <v>411060288</v>
      </c>
      <c r="B1155" t="s">
        <v>37</v>
      </c>
      <c r="C1155" t="s">
        <v>16</v>
      </c>
      <c r="D1155" s="1">
        <v>39381</v>
      </c>
      <c r="E1155" s="2">
        <v>325000</v>
      </c>
      <c r="F1155" s="2">
        <v>188500</v>
      </c>
      <c r="G1155" t="s">
        <v>17</v>
      </c>
      <c r="H1155" s="2">
        <v>1515.36</v>
      </c>
      <c r="I1155" s="2">
        <v>187869.21</v>
      </c>
      <c r="J1155">
        <v>8.9899999999999994E-2</v>
      </c>
      <c r="K1155">
        <v>6</v>
      </c>
      <c r="L1155">
        <v>354</v>
      </c>
      <c r="M1155" t="str">
        <f t="shared" ref="M1155:M1218" si="327">(IF((L1155+K1155)&lt;180,"15 Year Fixed","30 Year Fixed"))</f>
        <v>30 Year Fixed</v>
      </c>
      <c r="N1155" s="2">
        <v>1407.45</v>
      </c>
      <c r="O1155" t="str">
        <f t="shared" si="324"/>
        <v>Cash Out</v>
      </c>
      <c r="P1155" s="3">
        <f t="shared" ref="P1155:P1218" si="328">IF((0.85*E1155)&gt;(I1155*1.015),((0.85*E1155)/1.015)-(I1155),0)</f>
        <v>84298.27768472911</v>
      </c>
      <c r="Q1155" s="4">
        <v>276250</v>
      </c>
      <c r="R1155" s="4" t="s">
        <v>41</v>
      </c>
      <c r="S1155" s="6">
        <v>639</v>
      </c>
      <c r="T1155">
        <v>6.75</v>
      </c>
      <c r="U1155" s="7">
        <f t="shared" si="325"/>
        <v>1906.8564084363575</v>
      </c>
      <c r="V1155" s="2">
        <f t="shared" ref="V1155:V1218" si="329">H1155-U1155</f>
        <v>-391.49640843635757</v>
      </c>
      <c r="W1155" s="9">
        <f t="shared" ref="W1155:W1218" si="330">IF(AND(O1155="Cash Out",V1155&lt;0),1,0)</f>
        <v>1</v>
      </c>
      <c r="X1155" s="3">
        <v>219460</v>
      </c>
      <c r="Y1155" s="3">
        <f t="shared" ref="Y1155:Y1218" si="331">(X1155/1.015)-(I1155)</f>
        <v>28347.538768472936</v>
      </c>
      <c r="Z1155" s="7">
        <f t="shared" ref="Z1155:Z1218" si="332">(X1155*((AL1155/1200)/(1-(1+(AL1155/1200))^-AI1155)))+((X1155*0.005)/12)</f>
        <v>1514.8550493952687</v>
      </c>
      <c r="AA1155" s="2">
        <f t="shared" si="326"/>
        <v>0.50495060473122066</v>
      </c>
      <c r="AB1155" s="8">
        <f t="shared" ref="AB1155:AB1218" si="333">IF(I1155=0,0,IF(AND(AH1155&gt;0,(AP1155/AO1155)&lt;0.07),1,IF(AND(AH1155=0,(AP1155/AO1155)&lt;0.1),1,0)))</f>
        <v>0</v>
      </c>
      <c r="AC1155" s="10">
        <v>6.75</v>
      </c>
      <c r="AD1155" s="7">
        <f t="shared" ref="AD1155:AD1218" si="334">(X1155*((AC1155/1200)/(1-(1+(AC1155/1200))^-AI1155)))+((X1155*0.005)/12)</f>
        <v>1514.8550493952687</v>
      </c>
      <c r="AE1155" s="2">
        <f t="shared" ref="AE1155:AE1218" si="335">H1155-AD1155</f>
        <v>0.50495060473122066</v>
      </c>
      <c r="AF1155" s="10">
        <v>0</v>
      </c>
      <c r="AG1155" s="3">
        <f t="shared" ref="AG1155:AG1218" si="336">AF1155*X1155/100</f>
        <v>0</v>
      </c>
      <c r="AH1155" s="7">
        <v>1885</v>
      </c>
      <c r="AI1155">
        <f t="shared" ref="AI1155:AI1218" si="337">IF(M1155="30 Year Fixed",360,180)</f>
        <v>360</v>
      </c>
      <c r="AJ1155" t="e">
        <f>VLOOKUP(A1155,'Borrower Details'!$A$1:$H$1493,8,FALSE)</f>
        <v>#N/A</v>
      </c>
      <c r="AK1155" s="4" t="e">
        <f t="shared" ref="AK1155:AK1218" si="338">IF(AJ1155&gt;360,PV((J1155/12),AJ1155-AI1155,-H1155),"NA")</f>
        <v>#N/A</v>
      </c>
      <c r="AL1155" s="10">
        <v>6.75</v>
      </c>
      <c r="AM1155" s="3">
        <f t="shared" ref="AM1155:AM1218" si="339">I1155*1.015</f>
        <v>190687.24814999997</v>
      </c>
      <c r="AN1155">
        <v>6.75</v>
      </c>
      <c r="AO1155" s="7">
        <f t="shared" ref="AO1155:AO1218" si="340">(AM1155*((AN1155/1200)/(1-(1+(AN1155/1200))^-AI1155)))+((AM1155*0.005)/12)</f>
        <v>1316.2468819617063</v>
      </c>
      <c r="AP1155" s="2">
        <f t="shared" ref="AP1155:AP1218" si="341">H1155-AO1155</f>
        <v>199.11311803829358</v>
      </c>
    </row>
    <row r="1156" spans="1:42" x14ac:dyDescent="0.15">
      <c r="A1156" s="8">
        <v>1188381</v>
      </c>
      <c r="B1156" t="s">
        <v>38</v>
      </c>
      <c r="C1156" t="s">
        <v>19</v>
      </c>
      <c r="D1156" s="1">
        <v>39190</v>
      </c>
      <c r="E1156" s="2">
        <v>193000</v>
      </c>
      <c r="F1156" s="2">
        <v>164050</v>
      </c>
      <c r="G1156" t="s">
        <v>17</v>
      </c>
      <c r="H1156" s="2">
        <v>1308.2</v>
      </c>
      <c r="I1156" s="2">
        <v>162904.85</v>
      </c>
      <c r="J1156">
        <v>8.8999999999999996E-2</v>
      </c>
      <c r="K1156">
        <v>12</v>
      </c>
      <c r="L1156">
        <v>350</v>
      </c>
      <c r="M1156" t="str">
        <f t="shared" si="327"/>
        <v>30 Year Fixed</v>
      </c>
      <c r="N1156" s="2">
        <v>1208.21</v>
      </c>
      <c r="O1156" t="str">
        <f t="shared" si="324"/>
        <v>Refi</v>
      </c>
      <c r="P1156" s="3">
        <f t="shared" si="328"/>
        <v>0</v>
      </c>
      <c r="Q1156" s="4">
        <v>165348</v>
      </c>
      <c r="R1156" s="4" t="s">
        <v>41</v>
      </c>
      <c r="S1156" s="6">
        <v>584</v>
      </c>
      <c r="T1156">
        <v>7.375</v>
      </c>
      <c r="U1156" s="7">
        <f t="shared" si="325"/>
        <v>1210.9125430492461</v>
      </c>
      <c r="V1156" s="2">
        <f t="shared" si="329"/>
        <v>97.287456950753949</v>
      </c>
      <c r="W1156" s="9">
        <f t="shared" si="330"/>
        <v>0</v>
      </c>
      <c r="X1156" s="3">
        <v>165349</v>
      </c>
      <c r="Y1156" s="3">
        <f t="shared" si="331"/>
        <v>0.56871921182028018</v>
      </c>
      <c r="Z1156" s="7">
        <f t="shared" si="332"/>
        <v>1210.9198664673888</v>
      </c>
      <c r="AA1156" s="2">
        <f t="shared" si="326"/>
        <v>97.280133532611217</v>
      </c>
      <c r="AB1156" s="8">
        <f t="shared" si="333"/>
        <v>1</v>
      </c>
      <c r="AC1156" s="10">
        <v>6.375</v>
      </c>
      <c r="AD1156" s="7">
        <f t="shared" si="334"/>
        <v>1100.4580556816611</v>
      </c>
      <c r="AE1156" s="2">
        <f t="shared" si="335"/>
        <v>207.74194431833894</v>
      </c>
      <c r="AF1156" s="10">
        <v>2.625</v>
      </c>
      <c r="AG1156" s="3">
        <f t="shared" si="336"/>
        <v>4340.4112500000001</v>
      </c>
      <c r="AH1156" s="7">
        <v>0</v>
      </c>
      <c r="AI1156">
        <f t="shared" si="337"/>
        <v>360</v>
      </c>
      <c r="AJ1156" t="e">
        <f>VLOOKUP(A1156,'Borrower Details'!$A$1:$H$1493,8,FALSE)</f>
        <v>#N/A</v>
      </c>
      <c r="AK1156" s="4" t="e">
        <f t="shared" si="338"/>
        <v>#N/A</v>
      </c>
      <c r="AL1156" s="10">
        <v>7.375</v>
      </c>
      <c r="AM1156" s="3">
        <f t="shared" si="339"/>
        <v>165348.42275</v>
      </c>
      <c r="AN1156">
        <v>7.375</v>
      </c>
      <c r="AO1156" s="7">
        <f t="shared" si="340"/>
        <v>1210.9156390242658</v>
      </c>
      <c r="AP1156" s="2">
        <f t="shared" si="341"/>
        <v>97.284360975734216</v>
      </c>
    </row>
    <row r="1157" spans="1:42" x14ac:dyDescent="0.15">
      <c r="A1157" s="8">
        <v>410540207</v>
      </c>
      <c r="B1157" t="s">
        <v>36</v>
      </c>
      <c r="C1157" t="s">
        <v>19</v>
      </c>
      <c r="D1157" s="1">
        <v>39276</v>
      </c>
      <c r="E1157" s="2">
        <v>286500</v>
      </c>
      <c r="F1157" s="2">
        <v>243525</v>
      </c>
      <c r="G1157" t="s">
        <v>17</v>
      </c>
      <c r="H1157" s="2">
        <v>1668.56</v>
      </c>
      <c r="I1157" s="2">
        <v>243249.11</v>
      </c>
      <c r="J1157">
        <v>8.0750000000000002E-2</v>
      </c>
      <c r="K1157">
        <v>9</v>
      </c>
      <c r="L1157">
        <v>351</v>
      </c>
      <c r="M1157" t="str">
        <f t="shared" si="327"/>
        <v>30 Year Fixed</v>
      </c>
      <c r="N1157" s="2">
        <v>1636.86</v>
      </c>
      <c r="O1157" t="str">
        <f t="shared" si="324"/>
        <v>Refi</v>
      </c>
      <c r="P1157" s="3">
        <f t="shared" si="328"/>
        <v>0</v>
      </c>
      <c r="Q1157" s="4">
        <v>246898</v>
      </c>
      <c r="R1157" s="4" t="s">
        <v>41</v>
      </c>
      <c r="S1157" s="6">
        <v>634</v>
      </c>
      <c r="T1157">
        <v>6.75</v>
      </c>
      <c r="U1157" s="7">
        <f t="shared" si="325"/>
        <v>1704.2498951316552</v>
      </c>
      <c r="V1157" s="2">
        <f t="shared" si="329"/>
        <v>-35.689895131655248</v>
      </c>
      <c r="W1157" s="9">
        <f t="shared" si="330"/>
        <v>0</v>
      </c>
      <c r="X1157" s="3">
        <v>246898</v>
      </c>
      <c r="Y1157" s="3">
        <f t="shared" si="331"/>
        <v>0.15108374386909418</v>
      </c>
      <c r="Z1157" s="7">
        <f t="shared" si="332"/>
        <v>1704.2498951316552</v>
      </c>
      <c r="AA1157" s="2">
        <f t="shared" si="326"/>
        <v>-35.689895131655248</v>
      </c>
      <c r="AB1157" s="8">
        <f t="shared" si="333"/>
        <v>1</v>
      </c>
      <c r="AC1157" s="10">
        <v>6.125</v>
      </c>
      <c r="AD1157" s="7">
        <f t="shared" si="334"/>
        <v>1603.0524366805978</v>
      </c>
      <c r="AE1157" s="2">
        <f t="shared" si="335"/>
        <v>65.507563319402152</v>
      </c>
      <c r="AF1157" s="10">
        <v>3</v>
      </c>
      <c r="AG1157" s="3">
        <f t="shared" si="336"/>
        <v>7406.94</v>
      </c>
      <c r="AH1157" s="7">
        <v>4870.5</v>
      </c>
      <c r="AI1157">
        <f t="shared" si="337"/>
        <v>360</v>
      </c>
      <c r="AJ1157" t="e">
        <f>VLOOKUP(A1157,'Borrower Details'!$A$1:$H$1493,8,FALSE)</f>
        <v>#N/A</v>
      </c>
      <c r="AK1157" s="4" t="e">
        <f t="shared" si="338"/>
        <v>#N/A</v>
      </c>
      <c r="AL1157" s="10">
        <v>6.75</v>
      </c>
      <c r="AM1157" s="3">
        <f t="shared" si="339"/>
        <v>246897.84664999996</v>
      </c>
      <c r="AN1157">
        <v>6.75</v>
      </c>
      <c r="AO1157" s="7">
        <f t="shared" si="340"/>
        <v>1704.2488366106406</v>
      </c>
      <c r="AP1157" s="2">
        <f t="shared" si="341"/>
        <v>-35.688836610640692</v>
      </c>
    </row>
    <row r="1158" spans="1:42" x14ac:dyDescent="0.15">
      <c r="A1158" s="8">
        <v>410747125</v>
      </c>
      <c r="B1158" t="s">
        <v>36</v>
      </c>
      <c r="C1158" t="s">
        <v>18</v>
      </c>
      <c r="D1158" s="1">
        <v>39300</v>
      </c>
      <c r="E1158" s="2">
        <v>150000</v>
      </c>
      <c r="F1158" s="2">
        <v>69495</v>
      </c>
      <c r="G1158" t="s">
        <v>17</v>
      </c>
      <c r="H1158" s="2">
        <v>604.74</v>
      </c>
      <c r="I1158" s="2">
        <v>69125.91</v>
      </c>
      <c r="J1158">
        <v>9.9000000000000005E-2</v>
      </c>
      <c r="K1158">
        <v>8</v>
      </c>
      <c r="L1158">
        <v>352</v>
      </c>
      <c r="M1158" t="str">
        <f t="shared" si="327"/>
        <v>30 Year Fixed</v>
      </c>
      <c r="N1158" s="2">
        <v>570.29</v>
      </c>
      <c r="O1158" t="str">
        <f t="shared" si="324"/>
        <v>Cash Out</v>
      </c>
      <c r="P1158" s="3">
        <f t="shared" si="328"/>
        <v>56489.85354679804</v>
      </c>
      <c r="Q1158" s="4">
        <v>127500</v>
      </c>
      <c r="R1158" s="4" t="s">
        <v>41</v>
      </c>
      <c r="S1158" s="6">
        <v>549</v>
      </c>
      <c r="T1158">
        <v>7.625</v>
      </c>
      <c r="U1158" s="7">
        <f t="shared" si="325"/>
        <v>955.56202660216138</v>
      </c>
      <c r="V1158" s="2">
        <f t="shared" si="329"/>
        <v>-350.82202660216137</v>
      </c>
      <c r="W1158" s="9">
        <f t="shared" si="330"/>
        <v>1</v>
      </c>
      <c r="X1158" s="3">
        <v>80620</v>
      </c>
      <c r="Y1158" s="3">
        <f t="shared" si="331"/>
        <v>10302.661428571431</v>
      </c>
      <c r="Z1158" s="7">
        <f t="shared" si="332"/>
        <v>604.21498497777452</v>
      </c>
      <c r="AA1158" s="2">
        <f t="shared" si="326"/>
        <v>0.52501502222548879</v>
      </c>
      <c r="AB1158" s="8">
        <f t="shared" si="333"/>
        <v>0</v>
      </c>
      <c r="AC1158" s="10">
        <v>7.625</v>
      </c>
      <c r="AD1158" s="7">
        <f t="shared" si="334"/>
        <v>604.21498497777452</v>
      </c>
      <c r="AE1158" s="2">
        <f t="shared" si="335"/>
        <v>0.52501502222548879</v>
      </c>
      <c r="AF1158" s="10">
        <v>0</v>
      </c>
      <c r="AG1158" s="3">
        <f t="shared" si="336"/>
        <v>0</v>
      </c>
      <c r="AH1158" s="7">
        <v>1389.9</v>
      </c>
      <c r="AI1158">
        <f t="shared" si="337"/>
        <v>360</v>
      </c>
      <c r="AJ1158" t="e">
        <f>VLOOKUP(A1158,'Borrower Details'!$A$1:$H$1493,8,FALSE)</f>
        <v>#N/A</v>
      </c>
      <c r="AK1158" s="4" t="e">
        <f t="shared" si="338"/>
        <v>#N/A</v>
      </c>
      <c r="AL1158" s="10">
        <v>7.625</v>
      </c>
      <c r="AM1158" s="3">
        <f t="shared" si="339"/>
        <v>70162.798649999997</v>
      </c>
      <c r="AN1158">
        <v>7.625</v>
      </c>
      <c r="AO1158" s="7">
        <f t="shared" si="340"/>
        <v>525.84240054959525</v>
      </c>
      <c r="AP1158" s="2">
        <f t="shared" si="341"/>
        <v>78.897599450404755</v>
      </c>
    </row>
    <row r="1159" spans="1:42" x14ac:dyDescent="0.15">
      <c r="A1159" s="8">
        <v>1157938</v>
      </c>
      <c r="B1159" t="s">
        <v>37</v>
      </c>
      <c r="C1159" t="s">
        <v>19</v>
      </c>
      <c r="D1159" s="1">
        <v>39175</v>
      </c>
      <c r="E1159" s="2">
        <v>106000</v>
      </c>
      <c r="F1159" s="2">
        <v>100700</v>
      </c>
      <c r="G1159" t="s">
        <v>17</v>
      </c>
      <c r="H1159" s="2">
        <v>882.98</v>
      </c>
      <c r="I1159" s="2">
        <v>100169.8</v>
      </c>
      <c r="J1159">
        <v>9.9900000000000003E-2</v>
      </c>
      <c r="K1159">
        <v>13</v>
      </c>
      <c r="L1159">
        <v>349</v>
      </c>
      <c r="M1159" t="str">
        <f t="shared" si="327"/>
        <v>30 Year Fixed</v>
      </c>
      <c r="N1159" s="2">
        <v>833.91</v>
      </c>
      <c r="O1159" t="str">
        <f t="shared" si="324"/>
        <v>Refi</v>
      </c>
      <c r="P1159" s="3">
        <f t="shared" si="328"/>
        <v>0</v>
      </c>
      <c r="Q1159" s="4">
        <v>101672</v>
      </c>
      <c r="R1159" s="4" t="s">
        <v>41</v>
      </c>
      <c r="S1159" s="6">
        <v>615</v>
      </c>
      <c r="T1159">
        <v>6.875</v>
      </c>
      <c r="U1159" s="7">
        <f t="shared" si="325"/>
        <v>710.27599677350429</v>
      </c>
      <c r="V1159" s="2">
        <f t="shared" si="329"/>
        <v>172.70400322649573</v>
      </c>
      <c r="W1159" s="9">
        <f t="shared" si="330"/>
        <v>0</v>
      </c>
      <c r="X1159" s="3">
        <v>101673</v>
      </c>
      <c r="Y1159" s="3">
        <f t="shared" si="331"/>
        <v>0.64334975370729808</v>
      </c>
      <c r="Z1159" s="7">
        <f t="shared" si="332"/>
        <v>710.28298272830773</v>
      </c>
      <c r="AA1159" s="2">
        <f t="shared" si="326"/>
        <v>172.69701727169229</v>
      </c>
      <c r="AB1159" s="8">
        <f t="shared" si="333"/>
        <v>0</v>
      </c>
      <c r="AC1159" s="10">
        <v>6.875</v>
      </c>
      <c r="AD1159" s="7">
        <f t="shared" si="334"/>
        <v>710.28298272830773</v>
      </c>
      <c r="AE1159" s="2">
        <f t="shared" si="335"/>
        <v>172.69701727169229</v>
      </c>
      <c r="AF1159" s="10">
        <v>0</v>
      </c>
      <c r="AG1159" s="3">
        <f t="shared" si="336"/>
        <v>0</v>
      </c>
      <c r="AH1159" s="7">
        <v>0</v>
      </c>
      <c r="AI1159">
        <f t="shared" si="337"/>
        <v>360</v>
      </c>
      <c r="AJ1159" t="e">
        <f>VLOOKUP(A1159,'Borrower Details'!$A$1:$H$1493,8,FALSE)</f>
        <v>#N/A</v>
      </c>
      <c r="AK1159" s="4" t="e">
        <f t="shared" si="338"/>
        <v>#N/A</v>
      </c>
      <c r="AL1159" s="10">
        <v>6.875</v>
      </c>
      <c r="AM1159" s="3">
        <f t="shared" si="339"/>
        <v>101672.34699999999</v>
      </c>
      <c r="AN1159">
        <v>6.875</v>
      </c>
      <c r="AO1159" s="7">
        <f t="shared" si="340"/>
        <v>710.27842089982096</v>
      </c>
      <c r="AP1159" s="2">
        <f t="shared" si="341"/>
        <v>172.70157910017906</v>
      </c>
    </row>
    <row r="1160" spans="1:42" x14ac:dyDescent="0.15">
      <c r="A1160" s="8">
        <v>1182522</v>
      </c>
      <c r="B1160" t="s">
        <v>38</v>
      </c>
      <c r="C1160" t="s">
        <v>19</v>
      </c>
      <c r="D1160" s="1">
        <v>39168</v>
      </c>
      <c r="E1160" s="2">
        <v>140000</v>
      </c>
      <c r="F1160" s="2">
        <v>129200</v>
      </c>
      <c r="G1160" t="s">
        <v>17</v>
      </c>
      <c r="H1160" s="2">
        <v>1210.92</v>
      </c>
      <c r="I1160" s="2">
        <v>128539.53</v>
      </c>
      <c r="J1160">
        <v>0.108</v>
      </c>
      <c r="K1160">
        <v>13</v>
      </c>
      <c r="L1160">
        <v>347</v>
      </c>
      <c r="M1160" t="str">
        <f t="shared" si="327"/>
        <v>30 Year Fixed</v>
      </c>
      <c r="N1160" s="2">
        <v>1156.8599999999999</v>
      </c>
      <c r="O1160" t="str">
        <f t="shared" si="324"/>
        <v>Refi</v>
      </c>
      <c r="P1160" s="3">
        <f t="shared" si="328"/>
        <v>0</v>
      </c>
      <c r="Q1160" s="4">
        <v>130468</v>
      </c>
      <c r="R1160" s="4" t="s">
        <v>41</v>
      </c>
      <c r="S1160" s="6">
        <v>584</v>
      </c>
      <c r="T1160">
        <v>7.375</v>
      </c>
      <c r="U1160" s="7">
        <f t="shared" si="325"/>
        <v>955.47171823396138</v>
      </c>
      <c r="V1160" s="2">
        <f t="shared" si="329"/>
        <v>255.44828176603869</v>
      </c>
      <c r="W1160" s="9">
        <f t="shared" si="330"/>
        <v>0</v>
      </c>
      <c r="X1160" s="3">
        <v>130468</v>
      </c>
      <c r="Y1160" s="3">
        <f t="shared" si="331"/>
        <v>0.37147783252294175</v>
      </c>
      <c r="Z1160" s="7">
        <f t="shared" si="332"/>
        <v>955.47171823396138</v>
      </c>
      <c r="AA1160" s="2">
        <f t="shared" si="326"/>
        <v>255.44828176603869</v>
      </c>
      <c r="AB1160" s="8">
        <f t="shared" si="333"/>
        <v>0</v>
      </c>
      <c r="AC1160" s="10">
        <v>7.375</v>
      </c>
      <c r="AD1160" s="7">
        <f t="shared" si="334"/>
        <v>955.47171823396138</v>
      </c>
      <c r="AE1160" s="2">
        <f t="shared" si="335"/>
        <v>255.44828176603869</v>
      </c>
      <c r="AF1160" s="10">
        <v>0</v>
      </c>
      <c r="AG1160" s="3">
        <f t="shared" si="336"/>
        <v>0</v>
      </c>
      <c r="AH1160" s="7">
        <v>0</v>
      </c>
      <c r="AI1160">
        <f t="shared" si="337"/>
        <v>360</v>
      </c>
      <c r="AJ1160" t="e">
        <f>VLOOKUP(A1160,'Borrower Details'!$A$1:$H$1493,8,FALSE)</f>
        <v>#N/A</v>
      </c>
      <c r="AK1160" s="4" t="e">
        <f t="shared" si="338"/>
        <v>#N/A</v>
      </c>
      <c r="AL1160" s="10">
        <v>7.375</v>
      </c>
      <c r="AM1160" s="3">
        <f t="shared" si="339"/>
        <v>130467.62294999999</v>
      </c>
      <c r="AN1160">
        <v>7.375</v>
      </c>
      <c r="AO1160" s="7">
        <f t="shared" si="340"/>
        <v>955.46895693915064</v>
      </c>
      <c r="AP1160" s="2">
        <f t="shared" si="341"/>
        <v>255.45104306084943</v>
      </c>
    </row>
    <row r="1161" spans="1:42" x14ac:dyDescent="0.15">
      <c r="A1161" s="8">
        <v>410183321</v>
      </c>
      <c r="B1161" t="s">
        <v>36</v>
      </c>
      <c r="C1161" t="s">
        <v>19</v>
      </c>
      <c r="D1161" s="1">
        <v>39217</v>
      </c>
      <c r="E1161" s="2">
        <v>176000</v>
      </c>
      <c r="F1161" s="2">
        <v>135000</v>
      </c>
      <c r="G1161" t="s">
        <v>17</v>
      </c>
      <c r="H1161" s="2">
        <v>889.54</v>
      </c>
      <c r="I1161" s="2">
        <v>134786.51999999999</v>
      </c>
      <c r="J1161">
        <v>7.7399999999999997E-2</v>
      </c>
      <c r="K1161">
        <v>11</v>
      </c>
      <c r="L1161">
        <v>349</v>
      </c>
      <c r="M1161" t="str">
        <f t="shared" si="327"/>
        <v>30 Year Fixed</v>
      </c>
      <c r="N1161" s="2">
        <v>869.37</v>
      </c>
      <c r="O1161" t="str">
        <f t="shared" si="324"/>
        <v>Cash Out</v>
      </c>
      <c r="P1161" s="3">
        <f t="shared" si="328"/>
        <v>12602.642561576387</v>
      </c>
      <c r="Q1161" s="4">
        <v>149600</v>
      </c>
      <c r="R1161" s="4" t="s">
        <v>41</v>
      </c>
      <c r="S1161" s="6">
        <v>662</v>
      </c>
      <c r="T1161">
        <v>6.75</v>
      </c>
      <c r="U1161" s="7">
        <f t="shared" si="325"/>
        <v>1032.6360857993811</v>
      </c>
      <c r="V1161" s="2">
        <f t="shared" si="329"/>
        <v>-143.09608579938117</v>
      </c>
      <c r="W1161" s="9">
        <f t="shared" si="330"/>
        <v>1</v>
      </c>
      <c r="X1161" s="3">
        <v>136809</v>
      </c>
      <c r="Y1161" s="3">
        <f t="shared" si="331"/>
        <v>0.67211822661920451</v>
      </c>
      <c r="Z1161" s="7">
        <f t="shared" si="332"/>
        <v>944.34431993400756</v>
      </c>
      <c r="AA1161" s="2">
        <f t="shared" si="326"/>
        <v>-54.804319934007594</v>
      </c>
      <c r="AB1161" s="8">
        <f t="shared" si="333"/>
        <v>1</v>
      </c>
      <c r="AC1161" s="10">
        <v>6.125</v>
      </c>
      <c r="AD1161" s="7">
        <f t="shared" si="334"/>
        <v>888.26965309494562</v>
      </c>
      <c r="AE1161" s="2">
        <f t="shared" si="335"/>
        <v>1.270346905054339</v>
      </c>
      <c r="AF1161" s="10">
        <v>3</v>
      </c>
      <c r="AG1161" s="3">
        <f t="shared" si="336"/>
        <v>4104.2700000000004</v>
      </c>
      <c r="AH1161" s="7">
        <v>2700</v>
      </c>
      <c r="AI1161">
        <f t="shared" si="337"/>
        <v>360</v>
      </c>
      <c r="AJ1161" t="e">
        <f>VLOOKUP(A1161,'Borrower Details'!$A$1:$H$1493,8,FALSE)</f>
        <v>#N/A</v>
      </c>
      <c r="AK1161" s="4" t="e">
        <f t="shared" si="338"/>
        <v>#N/A</v>
      </c>
      <c r="AL1161" s="10">
        <v>6.75</v>
      </c>
      <c r="AM1161" s="3">
        <f t="shared" si="339"/>
        <v>136808.31779999999</v>
      </c>
      <c r="AN1161">
        <v>6.75</v>
      </c>
      <c r="AO1161" s="7">
        <f t="shared" si="340"/>
        <v>944.33961094779283</v>
      </c>
      <c r="AP1161" s="2">
        <f t="shared" si="341"/>
        <v>-54.799610947792871</v>
      </c>
    </row>
    <row r="1162" spans="1:42" x14ac:dyDescent="0.15">
      <c r="A1162" s="8">
        <v>1146979</v>
      </c>
      <c r="B1162" t="s">
        <v>36</v>
      </c>
      <c r="C1162" t="s">
        <v>19</v>
      </c>
      <c r="D1162" s="1">
        <v>39141</v>
      </c>
      <c r="E1162" s="2">
        <v>180000</v>
      </c>
      <c r="F1162" s="2">
        <v>149000</v>
      </c>
      <c r="G1162" t="s">
        <v>17</v>
      </c>
      <c r="H1162" s="2">
        <v>1108.93</v>
      </c>
      <c r="I1162" s="2">
        <v>147579.16</v>
      </c>
      <c r="J1162">
        <v>8.1500000000000003E-2</v>
      </c>
      <c r="K1162">
        <v>14</v>
      </c>
      <c r="L1162">
        <v>346</v>
      </c>
      <c r="M1162" t="str">
        <f t="shared" si="327"/>
        <v>30 Year Fixed</v>
      </c>
      <c r="N1162" s="2">
        <v>1002.31</v>
      </c>
      <c r="O1162" t="str">
        <f t="shared" si="324"/>
        <v>Cash Out</v>
      </c>
      <c r="P1162" s="3">
        <f t="shared" si="328"/>
        <v>3159.7562561576487</v>
      </c>
      <c r="Q1162" s="4">
        <v>153000</v>
      </c>
      <c r="R1162" s="4" t="s">
        <v>41</v>
      </c>
      <c r="S1162" s="6">
        <v>585</v>
      </c>
      <c r="T1162">
        <v>7.375</v>
      </c>
      <c r="U1162" s="7">
        <f t="shared" si="325"/>
        <v>1120.4829758239268</v>
      </c>
      <c r="V1162" s="2">
        <f t="shared" si="329"/>
        <v>-11.552975823926772</v>
      </c>
      <c r="W1162" s="9">
        <f t="shared" si="330"/>
        <v>1</v>
      </c>
      <c r="X1162" s="3">
        <v>151350</v>
      </c>
      <c r="Y1162" s="3">
        <f t="shared" si="331"/>
        <v>1534.1404926108371</v>
      </c>
      <c r="Z1162" s="7">
        <f t="shared" si="332"/>
        <v>1108.3993358885707</v>
      </c>
      <c r="AA1162" s="2">
        <f t="shared" si="326"/>
        <v>0.53066411142935976</v>
      </c>
      <c r="AB1162" s="8">
        <f t="shared" si="333"/>
        <v>1</v>
      </c>
      <c r="AC1162" s="10">
        <v>6.625</v>
      </c>
      <c r="AD1162" s="7">
        <f t="shared" si="334"/>
        <v>1032.1731395871907</v>
      </c>
      <c r="AE1162" s="2">
        <f t="shared" si="335"/>
        <v>76.756860412809374</v>
      </c>
      <c r="AF1162" s="10">
        <v>1.875</v>
      </c>
      <c r="AG1162" s="3">
        <f t="shared" si="336"/>
        <v>2837.8125</v>
      </c>
      <c r="AH1162" s="7">
        <v>2980</v>
      </c>
      <c r="AI1162">
        <f t="shared" si="337"/>
        <v>360</v>
      </c>
      <c r="AJ1162" t="e">
        <f>VLOOKUP(A1162,'Borrower Details'!$A$1:$H$1493,8,FALSE)</f>
        <v>#N/A</v>
      </c>
      <c r="AK1162" s="4" t="e">
        <f t="shared" si="338"/>
        <v>#N/A</v>
      </c>
      <c r="AL1162" s="10">
        <v>7.375</v>
      </c>
      <c r="AM1162" s="3">
        <f t="shared" si="339"/>
        <v>149792.8474</v>
      </c>
      <c r="AN1162">
        <v>7.375</v>
      </c>
      <c r="AO1162" s="7">
        <f t="shared" si="340"/>
        <v>1096.9956562868717</v>
      </c>
      <c r="AP1162" s="2">
        <f t="shared" si="341"/>
        <v>11.934343713128328</v>
      </c>
    </row>
    <row r="1163" spans="1:42" x14ac:dyDescent="0.15">
      <c r="A1163" s="8">
        <v>410611313</v>
      </c>
      <c r="B1163" t="s">
        <v>36</v>
      </c>
      <c r="C1163" t="s">
        <v>18</v>
      </c>
      <c r="D1163" s="1">
        <v>39290</v>
      </c>
      <c r="E1163" s="2">
        <v>309000</v>
      </c>
      <c r="F1163" s="2">
        <v>278100</v>
      </c>
      <c r="G1163" t="s">
        <v>17</v>
      </c>
      <c r="H1163" s="2">
        <v>1965.04</v>
      </c>
      <c r="I1163" s="2">
        <v>277394.55</v>
      </c>
      <c r="J1163">
        <v>8.1500000000000003E-2</v>
      </c>
      <c r="K1163">
        <v>9</v>
      </c>
      <c r="L1163">
        <v>351</v>
      </c>
      <c r="M1163" t="str">
        <f t="shared" si="327"/>
        <v>30 Year Fixed</v>
      </c>
      <c r="N1163" s="2">
        <v>1883.97</v>
      </c>
      <c r="O1163" t="str">
        <f t="shared" si="324"/>
        <v>Refi</v>
      </c>
      <c r="P1163" s="3">
        <f t="shared" si="328"/>
        <v>0</v>
      </c>
      <c r="Q1163" s="4">
        <v>281555</v>
      </c>
      <c r="R1163" s="4" t="s">
        <v>41</v>
      </c>
      <c r="S1163" s="6">
        <v>657</v>
      </c>
      <c r="T1163">
        <v>6.75</v>
      </c>
      <c r="U1163" s="7">
        <f t="shared" si="325"/>
        <v>1943.4749541259678</v>
      </c>
      <c r="V1163" s="2">
        <f t="shared" si="329"/>
        <v>21.565045874032194</v>
      </c>
      <c r="W1163" s="9">
        <f t="shared" si="330"/>
        <v>0</v>
      </c>
      <c r="X1163" s="3">
        <v>281556</v>
      </c>
      <c r="Y1163" s="3">
        <f t="shared" si="331"/>
        <v>0.52389162563486025</v>
      </c>
      <c r="Z1163" s="7">
        <f t="shared" si="332"/>
        <v>1943.4818567736002</v>
      </c>
      <c r="AA1163" s="2">
        <f t="shared" si="326"/>
        <v>21.558143226399807</v>
      </c>
      <c r="AB1163" s="8">
        <f t="shared" si="333"/>
        <v>1</v>
      </c>
      <c r="AC1163" s="10">
        <v>6.125</v>
      </c>
      <c r="AD1163" s="7">
        <f t="shared" si="334"/>
        <v>1828.0789308218064</v>
      </c>
      <c r="AE1163" s="2">
        <f t="shared" si="335"/>
        <v>136.96106917819361</v>
      </c>
      <c r="AF1163" s="10">
        <v>3</v>
      </c>
      <c r="AG1163" s="3">
        <f t="shared" si="336"/>
        <v>8446.68</v>
      </c>
      <c r="AH1163" s="7">
        <v>5562</v>
      </c>
      <c r="AI1163">
        <f t="shared" si="337"/>
        <v>360</v>
      </c>
      <c r="AJ1163" t="e">
        <f>VLOOKUP(A1163,'Borrower Details'!$A$1:$H$1493,8,FALSE)</f>
        <v>#N/A</v>
      </c>
      <c r="AK1163" s="4" t="e">
        <f t="shared" si="338"/>
        <v>#N/A</v>
      </c>
      <c r="AL1163" s="10">
        <v>6.75</v>
      </c>
      <c r="AM1163" s="3">
        <f t="shared" si="339"/>
        <v>281555.46824999998</v>
      </c>
      <c r="AN1163">
        <v>6.75</v>
      </c>
      <c r="AO1163" s="7">
        <f t="shared" si="340"/>
        <v>1943.4781862907214</v>
      </c>
      <c r="AP1163" s="2">
        <f t="shared" si="341"/>
        <v>21.561813709278567</v>
      </c>
    </row>
    <row r="1164" spans="1:42" x14ac:dyDescent="0.15">
      <c r="A1164" s="8">
        <v>410618599</v>
      </c>
      <c r="B1164" t="s">
        <v>36</v>
      </c>
      <c r="C1164" t="s">
        <v>19</v>
      </c>
      <c r="D1164" s="1">
        <v>39293</v>
      </c>
      <c r="E1164" s="2">
        <v>204000</v>
      </c>
      <c r="F1164" s="2">
        <v>183600</v>
      </c>
      <c r="G1164" t="s">
        <v>15</v>
      </c>
      <c r="H1164" s="2">
        <v>1414.81</v>
      </c>
      <c r="I1164" s="2">
        <v>183235.15</v>
      </c>
      <c r="J1164">
        <v>8.9899999999999994E-2</v>
      </c>
      <c r="K1164">
        <v>9</v>
      </c>
      <c r="L1164">
        <v>351</v>
      </c>
      <c r="M1164" t="str">
        <f t="shared" si="327"/>
        <v>30 Year Fixed</v>
      </c>
      <c r="N1164" s="2">
        <v>1372.74</v>
      </c>
      <c r="O1164" t="str">
        <f t="shared" si="324"/>
        <v>Refi</v>
      </c>
      <c r="P1164" s="3">
        <f t="shared" si="328"/>
        <v>0</v>
      </c>
      <c r="Q1164" s="4">
        <v>185984</v>
      </c>
      <c r="R1164" s="4" t="s">
        <v>41</v>
      </c>
      <c r="S1164" s="6">
        <v>586</v>
      </c>
      <c r="T1164">
        <v>7.375</v>
      </c>
      <c r="U1164" s="7">
        <f t="shared" si="325"/>
        <v>1362.038599840766</v>
      </c>
      <c r="V1164" s="2">
        <f t="shared" si="329"/>
        <v>52.771400159233963</v>
      </c>
      <c r="W1164" s="9">
        <f t="shared" si="330"/>
        <v>0</v>
      </c>
      <c r="X1164" s="3">
        <v>185984</v>
      </c>
      <c r="Y1164" s="3">
        <f t="shared" si="331"/>
        <v>0.31798029560013674</v>
      </c>
      <c r="Z1164" s="7">
        <f t="shared" si="332"/>
        <v>1362.038599840766</v>
      </c>
      <c r="AA1164" s="2">
        <f t="shared" si="326"/>
        <v>52.771400159233963</v>
      </c>
      <c r="AB1164" s="8">
        <f t="shared" si="333"/>
        <v>1</v>
      </c>
      <c r="AC1164" s="10">
        <v>6.625</v>
      </c>
      <c r="AD1164" s="7">
        <f t="shared" si="334"/>
        <v>1268.3692711792803</v>
      </c>
      <c r="AE1164" s="2">
        <f t="shared" si="335"/>
        <v>146.44072882071964</v>
      </c>
      <c r="AF1164" s="10">
        <v>1.875</v>
      </c>
      <c r="AG1164" s="3">
        <f t="shared" si="336"/>
        <v>3487.2</v>
      </c>
      <c r="AH1164" s="7">
        <v>3672</v>
      </c>
      <c r="AI1164">
        <f t="shared" si="337"/>
        <v>360</v>
      </c>
      <c r="AJ1164" t="e">
        <f>VLOOKUP(A1164,'Borrower Details'!$A$1:$H$1493,8,FALSE)</f>
        <v>#N/A</v>
      </c>
      <c r="AK1164" s="4" t="e">
        <f t="shared" si="338"/>
        <v>#N/A</v>
      </c>
      <c r="AL1164" s="10">
        <v>7.375</v>
      </c>
      <c r="AM1164" s="3">
        <f t="shared" si="339"/>
        <v>185983.67724999998</v>
      </c>
      <c r="AN1164">
        <v>7.375</v>
      </c>
      <c r="AO1164" s="7">
        <f t="shared" si="340"/>
        <v>1362.0362362075603</v>
      </c>
      <c r="AP1164" s="2">
        <f t="shared" si="341"/>
        <v>52.773763792439695</v>
      </c>
    </row>
    <row r="1165" spans="1:42" x14ac:dyDescent="0.15">
      <c r="A1165" s="8">
        <v>410327605</v>
      </c>
      <c r="B1165" t="s">
        <v>36</v>
      </c>
      <c r="C1165" t="s">
        <v>19</v>
      </c>
      <c r="D1165" s="1">
        <v>39272</v>
      </c>
      <c r="E1165" s="2">
        <v>226000</v>
      </c>
      <c r="F1165" s="2">
        <v>180800</v>
      </c>
      <c r="G1165" t="s">
        <v>20</v>
      </c>
      <c r="H1165" s="2">
        <v>1453.46</v>
      </c>
      <c r="I1165" s="2">
        <v>179987.18</v>
      </c>
      <c r="J1165">
        <v>8.9899999999999994E-2</v>
      </c>
      <c r="K1165">
        <v>9</v>
      </c>
      <c r="L1165">
        <v>352</v>
      </c>
      <c r="M1165" t="str">
        <f t="shared" si="327"/>
        <v>30 Year Fixed</v>
      </c>
      <c r="N1165" s="2">
        <v>1348.4</v>
      </c>
      <c r="O1165" t="str">
        <f t="shared" si="324"/>
        <v>Cash Out</v>
      </c>
      <c r="P1165" s="3">
        <f t="shared" si="328"/>
        <v>9273.9037438423838</v>
      </c>
      <c r="Q1165" s="4">
        <v>192100</v>
      </c>
      <c r="R1165" s="4" t="s">
        <v>41</v>
      </c>
      <c r="S1165" s="6">
        <v>522</v>
      </c>
      <c r="T1165">
        <v>7.625</v>
      </c>
      <c r="U1165" s="7">
        <f t="shared" si="325"/>
        <v>1439.7134534139232</v>
      </c>
      <c r="V1165" s="2">
        <f t="shared" si="329"/>
        <v>13.746546586076875</v>
      </c>
      <c r="W1165" s="9">
        <f t="shared" si="330"/>
        <v>0</v>
      </c>
      <c r="X1165" s="3">
        <v>192100</v>
      </c>
      <c r="Y1165" s="3">
        <f t="shared" si="331"/>
        <v>9273.9037438423838</v>
      </c>
      <c r="Z1165" s="7">
        <f t="shared" si="332"/>
        <v>1439.7134534139232</v>
      </c>
      <c r="AA1165" s="2">
        <f t="shared" si="326"/>
        <v>13.746546586076875</v>
      </c>
      <c r="AB1165" s="8">
        <f t="shared" si="333"/>
        <v>1</v>
      </c>
      <c r="AC1165" s="10">
        <v>6.875</v>
      </c>
      <c r="AD1165" s="7">
        <f t="shared" si="334"/>
        <v>1342.0019177373335</v>
      </c>
      <c r="AE1165" s="2">
        <f t="shared" si="335"/>
        <v>111.45808226266649</v>
      </c>
      <c r="AF1165" s="10">
        <v>1.75</v>
      </c>
      <c r="AG1165" s="3">
        <f t="shared" si="336"/>
        <v>3361.75</v>
      </c>
      <c r="AH1165" s="7">
        <v>3616</v>
      </c>
      <c r="AI1165">
        <f t="shared" si="337"/>
        <v>360</v>
      </c>
      <c r="AJ1165" t="e">
        <f>VLOOKUP(A1165,'Borrower Details'!$A$1:$H$1493,8,FALSE)</f>
        <v>#N/A</v>
      </c>
      <c r="AK1165" s="4" t="e">
        <f t="shared" si="338"/>
        <v>#N/A</v>
      </c>
      <c r="AL1165" s="10">
        <v>7.625</v>
      </c>
      <c r="AM1165" s="3">
        <f t="shared" si="339"/>
        <v>182686.98769999997</v>
      </c>
      <c r="AN1165">
        <v>7.625</v>
      </c>
      <c r="AO1165" s="7">
        <f t="shared" si="340"/>
        <v>1369.1666525525968</v>
      </c>
      <c r="AP1165" s="2">
        <f t="shared" si="341"/>
        <v>84.293347447403221</v>
      </c>
    </row>
    <row r="1166" spans="1:42" x14ac:dyDescent="0.15">
      <c r="A1166" s="8">
        <v>410165245</v>
      </c>
      <c r="B1166" t="s">
        <v>36</v>
      </c>
      <c r="C1166" t="s">
        <v>19</v>
      </c>
      <c r="D1166" s="1">
        <v>39206</v>
      </c>
      <c r="E1166" s="2">
        <v>231000</v>
      </c>
      <c r="F1166" s="2">
        <v>150150</v>
      </c>
      <c r="G1166" t="s">
        <v>17</v>
      </c>
      <c r="H1166" s="2">
        <v>1106.99</v>
      </c>
      <c r="I1166" s="2">
        <v>146672.51999999999</v>
      </c>
      <c r="J1166">
        <v>8.0500000000000002E-2</v>
      </c>
      <c r="K1166">
        <v>11</v>
      </c>
      <c r="L1166">
        <v>349</v>
      </c>
      <c r="M1166" t="str">
        <f t="shared" si="327"/>
        <v>30 Year Fixed</v>
      </c>
      <c r="N1166" s="2">
        <v>983.93</v>
      </c>
      <c r="O1166" t="str">
        <f t="shared" si="324"/>
        <v>Cash Out</v>
      </c>
      <c r="P1166" s="3">
        <f t="shared" si="328"/>
        <v>46775.755862068996</v>
      </c>
      <c r="Q1166" s="4">
        <v>196350</v>
      </c>
      <c r="R1166" s="4" t="s">
        <v>41</v>
      </c>
      <c r="S1166" s="6">
        <v>613</v>
      </c>
      <c r="T1166">
        <v>6.875</v>
      </c>
      <c r="U1166" s="7">
        <f t="shared" si="325"/>
        <v>1371.6922256518762</v>
      </c>
      <c r="V1166" s="2">
        <f t="shared" si="329"/>
        <v>-264.70222565187623</v>
      </c>
      <c r="W1166" s="9">
        <f t="shared" si="330"/>
        <v>1</v>
      </c>
      <c r="X1166" s="3">
        <v>158380</v>
      </c>
      <c r="Y1166" s="3">
        <f t="shared" si="331"/>
        <v>9366.888866995112</v>
      </c>
      <c r="Z1166" s="7">
        <f t="shared" si="332"/>
        <v>1106.4355217659493</v>
      </c>
      <c r="AA1166" s="2">
        <f t="shared" si="326"/>
        <v>0.55447823405074814</v>
      </c>
      <c r="AB1166" s="8">
        <f t="shared" si="333"/>
        <v>1</v>
      </c>
      <c r="AC1166" s="10">
        <v>6.25</v>
      </c>
      <c r="AD1166" s="7">
        <f t="shared" si="334"/>
        <v>1041.1645687019886</v>
      </c>
      <c r="AE1166" s="2">
        <f t="shared" si="335"/>
        <v>65.825431298011381</v>
      </c>
      <c r="AF1166" s="10">
        <v>2.5</v>
      </c>
      <c r="AG1166" s="3">
        <f t="shared" si="336"/>
        <v>3959.5</v>
      </c>
      <c r="AH1166" s="7">
        <v>3003</v>
      </c>
      <c r="AI1166">
        <f t="shared" si="337"/>
        <v>360</v>
      </c>
      <c r="AJ1166" t="e">
        <f>VLOOKUP(A1166,'Borrower Details'!$A$1:$H$1493,8,FALSE)</f>
        <v>#N/A</v>
      </c>
      <c r="AK1166" s="4" t="e">
        <f t="shared" si="338"/>
        <v>#N/A</v>
      </c>
      <c r="AL1166" s="10">
        <v>6.875</v>
      </c>
      <c r="AM1166" s="3">
        <f t="shared" si="339"/>
        <v>148872.60779999997</v>
      </c>
      <c r="AN1166">
        <v>6.875</v>
      </c>
      <c r="AO1166" s="7">
        <f t="shared" si="340"/>
        <v>1040.0173095583441</v>
      </c>
      <c r="AP1166" s="2">
        <f t="shared" si="341"/>
        <v>66.972690441655914</v>
      </c>
    </row>
    <row r="1167" spans="1:42" x14ac:dyDescent="0.15">
      <c r="A1167" s="8">
        <v>1182988</v>
      </c>
      <c r="B1167" t="s">
        <v>35</v>
      </c>
      <c r="C1167" t="s">
        <v>16</v>
      </c>
      <c r="D1167" s="1">
        <v>39171</v>
      </c>
      <c r="E1167" s="2">
        <v>166000</v>
      </c>
      <c r="F1167" s="2">
        <v>148500</v>
      </c>
      <c r="G1167" t="s">
        <v>17</v>
      </c>
      <c r="H1167" s="2">
        <v>1152.3800000000001</v>
      </c>
      <c r="I1167" s="2">
        <v>147303.73000000001</v>
      </c>
      <c r="J1167">
        <v>8.5999999999999993E-2</v>
      </c>
      <c r="K1167">
        <v>13</v>
      </c>
      <c r="L1167">
        <v>347</v>
      </c>
      <c r="M1167" t="str">
        <f t="shared" si="327"/>
        <v>30 Year Fixed</v>
      </c>
      <c r="N1167" s="2">
        <v>1055.68</v>
      </c>
      <c r="O1167" t="str">
        <f t="shared" si="324"/>
        <v>Refi</v>
      </c>
      <c r="P1167" s="3">
        <f t="shared" si="328"/>
        <v>0</v>
      </c>
      <c r="Q1167" s="4">
        <v>149513</v>
      </c>
      <c r="R1167" s="4" t="s">
        <v>41</v>
      </c>
      <c r="S1167" s="6">
        <v>632</v>
      </c>
      <c r="T1167">
        <v>6.75</v>
      </c>
      <c r="U1167" s="7">
        <f t="shared" si="325"/>
        <v>1032.0355554553669</v>
      </c>
      <c r="V1167" s="2">
        <f t="shared" si="329"/>
        <v>120.34444454463323</v>
      </c>
      <c r="W1167" s="9">
        <f t="shared" si="330"/>
        <v>0</v>
      </c>
      <c r="X1167" s="3">
        <v>149514</v>
      </c>
      <c r="Y1167" s="3">
        <f t="shared" si="331"/>
        <v>0.70349753694608808</v>
      </c>
      <c r="Z1167" s="7">
        <f t="shared" si="332"/>
        <v>1032.0424581029993</v>
      </c>
      <c r="AA1167" s="2">
        <f t="shared" si="326"/>
        <v>120.33754189700085</v>
      </c>
      <c r="AB1167" s="8">
        <f t="shared" si="333"/>
        <v>0</v>
      </c>
      <c r="AC1167" s="10">
        <v>6.75</v>
      </c>
      <c r="AD1167" s="7">
        <f t="shared" si="334"/>
        <v>1032.0424581029993</v>
      </c>
      <c r="AE1167" s="2">
        <f t="shared" si="335"/>
        <v>120.33754189700085</v>
      </c>
      <c r="AF1167" s="10">
        <v>0</v>
      </c>
      <c r="AG1167" s="3">
        <f t="shared" si="336"/>
        <v>0</v>
      </c>
      <c r="AH1167" s="7">
        <v>6385.5</v>
      </c>
      <c r="AI1167">
        <f t="shared" si="337"/>
        <v>360</v>
      </c>
      <c r="AJ1167" t="e">
        <f>VLOOKUP(A1167,'Borrower Details'!$A$1:$H$1493,8,FALSE)</f>
        <v>#N/A</v>
      </c>
      <c r="AK1167" s="4" t="e">
        <f t="shared" si="338"/>
        <v>#N/A</v>
      </c>
      <c r="AL1167" s="10">
        <v>6.75</v>
      </c>
      <c r="AM1167" s="3">
        <f t="shared" si="339"/>
        <v>149513.28594999999</v>
      </c>
      <c r="AN1167">
        <v>6.75</v>
      </c>
      <c r="AO1167" s="7">
        <f t="shared" si="340"/>
        <v>1032.0375292674573</v>
      </c>
      <c r="AP1167" s="2">
        <f t="shared" si="341"/>
        <v>120.34247073254278</v>
      </c>
    </row>
    <row r="1168" spans="1:42" x14ac:dyDescent="0.15">
      <c r="A1168" s="8">
        <v>1164590</v>
      </c>
      <c r="B1168" t="s">
        <v>36</v>
      </c>
      <c r="C1168" t="s">
        <v>19</v>
      </c>
      <c r="D1168" s="1">
        <v>39174</v>
      </c>
      <c r="E1168" s="2">
        <v>185000</v>
      </c>
      <c r="F1168" s="2">
        <v>105000</v>
      </c>
      <c r="G1168" t="s">
        <v>17</v>
      </c>
      <c r="H1168" s="2">
        <v>818.55</v>
      </c>
      <c r="I1168" s="2">
        <v>104229.83</v>
      </c>
      <c r="J1168">
        <v>8.6499999999999994E-2</v>
      </c>
      <c r="K1168">
        <v>12</v>
      </c>
      <c r="L1168">
        <v>348</v>
      </c>
      <c r="M1168" t="str">
        <f t="shared" si="327"/>
        <v>30 Year Fixed</v>
      </c>
      <c r="N1168" s="2">
        <v>751.32</v>
      </c>
      <c r="O1168" t="str">
        <f t="shared" si="324"/>
        <v>Cash Out</v>
      </c>
      <c r="P1168" s="3">
        <f t="shared" si="328"/>
        <v>50696.278374384259</v>
      </c>
      <c r="Q1168" s="4">
        <v>157250</v>
      </c>
      <c r="R1168" s="4" t="s">
        <v>41</v>
      </c>
      <c r="S1168" s="6">
        <v>502</v>
      </c>
      <c r="T1168">
        <v>7.625</v>
      </c>
      <c r="U1168" s="7">
        <f t="shared" si="325"/>
        <v>1178.5264994759989</v>
      </c>
      <c r="V1168" s="2">
        <f t="shared" si="329"/>
        <v>-359.97649947599893</v>
      </c>
      <c r="W1168" s="9">
        <f t="shared" si="330"/>
        <v>1</v>
      </c>
      <c r="X1168" s="3">
        <v>109150</v>
      </c>
      <c r="Y1168" s="3">
        <f t="shared" si="331"/>
        <v>3307.1158128078969</v>
      </c>
      <c r="Z1168" s="7">
        <f t="shared" si="332"/>
        <v>818.03604081275228</v>
      </c>
      <c r="AA1168" s="2">
        <f t="shared" si="326"/>
        <v>0.51395918724767853</v>
      </c>
      <c r="AB1168" s="8">
        <f t="shared" si="333"/>
        <v>1</v>
      </c>
      <c r="AC1168" s="10">
        <v>6.875</v>
      </c>
      <c r="AD1168" s="7">
        <f t="shared" si="334"/>
        <v>762.51696679349266</v>
      </c>
      <c r="AE1168" s="2">
        <f t="shared" si="335"/>
        <v>56.033033206507298</v>
      </c>
      <c r="AF1168" s="10">
        <v>1.75</v>
      </c>
      <c r="AG1168" s="3">
        <f t="shared" si="336"/>
        <v>1910.125</v>
      </c>
      <c r="AH1168" s="7">
        <v>2100</v>
      </c>
      <c r="AI1168">
        <f t="shared" si="337"/>
        <v>360</v>
      </c>
      <c r="AJ1168" t="e">
        <f>VLOOKUP(A1168,'Borrower Details'!$A$1:$H$1493,8,FALSE)</f>
        <v>#N/A</v>
      </c>
      <c r="AK1168" s="4" t="e">
        <f t="shared" si="338"/>
        <v>#N/A</v>
      </c>
      <c r="AL1168" s="10">
        <v>7.625</v>
      </c>
      <c r="AM1168" s="3">
        <f t="shared" si="339"/>
        <v>105793.27744999999</v>
      </c>
      <c r="AN1168">
        <v>7.625</v>
      </c>
      <c r="AO1168" s="7">
        <f t="shared" si="340"/>
        <v>792.87873412554302</v>
      </c>
      <c r="AP1168" s="2">
        <f t="shared" si="341"/>
        <v>25.671265874456935</v>
      </c>
    </row>
    <row r="1169" spans="1:42" x14ac:dyDescent="0.15">
      <c r="A1169" s="8">
        <v>1161428</v>
      </c>
      <c r="B1169" t="s">
        <v>37</v>
      </c>
      <c r="C1169" t="s">
        <v>18</v>
      </c>
      <c r="D1169" s="1">
        <v>39153</v>
      </c>
      <c r="E1169" s="2">
        <v>118000</v>
      </c>
      <c r="F1169" s="2">
        <v>106200</v>
      </c>
      <c r="G1169" t="s">
        <v>17</v>
      </c>
      <c r="H1169" s="2">
        <v>777.41</v>
      </c>
      <c r="I1169" s="2">
        <v>105230.85</v>
      </c>
      <c r="J1169">
        <v>7.9750000000000001E-2</v>
      </c>
      <c r="K1169">
        <v>13</v>
      </c>
      <c r="L1169">
        <v>347</v>
      </c>
      <c r="M1169" t="str">
        <f t="shared" si="327"/>
        <v>30 Year Fixed</v>
      </c>
      <c r="N1169" s="2">
        <v>699.35</v>
      </c>
      <c r="O1169" t="str">
        <f t="shared" si="324"/>
        <v>Refi</v>
      </c>
      <c r="P1169" s="3">
        <f t="shared" si="328"/>
        <v>0</v>
      </c>
      <c r="Q1169" s="4">
        <v>106809</v>
      </c>
      <c r="R1169" s="4" t="s">
        <v>41</v>
      </c>
      <c r="S1169" s="6">
        <v>616</v>
      </c>
      <c r="T1169">
        <v>6.875</v>
      </c>
      <c r="U1169" s="7">
        <f t="shared" si="325"/>
        <v>746.16284659868222</v>
      </c>
      <c r="V1169" s="2">
        <f t="shared" si="329"/>
        <v>31.247153401317746</v>
      </c>
      <c r="W1169" s="9">
        <f t="shared" si="330"/>
        <v>0</v>
      </c>
      <c r="X1169" s="3">
        <v>106809</v>
      </c>
      <c r="Y1169" s="3">
        <f t="shared" si="331"/>
        <v>-0.30812807881738991</v>
      </c>
      <c r="Z1169" s="7">
        <f t="shared" si="332"/>
        <v>746.16284659868222</v>
      </c>
      <c r="AA1169" s="2">
        <f t="shared" si="326"/>
        <v>31.247153401317746</v>
      </c>
      <c r="AB1169" s="8">
        <f t="shared" si="333"/>
        <v>1</v>
      </c>
      <c r="AC1169" s="10">
        <v>6.25</v>
      </c>
      <c r="AD1169" s="7">
        <f t="shared" si="334"/>
        <v>702.14513460342664</v>
      </c>
      <c r="AE1169" s="2">
        <f t="shared" si="335"/>
        <v>75.264865396573327</v>
      </c>
      <c r="AF1169" s="10">
        <v>2.5</v>
      </c>
      <c r="AG1169" s="3">
        <f t="shared" si="336"/>
        <v>2670.2249999999999</v>
      </c>
      <c r="AH1169" s="7">
        <v>0</v>
      </c>
      <c r="AI1169">
        <f t="shared" si="337"/>
        <v>360</v>
      </c>
      <c r="AJ1169" t="e">
        <f>VLOOKUP(A1169,'Borrower Details'!$A$1:$H$1493,8,FALSE)</f>
        <v>#N/A</v>
      </c>
      <c r="AK1169" s="4" t="e">
        <f t="shared" si="338"/>
        <v>#N/A</v>
      </c>
      <c r="AL1169" s="10">
        <v>6.875</v>
      </c>
      <c r="AM1169" s="3">
        <f t="shared" si="339"/>
        <v>106809.31275</v>
      </c>
      <c r="AN1169">
        <v>6.875</v>
      </c>
      <c r="AO1169" s="7">
        <f t="shared" si="340"/>
        <v>746.1650314560469</v>
      </c>
      <c r="AP1169" s="2">
        <f t="shared" si="341"/>
        <v>31.244968543953064</v>
      </c>
    </row>
    <row r="1170" spans="1:42" x14ac:dyDescent="0.15">
      <c r="A1170" s="8">
        <v>410357909</v>
      </c>
      <c r="B1170" t="s">
        <v>36</v>
      </c>
      <c r="C1170" t="s">
        <v>18</v>
      </c>
      <c r="D1170" s="1">
        <v>39234</v>
      </c>
      <c r="E1170" s="2">
        <v>277000</v>
      </c>
      <c r="F1170" s="2">
        <v>247410</v>
      </c>
      <c r="G1170" t="s">
        <v>15</v>
      </c>
      <c r="H1170" s="2">
        <v>2017.48</v>
      </c>
      <c r="I1170" s="2">
        <v>246054.33</v>
      </c>
      <c r="J1170">
        <v>9.1499999999999998E-2</v>
      </c>
      <c r="K1170">
        <v>11</v>
      </c>
      <c r="L1170">
        <v>350</v>
      </c>
      <c r="M1170" t="str">
        <f t="shared" si="327"/>
        <v>30 Year Fixed</v>
      </c>
      <c r="N1170" s="2">
        <v>1877.23</v>
      </c>
      <c r="O1170" t="str">
        <f t="shared" si="324"/>
        <v>Refi</v>
      </c>
      <c r="P1170" s="3">
        <f t="shared" si="328"/>
        <v>0</v>
      </c>
      <c r="Q1170" s="4">
        <v>249745</v>
      </c>
      <c r="R1170" s="4" t="s">
        <v>41</v>
      </c>
      <c r="S1170" s="6">
        <v>572</v>
      </c>
      <c r="T1170">
        <v>7.625</v>
      </c>
      <c r="U1170" s="7">
        <f t="shared" si="325"/>
        <v>1871.7399085000534</v>
      </c>
      <c r="V1170" s="2">
        <f t="shared" si="329"/>
        <v>145.74009149994663</v>
      </c>
      <c r="W1170" s="9">
        <f t="shared" si="330"/>
        <v>0</v>
      </c>
      <c r="X1170" s="3">
        <v>249745</v>
      </c>
      <c r="Y1170" s="3">
        <f t="shared" si="331"/>
        <v>-0.14280788172618486</v>
      </c>
      <c r="Z1170" s="7">
        <f t="shared" si="332"/>
        <v>1871.7399085000534</v>
      </c>
      <c r="AA1170" s="2">
        <f t="shared" si="326"/>
        <v>145.74009149994663</v>
      </c>
      <c r="AB1170" s="8">
        <f t="shared" si="333"/>
        <v>0</v>
      </c>
      <c r="AC1170" s="10">
        <v>7.625</v>
      </c>
      <c r="AD1170" s="7">
        <f t="shared" si="334"/>
        <v>1871.7399085000534</v>
      </c>
      <c r="AE1170" s="2">
        <f t="shared" si="335"/>
        <v>145.74009149994663</v>
      </c>
      <c r="AF1170" s="10">
        <v>0</v>
      </c>
      <c r="AG1170" s="3">
        <f t="shared" si="336"/>
        <v>0</v>
      </c>
      <c r="AH1170" s="7">
        <v>4948.2</v>
      </c>
      <c r="AI1170">
        <f t="shared" si="337"/>
        <v>360</v>
      </c>
      <c r="AJ1170" t="e">
        <f>VLOOKUP(A1170,'Borrower Details'!$A$1:$H$1493,8,FALSE)</f>
        <v>#N/A</v>
      </c>
      <c r="AK1170" s="4" t="e">
        <f t="shared" si="338"/>
        <v>#N/A</v>
      </c>
      <c r="AL1170" s="10">
        <v>7.625</v>
      </c>
      <c r="AM1170" s="3">
        <f t="shared" si="339"/>
        <v>249745.14494999996</v>
      </c>
      <c r="AN1170">
        <v>7.625</v>
      </c>
      <c r="AO1170" s="7">
        <f t="shared" si="340"/>
        <v>1871.7409948429217</v>
      </c>
      <c r="AP1170" s="2">
        <f t="shared" si="341"/>
        <v>145.73900515707828</v>
      </c>
    </row>
    <row r="1171" spans="1:42" x14ac:dyDescent="0.15">
      <c r="A1171" s="8">
        <v>410238695</v>
      </c>
      <c r="B1171" t="s">
        <v>36</v>
      </c>
      <c r="C1171" t="s">
        <v>19</v>
      </c>
      <c r="D1171" s="1">
        <v>39218</v>
      </c>
      <c r="E1171" s="2">
        <v>222000</v>
      </c>
      <c r="F1171" s="2">
        <v>123000</v>
      </c>
      <c r="G1171" t="s">
        <v>17</v>
      </c>
      <c r="H1171" s="2">
        <v>797.05</v>
      </c>
      <c r="I1171" s="2">
        <v>122814.25</v>
      </c>
      <c r="J1171">
        <v>7.5999999999999998E-2</v>
      </c>
      <c r="K1171">
        <v>11</v>
      </c>
      <c r="L1171">
        <v>350</v>
      </c>
      <c r="M1171" t="str">
        <f t="shared" si="327"/>
        <v>30 Year Fixed</v>
      </c>
      <c r="N1171" s="2">
        <v>777.82</v>
      </c>
      <c r="O1171" t="str">
        <f t="shared" si="324"/>
        <v>Cash Out</v>
      </c>
      <c r="P1171" s="3">
        <f t="shared" si="328"/>
        <v>63097.080049261102</v>
      </c>
      <c r="Q1171" s="4">
        <v>188700</v>
      </c>
      <c r="R1171" s="4" t="s">
        <v>41</v>
      </c>
      <c r="S1171" s="6">
        <v>583</v>
      </c>
      <c r="T1171">
        <v>7.375</v>
      </c>
      <c r="U1171" s="7">
        <f t="shared" si="325"/>
        <v>1381.9290035161764</v>
      </c>
      <c r="V1171" s="2">
        <f t="shared" si="329"/>
        <v>-584.87900351617645</v>
      </c>
      <c r="W1171" s="9">
        <f t="shared" si="330"/>
        <v>1</v>
      </c>
      <c r="X1171" s="3">
        <v>124656</v>
      </c>
      <c r="Y1171" s="3">
        <f t="shared" si="331"/>
        <v>-0.45689655171008781</v>
      </c>
      <c r="Z1171" s="7">
        <f t="shared" si="332"/>
        <v>912.90801198893746</v>
      </c>
      <c r="AA1171" s="2">
        <f t="shared" si="326"/>
        <v>-115.85801198893751</v>
      </c>
      <c r="AB1171" s="8">
        <f t="shared" si="333"/>
        <v>1</v>
      </c>
      <c r="AC1171" s="10">
        <v>6.625</v>
      </c>
      <c r="AD1171" s="7">
        <f t="shared" si="334"/>
        <v>850.12603163779863</v>
      </c>
      <c r="AE1171" s="2">
        <f t="shared" si="335"/>
        <v>-53.076031637798678</v>
      </c>
      <c r="AF1171" s="10">
        <v>1.875</v>
      </c>
      <c r="AG1171" s="3">
        <f t="shared" si="336"/>
        <v>2337.3000000000002</v>
      </c>
      <c r="AH1171" s="7">
        <v>2460</v>
      </c>
      <c r="AI1171">
        <f t="shared" si="337"/>
        <v>360</v>
      </c>
      <c r="AJ1171" t="e">
        <f>VLOOKUP(A1171,'Borrower Details'!$A$1:$H$1493,8,FALSE)</f>
        <v>#N/A</v>
      </c>
      <c r="AK1171" s="4" t="e">
        <f t="shared" si="338"/>
        <v>#N/A</v>
      </c>
      <c r="AL1171" s="10">
        <v>7.375</v>
      </c>
      <c r="AM1171" s="3">
        <f t="shared" si="339"/>
        <v>124656.46374999998</v>
      </c>
      <c r="AN1171">
        <v>7.375</v>
      </c>
      <c r="AO1171" s="7">
        <f t="shared" si="340"/>
        <v>912.91140822410091</v>
      </c>
      <c r="AP1171" s="2">
        <f t="shared" si="341"/>
        <v>-115.86140822410096</v>
      </c>
    </row>
    <row r="1172" spans="1:42" x14ac:dyDescent="0.15">
      <c r="A1172" s="8">
        <v>410143127</v>
      </c>
      <c r="B1172" t="s">
        <v>36</v>
      </c>
      <c r="C1172" t="s">
        <v>19</v>
      </c>
      <c r="D1172" s="1">
        <v>39225</v>
      </c>
      <c r="E1172" s="2">
        <v>126000</v>
      </c>
      <c r="F1172" s="2">
        <v>117800</v>
      </c>
      <c r="G1172" t="s">
        <v>17</v>
      </c>
      <c r="H1172" s="2">
        <v>994.83</v>
      </c>
      <c r="I1172" s="2">
        <v>117205.64</v>
      </c>
      <c r="J1172">
        <v>9.5500000000000002E-2</v>
      </c>
      <c r="K1172">
        <v>11</v>
      </c>
      <c r="L1172">
        <v>350</v>
      </c>
      <c r="M1172" t="str">
        <f t="shared" si="327"/>
        <v>30 Year Fixed</v>
      </c>
      <c r="N1172" s="2">
        <v>932.76</v>
      </c>
      <c r="O1172" t="str">
        <f t="shared" si="324"/>
        <v>Refi</v>
      </c>
      <c r="P1172" s="3">
        <f t="shared" si="328"/>
        <v>0</v>
      </c>
      <c r="Q1172" s="4">
        <v>118964</v>
      </c>
      <c r="R1172" s="4" t="s">
        <v>41</v>
      </c>
      <c r="S1172" s="6">
        <v>617</v>
      </c>
      <c r="T1172">
        <v>6.875</v>
      </c>
      <c r="U1172" s="7">
        <f t="shared" si="325"/>
        <v>831.0771272342746</v>
      </c>
      <c r="V1172" s="2">
        <f t="shared" si="329"/>
        <v>163.75287276572544</v>
      </c>
      <c r="W1172" s="9">
        <f t="shared" si="330"/>
        <v>0</v>
      </c>
      <c r="X1172" s="3">
        <v>118964</v>
      </c>
      <c r="Y1172" s="3">
        <f t="shared" si="331"/>
        <v>0.27133004927600268</v>
      </c>
      <c r="Z1172" s="7">
        <f t="shared" si="332"/>
        <v>831.0771272342746</v>
      </c>
      <c r="AA1172" s="2">
        <f t="shared" si="326"/>
        <v>163.75287276572544</v>
      </c>
      <c r="AB1172" s="8">
        <f t="shared" si="333"/>
        <v>0</v>
      </c>
      <c r="AC1172" s="10">
        <v>6.875</v>
      </c>
      <c r="AD1172" s="7">
        <f t="shared" si="334"/>
        <v>831.0771272342746</v>
      </c>
      <c r="AE1172" s="2">
        <f t="shared" si="335"/>
        <v>163.75287276572544</v>
      </c>
      <c r="AF1172" s="10">
        <v>0</v>
      </c>
      <c r="AG1172" s="3">
        <f t="shared" si="336"/>
        <v>0</v>
      </c>
      <c r="AH1172" s="7">
        <v>2356</v>
      </c>
      <c r="AI1172">
        <f t="shared" si="337"/>
        <v>360</v>
      </c>
      <c r="AJ1172" t="e">
        <f>VLOOKUP(A1172,'Borrower Details'!$A$1:$H$1493,8,FALSE)</f>
        <v>#N/A</v>
      </c>
      <c r="AK1172" s="4" t="e">
        <f t="shared" si="338"/>
        <v>#N/A</v>
      </c>
      <c r="AL1172" s="10">
        <v>6.875</v>
      </c>
      <c r="AM1172" s="3">
        <f t="shared" si="339"/>
        <v>118963.72459999999</v>
      </c>
      <c r="AN1172">
        <v>6.875</v>
      </c>
      <c r="AO1172" s="7">
        <f t="shared" si="340"/>
        <v>831.0752033023216</v>
      </c>
      <c r="AP1172" s="2">
        <f t="shared" si="341"/>
        <v>163.75479669767844</v>
      </c>
    </row>
    <row r="1173" spans="1:42" x14ac:dyDescent="0.15">
      <c r="A1173" s="8">
        <v>410205777</v>
      </c>
      <c r="B1173" t="s">
        <v>38</v>
      </c>
      <c r="C1173" t="s">
        <v>19</v>
      </c>
      <c r="D1173" s="1">
        <v>39217</v>
      </c>
      <c r="E1173" s="2">
        <v>120000</v>
      </c>
      <c r="F1173" s="2">
        <v>84000</v>
      </c>
      <c r="G1173" t="s">
        <v>15</v>
      </c>
      <c r="H1173" s="2">
        <v>678.91</v>
      </c>
      <c r="I1173" s="2">
        <v>83481.2</v>
      </c>
      <c r="J1173">
        <v>9.0499999999999997E-2</v>
      </c>
      <c r="K1173">
        <v>11</v>
      </c>
      <c r="L1173">
        <v>349</v>
      </c>
      <c r="M1173" t="str">
        <f t="shared" si="327"/>
        <v>30 Year Fixed</v>
      </c>
      <c r="N1173" s="2">
        <v>629.59</v>
      </c>
      <c r="O1173" t="str">
        <f t="shared" si="324"/>
        <v>Cash Out</v>
      </c>
      <c r="P1173" s="3">
        <f t="shared" si="328"/>
        <v>17011.410837438438</v>
      </c>
      <c r="Q1173" s="4">
        <v>102000</v>
      </c>
      <c r="R1173" s="4" t="s">
        <v>41</v>
      </c>
      <c r="S1173" s="6">
        <v>571</v>
      </c>
      <c r="T1173">
        <v>7.625</v>
      </c>
      <c r="U1173" s="7">
        <f t="shared" si="325"/>
        <v>764.44962128172915</v>
      </c>
      <c r="V1173" s="2">
        <f t="shared" si="329"/>
        <v>-85.539621281729183</v>
      </c>
      <c r="W1173" s="9">
        <f t="shared" si="330"/>
        <v>1</v>
      </c>
      <c r="X1173" s="3">
        <v>90510</v>
      </c>
      <c r="Y1173" s="3">
        <f t="shared" si="331"/>
        <v>5691.2137931034667</v>
      </c>
      <c r="Z1173" s="7">
        <f t="shared" si="332"/>
        <v>678.33661982558135</v>
      </c>
      <c r="AA1173" s="2">
        <f t="shared" si="326"/>
        <v>0.57338017441861666</v>
      </c>
      <c r="AB1173" s="8">
        <f t="shared" si="333"/>
        <v>1</v>
      </c>
      <c r="AC1173" s="10">
        <v>6.5</v>
      </c>
      <c r="AD1173" s="7">
        <f t="shared" si="334"/>
        <v>609.79726806348356</v>
      </c>
      <c r="AE1173" s="2">
        <f t="shared" si="335"/>
        <v>69.112731936516411</v>
      </c>
      <c r="AF1173" s="10">
        <v>2.625</v>
      </c>
      <c r="AG1173" s="3">
        <f t="shared" si="336"/>
        <v>2375.8874999999998</v>
      </c>
      <c r="AH1173" s="7">
        <v>0</v>
      </c>
      <c r="AI1173">
        <f t="shared" si="337"/>
        <v>360</v>
      </c>
      <c r="AJ1173" t="e">
        <f>VLOOKUP(A1173,'Borrower Details'!$A$1:$H$1493,8,FALSE)</f>
        <v>#N/A</v>
      </c>
      <c r="AK1173" s="4" t="e">
        <f t="shared" si="338"/>
        <v>#N/A</v>
      </c>
      <c r="AL1173" s="10">
        <v>7.625</v>
      </c>
      <c r="AM1173" s="3">
        <f t="shared" si="339"/>
        <v>84733.417999999991</v>
      </c>
      <c r="AN1173">
        <v>7.625</v>
      </c>
      <c r="AO1173" s="7">
        <f t="shared" si="340"/>
        <v>635.04342450986712</v>
      </c>
      <c r="AP1173" s="2">
        <f t="shared" si="341"/>
        <v>43.866575490132846</v>
      </c>
    </row>
    <row r="1174" spans="1:42" x14ac:dyDescent="0.15">
      <c r="A1174" s="8">
        <v>1178985</v>
      </c>
      <c r="B1174" t="s">
        <v>36</v>
      </c>
      <c r="C1174" t="s">
        <v>18</v>
      </c>
      <c r="D1174" s="1">
        <v>39167</v>
      </c>
      <c r="E1174" s="2">
        <v>213000</v>
      </c>
      <c r="F1174" s="2">
        <v>191700</v>
      </c>
      <c r="G1174" t="s">
        <v>15</v>
      </c>
      <c r="H1174" s="2">
        <v>1360.14</v>
      </c>
      <c r="I1174" s="2">
        <v>189768.65</v>
      </c>
      <c r="J1174">
        <v>7.6499999999999999E-2</v>
      </c>
      <c r="K1174">
        <v>13</v>
      </c>
      <c r="L1174">
        <v>347</v>
      </c>
      <c r="M1174" t="str">
        <f t="shared" si="327"/>
        <v>30 Year Fixed</v>
      </c>
      <c r="N1174" s="2">
        <v>1209.78</v>
      </c>
      <c r="O1174" t="str">
        <f t="shared" si="324"/>
        <v>Refi</v>
      </c>
      <c r="P1174" s="3">
        <f t="shared" si="328"/>
        <v>0</v>
      </c>
      <c r="Q1174" s="4">
        <v>192615</v>
      </c>
      <c r="R1174" s="4" t="s">
        <v>41</v>
      </c>
      <c r="S1174" s="6">
        <v>634</v>
      </c>
      <c r="T1174">
        <v>6.75</v>
      </c>
      <c r="U1174" s="7">
        <f t="shared" si="325"/>
        <v>1329.5534737048649</v>
      </c>
      <c r="V1174" s="2">
        <f t="shared" si="329"/>
        <v>30.586526295135172</v>
      </c>
      <c r="W1174" s="9">
        <f t="shared" si="330"/>
        <v>0</v>
      </c>
      <c r="X1174" s="3">
        <v>192616</v>
      </c>
      <c r="Y1174" s="3">
        <f t="shared" si="331"/>
        <v>0.80812807884649374</v>
      </c>
      <c r="Z1174" s="7">
        <f t="shared" si="332"/>
        <v>1329.5603763524973</v>
      </c>
      <c r="AA1174" s="2">
        <f t="shared" si="326"/>
        <v>30.579623647502785</v>
      </c>
      <c r="AB1174" s="8">
        <f t="shared" si="333"/>
        <v>1</v>
      </c>
      <c r="AC1174" s="10">
        <v>6.125</v>
      </c>
      <c r="AD1174" s="7">
        <f t="shared" si="334"/>
        <v>1250.6117835854077</v>
      </c>
      <c r="AE1174" s="2">
        <f t="shared" si="335"/>
        <v>109.52821641459241</v>
      </c>
      <c r="AF1174" s="10">
        <v>3</v>
      </c>
      <c r="AG1174" s="3">
        <f t="shared" si="336"/>
        <v>5778.48</v>
      </c>
      <c r="AH1174" s="7">
        <v>3834</v>
      </c>
      <c r="AI1174">
        <f t="shared" si="337"/>
        <v>360</v>
      </c>
      <c r="AJ1174" t="e">
        <f>VLOOKUP(A1174,'Borrower Details'!$A$1:$H$1493,8,FALSE)</f>
        <v>#N/A</v>
      </c>
      <c r="AK1174" s="4" t="e">
        <f t="shared" si="338"/>
        <v>#N/A</v>
      </c>
      <c r="AL1174" s="10">
        <v>6.75</v>
      </c>
      <c r="AM1174" s="3">
        <f t="shared" si="339"/>
        <v>192615.17974999998</v>
      </c>
      <c r="AN1174">
        <v>6.75</v>
      </c>
      <c r="AO1174" s="7">
        <f t="shared" si="340"/>
        <v>1329.5547144557768</v>
      </c>
      <c r="AP1174" s="2">
        <f t="shared" si="341"/>
        <v>30.585285544223325</v>
      </c>
    </row>
    <row r="1175" spans="1:42" x14ac:dyDescent="0.15">
      <c r="A1175" s="8">
        <v>410668065</v>
      </c>
      <c r="B1175" t="s">
        <v>37</v>
      </c>
      <c r="C1175" t="s">
        <v>16</v>
      </c>
      <c r="D1175" s="1">
        <v>39297</v>
      </c>
      <c r="E1175" s="2">
        <v>140000</v>
      </c>
      <c r="F1175" s="2">
        <v>133000</v>
      </c>
      <c r="G1175" t="s">
        <v>17</v>
      </c>
      <c r="H1175" s="2">
        <v>1216.6099999999999</v>
      </c>
      <c r="I1175" s="2">
        <v>132507.26999999999</v>
      </c>
      <c r="J1175">
        <v>0.105</v>
      </c>
      <c r="K1175">
        <v>9</v>
      </c>
      <c r="L1175">
        <v>351</v>
      </c>
      <c r="M1175" t="str">
        <f t="shared" si="327"/>
        <v>30 Year Fixed</v>
      </c>
      <c r="N1175" s="2">
        <v>1159.44</v>
      </c>
      <c r="O1175" t="str">
        <f t="shared" si="324"/>
        <v>Refi</v>
      </c>
      <c r="P1175" s="3">
        <f t="shared" si="328"/>
        <v>0</v>
      </c>
      <c r="Q1175" s="4">
        <v>134495</v>
      </c>
      <c r="R1175" s="4" t="s">
        <v>41</v>
      </c>
      <c r="S1175" s="6">
        <v>599</v>
      </c>
      <c r="T1175">
        <v>7.375</v>
      </c>
      <c r="U1175" s="7">
        <f t="shared" si="325"/>
        <v>984.9631230943728</v>
      </c>
      <c r="V1175" s="2">
        <f t="shared" si="329"/>
        <v>231.6468769056271</v>
      </c>
      <c r="W1175" s="9">
        <f t="shared" si="330"/>
        <v>0</v>
      </c>
      <c r="X1175" s="3">
        <v>134495</v>
      </c>
      <c r="Y1175" s="3">
        <f t="shared" si="331"/>
        <v>0.11916256160475314</v>
      </c>
      <c r="Z1175" s="7">
        <f t="shared" si="332"/>
        <v>984.9631230943728</v>
      </c>
      <c r="AA1175" s="2">
        <f t="shared" si="326"/>
        <v>231.6468769056271</v>
      </c>
      <c r="AB1175" s="8">
        <f t="shared" si="333"/>
        <v>0</v>
      </c>
      <c r="AC1175" s="10">
        <v>7.375</v>
      </c>
      <c r="AD1175" s="7">
        <f t="shared" si="334"/>
        <v>984.9631230943728</v>
      </c>
      <c r="AE1175" s="2">
        <f t="shared" si="335"/>
        <v>231.6468769056271</v>
      </c>
      <c r="AF1175" s="10">
        <v>0</v>
      </c>
      <c r="AG1175" s="3">
        <f t="shared" si="336"/>
        <v>0</v>
      </c>
      <c r="AH1175" s="7">
        <v>0</v>
      </c>
      <c r="AI1175">
        <f t="shared" si="337"/>
        <v>360</v>
      </c>
      <c r="AJ1175" t="e">
        <f>VLOOKUP(A1175,'Borrower Details'!$A$1:$H$1493,8,FALSE)</f>
        <v>#N/A</v>
      </c>
      <c r="AK1175" s="4" t="e">
        <f t="shared" si="338"/>
        <v>#N/A</v>
      </c>
      <c r="AL1175" s="10">
        <v>7.375</v>
      </c>
      <c r="AM1175" s="3">
        <f t="shared" si="339"/>
        <v>134494.87904999999</v>
      </c>
      <c r="AN1175">
        <v>7.375</v>
      </c>
      <c r="AO1175" s="7">
        <f t="shared" si="340"/>
        <v>984.9622373269483</v>
      </c>
      <c r="AP1175" s="2">
        <f t="shared" si="341"/>
        <v>231.6477626730516</v>
      </c>
    </row>
    <row r="1176" spans="1:42" x14ac:dyDescent="0.15">
      <c r="A1176" s="8">
        <v>410648075</v>
      </c>
      <c r="B1176" t="s">
        <v>35</v>
      </c>
      <c r="C1176" t="s">
        <v>16</v>
      </c>
      <c r="D1176" s="1">
        <v>39295</v>
      </c>
      <c r="E1176" s="2">
        <v>206000</v>
      </c>
      <c r="F1176" s="2">
        <v>175100</v>
      </c>
      <c r="G1176" t="s">
        <v>17</v>
      </c>
      <c r="H1176" s="2">
        <v>1491.54</v>
      </c>
      <c r="I1176" s="2">
        <v>174297.55</v>
      </c>
      <c r="J1176">
        <v>9.6500000000000002E-2</v>
      </c>
      <c r="K1176">
        <v>9</v>
      </c>
      <c r="L1176">
        <v>351</v>
      </c>
      <c r="M1176" t="str">
        <f t="shared" si="327"/>
        <v>30 Year Fixed</v>
      </c>
      <c r="N1176" s="2">
        <v>1401.64</v>
      </c>
      <c r="O1176" t="str">
        <f t="shared" si="324"/>
        <v>Refi</v>
      </c>
      <c r="P1176" s="3">
        <f t="shared" si="328"/>
        <v>0</v>
      </c>
      <c r="Q1176" s="4">
        <v>176912</v>
      </c>
      <c r="R1176" s="4" t="s">
        <v>41</v>
      </c>
      <c r="S1176" s="6">
        <v>548</v>
      </c>
      <c r="T1176">
        <v>7.625</v>
      </c>
      <c r="U1176" s="7">
        <f t="shared" si="325"/>
        <v>1325.8854058842478</v>
      </c>
      <c r="V1176" s="2">
        <f t="shared" si="329"/>
        <v>165.65459411575216</v>
      </c>
      <c r="W1176" s="9">
        <f t="shared" si="330"/>
        <v>0</v>
      </c>
      <c r="X1176" s="3">
        <v>176912</v>
      </c>
      <c r="Y1176" s="3">
        <f t="shared" si="331"/>
        <v>-1.305418717674911E-2</v>
      </c>
      <c r="Z1176" s="7">
        <f t="shared" si="332"/>
        <v>1325.8854058842478</v>
      </c>
      <c r="AA1176" s="2">
        <f t="shared" si="326"/>
        <v>165.65459411575216</v>
      </c>
      <c r="AB1176" s="8">
        <f t="shared" si="333"/>
        <v>0</v>
      </c>
      <c r="AC1176" s="10">
        <v>7.625</v>
      </c>
      <c r="AD1176" s="7">
        <f t="shared" si="334"/>
        <v>1325.8854058842478</v>
      </c>
      <c r="AE1176" s="2">
        <f t="shared" si="335"/>
        <v>165.65459411575216</v>
      </c>
      <c r="AF1176" s="10">
        <v>0</v>
      </c>
      <c r="AG1176" s="3">
        <f t="shared" si="336"/>
        <v>0</v>
      </c>
      <c r="AH1176" s="7">
        <v>8448.5750000000007</v>
      </c>
      <c r="AI1176">
        <f t="shared" si="337"/>
        <v>360</v>
      </c>
      <c r="AJ1176" t="e">
        <f>VLOOKUP(A1176,'Borrower Details'!$A$1:$H$1493,8,FALSE)</f>
        <v>#N/A</v>
      </c>
      <c r="AK1176" s="4" t="e">
        <f t="shared" si="338"/>
        <v>#N/A</v>
      </c>
      <c r="AL1176" s="10">
        <v>7.625</v>
      </c>
      <c r="AM1176" s="3">
        <f t="shared" si="339"/>
        <v>176912.01324999996</v>
      </c>
      <c r="AN1176">
        <v>7.625</v>
      </c>
      <c r="AO1176" s="7">
        <f t="shared" si="340"/>
        <v>1325.8855051877522</v>
      </c>
      <c r="AP1176" s="2">
        <f t="shared" si="341"/>
        <v>165.65449481224778</v>
      </c>
    </row>
    <row r="1177" spans="1:42" x14ac:dyDescent="0.15">
      <c r="A1177" s="8">
        <v>1091570</v>
      </c>
      <c r="B1177" t="s">
        <v>35</v>
      </c>
      <c r="C1177" t="s">
        <v>16</v>
      </c>
      <c r="D1177" s="1">
        <v>39052</v>
      </c>
      <c r="E1177" s="2">
        <v>285000</v>
      </c>
      <c r="F1177" s="2">
        <v>228000</v>
      </c>
      <c r="G1177" t="s">
        <v>17</v>
      </c>
      <c r="H1177" s="2">
        <v>1661.08</v>
      </c>
      <c r="I1177" s="2">
        <v>225559.19</v>
      </c>
      <c r="J1177">
        <v>7.9250000000000001E-2</v>
      </c>
      <c r="K1177">
        <v>17</v>
      </c>
      <c r="L1177">
        <v>345</v>
      </c>
      <c r="M1177" t="str">
        <f t="shared" si="327"/>
        <v>30 Year Fixed</v>
      </c>
      <c r="N1177" s="2">
        <v>1489.63</v>
      </c>
      <c r="O1177" t="str">
        <f t="shared" si="324"/>
        <v>Cash Out</v>
      </c>
      <c r="P1177" s="3">
        <f t="shared" si="328"/>
        <v>13110.760738916288</v>
      </c>
      <c r="Q1177" s="4">
        <v>242250</v>
      </c>
      <c r="R1177" s="4" t="s">
        <v>41</v>
      </c>
      <c r="S1177" s="6">
        <v>567</v>
      </c>
      <c r="T1177">
        <v>7.625</v>
      </c>
      <c r="U1177" s="7">
        <f t="shared" si="325"/>
        <v>1815.5678505441067</v>
      </c>
      <c r="V1177" s="2">
        <f t="shared" si="329"/>
        <v>-154.48785054410678</v>
      </c>
      <c r="W1177" s="9">
        <f t="shared" si="330"/>
        <v>1</v>
      </c>
      <c r="X1177" s="3">
        <v>228942</v>
      </c>
      <c r="Y1177" s="3">
        <f t="shared" si="331"/>
        <v>-0.56931034481385723</v>
      </c>
      <c r="Z1177" s="7">
        <f t="shared" si="332"/>
        <v>1715.8296587792315</v>
      </c>
      <c r="AA1177" s="2">
        <f t="shared" si="326"/>
        <v>-54.749658779231595</v>
      </c>
      <c r="AB1177" s="8">
        <f t="shared" si="333"/>
        <v>1</v>
      </c>
      <c r="AC1177" s="10">
        <v>6.875</v>
      </c>
      <c r="AD1177" s="7">
        <f t="shared" si="334"/>
        <v>1599.3784646050005</v>
      </c>
      <c r="AE1177" s="2">
        <f t="shared" si="335"/>
        <v>61.701535394999382</v>
      </c>
      <c r="AF1177" s="10">
        <v>1</v>
      </c>
      <c r="AG1177" s="3">
        <f t="shared" si="336"/>
        <v>2289.42</v>
      </c>
      <c r="AH1177" s="7">
        <v>9034.5</v>
      </c>
      <c r="AI1177">
        <f t="shared" si="337"/>
        <v>360</v>
      </c>
      <c r="AJ1177" t="e">
        <f>VLOOKUP(A1177,'Borrower Details'!$A$1:$H$1493,8,FALSE)</f>
        <v>#N/A</v>
      </c>
      <c r="AK1177" s="4" t="e">
        <f t="shared" si="338"/>
        <v>#N/A</v>
      </c>
      <c r="AL1177" s="10">
        <v>7.625</v>
      </c>
      <c r="AM1177" s="3">
        <f t="shared" si="339"/>
        <v>228942.57784999997</v>
      </c>
      <c r="AN1177">
        <v>7.625</v>
      </c>
      <c r="AO1177" s="7">
        <f t="shared" si="340"/>
        <v>1715.833989536228</v>
      </c>
      <c r="AP1177" s="2">
        <f t="shared" si="341"/>
        <v>-54.753989536228119</v>
      </c>
    </row>
    <row r="1178" spans="1:42" x14ac:dyDescent="0.15">
      <c r="A1178" s="8">
        <v>410547079</v>
      </c>
      <c r="B1178" t="s">
        <v>37</v>
      </c>
      <c r="C1178" t="s">
        <v>19</v>
      </c>
      <c r="D1178" s="1">
        <v>39290</v>
      </c>
      <c r="E1178" s="2">
        <v>117500</v>
      </c>
      <c r="F1178" s="2">
        <v>99875</v>
      </c>
      <c r="G1178" t="s">
        <v>15</v>
      </c>
      <c r="H1178" s="2">
        <v>814.42</v>
      </c>
      <c r="I1178" s="2">
        <v>99384.37</v>
      </c>
      <c r="J1178">
        <v>9.1499999999999998E-2</v>
      </c>
      <c r="K1178">
        <v>9</v>
      </c>
      <c r="L1178">
        <v>351</v>
      </c>
      <c r="M1178" t="str">
        <f t="shared" si="327"/>
        <v>30 Year Fixed</v>
      </c>
      <c r="N1178" s="2">
        <v>757.81</v>
      </c>
      <c r="O1178" t="str">
        <f t="shared" si="324"/>
        <v>Refi</v>
      </c>
      <c r="P1178" s="3">
        <f t="shared" si="328"/>
        <v>0</v>
      </c>
      <c r="Q1178" s="4">
        <v>100875</v>
      </c>
      <c r="R1178" s="4" t="s">
        <v>41</v>
      </c>
      <c r="S1178" s="6">
        <v>601</v>
      </c>
      <c r="T1178">
        <v>6.875</v>
      </c>
      <c r="U1178" s="7">
        <f t="shared" si="325"/>
        <v>704.70819079517707</v>
      </c>
      <c r="V1178" s="2">
        <f t="shared" si="329"/>
        <v>109.71180920482288</v>
      </c>
      <c r="W1178" s="9">
        <f t="shared" si="330"/>
        <v>0</v>
      </c>
      <c r="X1178" s="3">
        <v>100875</v>
      </c>
      <c r="Y1178" s="3">
        <f t="shared" si="331"/>
        <v>-0.13354679800977465</v>
      </c>
      <c r="Z1178" s="7">
        <f t="shared" si="332"/>
        <v>704.70819079517707</v>
      </c>
      <c r="AA1178" s="2">
        <f t="shared" si="326"/>
        <v>109.71180920482288</v>
      </c>
      <c r="AB1178" s="8">
        <f t="shared" si="333"/>
        <v>0</v>
      </c>
      <c r="AC1178" s="10">
        <v>6.875</v>
      </c>
      <c r="AD1178" s="7">
        <f t="shared" si="334"/>
        <v>704.70819079517707</v>
      </c>
      <c r="AE1178" s="2">
        <f t="shared" si="335"/>
        <v>109.71180920482288</v>
      </c>
      <c r="AF1178" s="10">
        <v>0</v>
      </c>
      <c r="AG1178" s="3">
        <f t="shared" si="336"/>
        <v>0</v>
      </c>
      <c r="AH1178" s="7">
        <v>0</v>
      </c>
      <c r="AI1178">
        <f t="shared" si="337"/>
        <v>360</v>
      </c>
      <c r="AJ1178" t="e">
        <f>VLOOKUP(A1178,'Borrower Details'!$A$1:$H$1493,8,FALSE)</f>
        <v>#N/A</v>
      </c>
      <c r="AK1178" s="4" t="e">
        <f t="shared" si="338"/>
        <v>#N/A</v>
      </c>
      <c r="AL1178" s="10">
        <v>6.875</v>
      </c>
      <c r="AM1178" s="3">
        <f t="shared" si="339"/>
        <v>100875.13554999999</v>
      </c>
      <c r="AN1178">
        <v>6.875</v>
      </c>
      <c r="AO1178" s="7">
        <f t="shared" si="340"/>
        <v>704.70913774135067</v>
      </c>
      <c r="AP1178" s="2">
        <f t="shared" si="341"/>
        <v>109.71086225864929</v>
      </c>
    </row>
    <row r="1179" spans="1:42" x14ac:dyDescent="0.15">
      <c r="A1179" s="8">
        <v>410249429</v>
      </c>
      <c r="B1179" t="s">
        <v>36</v>
      </c>
      <c r="C1179" t="s">
        <v>19</v>
      </c>
      <c r="D1179" s="1">
        <v>39220</v>
      </c>
      <c r="E1179" s="2">
        <v>275000</v>
      </c>
      <c r="F1179" s="2">
        <v>233750</v>
      </c>
      <c r="G1179" t="s">
        <v>15</v>
      </c>
      <c r="H1179" s="2">
        <v>1664.94</v>
      </c>
      <c r="I1179" s="2">
        <v>231853.09</v>
      </c>
      <c r="J1179">
        <v>7.6899999999999996E-2</v>
      </c>
      <c r="K1179">
        <v>11</v>
      </c>
      <c r="L1179">
        <v>349</v>
      </c>
      <c r="M1179" t="str">
        <f t="shared" si="327"/>
        <v>30 Year Fixed</v>
      </c>
      <c r="N1179" s="2">
        <v>1485.79</v>
      </c>
      <c r="O1179" t="str">
        <f t="shared" si="324"/>
        <v>Refi</v>
      </c>
      <c r="P1179" s="3">
        <f t="shared" si="328"/>
        <v>0</v>
      </c>
      <c r="Q1179" s="4">
        <v>235331</v>
      </c>
      <c r="R1179" s="4" t="s">
        <v>41</v>
      </c>
      <c r="S1179" s="6">
        <v>624</v>
      </c>
      <c r="T1179">
        <v>6.75</v>
      </c>
      <c r="U1179" s="7">
        <f t="shared" si="325"/>
        <v>1624.4069699682766</v>
      </c>
      <c r="V1179" s="2">
        <f t="shared" si="329"/>
        <v>40.533030031723456</v>
      </c>
      <c r="W1179" s="9">
        <f t="shared" si="330"/>
        <v>0</v>
      </c>
      <c r="X1179" s="3">
        <v>235331</v>
      </c>
      <c r="Y1179" s="3">
        <f t="shared" si="331"/>
        <v>0.11197044336586259</v>
      </c>
      <c r="Z1179" s="7">
        <f t="shared" si="332"/>
        <v>1624.4069699682766</v>
      </c>
      <c r="AA1179" s="2">
        <f t="shared" si="326"/>
        <v>40.533030031723456</v>
      </c>
      <c r="AB1179" s="8">
        <f t="shared" si="333"/>
        <v>1</v>
      </c>
      <c r="AC1179" s="10">
        <v>6.125</v>
      </c>
      <c r="AD1179" s="7">
        <f t="shared" si="334"/>
        <v>1527.950542233966</v>
      </c>
      <c r="AE1179" s="2">
        <f t="shared" si="335"/>
        <v>136.98945776603409</v>
      </c>
      <c r="AF1179" s="10">
        <v>3</v>
      </c>
      <c r="AG1179" s="3">
        <f t="shared" si="336"/>
        <v>7059.93</v>
      </c>
      <c r="AH1179" s="7">
        <v>4675</v>
      </c>
      <c r="AI1179">
        <f t="shared" si="337"/>
        <v>360</v>
      </c>
      <c r="AJ1179" t="e">
        <f>VLOOKUP(A1179,'Borrower Details'!$A$1:$H$1493,8,FALSE)</f>
        <v>#N/A</v>
      </c>
      <c r="AK1179" s="4" t="e">
        <f t="shared" si="338"/>
        <v>#N/A</v>
      </c>
      <c r="AL1179" s="10">
        <v>6.75</v>
      </c>
      <c r="AM1179" s="3">
        <f t="shared" si="339"/>
        <v>235330.88634999999</v>
      </c>
      <c r="AN1179">
        <v>6.75</v>
      </c>
      <c r="AO1179" s="7">
        <f t="shared" si="340"/>
        <v>1624.4061854823731</v>
      </c>
      <c r="AP1179" s="2">
        <f t="shared" si="341"/>
        <v>40.533814517626979</v>
      </c>
    </row>
    <row r="1180" spans="1:42" x14ac:dyDescent="0.15">
      <c r="A1180" s="8">
        <v>410534127</v>
      </c>
      <c r="B1180" t="s">
        <v>35</v>
      </c>
      <c r="C1180" t="s">
        <v>16</v>
      </c>
      <c r="D1180" s="1">
        <v>39262</v>
      </c>
      <c r="E1180" s="2">
        <v>129500</v>
      </c>
      <c r="F1180" s="2">
        <v>81500</v>
      </c>
      <c r="G1180" t="s">
        <v>17</v>
      </c>
      <c r="H1180" s="2">
        <v>612.29</v>
      </c>
      <c r="I1180" s="2">
        <v>80908.19</v>
      </c>
      <c r="J1180">
        <v>8.2500000000000004E-2</v>
      </c>
      <c r="K1180">
        <v>10</v>
      </c>
      <c r="L1180">
        <v>349</v>
      </c>
      <c r="M1180" t="str">
        <f t="shared" si="327"/>
        <v>30 Year Fixed</v>
      </c>
      <c r="N1180" s="2">
        <v>556.63</v>
      </c>
      <c r="O1180" t="str">
        <f t="shared" si="324"/>
        <v>Cash Out</v>
      </c>
      <c r="P1180" s="3">
        <f t="shared" si="328"/>
        <v>27540.085862068969</v>
      </c>
      <c r="Q1180" s="4">
        <v>110075</v>
      </c>
      <c r="R1180" s="4" t="s">
        <v>41</v>
      </c>
      <c r="S1180" s="6">
        <v>586</v>
      </c>
      <c r="T1180">
        <v>7.375</v>
      </c>
      <c r="U1180" s="7">
        <f t="shared" si="325"/>
        <v>806.12525205110296</v>
      </c>
      <c r="V1180" s="2">
        <f t="shared" si="329"/>
        <v>-193.835252051103</v>
      </c>
      <c r="W1180" s="9">
        <f t="shared" si="330"/>
        <v>1</v>
      </c>
      <c r="X1180" s="3">
        <v>83535</v>
      </c>
      <c r="Y1180" s="3">
        <f t="shared" si="331"/>
        <v>1392.302610837447</v>
      </c>
      <c r="Z1180" s="7">
        <f t="shared" si="332"/>
        <v>626.06175601734549</v>
      </c>
      <c r="AA1180" s="2">
        <f t="shared" si="326"/>
        <v>-13.771756017345524</v>
      </c>
      <c r="AB1180" s="8">
        <f t="shared" si="333"/>
        <v>1</v>
      </c>
      <c r="AC1180" s="10">
        <v>6.875</v>
      </c>
      <c r="AD1180" s="7">
        <f t="shared" si="334"/>
        <v>583.57173450384255</v>
      </c>
      <c r="AE1180" s="2">
        <f t="shared" si="335"/>
        <v>28.718265496157414</v>
      </c>
      <c r="AF1180" s="10">
        <v>1</v>
      </c>
      <c r="AG1180" s="3">
        <f t="shared" si="336"/>
        <v>835.35</v>
      </c>
      <c r="AH1180" s="7">
        <v>3361.875</v>
      </c>
      <c r="AI1180">
        <f t="shared" si="337"/>
        <v>360</v>
      </c>
      <c r="AJ1180" t="e">
        <f>VLOOKUP(A1180,'Borrower Details'!$A$1:$H$1493,8,FALSE)</f>
        <v>#N/A</v>
      </c>
      <c r="AK1180" s="4" t="e">
        <f t="shared" si="338"/>
        <v>#N/A</v>
      </c>
      <c r="AL1180" s="10">
        <v>7.625</v>
      </c>
      <c r="AM1180" s="3">
        <f t="shared" si="339"/>
        <v>82121.812849999988</v>
      </c>
      <c r="AN1180">
        <v>7.625</v>
      </c>
      <c r="AO1180" s="7">
        <f t="shared" si="340"/>
        <v>615.47047776619138</v>
      </c>
      <c r="AP1180" s="2">
        <f t="shared" si="341"/>
        <v>-3.1804777661914159</v>
      </c>
    </row>
    <row r="1181" spans="1:42" x14ac:dyDescent="0.15">
      <c r="A1181" s="8">
        <v>410432843</v>
      </c>
      <c r="B1181" t="s">
        <v>37</v>
      </c>
      <c r="C1181" t="s">
        <v>19</v>
      </c>
      <c r="D1181" s="1">
        <v>39251</v>
      </c>
      <c r="E1181" s="2">
        <v>268000</v>
      </c>
      <c r="F1181" s="2">
        <v>240750</v>
      </c>
      <c r="G1181" t="s">
        <v>17</v>
      </c>
      <c r="H1181" s="2">
        <v>1733.09</v>
      </c>
      <c r="I1181" s="2">
        <v>238368.37</v>
      </c>
      <c r="J1181">
        <v>7.8E-2</v>
      </c>
      <c r="K1181">
        <v>10</v>
      </c>
      <c r="L1181">
        <v>349</v>
      </c>
      <c r="M1181" t="str">
        <f t="shared" si="327"/>
        <v>30 Year Fixed</v>
      </c>
      <c r="N1181" s="2">
        <v>1549.39</v>
      </c>
      <c r="O1181" t="str">
        <f t="shared" si="324"/>
        <v>Refi</v>
      </c>
      <c r="P1181" s="3">
        <f t="shared" si="328"/>
        <v>0</v>
      </c>
      <c r="Q1181" s="4">
        <v>241944</v>
      </c>
      <c r="R1181" s="4" t="s">
        <v>41</v>
      </c>
      <c r="S1181" s="6">
        <v>660</v>
      </c>
      <c r="T1181">
        <v>6.75</v>
      </c>
      <c r="U1181" s="7">
        <f t="shared" si="325"/>
        <v>1670.0541787609991</v>
      </c>
      <c r="V1181" s="2">
        <f t="shared" si="329"/>
        <v>63.035821239000825</v>
      </c>
      <c r="W1181" s="9">
        <f t="shared" si="330"/>
        <v>0</v>
      </c>
      <c r="X1181" s="3">
        <v>241944</v>
      </c>
      <c r="Y1181" s="3">
        <f t="shared" si="331"/>
        <v>0.10290640397579409</v>
      </c>
      <c r="Z1181" s="7">
        <f t="shared" si="332"/>
        <v>1670.0541787609991</v>
      </c>
      <c r="AA1181" s="2">
        <f t="shared" si="326"/>
        <v>63.035821239000825</v>
      </c>
      <c r="AB1181" s="8">
        <f t="shared" si="333"/>
        <v>1</v>
      </c>
      <c r="AC1181" s="10">
        <v>6.125</v>
      </c>
      <c r="AD1181" s="7">
        <f t="shared" si="334"/>
        <v>1570.8872438831036</v>
      </c>
      <c r="AE1181" s="2">
        <f t="shared" si="335"/>
        <v>162.20275611689635</v>
      </c>
      <c r="AF1181" s="10">
        <v>3</v>
      </c>
      <c r="AG1181" s="3">
        <f t="shared" si="336"/>
        <v>7258.32</v>
      </c>
      <c r="AH1181" s="7">
        <v>0</v>
      </c>
      <c r="AI1181">
        <f t="shared" si="337"/>
        <v>360</v>
      </c>
      <c r="AJ1181" t="e">
        <f>VLOOKUP(A1181,'Borrower Details'!$A$1:$H$1493,8,FALSE)</f>
        <v>#N/A</v>
      </c>
      <c r="AK1181" s="4" t="e">
        <f t="shared" si="338"/>
        <v>#N/A</v>
      </c>
      <c r="AL1181" s="10">
        <v>6.75</v>
      </c>
      <c r="AM1181" s="3">
        <f t="shared" si="339"/>
        <v>241943.89554999996</v>
      </c>
      <c r="AN1181">
        <v>6.75</v>
      </c>
      <c r="AO1181" s="7">
        <f t="shared" si="340"/>
        <v>1670.0534577794538</v>
      </c>
      <c r="AP1181" s="2">
        <f t="shared" si="341"/>
        <v>63.036542220546153</v>
      </c>
    </row>
    <row r="1182" spans="1:42" x14ac:dyDescent="0.15">
      <c r="A1182" s="8">
        <v>410472807</v>
      </c>
      <c r="B1182" t="s">
        <v>36</v>
      </c>
      <c r="C1182" t="s">
        <v>19</v>
      </c>
      <c r="D1182" s="1">
        <v>39265</v>
      </c>
      <c r="E1182" s="2">
        <v>350000</v>
      </c>
      <c r="F1182" s="2">
        <v>280000</v>
      </c>
      <c r="G1182" t="s">
        <v>21</v>
      </c>
      <c r="H1182" s="2">
        <v>2303.5</v>
      </c>
      <c r="I1182" s="2">
        <v>278496.94</v>
      </c>
      <c r="J1182">
        <v>9.2499999999999999E-2</v>
      </c>
      <c r="K1182">
        <v>10</v>
      </c>
      <c r="L1182">
        <v>350</v>
      </c>
      <c r="M1182" t="str">
        <f t="shared" si="327"/>
        <v>30 Year Fixed</v>
      </c>
      <c r="N1182" s="2">
        <v>2146.75</v>
      </c>
      <c r="O1182" t="str">
        <f t="shared" si="324"/>
        <v>Cash Out</v>
      </c>
      <c r="P1182" s="3">
        <f t="shared" si="328"/>
        <v>14606.508275862085</v>
      </c>
      <c r="Q1182" s="4">
        <v>297500</v>
      </c>
      <c r="R1182" s="4" t="s">
        <v>41</v>
      </c>
      <c r="S1182" s="6">
        <v>547</v>
      </c>
      <c r="T1182">
        <v>7.625</v>
      </c>
      <c r="U1182" s="7">
        <f t="shared" si="325"/>
        <v>2229.6447287383767</v>
      </c>
      <c r="V1182" s="2">
        <f t="shared" si="329"/>
        <v>73.855271261623329</v>
      </c>
      <c r="W1182" s="9">
        <f t="shared" si="330"/>
        <v>0</v>
      </c>
      <c r="X1182" s="3">
        <v>297500</v>
      </c>
      <c r="Y1182" s="3">
        <f t="shared" si="331"/>
        <v>14606.508275862085</v>
      </c>
      <c r="Z1182" s="7">
        <f t="shared" si="332"/>
        <v>2229.6447287383767</v>
      </c>
      <c r="AA1182" s="2">
        <f t="shared" si="326"/>
        <v>73.855271261623329</v>
      </c>
      <c r="AB1182" s="8">
        <f t="shared" si="333"/>
        <v>0</v>
      </c>
      <c r="AC1182" s="10">
        <v>7.625</v>
      </c>
      <c r="AD1182" s="7">
        <f t="shared" si="334"/>
        <v>2229.6447287383767</v>
      </c>
      <c r="AE1182" s="2">
        <f t="shared" si="335"/>
        <v>73.855271261623329</v>
      </c>
      <c r="AF1182" s="10">
        <v>0</v>
      </c>
      <c r="AG1182" s="3">
        <f t="shared" si="336"/>
        <v>0</v>
      </c>
      <c r="AH1182" s="7">
        <v>5600</v>
      </c>
      <c r="AI1182">
        <f t="shared" si="337"/>
        <v>360</v>
      </c>
      <c r="AJ1182" t="e">
        <f>VLOOKUP(A1182,'Borrower Details'!$A$1:$H$1493,8,FALSE)</f>
        <v>#N/A</v>
      </c>
      <c r="AK1182" s="4" t="e">
        <f t="shared" si="338"/>
        <v>#N/A</v>
      </c>
      <c r="AL1182" s="10">
        <v>7.625</v>
      </c>
      <c r="AM1182" s="3">
        <f t="shared" si="339"/>
        <v>282674.39409999998</v>
      </c>
      <c r="AN1182">
        <v>7.625</v>
      </c>
      <c r="AO1182" s="7">
        <f t="shared" si="340"/>
        <v>2118.5326815273256</v>
      </c>
      <c r="AP1182" s="2">
        <f t="shared" si="341"/>
        <v>184.96731847267438</v>
      </c>
    </row>
    <row r="1183" spans="1:42" x14ac:dyDescent="0.15">
      <c r="A1183" s="8">
        <v>410098289</v>
      </c>
      <c r="B1183" t="s">
        <v>37</v>
      </c>
      <c r="C1183" t="s">
        <v>18</v>
      </c>
      <c r="D1183" s="1">
        <v>39206</v>
      </c>
      <c r="E1183" s="2">
        <v>115000</v>
      </c>
      <c r="F1183" s="2">
        <v>103500</v>
      </c>
      <c r="G1183" t="s">
        <v>17</v>
      </c>
      <c r="H1183" s="2">
        <v>755.85</v>
      </c>
      <c r="I1183" s="2">
        <v>102625.63</v>
      </c>
      <c r="J1183">
        <v>7.9500000000000001E-2</v>
      </c>
      <c r="K1183">
        <v>12</v>
      </c>
      <c r="L1183">
        <v>348</v>
      </c>
      <c r="M1183" t="str">
        <f t="shared" si="327"/>
        <v>30 Year Fixed</v>
      </c>
      <c r="N1183" s="2">
        <v>679.89</v>
      </c>
      <c r="O1183" t="str">
        <f t="shared" si="324"/>
        <v>Refi</v>
      </c>
      <c r="P1183" s="3">
        <f t="shared" si="328"/>
        <v>0</v>
      </c>
      <c r="Q1183" s="4">
        <v>104165</v>
      </c>
      <c r="R1183" s="4" t="s">
        <v>41</v>
      </c>
      <c r="S1183" s="6">
        <v>700</v>
      </c>
      <c r="T1183">
        <v>6.75</v>
      </c>
      <c r="U1183" s="7">
        <f t="shared" si="325"/>
        <v>719.01429062361331</v>
      </c>
      <c r="V1183" s="2">
        <f t="shared" si="329"/>
        <v>36.835709376386717</v>
      </c>
      <c r="W1183" s="9">
        <f t="shared" si="330"/>
        <v>0</v>
      </c>
      <c r="X1183" s="3">
        <v>104165</v>
      </c>
      <c r="Y1183" s="3">
        <f t="shared" si="331"/>
        <v>-1.4236453193007037E-2</v>
      </c>
      <c r="Z1183" s="7">
        <f t="shared" si="332"/>
        <v>719.01429062361331</v>
      </c>
      <c r="AA1183" s="2">
        <f t="shared" si="326"/>
        <v>36.835709376386717</v>
      </c>
      <c r="AB1183" s="8">
        <f t="shared" si="333"/>
        <v>1</v>
      </c>
      <c r="AC1183" s="10">
        <v>6.125</v>
      </c>
      <c r="AD1183" s="7">
        <f t="shared" si="334"/>
        <v>676.31960188755875</v>
      </c>
      <c r="AE1183" s="2">
        <f t="shared" si="335"/>
        <v>79.530398112441276</v>
      </c>
      <c r="AF1183" s="10">
        <v>3</v>
      </c>
      <c r="AG1183" s="3">
        <f t="shared" si="336"/>
        <v>3124.95</v>
      </c>
      <c r="AH1183" s="7">
        <v>0</v>
      </c>
      <c r="AI1183">
        <f t="shared" si="337"/>
        <v>360</v>
      </c>
      <c r="AJ1183" t="e">
        <f>VLOOKUP(A1183,'Borrower Details'!$A$1:$H$1493,8,FALSE)</f>
        <v>#N/A</v>
      </c>
      <c r="AK1183" s="4" t="e">
        <f t="shared" si="338"/>
        <v>#N/A</v>
      </c>
      <c r="AL1183" s="10">
        <v>6.75</v>
      </c>
      <c r="AM1183" s="3">
        <f t="shared" si="339"/>
        <v>104165.01444999999</v>
      </c>
      <c r="AN1183">
        <v>6.75</v>
      </c>
      <c r="AO1183" s="7">
        <f t="shared" si="340"/>
        <v>719.01439036687157</v>
      </c>
      <c r="AP1183" s="2">
        <f t="shared" si="341"/>
        <v>36.835609633128456</v>
      </c>
    </row>
    <row r="1184" spans="1:42" x14ac:dyDescent="0.15">
      <c r="A1184" s="8">
        <v>1186596</v>
      </c>
      <c r="B1184" t="s">
        <v>37</v>
      </c>
      <c r="C1184" t="s">
        <v>18</v>
      </c>
      <c r="D1184" s="1">
        <v>39202</v>
      </c>
      <c r="E1184" s="2">
        <v>121000</v>
      </c>
      <c r="F1184" s="2">
        <v>102850</v>
      </c>
      <c r="G1184" t="s">
        <v>15</v>
      </c>
      <c r="H1184" s="2">
        <v>905.76</v>
      </c>
      <c r="I1184" s="2">
        <v>102668.8</v>
      </c>
      <c r="J1184">
        <v>0.104</v>
      </c>
      <c r="K1184">
        <v>12</v>
      </c>
      <c r="L1184">
        <v>348</v>
      </c>
      <c r="M1184" t="str">
        <f t="shared" si="327"/>
        <v>30 Year Fixed</v>
      </c>
      <c r="N1184" s="2">
        <v>889.8</v>
      </c>
      <c r="O1184" t="str">
        <f t="shared" si="324"/>
        <v>Refi</v>
      </c>
      <c r="P1184" s="3">
        <f t="shared" si="328"/>
        <v>0</v>
      </c>
      <c r="Q1184" s="4">
        <v>104209</v>
      </c>
      <c r="R1184" s="4" t="s">
        <v>41</v>
      </c>
      <c r="S1184" s="6">
        <v>553</v>
      </c>
      <c r="T1184">
        <v>7.625</v>
      </c>
      <c r="U1184" s="7">
        <f t="shared" si="325"/>
        <v>781.00520180536978</v>
      </c>
      <c r="V1184" s="2">
        <f t="shared" si="329"/>
        <v>124.75479819463021</v>
      </c>
      <c r="W1184" s="9">
        <f t="shared" si="330"/>
        <v>0</v>
      </c>
      <c r="X1184" s="3">
        <v>104209</v>
      </c>
      <c r="Y1184" s="3">
        <f t="shared" si="331"/>
        <v>0.16551724138844293</v>
      </c>
      <c r="Z1184" s="7">
        <f t="shared" si="332"/>
        <v>781.00520180536978</v>
      </c>
      <c r="AA1184" s="2">
        <f t="shared" si="326"/>
        <v>124.75479819463021</v>
      </c>
      <c r="AB1184" s="8">
        <f t="shared" si="333"/>
        <v>0</v>
      </c>
      <c r="AC1184" s="10">
        <v>7.625</v>
      </c>
      <c r="AD1184" s="7">
        <f t="shared" si="334"/>
        <v>781.00520180536978</v>
      </c>
      <c r="AE1184" s="2">
        <f t="shared" si="335"/>
        <v>124.75479819463021</v>
      </c>
      <c r="AF1184" s="10">
        <v>0</v>
      </c>
      <c r="AG1184" s="3">
        <f t="shared" si="336"/>
        <v>0</v>
      </c>
      <c r="AH1184" s="7">
        <v>0</v>
      </c>
      <c r="AI1184">
        <f t="shared" si="337"/>
        <v>360</v>
      </c>
      <c r="AJ1184" t="e">
        <f>VLOOKUP(A1184,'Borrower Details'!$A$1:$H$1493,8,FALSE)</f>
        <v>#N/A</v>
      </c>
      <c r="AK1184" s="4" t="e">
        <f t="shared" si="338"/>
        <v>#N/A</v>
      </c>
      <c r="AL1184" s="10">
        <v>7.625</v>
      </c>
      <c r="AM1184" s="3">
        <f t="shared" si="339"/>
        <v>104208.83199999999</v>
      </c>
      <c r="AN1184">
        <v>7.625</v>
      </c>
      <c r="AO1184" s="7">
        <f t="shared" si="340"/>
        <v>781.00394271187577</v>
      </c>
      <c r="AP1184" s="2">
        <f t="shared" si="341"/>
        <v>124.75605728812423</v>
      </c>
    </row>
    <row r="1185" spans="1:42" x14ac:dyDescent="0.15">
      <c r="A1185" s="8">
        <v>410546931</v>
      </c>
      <c r="B1185" t="s">
        <v>36</v>
      </c>
      <c r="C1185" t="s">
        <v>19</v>
      </c>
      <c r="D1185" s="1">
        <v>39290</v>
      </c>
      <c r="E1185" s="2">
        <v>295000</v>
      </c>
      <c r="F1185" s="2">
        <v>232000</v>
      </c>
      <c r="G1185" t="s">
        <v>17</v>
      </c>
      <c r="H1185" s="2">
        <v>1700.72</v>
      </c>
      <c r="I1185" s="2">
        <v>230558.15</v>
      </c>
      <c r="J1185">
        <v>7.9899999999999999E-2</v>
      </c>
      <c r="K1185">
        <v>9</v>
      </c>
      <c r="L1185">
        <v>351</v>
      </c>
      <c r="M1185" t="str">
        <f t="shared" si="327"/>
        <v>30 Year Fixed</v>
      </c>
      <c r="N1185" s="2">
        <v>1535.13</v>
      </c>
      <c r="O1185" t="str">
        <f t="shared" si="324"/>
        <v>Cash Out</v>
      </c>
      <c r="P1185" s="3">
        <f t="shared" si="328"/>
        <v>16486.184975369484</v>
      </c>
      <c r="Q1185" s="4">
        <v>250750</v>
      </c>
      <c r="R1185" s="4" t="s">
        <v>41</v>
      </c>
      <c r="S1185" s="6">
        <v>566</v>
      </c>
      <c r="T1185">
        <v>7.625</v>
      </c>
      <c r="U1185" s="7">
        <f t="shared" si="325"/>
        <v>1879.2719856509175</v>
      </c>
      <c r="V1185" s="2">
        <f t="shared" si="329"/>
        <v>-178.55198565091746</v>
      </c>
      <c r="W1185" s="9">
        <f t="shared" si="330"/>
        <v>1</v>
      </c>
      <c r="X1185" s="3">
        <v>234016</v>
      </c>
      <c r="Y1185" s="3">
        <f t="shared" si="331"/>
        <v>-0.51453201967524365</v>
      </c>
      <c r="Z1185" s="7">
        <f t="shared" si="332"/>
        <v>1753.8572801359326</v>
      </c>
      <c r="AA1185" s="2">
        <f t="shared" si="326"/>
        <v>-53.137280135932542</v>
      </c>
      <c r="AB1185" s="8">
        <f t="shared" si="333"/>
        <v>1</v>
      </c>
      <c r="AC1185" s="10">
        <v>6.875</v>
      </c>
      <c r="AD1185" s="7">
        <f t="shared" si="334"/>
        <v>1634.8251992775629</v>
      </c>
      <c r="AE1185" s="2">
        <f t="shared" si="335"/>
        <v>65.894800722437139</v>
      </c>
      <c r="AF1185" s="10">
        <v>1</v>
      </c>
      <c r="AG1185" s="3">
        <f t="shared" si="336"/>
        <v>2340.16</v>
      </c>
      <c r="AH1185" s="7">
        <v>4640</v>
      </c>
      <c r="AI1185">
        <f t="shared" si="337"/>
        <v>360</v>
      </c>
      <c r="AJ1185" t="e">
        <f>VLOOKUP(A1185,'Borrower Details'!$A$1:$H$1493,8,FALSE)</f>
        <v>#N/A</v>
      </c>
      <c r="AK1185" s="4" t="e">
        <f t="shared" si="338"/>
        <v>#N/A</v>
      </c>
      <c r="AL1185" s="10">
        <v>7.625</v>
      </c>
      <c r="AM1185" s="3">
        <f t="shared" si="339"/>
        <v>234016.52224999998</v>
      </c>
      <c r="AN1185">
        <v>7.625</v>
      </c>
      <c r="AO1185" s="7">
        <f t="shared" si="340"/>
        <v>1753.8611941929394</v>
      </c>
      <c r="AP1185" s="2">
        <f t="shared" si="341"/>
        <v>-53.141194192939338</v>
      </c>
    </row>
    <row r="1186" spans="1:42" x14ac:dyDescent="0.15">
      <c r="A1186" s="8">
        <v>410296339</v>
      </c>
      <c r="B1186" t="s">
        <v>38</v>
      </c>
      <c r="C1186" t="s">
        <v>19</v>
      </c>
      <c r="D1186" s="1">
        <v>39225</v>
      </c>
      <c r="E1186" s="2">
        <v>134000</v>
      </c>
      <c r="F1186" s="2">
        <v>120600</v>
      </c>
      <c r="G1186" t="s">
        <v>15</v>
      </c>
      <c r="H1186" s="2">
        <v>967.57</v>
      </c>
      <c r="I1186" s="2">
        <v>120338.34</v>
      </c>
      <c r="J1186">
        <v>9.4E-2</v>
      </c>
      <c r="K1186">
        <v>11</v>
      </c>
      <c r="L1186">
        <v>349</v>
      </c>
      <c r="M1186" t="str">
        <f t="shared" si="327"/>
        <v>30 Year Fixed</v>
      </c>
      <c r="N1186" s="2">
        <v>942.65</v>
      </c>
      <c r="O1186" t="str">
        <f t="shared" si="324"/>
        <v>Refi</v>
      </c>
      <c r="P1186" s="3">
        <f t="shared" si="328"/>
        <v>0</v>
      </c>
      <c r="Q1186" s="4">
        <v>122143</v>
      </c>
      <c r="R1186" s="4" t="s">
        <v>41</v>
      </c>
      <c r="S1186" s="6">
        <v>615</v>
      </c>
      <c r="T1186">
        <v>6.875</v>
      </c>
      <c r="U1186" s="7">
        <f t="shared" si="325"/>
        <v>853.28547755435261</v>
      </c>
      <c r="V1186" s="2">
        <f t="shared" si="329"/>
        <v>114.28452244564744</v>
      </c>
      <c r="W1186" s="9">
        <f t="shared" si="330"/>
        <v>0</v>
      </c>
      <c r="X1186" s="3">
        <v>122143</v>
      </c>
      <c r="Y1186" s="3">
        <f t="shared" si="331"/>
        <v>-0.40896551722835284</v>
      </c>
      <c r="Z1186" s="7">
        <f t="shared" si="332"/>
        <v>853.28547755435261</v>
      </c>
      <c r="AA1186" s="2">
        <f t="shared" si="326"/>
        <v>114.28452244564744</v>
      </c>
      <c r="AB1186" s="8">
        <f t="shared" si="333"/>
        <v>0</v>
      </c>
      <c r="AC1186" s="10">
        <v>6.875</v>
      </c>
      <c r="AD1186" s="7">
        <f t="shared" si="334"/>
        <v>853.28547755435261</v>
      </c>
      <c r="AE1186" s="2">
        <f t="shared" si="335"/>
        <v>114.28452244564744</v>
      </c>
      <c r="AF1186" s="10">
        <v>0</v>
      </c>
      <c r="AG1186" s="3">
        <f t="shared" si="336"/>
        <v>0</v>
      </c>
      <c r="AH1186" s="7">
        <v>0</v>
      </c>
      <c r="AI1186">
        <f t="shared" si="337"/>
        <v>360</v>
      </c>
      <c r="AJ1186" t="e">
        <f>VLOOKUP(A1186,'Borrower Details'!$A$1:$H$1493,8,FALSE)</f>
        <v>#N/A</v>
      </c>
      <c r="AK1186" s="4" t="e">
        <f t="shared" si="338"/>
        <v>#N/A</v>
      </c>
      <c r="AL1186" s="10">
        <v>6.875</v>
      </c>
      <c r="AM1186" s="3">
        <f t="shared" si="339"/>
        <v>122143.41509999998</v>
      </c>
      <c r="AN1186">
        <v>6.875</v>
      </c>
      <c r="AO1186" s="7">
        <f t="shared" si="340"/>
        <v>853.28837742419137</v>
      </c>
      <c r="AP1186" s="2">
        <f t="shared" si="341"/>
        <v>114.28162257580868</v>
      </c>
    </row>
    <row r="1187" spans="1:42" x14ac:dyDescent="0.15">
      <c r="A1187" s="8">
        <v>410135479</v>
      </c>
      <c r="B1187" t="s">
        <v>36</v>
      </c>
      <c r="C1187" t="s">
        <v>19</v>
      </c>
      <c r="D1187" s="1">
        <v>39217</v>
      </c>
      <c r="E1187" s="2">
        <v>165000</v>
      </c>
      <c r="F1187" s="2">
        <v>132000</v>
      </c>
      <c r="G1187" t="s">
        <v>17</v>
      </c>
      <c r="H1187" s="2">
        <v>1042.6099999999999</v>
      </c>
      <c r="I1187" s="2">
        <v>0</v>
      </c>
      <c r="J1187">
        <v>9.3899999999999997E-2</v>
      </c>
      <c r="K1187">
        <v>11</v>
      </c>
      <c r="L1187">
        <v>349</v>
      </c>
      <c r="M1187" t="str">
        <f t="shared" si="327"/>
        <v>30 Year Fixed</v>
      </c>
      <c r="N1187" s="2">
        <v>0</v>
      </c>
      <c r="O1187" t="str">
        <f t="shared" si="324"/>
        <v>Cash Out</v>
      </c>
      <c r="P1187" s="3">
        <f t="shared" si="328"/>
        <v>138177.33990147786</v>
      </c>
      <c r="Q1187" s="4">
        <v>140250</v>
      </c>
      <c r="R1187" s="4" t="s">
        <v>41</v>
      </c>
      <c r="S1187" s="6">
        <v>532</v>
      </c>
      <c r="T1187">
        <v>7.625</v>
      </c>
      <c r="U1187" s="7">
        <f t="shared" si="325"/>
        <v>1051.1182292623776</v>
      </c>
      <c r="V1187" s="2">
        <f t="shared" si="329"/>
        <v>-8.5082292623776539</v>
      </c>
      <c r="W1187" s="9">
        <f t="shared" si="330"/>
        <v>1</v>
      </c>
      <c r="X1187" s="3">
        <v>139040</v>
      </c>
      <c r="Y1187" s="3">
        <f t="shared" si="331"/>
        <v>136985.22167487687</v>
      </c>
      <c r="Z1187" s="7">
        <f t="shared" si="332"/>
        <v>1042.0497582648197</v>
      </c>
      <c r="AA1187" s="2">
        <f t="shared" si="326"/>
        <v>0.56024173518017051</v>
      </c>
      <c r="AB1187" s="8">
        <f t="shared" si="333"/>
        <v>0</v>
      </c>
      <c r="AC1187" s="10">
        <v>7.625</v>
      </c>
      <c r="AD1187" s="7">
        <f t="shared" si="334"/>
        <v>1042.0497582648197</v>
      </c>
      <c r="AE1187" s="2">
        <f t="shared" si="335"/>
        <v>0.56024173518017051</v>
      </c>
      <c r="AF1187" s="10">
        <v>0</v>
      </c>
      <c r="AG1187" s="3">
        <f t="shared" si="336"/>
        <v>0</v>
      </c>
      <c r="AH1187" s="7">
        <v>2640</v>
      </c>
      <c r="AI1187">
        <f t="shared" si="337"/>
        <v>360</v>
      </c>
      <c r="AJ1187" t="e">
        <f>VLOOKUP(A1187,'Borrower Details'!$A$1:$H$1493,8,FALSE)</f>
        <v>#N/A</v>
      </c>
      <c r="AK1187" s="4" t="e">
        <f t="shared" si="338"/>
        <v>#N/A</v>
      </c>
      <c r="AL1187" s="10">
        <v>7.625</v>
      </c>
      <c r="AM1187" s="3">
        <f t="shared" si="339"/>
        <v>0</v>
      </c>
      <c r="AN1187">
        <v>7.625</v>
      </c>
      <c r="AO1187" s="7">
        <f t="shared" si="340"/>
        <v>0</v>
      </c>
      <c r="AP1187" s="2">
        <f t="shared" si="341"/>
        <v>1042.6099999999999</v>
      </c>
    </row>
    <row r="1188" spans="1:42" x14ac:dyDescent="0.15">
      <c r="A1188" s="8">
        <v>410377683</v>
      </c>
      <c r="B1188" t="s">
        <v>36</v>
      </c>
      <c r="C1188" t="s">
        <v>19</v>
      </c>
      <c r="D1188" s="1">
        <v>39260</v>
      </c>
      <c r="E1188" s="2">
        <v>145000</v>
      </c>
      <c r="F1188" s="2">
        <v>85000</v>
      </c>
      <c r="G1188" t="s">
        <v>17</v>
      </c>
      <c r="H1188" s="2">
        <v>1008.53</v>
      </c>
      <c r="I1188" s="2">
        <v>80083.62</v>
      </c>
      <c r="J1188">
        <v>7.4899999999999994E-2</v>
      </c>
      <c r="K1188">
        <v>10</v>
      </c>
      <c r="L1188">
        <v>110</v>
      </c>
      <c r="M1188" t="str">
        <f t="shared" si="327"/>
        <v>15 Year Fixed</v>
      </c>
      <c r="N1188" s="2">
        <v>499.86</v>
      </c>
      <c r="O1188" t="str">
        <f t="shared" si="324"/>
        <v>Cash Out</v>
      </c>
      <c r="P1188" s="3">
        <f t="shared" si="328"/>
        <v>41344.951428571439</v>
      </c>
      <c r="Q1188" s="4">
        <v>123250</v>
      </c>
      <c r="R1188" s="4" t="s">
        <v>41</v>
      </c>
      <c r="S1188" s="6">
        <v>635</v>
      </c>
      <c r="T1188">
        <v>6.5</v>
      </c>
      <c r="U1188" s="7">
        <f t="shared" si="325"/>
        <v>1124.9939943956717</v>
      </c>
      <c r="V1188" s="2">
        <f t="shared" si="329"/>
        <v>-116.46399439567176</v>
      </c>
      <c r="W1188" s="9">
        <f t="shared" si="330"/>
        <v>1</v>
      </c>
      <c r="X1188" s="3">
        <v>110430</v>
      </c>
      <c r="Y1188" s="3">
        <f t="shared" si="331"/>
        <v>28714.409556650266</v>
      </c>
      <c r="Z1188" s="7">
        <f t="shared" si="332"/>
        <v>1007.9763634978826</v>
      </c>
      <c r="AA1188" s="2">
        <f t="shared" si="326"/>
        <v>0.55363650211734239</v>
      </c>
      <c r="AB1188" s="8">
        <f t="shared" si="333"/>
        <v>0</v>
      </c>
      <c r="AC1188" s="10">
        <v>6.5</v>
      </c>
      <c r="AD1188" s="7">
        <f t="shared" si="334"/>
        <v>1007.9763634978826</v>
      </c>
      <c r="AE1188" s="2">
        <f t="shared" si="335"/>
        <v>0.55363650211734239</v>
      </c>
      <c r="AF1188" s="10">
        <v>0</v>
      </c>
      <c r="AG1188" s="3">
        <f t="shared" si="336"/>
        <v>0</v>
      </c>
      <c r="AH1188" s="7">
        <v>1700</v>
      </c>
      <c r="AI1188">
        <f t="shared" si="337"/>
        <v>180</v>
      </c>
      <c r="AJ1188" t="e">
        <f>VLOOKUP(A1188,'Borrower Details'!$A$1:$H$1493,8,FALSE)</f>
        <v>#N/A</v>
      </c>
      <c r="AK1188" s="4" t="e">
        <f t="shared" si="338"/>
        <v>#N/A</v>
      </c>
      <c r="AL1188" s="10">
        <v>6.5</v>
      </c>
      <c r="AM1188" s="3">
        <f t="shared" si="339"/>
        <v>81284.874299999981</v>
      </c>
      <c r="AN1188">
        <v>6.5</v>
      </c>
      <c r="AO1188" s="7">
        <f t="shared" si="340"/>
        <v>741.9472245250065</v>
      </c>
      <c r="AP1188" s="2">
        <f t="shared" si="341"/>
        <v>266.58277547499347</v>
      </c>
    </row>
    <row r="1189" spans="1:42" x14ac:dyDescent="0.15">
      <c r="A1189" s="8">
        <v>410624407</v>
      </c>
      <c r="B1189" t="s">
        <v>36</v>
      </c>
      <c r="C1189" t="s">
        <v>18</v>
      </c>
      <c r="D1189" s="1">
        <v>39279</v>
      </c>
      <c r="E1189" s="2">
        <v>255000</v>
      </c>
      <c r="F1189" s="2">
        <v>238000</v>
      </c>
      <c r="G1189" t="s">
        <v>17</v>
      </c>
      <c r="H1189" s="2">
        <v>1646.25</v>
      </c>
      <c r="I1189" s="2">
        <v>236143.45</v>
      </c>
      <c r="J1189">
        <v>7.3899999999999993E-2</v>
      </c>
      <c r="K1189">
        <v>9</v>
      </c>
      <c r="L1189">
        <v>350</v>
      </c>
      <c r="M1189" t="str">
        <f t="shared" si="327"/>
        <v>30 Year Fixed</v>
      </c>
      <c r="N1189" s="2">
        <v>1455.43</v>
      </c>
      <c r="O1189" t="str">
        <f t="shared" si="324"/>
        <v>Refi</v>
      </c>
      <c r="P1189" s="3">
        <f t="shared" si="328"/>
        <v>0</v>
      </c>
      <c r="Q1189" s="4">
        <v>239686</v>
      </c>
      <c r="R1189" s="4" t="s">
        <v>41</v>
      </c>
      <c r="S1189" s="6">
        <v>702</v>
      </c>
      <c r="T1189">
        <v>6.75</v>
      </c>
      <c r="U1189" s="7">
        <f t="shared" si="325"/>
        <v>1654.4680004071556</v>
      </c>
      <c r="V1189" s="2">
        <f t="shared" si="329"/>
        <v>-8.2180004071556141</v>
      </c>
      <c r="W1189" s="9">
        <f t="shared" si="330"/>
        <v>0</v>
      </c>
      <c r="X1189" s="3">
        <v>239685</v>
      </c>
      <c r="Y1189" s="3">
        <f t="shared" si="331"/>
        <v>-0.59285714285215363</v>
      </c>
      <c r="Z1189" s="7">
        <f t="shared" si="332"/>
        <v>1654.4610977595235</v>
      </c>
      <c r="AA1189" s="2">
        <f t="shared" si="326"/>
        <v>-8.2110977595234544</v>
      </c>
      <c r="AB1189" s="8">
        <f t="shared" si="333"/>
        <v>1</v>
      </c>
      <c r="AC1189" s="10">
        <v>6.125</v>
      </c>
      <c r="AD1189" s="7">
        <f t="shared" si="334"/>
        <v>1556.2200717939759</v>
      </c>
      <c r="AE1189" s="2">
        <f t="shared" si="335"/>
        <v>90.029928206024124</v>
      </c>
      <c r="AF1189" s="10">
        <v>3</v>
      </c>
      <c r="AG1189" s="3">
        <f t="shared" si="336"/>
        <v>7190.55</v>
      </c>
      <c r="AH1189" s="7">
        <v>4760</v>
      </c>
      <c r="AI1189">
        <f t="shared" si="337"/>
        <v>360</v>
      </c>
      <c r="AJ1189" t="e">
        <f>VLOOKUP(A1189,'Borrower Details'!$A$1:$H$1493,8,FALSE)</f>
        <v>#N/A</v>
      </c>
      <c r="AK1189" s="4" t="e">
        <f t="shared" si="338"/>
        <v>#N/A</v>
      </c>
      <c r="AL1189" s="10">
        <v>6.75</v>
      </c>
      <c r="AM1189" s="3">
        <f t="shared" si="339"/>
        <v>239685.60175</v>
      </c>
      <c r="AN1189">
        <v>6.75</v>
      </c>
      <c r="AO1189" s="7">
        <f t="shared" si="340"/>
        <v>1654.4652514277359</v>
      </c>
      <c r="AP1189" s="2">
        <f t="shared" si="341"/>
        <v>-8.2152514277358932</v>
      </c>
    </row>
    <row r="1190" spans="1:42" x14ac:dyDescent="0.15">
      <c r="A1190" s="8">
        <v>1170575</v>
      </c>
      <c r="B1190" t="s">
        <v>37</v>
      </c>
      <c r="C1190" t="s">
        <v>18</v>
      </c>
      <c r="D1190" s="1">
        <v>39174</v>
      </c>
      <c r="E1190" s="2">
        <v>135000</v>
      </c>
      <c r="F1190" s="2">
        <v>87750</v>
      </c>
      <c r="G1190" t="s">
        <v>17</v>
      </c>
      <c r="H1190" s="2">
        <v>628.66</v>
      </c>
      <c r="I1190" s="2">
        <v>86912.42</v>
      </c>
      <c r="J1190">
        <v>7.7499999999999999E-2</v>
      </c>
      <c r="K1190">
        <v>13</v>
      </c>
      <c r="L1190">
        <v>347</v>
      </c>
      <c r="M1190" t="str">
        <f t="shared" si="327"/>
        <v>30 Year Fixed</v>
      </c>
      <c r="N1190" s="2">
        <v>561.30999999999995</v>
      </c>
      <c r="O1190" t="str">
        <f t="shared" si="324"/>
        <v>Cash Out</v>
      </c>
      <c r="P1190" s="3">
        <f t="shared" si="328"/>
        <v>26141.767192118234</v>
      </c>
      <c r="Q1190" s="4">
        <v>114750</v>
      </c>
      <c r="R1190" s="4" t="s">
        <v>41</v>
      </c>
      <c r="S1190" s="6">
        <v>614</v>
      </c>
      <c r="T1190">
        <v>6.875</v>
      </c>
      <c r="U1190" s="7">
        <f t="shared" si="325"/>
        <v>801.63831369265495</v>
      </c>
      <c r="V1190" s="2">
        <f t="shared" si="329"/>
        <v>-172.97831369265498</v>
      </c>
      <c r="W1190" s="9">
        <f t="shared" si="330"/>
        <v>1</v>
      </c>
      <c r="X1190" s="3">
        <v>89910</v>
      </c>
      <c r="Y1190" s="3">
        <f t="shared" si="331"/>
        <v>1668.8607881773496</v>
      </c>
      <c r="Z1190" s="7">
        <f t="shared" si="332"/>
        <v>635.63597341560308</v>
      </c>
      <c r="AA1190" s="2">
        <f t="shared" si="326"/>
        <v>-6.9759734156031072</v>
      </c>
      <c r="AB1190" s="8">
        <f t="shared" si="333"/>
        <v>1</v>
      </c>
      <c r="AC1190" s="10">
        <v>6.25</v>
      </c>
      <c r="AD1190" s="7">
        <f t="shared" si="334"/>
        <v>591.05383490337044</v>
      </c>
      <c r="AE1190" s="2">
        <f t="shared" si="335"/>
        <v>37.606165096629525</v>
      </c>
      <c r="AF1190" s="10">
        <v>2.75</v>
      </c>
      <c r="AG1190" s="3">
        <f t="shared" si="336"/>
        <v>2472.5250000000001</v>
      </c>
      <c r="AH1190" s="7">
        <v>0</v>
      </c>
      <c r="AI1190">
        <f t="shared" si="337"/>
        <v>360</v>
      </c>
      <c r="AJ1190" t="e">
        <f>VLOOKUP(A1190,'Borrower Details'!$A$1:$H$1493,8,FALSE)</f>
        <v>#N/A</v>
      </c>
      <c r="AK1190" s="4" t="e">
        <f t="shared" si="338"/>
        <v>#N/A</v>
      </c>
      <c r="AL1190" s="10">
        <v>7</v>
      </c>
      <c r="AM1190" s="3">
        <f t="shared" si="339"/>
        <v>88216.106299999985</v>
      </c>
      <c r="AN1190">
        <v>7</v>
      </c>
      <c r="AO1190" s="7">
        <f t="shared" si="340"/>
        <v>623.66066732215336</v>
      </c>
      <c r="AP1190" s="2">
        <f t="shared" si="341"/>
        <v>4.9993326778466098</v>
      </c>
    </row>
    <row r="1191" spans="1:42" x14ac:dyDescent="0.15">
      <c r="A1191" s="8">
        <v>410605885</v>
      </c>
      <c r="B1191" t="s">
        <v>35</v>
      </c>
      <c r="C1191" t="s">
        <v>16</v>
      </c>
      <c r="D1191" s="1">
        <v>39280</v>
      </c>
      <c r="E1191" s="2">
        <v>145000</v>
      </c>
      <c r="F1191" s="2">
        <v>123250</v>
      </c>
      <c r="G1191" t="s">
        <v>17</v>
      </c>
      <c r="H1191" s="2">
        <v>861.79</v>
      </c>
      <c r="I1191" s="2">
        <v>122405.82</v>
      </c>
      <c r="J1191">
        <v>7.4999999999999997E-2</v>
      </c>
      <c r="K1191">
        <v>9</v>
      </c>
      <c r="L1191">
        <v>351</v>
      </c>
      <c r="M1191" t="str">
        <f t="shared" si="327"/>
        <v>30 Year Fixed</v>
      </c>
      <c r="N1191" s="2">
        <v>765.04</v>
      </c>
      <c r="O1191" t="str">
        <f t="shared" si="324"/>
        <v>Refi</v>
      </c>
      <c r="P1191" s="3">
        <f t="shared" si="328"/>
        <v>0</v>
      </c>
      <c r="Q1191" s="4">
        <v>124242</v>
      </c>
      <c r="R1191" s="4" t="s">
        <v>41</v>
      </c>
      <c r="S1191" s="6">
        <v>623</v>
      </c>
      <c r="T1191">
        <v>6.75</v>
      </c>
      <c r="U1191" s="7">
        <f t="shared" si="325"/>
        <v>857.59874713828026</v>
      </c>
      <c r="V1191" s="2">
        <f t="shared" si="329"/>
        <v>4.191252861719704</v>
      </c>
      <c r="W1191" s="9">
        <f t="shared" si="330"/>
        <v>0</v>
      </c>
      <c r="X1191" s="3">
        <v>124242</v>
      </c>
      <c r="Y1191" s="3">
        <f t="shared" si="331"/>
        <v>9.1330049268435687E-2</v>
      </c>
      <c r="Z1191" s="7">
        <f t="shared" si="332"/>
        <v>857.59874713828026</v>
      </c>
      <c r="AA1191" s="2">
        <f t="shared" si="326"/>
        <v>4.191252861719704</v>
      </c>
      <c r="AB1191" s="8">
        <f t="shared" si="333"/>
        <v>1</v>
      </c>
      <c r="AC1191" s="10">
        <v>6.125</v>
      </c>
      <c r="AD1191" s="7">
        <f t="shared" si="334"/>
        <v>806.67498658584043</v>
      </c>
      <c r="AE1191" s="2">
        <f t="shared" si="335"/>
        <v>55.115013414159534</v>
      </c>
      <c r="AF1191" s="10">
        <v>3</v>
      </c>
      <c r="AG1191" s="3">
        <f t="shared" si="336"/>
        <v>3727.26</v>
      </c>
      <c r="AH1191" s="7">
        <v>4621.875</v>
      </c>
      <c r="AI1191">
        <f t="shared" si="337"/>
        <v>360</v>
      </c>
      <c r="AJ1191" t="e">
        <f>VLOOKUP(A1191,'Borrower Details'!$A$1:$H$1493,8,FALSE)</f>
        <v>#N/A</v>
      </c>
      <c r="AK1191" s="4" t="e">
        <f t="shared" si="338"/>
        <v>#N/A</v>
      </c>
      <c r="AL1191" s="10">
        <v>6.75</v>
      </c>
      <c r="AM1191" s="3">
        <f t="shared" si="339"/>
        <v>124241.90729999999</v>
      </c>
      <c r="AN1191">
        <v>6.75</v>
      </c>
      <c r="AO1191" s="7">
        <f t="shared" si="340"/>
        <v>857.59810726284468</v>
      </c>
      <c r="AP1191" s="2">
        <f t="shared" si="341"/>
        <v>4.1918927371552854</v>
      </c>
    </row>
    <row r="1192" spans="1:42" x14ac:dyDescent="0.15">
      <c r="A1192" s="8">
        <v>410581771</v>
      </c>
      <c r="B1192" t="s">
        <v>37</v>
      </c>
      <c r="C1192" t="s">
        <v>19</v>
      </c>
      <c r="D1192" s="1">
        <v>39273</v>
      </c>
      <c r="E1192" s="2">
        <v>239420</v>
      </c>
      <c r="F1192" s="2">
        <v>136620</v>
      </c>
      <c r="G1192" t="s">
        <v>15</v>
      </c>
      <c r="H1192" s="2">
        <v>1178.8</v>
      </c>
      <c r="I1192" s="2">
        <v>136033.46</v>
      </c>
      <c r="J1192">
        <v>9.8000000000000004E-2</v>
      </c>
      <c r="K1192">
        <v>9</v>
      </c>
      <c r="L1192">
        <v>351</v>
      </c>
      <c r="M1192" t="str">
        <f t="shared" si="327"/>
        <v>30 Year Fixed</v>
      </c>
      <c r="N1192" s="2">
        <v>1110.94</v>
      </c>
      <c r="O1192" t="str">
        <f t="shared" si="324"/>
        <v>Cash Out</v>
      </c>
      <c r="P1192" s="3">
        <f t="shared" si="328"/>
        <v>64466.047389162588</v>
      </c>
      <c r="Q1192" s="4">
        <v>203507</v>
      </c>
      <c r="R1192" s="4" t="s">
        <v>41</v>
      </c>
      <c r="S1192" s="6">
        <v>590</v>
      </c>
      <c r="T1192">
        <v>7.375</v>
      </c>
      <c r="U1192" s="7">
        <f t="shared" si="325"/>
        <v>1490.3668559542475</v>
      </c>
      <c r="V1192" s="2">
        <f t="shared" si="329"/>
        <v>-311.56685595424756</v>
      </c>
      <c r="W1192" s="9">
        <f t="shared" si="330"/>
        <v>1</v>
      </c>
      <c r="X1192" s="3">
        <v>160887</v>
      </c>
      <c r="Y1192" s="3">
        <f t="shared" si="331"/>
        <v>22475.899605911341</v>
      </c>
      <c r="Z1192" s="7">
        <f t="shared" si="332"/>
        <v>1178.2427747149291</v>
      </c>
      <c r="AA1192" s="2">
        <f t="shared" si="326"/>
        <v>0.55722528507089919</v>
      </c>
      <c r="AB1192" s="8">
        <f t="shared" si="333"/>
        <v>0</v>
      </c>
      <c r="AC1192" s="10">
        <v>7.375</v>
      </c>
      <c r="AD1192" s="7">
        <f t="shared" si="334"/>
        <v>1178.2427747149291</v>
      </c>
      <c r="AE1192" s="2">
        <f t="shared" si="335"/>
        <v>0.55722528507089919</v>
      </c>
      <c r="AF1192" s="10">
        <v>0</v>
      </c>
      <c r="AG1192" s="3">
        <f t="shared" si="336"/>
        <v>0</v>
      </c>
      <c r="AH1192" s="7">
        <v>0</v>
      </c>
      <c r="AI1192">
        <f t="shared" si="337"/>
        <v>360</v>
      </c>
      <c r="AJ1192" t="e">
        <f>VLOOKUP(A1192,'Borrower Details'!$A$1:$H$1493,8,FALSE)</f>
        <v>#N/A</v>
      </c>
      <c r="AK1192" s="4" t="e">
        <f t="shared" si="338"/>
        <v>#N/A</v>
      </c>
      <c r="AL1192" s="10">
        <v>7.375</v>
      </c>
      <c r="AM1192" s="3">
        <f t="shared" si="339"/>
        <v>138073.96189999997</v>
      </c>
      <c r="AN1192">
        <v>7.375</v>
      </c>
      <c r="AO1192" s="7">
        <f t="shared" si="340"/>
        <v>1011.1733576046501</v>
      </c>
      <c r="AP1192" s="2">
        <f t="shared" si="341"/>
        <v>167.6266423953499</v>
      </c>
    </row>
    <row r="1193" spans="1:42" x14ac:dyDescent="0.15">
      <c r="A1193" s="8">
        <v>410437685</v>
      </c>
      <c r="B1193" t="s">
        <v>38</v>
      </c>
      <c r="C1193" t="s">
        <v>18</v>
      </c>
      <c r="D1193" s="1">
        <v>39262</v>
      </c>
      <c r="E1193" s="2">
        <v>201000</v>
      </c>
      <c r="F1193" s="2">
        <v>190950</v>
      </c>
      <c r="G1193" t="s">
        <v>17</v>
      </c>
      <c r="H1193" s="2">
        <v>1447.99</v>
      </c>
      <c r="I1193" s="2">
        <v>189502.48</v>
      </c>
      <c r="J1193">
        <v>8.3500000000000005E-2</v>
      </c>
      <c r="K1193">
        <v>10</v>
      </c>
      <c r="L1193">
        <v>349</v>
      </c>
      <c r="M1193" t="str">
        <f t="shared" si="327"/>
        <v>30 Year Fixed</v>
      </c>
      <c r="N1193" s="2">
        <v>1319.63</v>
      </c>
      <c r="O1193" t="str">
        <f t="shared" si="324"/>
        <v>Refi</v>
      </c>
      <c r="P1193" s="3">
        <f t="shared" si="328"/>
        <v>0</v>
      </c>
      <c r="Q1193" s="4">
        <v>192345</v>
      </c>
      <c r="R1193" s="4" t="s">
        <v>41</v>
      </c>
      <c r="S1193" s="6">
        <v>686</v>
      </c>
      <c r="T1193">
        <v>6.75</v>
      </c>
      <c r="U1193" s="7">
        <f t="shared" si="325"/>
        <v>1327.6897588441309</v>
      </c>
      <c r="V1193" s="2">
        <f t="shared" si="329"/>
        <v>120.30024115586912</v>
      </c>
      <c r="W1193" s="9">
        <f t="shared" si="330"/>
        <v>0</v>
      </c>
      <c r="X1193" s="3">
        <v>192345</v>
      </c>
      <c r="Y1193" s="3">
        <f t="shared" si="331"/>
        <v>-1.6945812792982906E-2</v>
      </c>
      <c r="Z1193" s="7">
        <f t="shared" si="332"/>
        <v>1327.6897588441309</v>
      </c>
      <c r="AA1193" s="2">
        <f t="shared" si="326"/>
        <v>120.30024115586912</v>
      </c>
      <c r="AB1193" s="8">
        <f t="shared" si="333"/>
        <v>0</v>
      </c>
      <c r="AC1193" s="10">
        <v>6.75</v>
      </c>
      <c r="AD1193" s="7">
        <f t="shared" si="334"/>
        <v>1327.6897588441309</v>
      </c>
      <c r="AE1193" s="2">
        <f t="shared" si="335"/>
        <v>120.30024115586912</v>
      </c>
      <c r="AF1193" s="10">
        <v>0</v>
      </c>
      <c r="AG1193" s="3">
        <f t="shared" si="336"/>
        <v>0</v>
      </c>
      <c r="AH1193" s="7">
        <v>1909.5</v>
      </c>
      <c r="AI1193">
        <f t="shared" si="337"/>
        <v>360</v>
      </c>
      <c r="AJ1193" t="e">
        <f>VLOOKUP(A1193,'Borrower Details'!$A$1:$H$1493,8,FALSE)</f>
        <v>#N/A</v>
      </c>
      <c r="AK1193" s="4" t="e">
        <f t="shared" si="338"/>
        <v>#N/A</v>
      </c>
      <c r="AL1193" s="10">
        <v>6.75</v>
      </c>
      <c r="AM1193" s="3">
        <f t="shared" si="339"/>
        <v>192345.0172</v>
      </c>
      <c r="AN1193">
        <v>6.75</v>
      </c>
      <c r="AO1193" s="7">
        <f t="shared" si="340"/>
        <v>1327.6898775696702</v>
      </c>
      <c r="AP1193" s="2">
        <f t="shared" si="341"/>
        <v>120.30012243032979</v>
      </c>
    </row>
    <row r="1194" spans="1:42" x14ac:dyDescent="0.15">
      <c r="A1194" s="8">
        <v>410590145</v>
      </c>
      <c r="B1194" t="s">
        <v>36</v>
      </c>
      <c r="C1194" t="s">
        <v>19</v>
      </c>
      <c r="D1194" s="1">
        <v>39272</v>
      </c>
      <c r="E1194" s="2">
        <v>154000</v>
      </c>
      <c r="F1194" s="2">
        <v>146300</v>
      </c>
      <c r="G1194" t="s">
        <v>17</v>
      </c>
      <c r="H1194" s="2">
        <v>1093.97</v>
      </c>
      <c r="I1194" s="2">
        <v>145527.67999999999</v>
      </c>
      <c r="J1194">
        <v>8.2000000000000003E-2</v>
      </c>
      <c r="K1194">
        <v>9</v>
      </c>
      <c r="L1194">
        <v>352</v>
      </c>
      <c r="M1194" t="str">
        <f t="shared" si="327"/>
        <v>30 Year Fixed</v>
      </c>
      <c r="N1194" s="2">
        <v>994.44</v>
      </c>
      <c r="O1194" t="str">
        <f t="shared" si="324"/>
        <v>Refi</v>
      </c>
      <c r="P1194" s="3">
        <f t="shared" si="328"/>
        <v>0</v>
      </c>
      <c r="Q1194" s="4">
        <v>147711</v>
      </c>
      <c r="R1194" s="4" t="s">
        <v>41</v>
      </c>
      <c r="S1194" s="6">
        <v>665</v>
      </c>
      <c r="T1194">
        <v>6.75</v>
      </c>
      <c r="U1194" s="7">
        <f t="shared" si="325"/>
        <v>1019.5969844218743</v>
      </c>
      <c r="V1194" s="2">
        <f t="shared" si="329"/>
        <v>74.373015578125774</v>
      </c>
      <c r="W1194" s="9">
        <f t="shared" si="330"/>
        <v>0</v>
      </c>
      <c r="X1194" s="3">
        <v>147711</v>
      </c>
      <c r="Y1194" s="3">
        <f t="shared" si="331"/>
        <v>0.39881773400702514</v>
      </c>
      <c r="Z1194" s="7">
        <f t="shared" si="332"/>
        <v>1019.5969844218743</v>
      </c>
      <c r="AA1194" s="2">
        <f t="shared" si="326"/>
        <v>74.373015578125774</v>
      </c>
      <c r="AB1194" s="8">
        <f t="shared" si="333"/>
        <v>0</v>
      </c>
      <c r="AC1194" s="10">
        <v>6.75</v>
      </c>
      <c r="AD1194" s="7">
        <f t="shared" si="334"/>
        <v>1019.5969844218743</v>
      </c>
      <c r="AE1194" s="2">
        <f t="shared" si="335"/>
        <v>74.373015578125774</v>
      </c>
      <c r="AF1194" s="10">
        <v>0</v>
      </c>
      <c r="AG1194" s="3">
        <f t="shared" si="336"/>
        <v>0</v>
      </c>
      <c r="AH1194" s="7">
        <v>2926</v>
      </c>
      <c r="AI1194">
        <f t="shared" si="337"/>
        <v>360</v>
      </c>
      <c r="AJ1194" t="e">
        <f>VLOOKUP(A1194,'Borrower Details'!$A$1:$H$1493,8,FALSE)</f>
        <v>#N/A</v>
      </c>
      <c r="AK1194" s="4" t="e">
        <f t="shared" si="338"/>
        <v>#N/A</v>
      </c>
      <c r="AL1194" s="10">
        <v>6.75</v>
      </c>
      <c r="AM1194" s="3">
        <f t="shared" si="339"/>
        <v>147710.59519999998</v>
      </c>
      <c r="AN1194">
        <v>6.75</v>
      </c>
      <c r="AO1194" s="7">
        <f t="shared" si="340"/>
        <v>1019.5941902301125</v>
      </c>
      <c r="AP1194" s="2">
        <f t="shared" si="341"/>
        <v>74.375809769887496</v>
      </c>
    </row>
    <row r="1195" spans="1:42" x14ac:dyDescent="0.15">
      <c r="A1195" s="8">
        <v>410324289</v>
      </c>
      <c r="B1195" t="s">
        <v>37</v>
      </c>
      <c r="C1195" t="s">
        <v>19</v>
      </c>
      <c r="D1195" s="1">
        <v>39231</v>
      </c>
      <c r="E1195" s="2">
        <v>208000</v>
      </c>
      <c r="F1195" s="2">
        <v>166400</v>
      </c>
      <c r="G1195" t="s">
        <v>21</v>
      </c>
      <c r="H1195" s="2">
        <v>1399.19</v>
      </c>
      <c r="I1195" s="2">
        <v>165463.07</v>
      </c>
      <c r="J1195">
        <v>9.5000000000000001E-2</v>
      </c>
      <c r="K1195">
        <v>11</v>
      </c>
      <c r="L1195">
        <v>349</v>
      </c>
      <c r="M1195" t="str">
        <f t="shared" si="327"/>
        <v>30 Year Fixed</v>
      </c>
      <c r="N1195" s="2">
        <v>1310.6199999999999</v>
      </c>
      <c r="O1195" t="str">
        <f t="shared" si="324"/>
        <v>Cash Out</v>
      </c>
      <c r="P1195" s="3">
        <f t="shared" si="328"/>
        <v>8724.1221182266017</v>
      </c>
      <c r="Q1195" s="4">
        <v>176800</v>
      </c>
      <c r="R1195" s="4" t="s">
        <v>41</v>
      </c>
      <c r="S1195" s="6">
        <v>556</v>
      </c>
      <c r="T1195">
        <v>7.625</v>
      </c>
      <c r="U1195" s="7">
        <f t="shared" si="325"/>
        <v>1325.0460102216639</v>
      </c>
      <c r="V1195" s="2">
        <f t="shared" si="329"/>
        <v>74.143989778336163</v>
      </c>
      <c r="W1195" s="9">
        <f t="shared" si="330"/>
        <v>0</v>
      </c>
      <c r="X1195" s="3">
        <v>176800</v>
      </c>
      <c r="Y1195" s="3">
        <f t="shared" si="331"/>
        <v>8724.1221182266017</v>
      </c>
      <c r="Z1195" s="7">
        <f t="shared" si="332"/>
        <v>1325.0460102216639</v>
      </c>
      <c r="AA1195" s="2">
        <f t="shared" si="326"/>
        <v>74.143989778336163</v>
      </c>
      <c r="AB1195" s="8">
        <f t="shared" si="333"/>
        <v>0</v>
      </c>
      <c r="AC1195" s="10">
        <v>7.625</v>
      </c>
      <c r="AD1195" s="7">
        <f t="shared" si="334"/>
        <v>1325.0460102216639</v>
      </c>
      <c r="AE1195" s="2">
        <f t="shared" si="335"/>
        <v>74.143989778336163</v>
      </c>
      <c r="AF1195" s="10">
        <v>0</v>
      </c>
      <c r="AG1195" s="3">
        <f t="shared" si="336"/>
        <v>0</v>
      </c>
      <c r="AH1195" s="7">
        <v>1664</v>
      </c>
      <c r="AI1195">
        <f t="shared" si="337"/>
        <v>360</v>
      </c>
      <c r="AJ1195" t="e">
        <f>VLOOKUP(A1195,'Borrower Details'!$A$1:$H$1493,8,FALSE)</f>
        <v>#N/A</v>
      </c>
      <c r="AK1195" s="4" t="e">
        <f t="shared" si="338"/>
        <v>#N/A</v>
      </c>
      <c r="AL1195" s="10">
        <v>7.625</v>
      </c>
      <c r="AM1195" s="3">
        <f t="shared" si="339"/>
        <v>167945.01604999998</v>
      </c>
      <c r="AN1195">
        <v>7.625</v>
      </c>
      <c r="AO1195" s="7">
        <f t="shared" si="340"/>
        <v>1258.6814109370237</v>
      </c>
      <c r="AP1195" s="2">
        <f t="shared" si="341"/>
        <v>140.5085890629764</v>
      </c>
    </row>
    <row r="1196" spans="1:42" x14ac:dyDescent="0.15">
      <c r="A1196" s="8">
        <v>410367635</v>
      </c>
      <c r="B1196" t="s">
        <v>36</v>
      </c>
      <c r="C1196" t="s">
        <v>19</v>
      </c>
      <c r="D1196" s="1">
        <v>39246</v>
      </c>
      <c r="E1196" s="2">
        <v>392000</v>
      </c>
      <c r="F1196" s="2">
        <v>146500</v>
      </c>
      <c r="G1196" t="s">
        <v>17</v>
      </c>
      <c r="H1196" s="2">
        <v>1317.16</v>
      </c>
      <c r="I1196" s="2">
        <v>144228.16</v>
      </c>
      <c r="J1196">
        <v>8.9899999999999994E-2</v>
      </c>
      <c r="K1196">
        <v>10</v>
      </c>
      <c r="L1196">
        <v>230</v>
      </c>
      <c r="M1196" t="str">
        <f t="shared" si="327"/>
        <v>30 Year Fixed</v>
      </c>
      <c r="N1196" s="2">
        <v>1080.51</v>
      </c>
      <c r="O1196" t="str">
        <f t="shared" si="324"/>
        <v>Cash Out</v>
      </c>
      <c r="P1196" s="3">
        <f t="shared" si="328"/>
        <v>184047.70206896556</v>
      </c>
      <c r="Q1196" s="4">
        <v>333200</v>
      </c>
      <c r="R1196" s="4" t="s">
        <v>41</v>
      </c>
      <c r="S1196" s="6">
        <v>528</v>
      </c>
      <c r="T1196">
        <v>7.625</v>
      </c>
      <c r="U1196" s="7">
        <f t="shared" si="325"/>
        <v>2497.2020961869821</v>
      </c>
      <c r="V1196" s="2">
        <f t="shared" si="329"/>
        <v>-1180.042096186982</v>
      </c>
      <c r="W1196" s="9">
        <f t="shared" si="330"/>
        <v>1</v>
      </c>
      <c r="X1196" s="3">
        <v>175680</v>
      </c>
      <c r="Y1196" s="3">
        <f t="shared" si="331"/>
        <v>28855.583842364547</v>
      </c>
      <c r="Z1196" s="7">
        <f t="shared" si="332"/>
        <v>1316.6520535958252</v>
      </c>
      <c r="AA1196" s="2">
        <f t="shared" si="326"/>
        <v>0.50794640417484516</v>
      </c>
      <c r="AB1196" s="8">
        <f t="shared" si="333"/>
        <v>0</v>
      </c>
      <c r="AC1196" s="10">
        <v>7.625</v>
      </c>
      <c r="AD1196" s="7">
        <f t="shared" si="334"/>
        <v>1316.6520535958252</v>
      </c>
      <c r="AE1196" s="2">
        <f t="shared" si="335"/>
        <v>0.50794640417484516</v>
      </c>
      <c r="AF1196" s="10">
        <v>0</v>
      </c>
      <c r="AG1196" s="3">
        <f t="shared" si="336"/>
        <v>0</v>
      </c>
      <c r="AH1196" s="7">
        <v>2930</v>
      </c>
      <c r="AI1196">
        <f t="shared" si="337"/>
        <v>360</v>
      </c>
      <c r="AJ1196" t="e">
        <f>VLOOKUP(A1196,'Borrower Details'!$A$1:$H$1493,8,FALSE)</f>
        <v>#N/A</v>
      </c>
      <c r="AK1196" s="4" t="e">
        <f t="shared" si="338"/>
        <v>#N/A</v>
      </c>
      <c r="AL1196" s="10">
        <v>7.625</v>
      </c>
      <c r="AM1196" s="3">
        <f t="shared" si="339"/>
        <v>146391.58239999998</v>
      </c>
      <c r="AN1196">
        <v>7.625</v>
      </c>
      <c r="AO1196" s="7">
        <f t="shared" si="340"/>
        <v>1097.1469580834612</v>
      </c>
      <c r="AP1196" s="2">
        <f t="shared" si="341"/>
        <v>220.0130419165389</v>
      </c>
    </row>
    <row r="1197" spans="1:42" x14ac:dyDescent="0.15">
      <c r="A1197" s="8">
        <v>411320963</v>
      </c>
      <c r="B1197" t="s">
        <v>37</v>
      </c>
      <c r="C1197" t="s">
        <v>18</v>
      </c>
      <c r="D1197" s="1">
        <v>39507</v>
      </c>
      <c r="E1197" s="2">
        <v>215000</v>
      </c>
      <c r="F1197" s="2">
        <v>135000</v>
      </c>
      <c r="G1197" t="s">
        <v>17</v>
      </c>
      <c r="H1197" s="2">
        <v>1149.96</v>
      </c>
      <c r="I1197" s="2">
        <v>134805.45000000001</v>
      </c>
      <c r="J1197">
        <v>9.6500000000000002E-2</v>
      </c>
      <c r="K1197">
        <v>2</v>
      </c>
      <c r="L1197">
        <v>357</v>
      </c>
      <c r="M1197" t="str">
        <f t="shared" si="327"/>
        <v>30 Year Fixed</v>
      </c>
      <c r="N1197" s="2">
        <v>1084.5899999999999</v>
      </c>
      <c r="O1197" t="str">
        <f t="shared" si="324"/>
        <v>Cash Out</v>
      </c>
      <c r="P1197" s="3">
        <f t="shared" si="328"/>
        <v>45243.811083743843</v>
      </c>
      <c r="Q1197" s="4">
        <v>182750</v>
      </c>
      <c r="R1197" s="4" t="s">
        <v>41</v>
      </c>
      <c r="S1197" s="6">
        <v>549</v>
      </c>
      <c r="T1197">
        <v>7.625</v>
      </c>
      <c r="U1197" s="7">
        <f t="shared" si="325"/>
        <v>1369.6389047964312</v>
      </c>
      <c r="V1197" s="2">
        <f t="shared" si="329"/>
        <v>-219.6789047964312</v>
      </c>
      <c r="W1197" s="9">
        <f t="shared" si="330"/>
        <v>1</v>
      </c>
      <c r="X1197" s="3">
        <v>153370</v>
      </c>
      <c r="Y1197" s="3">
        <f t="shared" si="331"/>
        <v>16297.998275862075</v>
      </c>
      <c r="Z1197" s="7">
        <f t="shared" si="332"/>
        <v>1149.4474354507724</v>
      </c>
      <c r="AA1197" s="2">
        <f t="shared" si="326"/>
        <v>0.51256454922759076</v>
      </c>
      <c r="AB1197" s="8">
        <f t="shared" si="333"/>
        <v>0</v>
      </c>
      <c r="AC1197" s="10">
        <v>7.625</v>
      </c>
      <c r="AD1197" s="7">
        <f t="shared" si="334"/>
        <v>1149.4474354507724</v>
      </c>
      <c r="AE1197" s="2">
        <f t="shared" si="335"/>
        <v>0.51256454922759076</v>
      </c>
      <c r="AF1197" s="10">
        <v>0</v>
      </c>
      <c r="AG1197" s="3">
        <f t="shared" si="336"/>
        <v>0</v>
      </c>
      <c r="AH1197" s="7">
        <v>0</v>
      </c>
      <c r="AI1197">
        <f t="shared" si="337"/>
        <v>360</v>
      </c>
      <c r="AJ1197" t="e">
        <f>VLOOKUP(A1197,'Borrower Details'!$A$1:$H$1493,8,FALSE)</f>
        <v>#N/A</v>
      </c>
      <c r="AK1197" s="4" t="e">
        <f t="shared" si="338"/>
        <v>#N/A</v>
      </c>
      <c r="AL1197" s="10">
        <v>7.625</v>
      </c>
      <c r="AM1197" s="3">
        <f t="shared" si="339"/>
        <v>136827.53174999999</v>
      </c>
      <c r="AN1197">
        <v>7.625</v>
      </c>
      <c r="AO1197" s="7">
        <f t="shared" si="340"/>
        <v>1025.4681845804046</v>
      </c>
      <c r="AP1197" s="2">
        <f t="shared" si="341"/>
        <v>124.49181541959547</v>
      </c>
    </row>
    <row r="1198" spans="1:42" x14ac:dyDescent="0.15">
      <c r="A1198" s="8">
        <v>410584403</v>
      </c>
      <c r="B1198" t="s">
        <v>35</v>
      </c>
      <c r="C1198" t="s">
        <v>16</v>
      </c>
      <c r="D1198" s="1">
        <v>39286</v>
      </c>
      <c r="E1198" s="2">
        <v>150000</v>
      </c>
      <c r="F1198" s="2">
        <v>112500</v>
      </c>
      <c r="G1198" t="s">
        <v>17</v>
      </c>
      <c r="H1198" s="2">
        <v>861.05</v>
      </c>
      <c r="I1198" s="2">
        <v>111862.49</v>
      </c>
      <c r="J1198">
        <v>8.4500000000000006E-2</v>
      </c>
      <c r="K1198">
        <v>9</v>
      </c>
      <c r="L1198">
        <v>351</v>
      </c>
      <c r="M1198" t="str">
        <f t="shared" si="327"/>
        <v>30 Year Fixed</v>
      </c>
      <c r="N1198" s="2">
        <v>787.7</v>
      </c>
      <c r="O1198" t="str">
        <f t="shared" si="324"/>
        <v>Cash Out</v>
      </c>
      <c r="P1198" s="3">
        <f t="shared" si="328"/>
        <v>13753.273546798038</v>
      </c>
      <c r="Q1198" s="4">
        <v>127500</v>
      </c>
      <c r="R1198" s="4" t="s">
        <v>41</v>
      </c>
      <c r="S1198" s="6">
        <v>555</v>
      </c>
      <c r="T1198">
        <v>7.625</v>
      </c>
      <c r="U1198" s="7">
        <f t="shared" si="325"/>
        <v>955.56202660216138</v>
      </c>
      <c r="V1198" s="2">
        <f t="shared" si="329"/>
        <v>-94.512026602161427</v>
      </c>
      <c r="W1198" s="9">
        <f t="shared" si="330"/>
        <v>1</v>
      </c>
      <c r="X1198" s="3">
        <v>114820</v>
      </c>
      <c r="Y1198" s="3">
        <f t="shared" si="331"/>
        <v>1260.662709359618</v>
      </c>
      <c r="Z1198" s="7">
        <f t="shared" si="332"/>
        <v>860.53044623106018</v>
      </c>
      <c r="AA1198" s="2">
        <f t="shared" si="326"/>
        <v>0.51955376893977245</v>
      </c>
      <c r="AB1198" s="8">
        <f t="shared" si="333"/>
        <v>1</v>
      </c>
      <c r="AC1198" s="10">
        <v>6.875</v>
      </c>
      <c r="AD1198" s="7">
        <f t="shared" si="334"/>
        <v>802.1273305288945</v>
      </c>
      <c r="AE1198" s="2">
        <f t="shared" si="335"/>
        <v>58.922669471105451</v>
      </c>
      <c r="AF1198" s="10">
        <v>1</v>
      </c>
      <c r="AG1198" s="3">
        <f t="shared" si="336"/>
        <v>1148.2</v>
      </c>
      <c r="AH1198" s="7">
        <v>4753.125</v>
      </c>
      <c r="AI1198">
        <f t="shared" si="337"/>
        <v>360</v>
      </c>
      <c r="AJ1198" t="e">
        <f>VLOOKUP(A1198,'Borrower Details'!$A$1:$H$1493,8,FALSE)</f>
        <v>#N/A</v>
      </c>
      <c r="AK1198" s="4" t="e">
        <f t="shared" si="338"/>
        <v>#N/A</v>
      </c>
      <c r="AL1198" s="10">
        <v>7.625</v>
      </c>
      <c r="AM1198" s="3">
        <f t="shared" si="339"/>
        <v>113540.42735</v>
      </c>
      <c r="AN1198">
        <v>7.625</v>
      </c>
      <c r="AO1198" s="7">
        <f t="shared" si="340"/>
        <v>850.9405557634625</v>
      </c>
      <c r="AP1198" s="2">
        <f t="shared" si="341"/>
        <v>10.109444236537456</v>
      </c>
    </row>
    <row r="1199" spans="1:42" x14ac:dyDescent="0.15">
      <c r="A1199" s="8">
        <v>410733877</v>
      </c>
      <c r="B1199" t="s">
        <v>38</v>
      </c>
      <c r="C1199" t="s">
        <v>16</v>
      </c>
      <c r="D1199" s="1">
        <v>39301</v>
      </c>
      <c r="E1199" s="2">
        <v>148000</v>
      </c>
      <c r="F1199" s="2">
        <v>132300</v>
      </c>
      <c r="G1199" t="s">
        <v>20</v>
      </c>
      <c r="H1199" s="2">
        <v>1063.57</v>
      </c>
      <c r="I1199" s="2">
        <v>131704.32999999999</v>
      </c>
      <c r="J1199">
        <v>8.9899999999999994E-2</v>
      </c>
      <c r="K1199">
        <v>8</v>
      </c>
      <c r="L1199">
        <v>352</v>
      </c>
      <c r="M1199" t="str">
        <f t="shared" si="327"/>
        <v>30 Year Fixed</v>
      </c>
      <c r="N1199" s="2">
        <v>986.68</v>
      </c>
      <c r="O1199" t="str">
        <f t="shared" si="324"/>
        <v>Refi</v>
      </c>
      <c r="P1199" s="3">
        <f t="shared" si="328"/>
        <v>0</v>
      </c>
      <c r="Q1199" s="4">
        <v>133680</v>
      </c>
      <c r="R1199" s="4" t="s">
        <v>41</v>
      </c>
      <c r="S1199" s="6">
        <v>594</v>
      </c>
      <c r="T1199">
        <v>7.375</v>
      </c>
      <c r="U1199" s="7">
        <f t="shared" si="325"/>
        <v>978.99453730812115</v>
      </c>
      <c r="V1199" s="2">
        <f t="shared" si="329"/>
        <v>84.575462691878784</v>
      </c>
      <c r="W1199" s="9">
        <f t="shared" si="330"/>
        <v>0</v>
      </c>
      <c r="X1199" s="3">
        <v>133680</v>
      </c>
      <c r="Y1199" s="3">
        <f t="shared" si="331"/>
        <v>0.10349753696937114</v>
      </c>
      <c r="Z1199" s="7">
        <f t="shared" si="332"/>
        <v>978.99453730812115</v>
      </c>
      <c r="AA1199" s="2">
        <f t="shared" si="326"/>
        <v>84.575462691878784</v>
      </c>
      <c r="AB1199" s="8">
        <f t="shared" si="333"/>
        <v>1</v>
      </c>
      <c r="AC1199" s="10">
        <v>6.375</v>
      </c>
      <c r="AD1199" s="7">
        <f t="shared" si="334"/>
        <v>889.68928075479403</v>
      </c>
      <c r="AE1199" s="2">
        <f t="shared" si="335"/>
        <v>173.88071924520591</v>
      </c>
      <c r="AF1199" s="10">
        <v>2.625</v>
      </c>
      <c r="AG1199" s="3">
        <f t="shared" si="336"/>
        <v>3509.1</v>
      </c>
      <c r="AH1199" s="7">
        <v>0</v>
      </c>
      <c r="AI1199">
        <f t="shared" si="337"/>
        <v>360</v>
      </c>
      <c r="AJ1199" t="e">
        <f>VLOOKUP(A1199,'Borrower Details'!$A$1:$H$1493,8,FALSE)</f>
        <v>#N/A</v>
      </c>
      <c r="AK1199" s="4" t="e">
        <f t="shared" si="338"/>
        <v>#N/A</v>
      </c>
      <c r="AL1199" s="10">
        <v>7.375</v>
      </c>
      <c r="AM1199" s="3">
        <f t="shared" si="339"/>
        <v>133679.89494999999</v>
      </c>
      <c r="AN1199">
        <v>7.375</v>
      </c>
      <c r="AO1199" s="7">
        <f t="shared" si="340"/>
        <v>978.99376798304525</v>
      </c>
      <c r="AP1199" s="2">
        <f t="shared" si="341"/>
        <v>84.576232016954691</v>
      </c>
    </row>
    <row r="1200" spans="1:42" x14ac:dyDescent="0.15">
      <c r="A1200" s="8">
        <v>411111115</v>
      </c>
      <c r="B1200" t="s">
        <v>38</v>
      </c>
      <c r="C1200" t="s">
        <v>16</v>
      </c>
      <c r="D1200" s="1">
        <v>39416</v>
      </c>
      <c r="E1200" s="2">
        <v>121000</v>
      </c>
      <c r="F1200" s="2">
        <v>102850</v>
      </c>
      <c r="G1200" t="s">
        <v>17</v>
      </c>
      <c r="H1200" s="2">
        <v>991.14</v>
      </c>
      <c r="I1200" s="2">
        <v>102669.22</v>
      </c>
      <c r="J1200">
        <v>0.1115</v>
      </c>
      <c r="K1200">
        <v>5</v>
      </c>
      <c r="L1200">
        <v>355</v>
      </c>
      <c r="M1200" t="str">
        <f t="shared" si="327"/>
        <v>30 Year Fixed</v>
      </c>
      <c r="N1200" s="2">
        <v>953.97</v>
      </c>
      <c r="O1200" t="str">
        <f t="shared" si="324"/>
        <v>Refi</v>
      </c>
      <c r="P1200" s="3">
        <f t="shared" si="328"/>
        <v>0</v>
      </c>
      <c r="Q1200" s="4">
        <v>104209</v>
      </c>
      <c r="R1200" s="4" t="s">
        <v>41</v>
      </c>
      <c r="S1200" s="6">
        <v>530</v>
      </c>
      <c r="T1200">
        <v>7.625</v>
      </c>
      <c r="U1200" s="7">
        <f t="shared" si="325"/>
        <v>781.00520180536978</v>
      </c>
      <c r="V1200" s="2">
        <f t="shared" si="329"/>
        <v>210.13479819463021</v>
      </c>
      <c r="W1200" s="9">
        <f t="shared" si="330"/>
        <v>0</v>
      </c>
      <c r="X1200" s="3">
        <v>104209</v>
      </c>
      <c r="Y1200" s="3">
        <f t="shared" si="331"/>
        <v>-0.25448275860981084</v>
      </c>
      <c r="Z1200" s="7">
        <f t="shared" si="332"/>
        <v>781.00520180536978</v>
      </c>
      <c r="AA1200" s="2">
        <f t="shared" si="326"/>
        <v>210.13479819463021</v>
      </c>
      <c r="AB1200" s="8">
        <f t="shared" si="333"/>
        <v>0</v>
      </c>
      <c r="AC1200" s="10">
        <v>7.625</v>
      </c>
      <c r="AD1200" s="7">
        <f t="shared" si="334"/>
        <v>781.00520180536978</v>
      </c>
      <c r="AE1200" s="2">
        <f t="shared" si="335"/>
        <v>210.13479819463021</v>
      </c>
      <c r="AF1200" s="10">
        <v>0</v>
      </c>
      <c r="AG1200" s="3">
        <f t="shared" si="336"/>
        <v>0</v>
      </c>
      <c r="AH1200" s="7">
        <v>0</v>
      </c>
      <c r="AI1200">
        <f t="shared" si="337"/>
        <v>360</v>
      </c>
      <c r="AJ1200" t="e">
        <f>VLOOKUP(A1200,'Borrower Details'!$A$1:$H$1493,8,FALSE)</f>
        <v>#N/A</v>
      </c>
      <c r="AK1200" s="4" t="e">
        <f t="shared" si="338"/>
        <v>#N/A</v>
      </c>
      <c r="AL1200" s="10">
        <v>7.625</v>
      </c>
      <c r="AM1200" s="3">
        <f t="shared" si="339"/>
        <v>104209.25829999999</v>
      </c>
      <c r="AN1200">
        <v>7.625</v>
      </c>
      <c r="AO1200" s="7">
        <f t="shared" si="340"/>
        <v>781.00713766161641</v>
      </c>
      <c r="AP1200" s="2">
        <f t="shared" si="341"/>
        <v>210.13286233838357</v>
      </c>
    </row>
    <row r="1201" spans="1:42" x14ac:dyDescent="0.15">
      <c r="A1201" s="8">
        <v>410671127</v>
      </c>
      <c r="B1201" t="s">
        <v>37</v>
      </c>
      <c r="C1201" t="s">
        <v>19</v>
      </c>
      <c r="D1201" s="1">
        <v>39293</v>
      </c>
      <c r="E1201" s="2">
        <v>148000</v>
      </c>
      <c r="F1201" s="2">
        <v>140600</v>
      </c>
      <c r="G1201" t="s">
        <v>17</v>
      </c>
      <c r="H1201" s="2">
        <v>1012.14</v>
      </c>
      <c r="I1201" s="2">
        <v>139682.45000000001</v>
      </c>
      <c r="J1201">
        <v>7.8E-2</v>
      </c>
      <c r="K1201">
        <v>9</v>
      </c>
      <c r="L1201">
        <v>351</v>
      </c>
      <c r="M1201" t="str">
        <f t="shared" si="327"/>
        <v>30 Year Fixed</v>
      </c>
      <c r="N1201" s="2">
        <v>907.94</v>
      </c>
      <c r="O1201" t="str">
        <f t="shared" si="324"/>
        <v>Refi</v>
      </c>
      <c r="P1201" s="3">
        <f t="shared" si="328"/>
        <v>0</v>
      </c>
      <c r="Q1201" s="4">
        <v>141778</v>
      </c>
      <c r="R1201" s="4" t="s">
        <v>41</v>
      </c>
      <c r="S1201" s="6">
        <v>689</v>
      </c>
      <c r="T1201">
        <v>6.75</v>
      </c>
      <c r="U1201" s="7">
        <f t="shared" si="325"/>
        <v>978.64357601914878</v>
      </c>
      <c r="V1201" s="2">
        <f t="shared" si="329"/>
        <v>33.496423980851205</v>
      </c>
      <c r="W1201" s="9">
        <f t="shared" si="330"/>
        <v>0</v>
      </c>
      <c r="X1201" s="3">
        <v>141778</v>
      </c>
      <c r="Y1201" s="3">
        <f t="shared" si="331"/>
        <v>0.30862068966962397</v>
      </c>
      <c r="Z1201" s="7">
        <f t="shared" si="332"/>
        <v>978.64357601914878</v>
      </c>
      <c r="AA1201" s="2">
        <f t="shared" si="326"/>
        <v>33.496423980851205</v>
      </c>
      <c r="AB1201" s="8">
        <f t="shared" si="333"/>
        <v>1</v>
      </c>
      <c r="AC1201" s="10">
        <v>6.125</v>
      </c>
      <c r="AD1201" s="7">
        <f t="shared" si="334"/>
        <v>920.53223747337677</v>
      </c>
      <c r="AE1201" s="2">
        <f t="shared" si="335"/>
        <v>91.607762526623219</v>
      </c>
      <c r="AF1201" s="10">
        <v>3</v>
      </c>
      <c r="AG1201" s="3">
        <f t="shared" si="336"/>
        <v>4253.34</v>
      </c>
      <c r="AH1201" s="7">
        <v>0</v>
      </c>
      <c r="AI1201">
        <f t="shared" si="337"/>
        <v>360</v>
      </c>
      <c r="AJ1201" t="e">
        <f>VLOOKUP(A1201,'Borrower Details'!$A$1:$H$1493,8,FALSE)</f>
        <v>#N/A</v>
      </c>
      <c r="AK1201" s="4" t="e">
        <f t="shared" si="338"/>
        <v>#N/A</v>
      </c>
      <c r="AL1201" s="10">
        <v>6.75</v>
      </c>
      <c r="AM1201" s="3">
        <f t="shared" si="339"/>
        <v>141777.68674999999</v>
      </c>
      <c r="AN1201">
        <v>6.75</v>
      </c>
      <c r="AO1201" s="7">
        <f t="shared" si="340"/>
        <v>978.64141376477801</v>
      </c>
      <c r="AP1201" s="2">
        <f t="shared" si="341"/>
        <v>33.498586235221978</v>
      </c>
    </row>
    <row r="1202" spans="1:42" x14ac:dyDescent="0.15">
      <c r="A1202" s="8">
        <v>410452221</v>
      </c>
      <c r="B1202" t="s">
        <v>36</v>
      </c>
      <c r="C1202" t="s">
        <v>18</v>
      </c>
      <c r="D1202" s="1">
        <v>39279</v>
      </c>
      <c r="E1202" s="2">
        <v>315000</v>
      </c>
      <c r="F1202" s="2">
        <v>249700</v>
      </c>
      <c r="G1202" t="s">
        <v>17</v>
      </c>
      <c r="H1202" s="2">
        <v>1784.8</v>
      </c>
      <c r="I1202" s="2">
        <v>248965.87</v>
      </c>
      <c r="J1202">
        <v>8.4500000000000006E-2</v>
      </c>
      <c r="K1202">
        <v>9</v>
      </c>
      <c r="L1202">
        <v>350</v>
      </c>
      <c r="M1202" t="str">
        <f t="shared" si="327"/>
        <v>30 Year Fixed</v>
      </c>
      <c r="N1202" s="2">
        <v>1753.67</v>
      </c>
      <c r="O1202" t="str">
        <f t="shared" si="324"/>
        <v>Cash Out</v>
      </c>
      <c r="P1202" s="3">
        <f t="shared" si="328"/>
        <v>14827.233448275889</v>
      </c>
      <c r="Q1202" s="4">
        <v>267750</v>
      </c>
      <c r="R1202" s="4" t="s">
        <v>41</v>
      </c>
      <c r="S1202" s="6">
        <v>588</v>
      </c>
      <c r="T1202">
        <v>7.375</v>
      </c>
      <c r="U1202" s="7">
        <f t="shared" si="325"/>
        <v>1960.845207691872</v>
      </c>
      <c r="V1202" s="2">
        <f t="shared" si="329"/>
        <v>-176.04520769187206</v>
      </c>
      <c r="W1202" s="9">
        <f t="shared" si="330"/>
        <v>1</v>
      </c>
      <c r="X1202" s="3">
        <v>252700</v>
      </c>
      <c r="Y1202" s="3">
        <f t="shared" si="331"/>
        <v>-0.35275862066191621</v>
      </c>
      <c r="Z1202" s="7">
        <f t="shared" si="332"/>
        <v>1850.6277646451395</v>
      </c>
      <c r="AA1202" s="2">
        <f t="shared" si="326"/>
        <v>-65.827764645139496</v>
      </c>
      <c r="AB1202" s="8">
        <f t="shared" si="333"/>
        <v>1</v>
      </c>
      <c r="AC1202" s="10">
        <v>6.625</v>
      </c>
      <c r="AD1202" s="7">
        <f t="shared" si="334"/>
        <v>1723.3574653034891</v>
      </c>
      <c r="AE1202" s="2">
        <f t="shared" si="335"/>
        <v>61.442534696510847</v>
      </c>
      <c r="AF1202" s="10">
        <v>1.875</v>
      </c>
      <c r="AG1202" s="3">
        <f t="shared" si="336"/>
        <v>4738.125</v>
      </c>
      <c r="AH1202" s="7">
        <v>4994</v>
      </c>
      <c r="AI1202">
        <f t="shared" si="337"/>
        <v>360</v>
      </c>
      <c r="AJ1202" t="e">
        <f>VLOOKUP(A1202,'Borrower Details'!$A$1:$H$1493,8,FALSE)</f>
        <v>#N/A</v>
      </c>
      <c r="AK1202" s="4" t="e">
        <f t="shared" si="338"/>
        <v>#N/A</v>
      </c>
      <c r="AL1202" s="10">
        <v>7.375</v>
      </c>
      <c r="AM1202" s="3">
        <f t="shared" si="339"/>
        <v>252700.35804999998</v>
      </c>
      <c r="AN1202">
        <v>7.375</v>
      </c>
      <c r="AO1202" s="7">
        <f t="shared" si="340"/>
        <v>1850.6303867950051</v>
      </c>
      <c r="AP1202" s="2">
        <f t="shared" si="341"/>
        <v>-65.830386795005097</v>
      </c>
    </row>
    <row r="1203" spans="1:42" x14ac:dyDescent="0.15">
      <c r="A1203" s="8">
        <v>410359483</v>
      </c>
      <c r="B1203" t="s">
        <v>37</v>
      </c>
      <c r="C1203" t="s">
        <v>19</v>
      </c>
      <c r="D1203" s="1">
        <v>39244</v>
      </c>
      <c r="E1203" s="2">
        <v>65000</v>
      </c>
      <c r="F1203" s="2">
        <v>52000</v>
      </c>
      <c r="G1203" t="s">
        <v>17</v>
      </c>
      <c r="H1203" s="2">
        <v>481.51</v>
      </c>
      <c r="I1203" s="2">
        <v>51791.7</v>
      </c>
      <c r="J1203">
        <v>0.1065</v>
      </c>
      <c r="K1203">
        <v>10</v>
      </c>
      <c r="L1203">
        <v>350</v>
      </c>
      <c r="M1203" t="str">
        <f t="shared" si="327"/>
        <v>30 Year Fixed</v>
      </c>
      <c r="N1203" s="2">
        <v>459.65</v>
      </c>
      <c r="O1203" t="str">
        <f t="shared" si="324"/>
        <v>Cash Out</v>
      </c>
      <c r="P1203" s="3">
        <f t="shared" si="328"/>
        <v>2641.7975369458218</v>
      </c>
      <c r="Q1203" s="4">
        <v>55250</v>
      </c>
      <c r="R1203" s="4" t="s">
        <v>41</v>
      </c>
      <c r="S1203" s="6">
        <v>524</v>
      </c>
      <c r="T1203">
        <v>7.625</v>
      </c>
      <c r="U1203" s="7">
        <f t="shared" si="325"/>
        <v>414.07687819426991</v>
      </c>
      <c r="V1203" s="2">
        <f t="shared" si="329"/>
        <v>67.433121805730082</v>
      </c>
      <c r="W1203" s="9">
        <f t="shared" si="330"/>
        <v>0</v>
      </c>
      <c r="X1203" s="3">
        <v>55250</v>
      </c>
      <c r="Y1203" s="3">
        <f t="shared" si="331"/>
        <v>2641.7975369458218</v>
      </c>
      <c r="Z1203" s="7">
        <f t="shared" si="332"/>
        <v>414.07687819426991</v>
      </c>
      <c r="AA1203" s="2">
        <f t="shared" si="326"/>
        <v>67.433121805730082</v>
      </c>
      <c r="AB1203" s="8">
        <f t="shared" si="333"/>
        <v>0</v>
      </c>
      <c r="AC1203" s="10">
        <v>7.625</v>
      </c>
      <c r="AD1203" s="7">
        <f t="shared" si="334"/>
        <v>414.07687819426991</v>
      </c>
      <c r="AE1203" s="2">
        <f t="shared" si="335"/>
        <v>67.433121805730082</v>
      </c>
      <c r="AF1203" s="10">
        <v>0</v>
      </c>
      <c r="AG1203" s="3">
        <f t="shared" si="336"/>
        <v>0</v>
      </c>
      <c r="AH1203" s="7">
        <v>0</v>
      </c>
      <c r="AI1203">
        <f t="shared" si="337"/>
        <v>360</v>
      </c>
      <c r="AJ1203" t="e">
        <f>VLOOKUP(A1203,'Borrower Details'!$A$1:$H$1493,8,FALSE)</f>
        <v>#N/A</v>
      </c>
      <c r="AK1203" s="4" t="e">
        <f t="shared" si="338"/>
        <v>#N/A</v>
      </c>
      <c r="AL1203" s="10">
        <v>7.625</v>
      </c>
      <c r="AM1203" s="3">
        <f t="shared" si="339"/>
        <v>52568.575499999992</v>
      </c>
      <c r="AN1203">
        <v>7.625</v>
      </c>
      <c r="AO1203" s="7">
        <f t="shared" si="340"/>
        <v>393.98066306171546</v>
      </c>
      <c r="AP1203" s="2">
        <f t="shared" si="341"/>
        <v>87.52933693828453</v>
      </c>
    </row>
    <row r="1204" spans="1:42" x14ac:dyDescent="0.15">
      <c r="A1204" s="8">
        <v>410658157</v>
      </c>
      <c r="B1204" t="s">
        <v>36</v>
      </c>
      <c r="C1204" t="s">
        <v>19</v>
      </c>
      <c r="D1204" s="1">
        <v>39290</v>
      </c>
      <c r="E1204" s="2">
        <v>160000</v>
      </c>
      <c r="F1204" s="2">
        <v>112000</v>
      </c>
      <c r="G1204" t="s">
        <v>20</v>
      </c>
      <c r="H1204" s="2">
        <v>761.16</v>
      </c>
      <c r="I1204" s="2">
        <v>111642.8</v>
      </c>
      <c r="J1204">
        <v>7.7899999999999997E-2</v>
      </c>
      <c r="K1204">
        <v>9</v>
      </c>
      <c r="L1204">
        <v>351</v>
      </c>
      <c r="M1204" t="str">
        <f t="shared" si="327"/>
        <v>30 Year Fixed</v>
      </c>
      <c r="N1204" s="2">
        <v>724.75</v>
      </c>
      <c r="O1204" t="str">
        <f t="shared" si="324"/>
        <v>Cash Out</v>
      </c>
      <c r="P1204" s="3">
        <f t="shared" si="328"/>
        <v>22347.347783251244</v>
      </c>
      <c r="Q1204" s="4">
        <v>136000</v>
      </c>
      <c r="R1204" s="4" t="s">
        <v>41</v>
      </c>
      <c r="S1204" s="6">
        <v>535</v>
      </c>
      <c r="T1204">
        <v>7.625</v>
      </c>
      <c r="U1204" s="7">
        <f t="shared" si="325"/>
        <v>1019.2661617089722</v>
      </c>
      <c r="V1204" s="2">
        <f t="shared" si="329"/>
        <v>-258.10616170897219</v>
      </c>
      <c r="W1204" s="9">
        <f t="shared" si="330"/>
        <v>1</v>
      </c>
      <c r="X1204" s="3">
        <v>113318</v>
      </c>
      <c r="Y1204" s="3">
        <f t="shared" si="331"/>
        <v>0.54975369459134527</v>
      </c>
      <c r="Z1204" s="7">
        <f t="shared" si="332"/>
        <v>849.27355082748022</v>
      </c>
      <c r="AA1204" s="2">
        <f t="shared" si="326"/>
        <v>-88.113550827480253</v>
      </c>
      <c r="AB1204" s="8">
        <f t="shared" si="333"/>
        <v>1</v>
      </c>
      <c r="AC1204" s="10">
        <v>6.875</v>
      </c>
      <c r="AD1204" s="7">
        <f t="shared" si="334"/>
        <v>791.63442641415486</v>
      </c>
      <c r="AE1204" s="2">
        <f t="shared" si="335"/>
        <v>-30.474426414154891</v>
      </c>
      <c r="AF1204" s="10">
        <v>1</v>
      </c>
      <c r="AG1204" s="3">
        <f t="shared" si="336"/>
        <v>1133.18</v>
      </c>
      <c r="AH1204" s="7">
        <v>2240</v>
      </c>
      <c r="AI1204">
        <f t="shared" si="337"/>
        <v>360</v>
      </c>
      <c r="AJ1204" t="e">
        <f>VLOOKUP(A1204,'Borrower Details'!$A$1:$H$1493,8,FALSE)</f>
        <v>#N/A</v>
      </c>
      <c r="AK1204" s="4" t="e">
        <f t="shared" si="338"/>
        <v>#N/A</v>
      </c>
      <c r="AL1204" s="10">
        <v>7.625</v>
      </c>
      <c r="AM1204" s="3">
        <f t="shared" si="339"/>
        <v>113317.442</v>
      </c>
      <c r="AN1204">
        <v>7.625</v>
      </c>
      <c r="AO1204" s="7">
        <f t="shared" si="340"/>
        <v>849.26936883837561</v>
      </c>
      <c r="AP1204" s="2">
        <f t="shared" si="341"/>
        <v>-88.109368838375644</v>
      </c>
    </row>
    <row r="1205" spans="1:42" x14ac:dyDescent="0.15">
      <c r="A1205" s="8">
        <v>410098503</v>
      </c>
      <c r="B1205" t="s">
        <v>37</v>
      </c>
      <c r="C1205" t="s">
        <v>19</v>
      </c>
      <c r="D1205" s="1">
        <v>39224</v>
      </c>
      <c r="E1205" s="2">
        <v>260000</v>
      </c>
      <c r="F1205" s="2">
        <v>208000</v>
      </c>
      <c r="G1205" t="s">
        <v>15</v>
      </c>
      <c r="H1205" s="2">
        <v>1733.83</v>
      </c>
      <c r="I1205" s="2">
        <v>206804.43</v>
      </c>
      <c r="J1205">
        <v>9.4E-2</v>
      </c>
      <c r="K1205">
        <v>11</v>
      </c>
      <c r="L1205">
        <v>349</v>
      </c>
      <c r="M1205" t="str">
        <f t="shared" si="327"/>
        <v>30 Year Fixed</v>
      </c>
      <c r="N1205" s="2">
        <v>1619.97</v>
      </c>
      <c r="O1205" t="str">
        <f t="shared" si="324"/>
        <v>Cash Out</v>
      </c>
      <c r="P1205" s="3">
        <f t="shared" si="328"/>
        <v>10929.560147783282</v>
      </c>
      <c r="Q1205" s="4">
        <v>221000</v>
      </c>
      <c r="R1205" s="4" t="s">
        <v>41</v>
      </c>
      <c r="S1205" s="6">
        <v>523</v>
      </c>
      <c r="T1205">
        <v>7.625</v>
      </c>
      <c r="U1205" s="7">
        <f t="shared" si="325"/>
        <v>1656.3075127770796</v>
      </c>
      <c r="V1205" s="2">
        <f t="shared" si="329"/>
        <v>77.52248722292029</v>
      </c>
      <c r="W1205" s="9">
        <f t="shared" si="330"/>
        <v>0</v>
      </c>
      <c r="X1205" s="3">
        <v>221000</v>
      </c>
      <c r="Y1205" s="3">
        <f t="shared" si="331"/>
        <v>10929.560147783282</v>
      </c>
      <c r="Z1205" s="7">
        <f t="shared" si="332"/>
        <v>1656.3075127770796</v>
      </c>
      <c r="AA1205" s="2">
        <f t="shared" si="326"/>
        <v>77.52248722292029</v>
      </c>
      <c r="AB1205" s="8">
        <f t="shared" si="333"/>
        <v>0</v>
      </c>
      <c r="AC1205" s="10">
        <v>7.625</v>
      </c>
      <c r="AD1205" s="7">
        <f t="shared" si="334"/>
        <v>1656.3075127770796</v>
      </c>
      <c r="AE1205" s="2">
        <f t="shared" si="335"/>
        <v>77.52248722292029</v>
      </c>
      <c r="AF1205" s="10">
        <v>0</v>
      </c>
      <c r="AG1205" s="3">
        <f t="shared" si="336"/>
        <v>0</v>
      </c>
      <c r="AH1205" s="7">
        <v>2080</v>
      </c>
      <c r="AI1205">
        <f t="shared" si="337"/>
        <v>360</v>
      </c>
      <c r="AJ1205" t="e">
        <f>VLOOKUP(A1205,'Borrower Details'!$A$1:$H$1493,8,FALSE)</f>
        <v>#N/A</v>
      </c>
      <c r="AK1205" s="4" t="e">
        <f t="shared" si="338"/>
        <v>#N/A</v>
      </c>
      <c r="AL1205" s="10">
        <v>7.625</v>
      </c>
      <c r="AM1205" s="3">
        <f t="shared" si="339"/>
        <v>209906.49644999998</v>
      </c>
      <c r="AN1205">
        <v>7.625</v>
      </c>
      <c r="AO1205" s="7">
        <f t="shared" si="340"/>
        <v>1573.1660952527166</v>
      </c>
      <c r="AP1205" s="2">
        <f t="shared" si="341"/>
        <v>160.66390474728337</v>
      </c>
    </row>
    <row r="1206" spans="1:42" x14ac:dyDescent="0.15">
      <c r="A1206" s="8">
        <v>410687701</v>
      </c>
      <c r="B1206" t="s">
        <v>38</v>
      </c>
      <c r="C1206" t="s">
        <v>19</v>
      </c>
      <c r="D1206" s="1">
        <v>39294</v>
      </c>
      <c r="E1206" s="2">
        <v>163000</v>
      </c>
      <c r="F1206" s="2">
        <v>138550</v>
      </c>
      <c r="G1206" t="s">
        <v>17</v>
      </c>
      <c r="H1206" s="2">
        <v>1109.83</v>
      </c>
      <c r="I1206" s="2">
        <v>137830.07999999999</v>
      </c>
      <c r="J1206">
        <v>8.9499999999999996E-2</v>
      </c>
      <c r="K1206">
        <v>9</v>
      </c>
      <c r="L1206">
        <v>351</v>
      </c>
      <c r="M1206" t="str">
        <f t="shared" si="327"/>
        <v>30 Year Fixed</v>
      </c>
      <c r="N1206" s="2">
        <v>1027.98</v>
      </c>
      <c r="O1206" t="str">
        <f t="shared" si="324"/>
        <v>Refi</v>
      </c>
      <c r="P1206" s="3">
        <f t="shared" si="328"/>
        <v>0</v>
      </c>
      <c r="Q1206" s="4">
        <v>139898</v>
      </c>
      <c r="R1206" s="4" t="s">
        <v>41</v>
      </c>
      <c r="S1206" s="6">
        <v>579</v>
      </c>
      <c r="T1206">
        <v>7.625</v>
      </c>
      <c r="U1206" s="7">
        <f t="shared" si="325"/>
        <v>1048.4801286085426</v>
      </c>
      <c r="V1206" s="2">
        <f t="shared" si="329"/>
        <v>61.349871391457327</v>
      </c>
      <c r="W1206" s="9">
        <f t="shared" si="330"/>
        <v>0</v>
      </c>
      <c r="X1206" s="3">
        <v>139898</v>
      </c>
      <c r="Y1206" s="3">
        <f t="shared" si="331"/>
        <v>0.46187192120123655</v>
      </c>
      <c r="Z1206" s="7">
        <f t="shared" si="332"/>
        <v>1048.4801286085426</v>
      </c>
      <c r="AA1206" s="2">
        <f t="shared" si="326"/>
        <v>61.349871391457327</v>
      </c>
      <c r="AB1206" s="8">
        <f t="shared" si="333"/>
        <v>1</v>
      </c>
      <c r="AC1206" s="10">
        <v>6.5</v>
      </c>
      <c r="AD1206" s="7">
        <f t="shared" si="334"/>
        <v>942.54135683952302</v>
      </c>
      <c r="AE1206" s="2">
        <f t="shared" si="335"/>
        <v>167.28864316047691</v>
      </c>
      <c r="AF1206" s="10">
        <v>2.375</v>
      </c>
      <c r="AG1206" s="3">
        <f t="shared" si="336"/>
        <v>3322.5774999999999</v>
      </c>
      <c r="AH1206" s="7">
        <v>0</v>
      </c>
      <c r="AI1206">
        <f t="shared" si="337"/>
        <v>360</v>
      </c>
      <c r="AJ1206" t="e">
        <f>VLOOKUP(A1206,'Borrower Details'!$A$1:$H$1493,8,FALSE)</f>
        <v>#N/A</v>
      </c>
      <c r="AK1206" s="4" t="e">
        <f t="shared" si="338"/>
        <v>#N/A</v>
      </c>
      <c r="AL1206" s="10">
        <v>7.625</v>
      </c>
      <c r="AM1206" s="3">
        <f t="shared" si="339"/>
        <v>139897.53119999997</v>
      </c>
      <c r="AN1206">
        <v>7.625</v>
      </c>
      <c r="AO1206" s="7">
        <f t="shared" si="340"/>
        <v>1048.4766151381261</v>
      </c>
      <c r="AP1206" s="2">
        <f t="shared" si="341"/>
        <v>61.353384861873792</v>
      </c>
    </row>
    <row r="1207" spans="1:42" x14ac:dyDescent="0.15">
      <c r="A1207" s="8">
        <v>410602361</v>
      </c>
      <c r="B1207" t="s">
        <v>36</v>
      </c>
      <c r="C1207" t="s">
        <v>19</v>
      </c>
      <c r="D1207" s="1">
        <v>39274</v>
      </c>
      <c r="E1207" s="2">
        <v>147000</v>
      </c>
      <c r="F1207" s="2">
        <v>108750</v>
      </c>
      <c r="G1207" t="s">
        <v>17</v>
      </c>
      <c r="H1207" s="2">
        <v>722.79</v>
      </c>
      <c r="I1207" s="2">
        <v>0</v>
      </c>
      <c r="J1207">
        <v>6.9900000000000004E-2</v>
      </c>
      <c r="K1207">
        <v>9</v>
      </c>
      <c r="L1207">
        <v>351</v>
      </c>
      <c r="M1207" t="str">
        <f t="shared" si="327"/>
        <v>30 Year Fixed</v>
      </c>
      <c r="N1207" s="2">
        <v>0</v>
      </c>
      <c r="O1207" t="str">
        <f t="shared" si="324"/>
        <v>Cash Out</v>
      </c>
      <c r="P1207" s="3">
        <f t="shared" si="328"/>
        <v>123103.44827586209</v>
      </c>
      <c r="Q1207" s="4">
        <v>124950</v>
      </c>
      <c r="R1207" s="4" t="s">
        <v>41</v>
      </c>
      <c r="S1207" s="6">
        <v>636</v>
      </c>
      <c r="T1207">
        <v>6.75</v>
      </c>
      <c r="U1207" s="7">
        <f t="shared" si="325"/>
        <v>862.48582166198321</v>
      </c>
      <c r="V1207" s="2">
        <f t="shared" si="329"/>
        <v>-139.69582166198325</v>
      </c>
      <c r="W1207" s="9">
        <f t="shared" si="330"/>
        <v>1</v>
      </c>
      <c r="X1207" s="3">
        <v>104630</v>
      </c>
      <c r="Y1207" s="3">
        <f t="shared" si="331"/>
        <v>103083.74384236454</v>
      </c>
      <c r="Z1207" s="7">
        <f t="shared" si="332"/>
        <v>722.22402177265542</v>
      </c>
      <c r="AA1207" s="2">
        <f t="shared" si="326"/>
        <v>0.56597822734454439</v>
      </c>
      <c r="AB1207" s="8">
        <f t="shared" si="333"/>
        <v>0</v>
      </c>
      <c r="AC1207" s="10">
        <v>7.125</v>
      </c>
      <c r="AD1207" s="7">
        <f t="shared" si="334"/>
        <v>748.50752426331167</v>
      </c>
      <c r="AE1207" s="2">
        <f t="shared" si="335"/>
        <v>-25.717524263311702</v>
      </c>
      <c r="AF1207" s="10">
        <v>0</v>
      </c>
      <c r="AG1207" s="3">
        <f t="shared" si="336"/>
        <v>0</v>
      </c>
      <c r="AH1207" s="7">
        <v>2175</v>
      </c>
      <c r="AI1207">
        <f t="shared" si="337"/>
        <v>360</v>
      </c>
      <c r="AJ1207" t="e">
        <f>VLOOKUP(A1207,'Borrower Details'!$A$1:$H$1493,8,FALSE)</f>
        <v>#N/A</v>
      </c>
      <c r="AK1207" s="4" t="e">
        <f t="shared" si="338"/>
        <v>#N/A</v>
      </c>
      <c r="AL1207" s="10">
        <v>6.75</v>
      </c>
      <c r="AM1207" s="3">
        <f t="shared" si="339"/>
        <v>0</v>
      </c>
      <c r="AN1207">
        <v>7.125</v>
      </c>
      <c r="AO1207" s="7">
        <f t="shared" si="340"/>
        <v>0</v>
      </c>
      <c r="AP1207" s="2">
        <f t="shared" si="341"/>
        <v>722.79</v>
      </c>
    </row>
    <row r="1208" spans="1:42" x14ac:dyDescent="0.15">
      <c r="A1208" s="8">
        <v>1170937</v>
      </c>
      <c r="B1208" t="s">
        <v>36</v>
      </c>
      <c r="C1208" t="s">
        <v>19</v>
      </c>
      <c r="D1208" s="1">
        <v>39175</v>
      </c>
      <c r="E1208" s="2">
        <v>340000</v>
      </c>
      <c r="F1208" s="2">
        <v>306000</v>
      </c>
      <c r="G1208" t="s">
        <v>17</v>
      </c>
      <c r="H1208" s="2">
        <v>1984.72</v>
      </c>
      <c r="I1208" s="2">
        <v>302456.89</v>
      </c>
      <c r="J1208">
        <v>6.7500000000000004E-2</v>
      </c>
      <c r="K1208">
        <v>13</v>
      </c>
      <c r="L1208">
        <v>347</v>
      </c>
      <c r="M1208" t="str">
        <f t="shared" si="327"/>
        <v>30 Year Fixed</v>
      </c>
      <c r="N1208" s="2">
        <v>1701.32</v>
      </c>
      <c r="O1208" t="str">
        <f t="shared" si="324"/>
        <v>Refi</v>
      </c>
      <c r="P1208" s="3">
        <f t="shared" si="328"/>
        <v>0</v>
      </c>
      <c r="Q1208" s="4">
        <v>306994</v>
      </c>
      <c r="R1208" s="4" t="s">
        <v>41</v>
      </c>
      <c r="S1208" s="6">
        <v>659</v>
      </c>
      <c r="T1208">
        <v>6.75</v>
      </c>
      <c r="U1208" s="7">
        <f t="shared" si="325"/>
        <v>2119.0714072452888</v>
      </c>
      <c r="V1208" s="2">
        <f t="shared" si="329"/>
        <v>-134.35140724528878</v>
      </c>
      <c r="W1208" s="9">
        <f t="shared" si="330"/>
        <v>0</v>
      </c>
      <c r="X1208" s="3">
        <v>306994</v>
      </c>
      <c r="Y1208" s="3">
        <f t="shared" si="331"/>
        <v>0.25285714288474992</v>
      </c>
      <c r="Z1208" s="7">
        <f t="shared" si="332"/>
        <v>2119.0714072452888</v>
      </c>
      <c r="AA1208" s="2">
        <f t="shared" si="326"/>
        <v>-134.35140724528878</v>
      </c>
      <c r="AB1208" s="8">
        <f t="shared" si="333"/>
        <v>1</v>
      </c>
      <c r="AC1208" s="10">
        <v>6.125</v>
      </c>
      <c r="AD1208" s="7">
        <f t="shared" si="334"/>
        <v>1993.242066547009</v>
      </c>
      <c r="AE1208" s="2">
        <f t="shared" si="335"/>
        <v>-8.5220665470089898</v>
      </c>
      <c r="AF1208" s="10">
        <v>3</v>
      </c>
      <c r="AG1208" s="3">
        <f t="shared" si="336"/>
        <v>9209.82</v>
      </c>
      <c r="AH1208" s="7">
        <v>6120</v>
      </c>
      <c r="AI1208">
        <f t="shared" si="337"/>
        <v>360</v>
      </c>
      <c r="AJ1208" t="e">
        <f>VLOOKUP(A1208,'Borrower Details'!$A$1:$H$1493,8,FALSE)</f>
        <v>#N/A</v>
      </c>
      <c r="AK1208" s="4" t="e">
        <f t="shared" si="338"/>
        <v>#N/A</v>
      </c>
      <c r="AL1208" s="10">
        <v>6.75</v>
      </c>
      <c r="AM1208" s="3">
        <f t="shared" si="339"/>
        <v>306993.74335</v>
      </c>
      <c r="AN1208">
        <v>6.75</v>
      </c>
      <c r="AO1208" s="7">
        <f t="shared" si="340"/>
        <v>2119.0696356807744</v>
      </c>
      <c r="AP1208" s="2">
        <f t="shared" si="341"/>
        <v>-134.34963568077433</v>
      </c>
    </row>
    <row r="1209" spans="1:42" x14ac:dyDescent="0.15">
      <c r="A1209" s="8">
        <v>410705883</v>
      </c>
      <c r="B1209" t="s">
        <v>35</v>
      </c>
      <c r="C1209" t="s">
        <v>16</v>
      </c>
      <c r="D1209" s="1">
        <v>39293</v>
      </c>
      <c r="E1209" s="2">
        <v>132000</v>
      </c>
      <c r="F1209" s="2">
        <v>105500</v>
      </c>
      <c r="G1209" t="s">
        <v>15</v>
      </c>
      <c r="H1209" s="2">
        <v>925.06</v>
      </c>
      <c r="I1209" s="2">
        <v>105113.60000000001</v>
      </c>
      <c r="J1209">
        <v>9.9900000000000003E-2</v>
      </c>
      <c r="K1209">
        <v>9</v>
      </c>
      <c r="L1209">
        <v>352</v>
      </c>
      <c r="M1209" t="str">
        <f t="shared" si="327"/>
        <v>30 Year Fixed</v>
      </c>
      <c r="N1209" s="2">
        <v>875.07</v>
      </c>
      <c r="O1209" t="str">
        <f t="shared" si="324"/>
        <v>Cash Out</v>
      </c>
      <c r="P1209" s="3">
        <f t="shared" si="328"/>
        <v>5428.2719211822696</v>
      </c>
      <c r="Q1209" s="4">
        <v>112200</v>
      </c>
      <c r="R1209" s="4" t="s">
        <v>41</v>
      </c>
      <c r="S1209" s="6">
        <v>536</v>
      </c>
      <c r="T1209">
        <v>7.625</v>
      </c>
      <c r="U1209" s="7">
        <f t="shared" si="325"/>
        <v>840.894583409902</v>
      </c>
      <c r="V1209" s="2">
        <f t="shared" si="329"/>
        <v>84.165416590097948</v>
      </c>
      <c r="W1209" s="9">
        <f t="shared" si="330"/>
        <v>0</v>
      </c>
      <c r="X1209" s="3">
        <v>112200</v>
      </c>
      <c r="Y1209" s="3">
        <f t="shared" si="331"/>
        <v>5428.2719211822696</v>
      </c>
      <c r="Z1209" s="7">
        <f t="shared" si="332"/>
        <v>840.894583409902</v>
      </c>
      <c r="AA1209" s="2">
        <f t="shared" si="326"/>
        <v>84.165416590097948</v>
      </c>
      <c r="AB1209" s="8">
        <f t="shared" si="333"/>
        <v>0</v>
      </c>
      <c r="AC1209" s="10">
        <v>7.625</v>
      </c>
      <c r="AD1209" s="7">
        <f t="shared" si="334"/>
        <v>840.894583409902</v>
      </c>
      <c r="AE1209" s="2">
        <f t="shared" si="335"/>
        <v>84.165416590097948</v>
      </c>
      <c r="AF1209" s="10">
        <v>0</v>
      </c>
      <c r="AG1209" s="3">
        <f t="shared" si="336"/>
        <v>0</v>
      </c>
      <c r="AH1209" s="7">
        <v>5269.7250000000013</v>
      </c>
      <c r="AI1209">
        <f t="shared" si="337"/>
        <v>360</v>
      </c>
      <c r="AJ1209" t="e">
        <f>VLOOKUP(A1209,'Borrower Details'!$A$1:$H$1493,8,FALSE)</f>
        <v>#N/A</v>
      </c>
      <c r="AK1209" s="4" t="e">
        <f t="shared" si="338"/>
        <v>#N/A</v>
      </c>
      <c r="AL1209" s="10">
        <v>7.625</v>
      </c>
      <c r="AM1209" s="3">
        <f t="shared" si="339"/>
        <v>106690.30399999999</v>
      </c>
      <c r="AN1209">
        <v>7.625</v>
      </c>
      <c r="AO1209" s="7">
        <f t="shared" si="340"/>
        <v>799.60159301208375</v>
      </c>
      <c r="AP1209" s="2">
        <f t="shared" si="341"/>
        <v>125.45840698791619</v>
      </c>
    </row>
    <row r="1210" spans="1:42" x14ac:dyDescent="0.15">
      <c r="A1210" s="8">
        <v>410647143</v>
      </c>
      <c r="B1210" t="s">
        <v>36</v>
      </c>
      <c r="C1210" t="s">
        <v>19</v>
      </c>
      <c r="D1210" s="1">
        <v>39293</v>
      </c>
      <c r="E1210" s="2">
        <v>177000</v>
      </c>
      <c r="F1210" s="2">
        <v>122000</v>
      </c>
      <c r="G1210" t="s">
        <v>17</v>
      </c>
      <c r="H1210" s="2">
        <v>789.36</v>
      </c>
      <c r="I1210" s="2">
        <v>121608.65</v>
      </c>
      <c r="J1210">
        <v>7.3499999999999996E-2</v>
      </c>
      <c r="K1210">
        <v>9</v>
      </c>
      <c r="L1210">
        <v>351</v>
      </c>
      <c r="M1210" t="str">
        <f t="shared" si="327"/>
        <v>30 Year Fixed</v>
      </c>
      <c r="N1210" s="2">
        <v>744.85</v>
      </c>
      <c r="O1210" t="str">
        <f t="shared" si="324"/>
        <v>Cash Out</v>
      </c>
      <c r="P1210" s="3">
        <f t="shared" si="328"/>
        <v>26617.950985221687</v>
      </c>
      <c r="Q1210" s="4">
        <v>150450</v>
      </c>
      <c r="R1210" s="4" t="s">
        <v>41</v>
      </c>
      <c r="S1210" s="6">
        <v>534</v>
      </c>
      <c r="T1210">
        <v>7.625</v>
      </c>
      <c r="U1210" s="7">
        <f t="shared" si="325"/>
        <v>1127.5631913905504</v>
      </c>
      <c r="V1210" s="2">
        <f t="shared" si="329"/>
        <v>-338.20319139055039</v>
      </c>
      <c r="W1210" s="9">
        <f t="shared" si="330"/>
        <v>1</v>
      </c>
      <c r="X1210" s="3">
        <v>123433</v>
      </c>
      <c r="Y1210" s="3">
        <f t="shared" si="331"/>
        <v>0.21699507390439976</v>
      </c>
      <c r="Z1210" s="7">
        <f t="shared" si="332"/>
        <v>925.08147160458509</v>
      </c>
      <c r="AA1210" s="2">
        <f t="shared" si="326"/>
        <v>-135.72147160458508</v>
      </c>
      <c r="AB1210" s="8">
        <f t="shared" si="333"/>
        <v>1</v>
      </c>
      <c r="AC1210" s="10">
        <v>6.875</v>
      </c>
      <c r="AD1210" s="7">
        <f t="shared" si="334"/>
        <v>862.2973592507667</v>
      </c>
      <c r="AE1210" s="2">
        <f t="shared" si="335"/>
        <v>-72.93735925076669</v>
      </c>
      <c r="AF1210" s="10">
        <v>1</v>
      </c>
      <c r="AG1210" s="3">
        <f t="shared" si="336"/>
        <v>1234.33</v>
      </c>
      <c r="AH1210" s="7">
        <v>2440</v>
      </c>
      <c r="AI1210">
        <f t="shared" si="337"/>
        <v>360</v>
      </c>
      <c r="AJ1210" t="e">
        <f>VLOOKUP(A1210,'Borrower Details'!$A$1:$H$1493,8,FALSE)</f>
        <v>#N/A</v>
      </c>
      <c r="AK1210" s="4" t="e">
        <f t="shared" si="338"/>
        <v>#N/A</v>
      </c>
      <c r="AL1210" s="10">
        <v>7.625</v>
      </c>
      <c r="AM1210" s="3">
        <f t="shared" si="339"/>
        <v>123432.77974999999</v>
      </c>
      <c r="AN1210">
        <v>7.625</v>
      </c>
      <c r="AO1210" s="7">
        <f t="shared" si="340"/>
        <v>925.07982091802523</v>
      </c>
      <c r="AP1210" s="2">
        <f t="shared" si="341"/>
        <v>-135.71982091802522</v>
      </c>
    </row>
    <row r="1211" spans="1:42" x14ac:dyDescent="0.15">
      <c r="A1211" s="8">
        <v>410850945</v>
      </c>
      <c r="B1211" t="s">
        <v>37</v>
      </c>
      <c r="C1211" t="s">
        <v>18</v>
      </c>
      <c r="D1211" s="1">
        <v>39323</v>
      </c>
      <c r="E1211" s="2">
        <v>110000</v>
      </c>
      <c r="F1211" s="2">
        <v>88000</v>
      </c>
      <c r="G1211" t="s">
        <v>17</v>
      </c>
      <c r="H1211" s="2">
        <v>814.86</v>
      </c>
      <c r="I1211" s="2">
        <v>87646.87</v>
      </c>
      <c r="J1211">
        <v>0.1065</v>
      </c>
      <c r="K1211">
        <v>8</v>
      </c>
      <c r="L1211">
        <v>353</v>
      </c>
      <c r="M1211" t="str">
        <f t="shared" si="327"/>
        <v>30 Year Fixed</v>
      </c>
      <c r="N1211" s="2">
        <v>777.87</v>
      </c>
      <c r="O1211" t="str">
        <f t="shared" si="324"/>
        <v>Cash Out</v>
      </c>
      <c r="P1211" s="3">
        <f t="shared" si="328"/>
        <v>4471.3566009852366</v>
      </c>
      <c r="Q1211" s="4">
        <v>93500</v>
      </c>
      <c r="R1211" s="4" t="s">
        <v>41</v>
      </c>
      <c r="S1211" s="6">
        <v>549</v>
      </c>
      <c r="T1211">
        <v>7.625</v>
      </c>
      <c r="U1211" s="7">
        <f t="shared" si="325"/>
        <v>700.74548617491837</v>
      </c>
      <c r="V1211" s="2">
        <f t="shared" si="329"/>
        <v>114.11451382508164</v>
      </c>
      <c r="W1211" s="9">
        <f t="shared" si="330"/>
        <v>0</v>
      </c>
      <c r="X1211" s="3">
        <v>93500</v>
      </c>
      <c r="Y1211" s="3">
        <f t="shared" si="331"/>
        <v>4471.3566009852366</v>
      </c>
      <c r="Z1211" s="7">
        <f t="shared" si="332"/>
        <v>700.74548617491837</v>
      </c>
      <c r="AA1211" s="2">
        <f t="shared" si="326"/>
        <v>114.11451382508164</v>
      </c>
      <c r="AB1211" s="8">
        <f t="shared" si="333"/>
        <v>0</v>
      </c>
      <c r="AC1211" s="10">
        <v>7.625</v>
      </c>
      <c r="AD1211" s="7">
        <f t="shared" si="334"/>
        <v>700.74548617491837</v>
      </c>
      <c r="AE1211" s="2">
        <f t="shared" si="335"/>
        <v>114.11451382508164</v>
      </c>
      <c r="AF1211" s="10">
        <v>0</v>
      </c>
      <c r="AG1211" s="3">
        <f t="shared" si="336"/>
        <v>0</v>
      </c>
      <c r="AH1211" s="7">
        <v>0</v>
      </c>
      <c r="AI1211">
        <f t="shared" si="337"/>
        <v>360</v>
      </c>
      <c r="AJ1211" t="e">
        <f>VLOOKUP(A1211,'Borrower Details'!$A$1:$H$1493,8,FALSE)</f>
        <v>#N/A</v>
      </c>
      <c r="AK1211" s="4" t="e">
        <f t="shared" si="338"/>
        <v>#N/A</v>
      </c>
      <c r="AL1211" s="10">
        <v>7.625</v>
      </c>
      <c r="AM1211" s="3">
        <f t="shared" si="339"/>
        <v>88961.573049999992</v>
      </c>
      <c r="AN1211">
        <v>7.625</v>
      </c>
      <c r="AO1211" s="7">
        <f t="shared" si="340"/>
        <v>666.73177281077824</v>
      </c>
      <c r="AP1211" s="2">
        <f t="shared" si="341"/>
        <v>148.12822718922178</v>
      </c>
    </row>
    <row r="1212" spans="1:42" x14ac:dyDescent="0.15">
      <c r="A1212" s="8">
        <v>410974703</v>
      </c>
      <c r="B1212" t="s">
        <v>37</v>
      </c>
      <c r="C1212" t="s">
        <v>18</v>
      </c>
      <c r="D1212" s="1">
        <v>39364</v>
      </c>
      <c r="E1212" s="2">
        <v>280000</v>
      </c>
      <c r="F1212" s="2">
        <v>210000</v>
      </c>
      <c r="G1212" t="s">
        <v>17</v>
      </c>
      <c r="H1212" s="2">
        <v>1976.07</v>
      </c>
      <c r="I1212" s="2">
        <v>209955.03</v>
      </c>
      <c r="J1212">
        <v>0.1125</v>
      </c>
      <c r="K1212">
        <v>6</v>
      </c>
      <c r="L1212">
        <v>354</v>
      </c>
      <c r="M1212" t="str">
        <f t="shared" si="327"/>
        <v>30 Year Fixed</v>
      </c>
      <c r="N1212" s="2">
        <v>1968.33</v>
      </c>
      <c r="O1212" t="str">
        <f t="shared" si="324"/>
        <v>Cash Out</v>
      </c>
      <c r="P1212" s="3">
        <f t="shared" si="328"/>
        <v>24527.728620689682</v>
      </c>
      <c r="Q1212" s="4">
        <v>238000</v>
      </c>
      <c r="R1212" s="4" t="s">
        <v>41</v>
      </c>
      <c r="S1212" s="6">
        <v>523</v>
      </c>
      <c r="T1212">
        <v>7.625</v>
      </c>
      <c r="U1212" s="7">
        <f t="shared" si="325"/>
        <v>1783.7157829907014</v>
      </c>
      <c r="V1212" s="2">
        <f t="shared" si="329"/>
        <v>192.35421700929851</v>
      </c>
      <c r="W1212" s="9">
        <f t="shared" si="330"/>
        <v>0</v>
      </c>
      <c r="X1212" s="3">
        <v>238000</v>
      </c>
      <c r="Y1212" s="3">
        <f t="shared" si="331"/>
        <v>24527.728620689682</v>
      </c>
      <c r="Z1212" s="7">
        <f t="shared" si="332"/>
        <v>1783.7157829907014</v>
      </c>
      <c r="AA1212" s="2">
        <f t="shared" si="326"/>
        <v>192.35421700929851</v>
      </c>
      <c r="AB1212" s="8">
        <f t="shared" si="333"/>
        <v>0</v>
      </c>
      <c r="AC1212" s="10">
        <v>7.625</v>
      </c>
      <c r="AD1212" s="7">
        <f t="shared" si="334"/>
        <v>1783.7157829907014</v>
      </c>
      <c r="AE1212" s="2">
        <f t="shared" si="335"/>
        <v>192.35421700929851</v>
      </c>
      <c r="AF1212" s="10">
        <v>0</v>
      </c>
      <c r="AG1212" s="3">
        <f t="shared" si="336"/>
        <v>0</v>
      </c>
      <c r="AH1212" s="7">
        <v>2100</v>
      </c>
      <c r="AI1212">
        <f t="shared" si="337"/>
        <v>360</v>
      </c>
      <c r="AJ1212" t="e">
        <f>VLOOKUP(A1212,'Borrower Details'!$A$1:$H$1493,8,FALSE)</f>
        <v>#N/A</v>
      </c>
      <c r="AK1212" s="4" t="e">
        <f t="shared" si="338"/>
        <v>#N/A</v>
      </c>
      <c r="AL1212" s="10">
        <v>7.625</v>
      </c>
      <c r="AM1212" s="3">
        <f t="shared" si="339"/>
        <v>213104.35544999997</v>
      </c>
      <c r="AN1212">
        <v>7.625</v>
      </c>
      <c r="AO1212" s="7">
        <f t="shared" si="340"/>
        <v>1597.1327825219557</v>
      </c>
      <c r="AP1212" s="2">
        <f t="shared" si="341"/>
        <v>378.9372174780442</v>
      </c>
    </row>
    <row r="1213" spans="1:42" x14ac:dyDescent="0.15">
      <c r="A1213" s="8">
        <v>410782171</v>
      </c>
      <c r="B1213" t="s">
        <v>37</v>
      </c>
      <c r="C1213" t="s">
        <v>16</v>
      </c>
      <c r="D1213" s="1">
        <v>39318</v>
      </c>
      <c r="E1213" s="2">
        <v>116000</v>
      </c>
      <c r="F1213" s="2">
        <v>102080</v>
      </c>
      <c r="G1213" t="s">
        <v>17</v>
      </c>
      <c r="H1213" s="2">
        <v>903.38</v>
      </c>
      <c r="I1213" s="2">
        <v>101666.64</v>
      </c>
      <c r="J1213">
        <v>0.10100000000000001</v>
      </c>
      <c r="K1213">
        <v>8</v>
      </c>
      <c r="L1213">
        <v>351</v>
      </c>
      <c r="M1213" t="str">
        <f t="shared" si="327"/>
        <v>30 Year Fixed</v>
      </c>
      <c r="N1213" s="2">
        <v>855.69</v>
      </c>
      <c r="O1213" t="str">
        <f t="shared" si="324"/>
        <v>Refi</v>
      </c>
      <c r="P1213" s="3">
        <f t="shared" si="328"/>
        <v>0</v>
      </c>
      <c r="Q1213" s="4">
        <v>103192</v>
      </c>
      <c r="R1213" s="4" t="s">
        <v>41</v>
      </c>
      <c r="S1213" s="6">
        <v>601</v>
      </c>
      <c r="T1213">
        <v>6.875</v>
      </c>
      <c r="U1213" s="7">
        <f t="shared" si="325"/>
        <v>720.89464807470551</v>
      </c>
      <c r="V1213" s="2">
        <f t="shared" si="329"/>
        <v>182.48535192529448</v>
      </c>
      <c r="W1213" s="9">
        <f t="shared" si="330"/>
        <v>0</v>
      </c>
      <c r="X1213" s="3">
        <v>103192</v>
      </c>
      <c r="Y1213" s="3">
        <f t="shared" si="331"/>
        <v>0.35507389163831249</v>
      </c>
      <c r="Z1213" s="7">
        <f t="shared" si="332"/>
        <v>720.89464807470551</v>
      </c>
      <c r="AA1213" s="2">
        <f t="shared" si="326"/>
        <v>182.48535192529448</v>
      </c>
      <c r="AB1213" s="8">
        <f t="shared" si="333"/>
        <v>0</v>
      </c>
      <c r="AC1213" s="10">
        <v>6.875</v>
      </c>
      <c r="AD1213" s="7">
        <f t="shared" si="334"/>
        <v>720.89464807470551</v>
      </c>
      <c r="AE1213" s="2">
        <f t="shared" si="335"/>
        <v>182.48535192529448</v>
      </c>
      <c r="AF1213" s="10">
        <v>0</v>
      </c>
      <c r="AG1213" s="3">
        <f t="shared" si="336"/>
        <v>0</v>
      </c>
      <c r="AH1213" s="7">
        <v>0</v>
      </c>
      <c r="AI1213">
        <f t="shared" si="337"/>
        <v>360</v>
      </c>
      <c r="AJ1213" t="e">
        <f>VLOOKUP(A1213,'Borrower Details'!$A$1:$H$1493,8,FALSE)</f>
        <v>#N/A</v>
      </c>
      <c r="AK1213" s="4" t="e">
        <f t="shared" si="338"/>
        <v>#N/A</v>
      </c>
      <c r="AL1213" s="10">
        <v>6.875</v>
      </c>
      <c r="AM1213" s="3">
        <f t="shared" si="339"/>
        <v>103191.63959999999</v>
      </c>
      <c r="AN1213">
        <v>6.875</v>
      </c>
      <c r="AO1213" s="7">
        <f t="shared" si="340"/>
        <v>720.89213033659428</v>
      </c>
      <c r="AP1213" s="2">
        <f t="shared" si="341"/>
        <v>182.48786966340572</v>
      </c>
    </row>
    <row r="1214" spans="1:42" x14ac:dyDescent="0.15">
      <c r="A1214" s="8">
        <v>410154553</v>
      </c>
      <c r="B1214" t="s">
        <v>36</v>
      </c>
      <c r="C1214" t="s">
        <v>19</v>
      </c>
      <c r="D1214" s="1">
        <v>39218</v>
      </c>
      <c r="E1214" s="2">
        <v>122000</v>
      </c>
      <c r="F1214" s="2">
        <v>100000</v>
      </c>
      <c r="G1214" t="s">
        <v>17</v>
      </c>
      <c r="H1214" s="2">
        <v>733.07</v>
      </c>
      <c r="I1214" s="2">
        <v>99162.94</v>
      </c>
      <c r="J1214">
        <v>7.9899999999999999E-2</v>
      </c>
      <c r="K1214">
        <v>11</v>
      </c>
      <c r="L1214">
        <v>348</v>
      </c>
      <c r="M1214" t="str">
        <f t="shared" si="327"/>
        <v>30 Year Fixed</v>
      </c>
      <c r="N1214" s="2">
        <v>660.26</v>
      </c>
      <c r="O1214" t="str">
        <f t="shared" si="324"/>
        <v>Cash Out</v>
      </c>
      <c r="P1214" s="3">
        <f t="shared" si="328"/>
        <v>3004.5476847290702</v>
      </c>
      <c r="Q1214" s="4">
        <v>103700</v>
      </c>
      <c r="R1214" s="4" t="s">
        <v>41</v>
      </c>
      <c r="S1214" s="6">
        <v>733</v>
      </c>
      <c r="T1214">
        <v>6.75</v>
      </c>
      <c r="U1214" s="7">
        <f t="shared" si="325"/>
        <v>715.80455947457108</v>
      </c>
      <c r="V1214" s="2">
        <f t="shared" si="329"/>
        <v>17.265440525428971</v>
      </c>
      <c r="W1214" s="9">
        <f t="shared" si="330"/>
        <v>0</v>
      </c>
      <c r="X1214" s="3">
        <v>103700</v>
      </c>
      <c r="Y1214" s="3">
        <f t="shared" si="331"/>
        <v>3004.5476847290702</v>
      </c>
      <c r="Z1214" s="7">
        <f t="shared" si="332"/>
        <v>715.80455947457108</v>
      </c>
      <c r="AA1214" s="2">
        <f t="shared" si="326"/>
        <v>17.265440525428971</v>
      </c>
      <c r="AB1214" s="8">
        <f t="shared" si="333"/>
        <v>1</v>
      </c>
      <c r="AC1214" s="10">
        <v>6.125</v>
      </c>
      <c r="AD1214" s="7">
        <f t="shared" si="334"/>
        <v>673.30046287850848</v>
      </c>
      <c r="AE1214" s="2">
        <f t="shared" si="335"/>
        <v>59.769537121491567</v>
      </c>
      <c r="AF1214" s="10">
        <v>3</v>
      </c>
      <c r="AG1214" s="3">
        <f t="shared" si="336"/>
        <v>3111</v>
      </c>
      <c r="AH1214" s="7">
        <v>2000</v>
      </c>
      <c r="AI1214">
        <f t="shared" si="337"/>
        <v>360</v>
      </c>
      <c r="AJ1214" t="e">
        <f>VLOOKUP(A1214,'Borrower Details'!$A$1:$H$1493,8,FALSE)</f>
        <v>#N/A</v>
      </c>
      <c r="AK1214" s="4" t="e">
        <f t="shared" si="338"/>
        <v>#N/A</v>
      </c>
      <c r="AL1214" s="10">
        <v>6.75</v>
      </c>
      <c r="AM1214" s="3">
        <f t="shared" si="339"/>
        <v>100650.3841</v>
      </c>
      <c r="AN1214">
        <v>6.75</v>
      </c>
      <c r="AO1214" s="7">
        <f t="shared" si="340"/>
        <v>694.75413550286271</v>
      </c>
      <c r="AP1214" s="2">
        <f t="shared" si="341"/>
        <v>38.315864497137341</v>
      </c>
    </row>
    <row r="1215" spans="1:42" x14ac:dyDescent="0.15">
      <c r="A1215" s="8">
        <v>410682173</v>
      </c>
      <c r="B1215" t="s">
        <v>37</v>
      </c>
      <c r="C1215" t="s">
        <v>19</v>
      </c>
      <c r="D1215" s="1">
        <v>39293</v>
      </c>
      <c r="E1215" s="2">
        <v>375000</v>
      </c>
      <c r="F1215" s="2">
        <v>318750</v>
      </c>
      <c r="G1215" t="s">
        <v>20</v>
      </c>
      <c r="H1215" s="2">
        <v>2252.27</v>
      </c>
      <c r="I1215" s="2">
        <v>318033.71999999997</v>
      </c>
      <c r="J1215">
        <v>8.1500000000000003E-2</v>
      </c>
      <c r="K1215">
        <v>9</v>
      </c>
      <c r="L1215">
        <v>352</v>
      </c>
      <c r="M1215" t="str">
        <f t="shared" si="327"/>
        <v>30 Year Fixed</v>
      </c>
      <c r="N1215" s="2">
        <v>2159.98</v>
      </c>
      <c r="O1215" t="str">
        <f t="shared" si="324"/>
        <v>Refi</v>
      </c>
      <c r="P1215" s="3">
        <f t="shared" si="328"/>
        <v>0</v>
      </c>
      <c r="Q1215" s="4">
        <v>322804</v>
      </c>
      <c r="R1215" s="4" t="s">
        <v>41</v>
      </c>
      <c r="S1215" s="6">
        <v>592</v>
      </c>
      <c r="T1215">
        <v>7.375</v>
      </c>
      <c r="U1215" s="7">
        <f t="shared" si="325"/>
        <v>2364.028670116777</v>
      </c>
      <c r="V1215" s="2">
        <f t="shared" si="329"/>
        <v>-111.75867011677701</v>
      </c>
      <c r="W1215" s="9">
        <f t="shared" si="330"/>
        <v>0</v>
      </c>
      <c r="X1215" s="3">
        <v>322805</v>
      </c>
      <c r="Y1215" s="3">
        <f t="shared" si="331"/>
        <v>0.76275862072361633</v>
      </c>
      <c r="Z1215" s="7">
        <f t="shared" si="332"/>
        <v>2364.0359935349197</v>
      </c>
      <c r="AA1215" s="2">
        <f t="shared" si="326"/>
        <v>-111.76599353491974</v>
      </c>
      <c r="AB1215" s="8">
        <f t="shared" si="333"/>
        <v>1</v>
      </c>
      <c r="AC1215" s="10">
        <v>6.625</v>
      </c>
      <c r="AD1215" s="7">
        <f t="shared" si="334"/>
        <v>2201.4578812318668</v>
      </c>
      <c r="AE1215" s="2">
        <f t="shared" si="335"/>
        <v>50.812118768133132</v>
      </c>
      <c r="AF1215" s="10">
        <v>1.875</v>
      </c>
      <c r="AG1215" s="3">
        <f t="shared" si="336"/>
        <v>6052.59375</v>
      </c>
      <c r="AH1215" s="7">
        <v>3187.5</v>
      </c>
      <c r="AI1215">
        <f t="shared" si="337"/>
        <v>360</v>
      </c>
      <c r="AJ1215" t="e">
        <f>VLOOKUP(A1215,'Borrower Details'!$A$1:$H$1493,8,FALSE)</f>
        <v>#N/A</v>
      </c>
      <c r="AK1215" s="4" t="e">
        <f t="shared" si="338"/>
        <v>#N/A</v>
      </c>
      <c r="AL1215" s="10">
        <v>7.375</v>
      </c>
      <c r="AM1215" s="3">
        <f t="shared" si="339"/>
        <v>322804.22579999996</v>
      </c>
      <c r="AN1215">
        <v>7.375</v>
      </c>
      <c r="AO1215" s="7">
        <f t="shared" si="340"/>
        <v>2364.0303237445933</v>
      </c>
      <c r="AP1215" s="2">
        <f t="shared" si="341"/>
        <v>-111.76032374459328</v>
      </c>
    </row>
    <row r="1216" spans="1:42" x14ac:dyDescent="0.15">
      <c r="A1216" s="8">
        <v>410612469</v>
      </c>
      <c r="B1216" t="s">
        <v>37</v>
      </c>
      <c r="C1216" t="s">
        <v>18</v>
      </c>
      <c r="D1216" s="1">
        <v>39293</v>
      </c>
      <c r="E1216" s="2">
        <v>155000</v>
      </c>
      <c r="F1216" s="2">
        <v>130000</v>
      </c>
      <c r="G1216" t="s">
        <v>17</v>
      </c>
      <c r="H1216" s="2">
        <v>918.92</v>
      </c>
      <c r="I1216" s="2">
        <v>129852.05</v>
      </c>
      <c r="J1216">
        <v>8.3500000000000005E-2</v>
      </c>
      <c r="K1216">
        <v>9</v>
      </c>
      <c r="L1216">
        <v>350</v>
      </c>
      <c r="M1216" t="str">
        <f t="shared" si="327"/>
        <v>30 Year Fixed</v>
      </c>
      <c r="N1216" s="2">
        <v>903.66</v>
      </c>
      <c r="O1216" t="str">
        <f t="shared" si="324"/>
        <v>Refi</v>
      </c>
      <c r="P1216" s="3">
        <f t="shared" si="328"/>
        <v>0</v>
      </c>
      <c r="Q1216" s="4">
        <v>131800</v>
      </c>
      <c r="R1216" s="4" t="s">
        <v>41</v>
      </c>
      <c r="S1216" s="6">
        <v>652</v>
      </c>
      <c r="T1216">
        <v>6.75</v>
      </c>
      <c r="U1216" s="7">
        <f t="shared" si="325"/>
        <v>909.76895794357245</v>
      </c>
      <c r="V1216" s="2">
        <f t="shared" si="329"/>
        <v>9.1510420564275137</v>
      </c>
      <c r="W1216" s="9">
        <f t="shared" si="330"/>
        <v>0</v>
      </c>
      <c r="X1216" s="3">
        <v>131800</v>
      </c>
      <c r="Y1216" s="3">
        <f t="shared" si="331"/>
        <v>0.16674876847537234</v>
      </c>
      <c r="Z1216" s="7">
        <f t="shared" si="332"/>
        <v>909.76895794357245</v>
      </c>
      <c r="AA1216" s="2">
        <f t="shared" si="326"/>
        <v>9.1510420564275137</v>
      </c>
      <c r="AB1216" s="8">
        <f t="shared" si="333"/>
        <v>1</v>
      </c>
      <c r="AC1216" s="10">
        <v>6.125</v>
      </c>
      <c r="AD1216" s="7">
        <f t="shared" si="334"/>
        <v>855.74735783401547</v>
      </c>
      <c r="AE1216" s="2">
        <f t="shared" si="335"/>
        <v>63.172642165984485</v>
      </c>
      <c r="AF1216" s="10">
        <v>3</v>
      </c>
      <c r="AG1216" s="3">
        <f t="shared" si="336"/>
        <v>3954</v>
      </c>
      <c r="AH1216" s="7">
        <v>0</v>
      </c>
      <c r="AI1216">
        <f t="shared" si="337"/>
        <v>360</v>
      </c>
      <c r="AJ1216" t="e">
        <f>VLOOKUP(A1216,'Borrower Details'!$A$1:$H$1493,8,FALSE)</f>
        <v>#N/A</v>
      </c>
      <c r="AK1216" s="4" t="e">
        <f t="shared" si="338"/>
        <v>#N/A</v>
      </c>
      <c r="AL1216" s="10">
        <v>6.75</v>
      </c>
      <c r="AM1216" s="3">
        <f t="shared" si="339"/>
        <v>131799.83074999999</v>
      </c>
      <c r="AN1216">
        <v>6.75</v>
      </c>
      <c r="AO1216" s="7">
        <f t="shared" si="340"/>
        <v>909.76778967046062</v>
      </c>
      <c r="AP1216" s="2">
        <f t="shared" si="341"/>
        <v>9.1522103295393435</v>
      </c>
    </row>
    <row r="1217" spans="1:42" x14ac:dyDescent="0.15">
      <c r="A1217" s="8">
        <v>411080039</v>
      </c>
      <c r="B1217" t="s">
        <v>35</v>
      </c>
      <c r="C1217" t="s">
        <v>16</v>
      </c>
      <c r="D1217" s="1">
        <v>39392</v>
      </c>
      <c r="E1217" s="2">
        <v>150000</v>
      </c>
      <c r="F1217" s="2">
        <v>130500</v>
      </c>
      <c r="G1217" t="s">
        <v>17</v>
      </c>
      <c r="H1217" s="2">
        <v>1145.24</v>
      </c>
      <c r="I1217" s="2">
        <v>130206.44</v>
      </c>
      <c r="J1217">
        <v>0.1</v>
      </c>
      <c r="K1217">
        <v>5</v>
      </c>
      <c r="L1217">
        <v>355</v>
      </c>
      <c r="M1217" t="str">
        <f t="shared" si="327"/>
        <v>30 Year Fixed</v>
      </c>
      <c r="N1217" s="2">
        <v>1085.05</v>
      </c>
      <c r="O1217" t="str">
        <f t="shared" si="324"/>
        <v>Refi</v>
      </c>
      <c r="P1217" s="3">
        <f t="shared" si="328"/>
        <v>0</v>
      </c>
      <c r="Q1217" s="4">
        <v>132160</v>
      </c>
      <c r="R1217" s="4" t="s">
        <v>41</v>
      </c>
      <c r="S1217" s="6">
        <v>659</v>
      </c>
      <c r="T1217">
        <v>6.75</v>
      </c>
      <c r="U1217" s="7">
        <f t="shared" si="325"/>
        <v>912.25391109121813</v>
      </c>
      <c r="V1217" s="2">
        <f t="shared" si="329"/>
        <v>232.98608890878188</v>
      </c>
      <c r="W1217" s="9">
        <f t="shared" si="330"/>
        <v>0</v>
      </c>
      <c r="X1217" s="3">
        <v>132160</v>
      </c>
      <c r="Y1217" s="3">
        <f t="shared" si="331"/>
        <v>0.45655172414262779</v>
      </c>
      <c r="Z1217" s="7">
        <f t="shared" si="332"/>
        <v>912.25391109121813</v>
      </c>
      <c r="AA1217" s="2">
        <f t="shared" si="326"/>
        <v>232.98608890878188</v>
      </c>
      <c r="AB1217" s="8">
        <f t="shared" si="333"/>
        <v>0</v>
      </c>
      <c r="AC1217" s="10">
        <v>6.75</v>
      </c>
      <c r="AD1217" s="7">
        <f t="shared" si="334"/>
        <v>912.25391109121813</v>
      </c>
      <c r="AE1217" s="2">
        <f t="shared" si="335"/>
        <v>232.98608890878188</v>
      </c>
      <c r="AF1217" s="10">
        <v>0</v>
      </c>
      <c r="AG1217" s="3">
        <f t="shared" si="336"/>
        <v>0</v>
      </c>
      <c r="AH1217" s="7">
        <v>6525</v>
      </c>
      <c r="AI1217">
        <f t="shared" si="337"/>
        <v>360</v>
      </c>
      <c r="AJ1217" t="e">
        <f>VLOOKUP(A1217,'Borrower Details'!$A$1:$H$1493,8,FALSE)</f>
        <v>#N/A</v>
      </c>
      <c r="AK1217" s="4" t="e">
        <f t="shared" si="338"/>
        <v>#N/A</v>
      </c>
      <c r="AL1217" s="10">
        <v>6.75</v>
      </c>
      <c r="AM1217" s="3">
        <f t="shared" si="339"/>
        <v>132159.53659999999</v>
      </c>
      <c r="AN1217">
        <v>6.75</v>
      </c>
      <c r="AO1217" s="7">
        <f t="shared" si="340"/>
        <v>912.2507124043052</v>
      </c>
      <c r="AP1217" s="2">
        <f t="shared" si="341"/>
        <v>232.9892875956948</v>
      </c>
    </row>
    <row r="1218" spans="1:42" x14ac:dyDescent="0.15">
      <c r="A1218" s="8">
        <v>410509285</v>
      </c>
      <c r="B1218" t="s">
        <v>36</v>
      </c>
      <c r="C1218" t="s">
        <v>19</v>
      </c>
      <c r="D1218" s="1">
        <v>39260</v>
      </c>
      <c r="E1218" s="2">
        <v>223000</v>
      </c>
      <c r="F1218" s="2">
        <v>161000</v>
      </c>
      <c r="G1218" t="s">
        <v>15</v>
      </c>
      <c r="H1218" s="2">
        <v>1198.24</v>
      </c>
      <c r="I1218" s="2">
        <v>159919.57999999999</v>
      </c>
      <c r="J1218">
        <v>8.1500000000000003E-2</v>
      </c>
      <c r="K1218">
        <v>10</v>
      </c>
      <c r="L1218">
        <v>350</v>
      </c>
      <c r="M1218" t="str">
        <f t="shared" si="327"/>
        <v>30 Year Fixed</v>
      </c>
      <c r="N1218" s="2">
        <v>1086.1199999999999</v>
      </c>
      <c r="O1218" t="str">
        <f t="shared" ref="O1218:O1281" si="342">IF((0.85*E1218)&gt;(I1218*1.015),"Cash Out","Refi")</f>
        <v>Cash Out</v>
      </c>
      <c r="P1218" s="3">
        <f t="shared" si="328"/>
        <v>26829.188472906448</v>
      </c>
      <c r="Q1218" s="4">
        <v>189550</v>
      </c>
      <c r="R1218" s="4" t="s">
        <v>41</v>
      </c>
      <c r="S1218" s="6">
        <v>531</v>
      </c>
      <c r="T1218">
        <v>7.625</v>
      </c>
      <c r="U1218" s="7">
        <f t="shared" ref="U1218:U1281" si="343">(Q1218*((T1218/1200)/(1-(1+(T1218/1200))^-AI1218)))+((Q1218*0.005)/12)</f>
        <v>1420.60221288188</v>
      </c>
      <c r="V1218" s="2">
        <f t="shared" si="329"/>
        <v>-222.36221288187994</v>
      </c>
      <c r="W1218" s="9">
        <f t="shared" si="330"/>
        <v>1</v>
      </c>
      <c r="X1218" s="3">
        <v>162319</v>
      </c>
      <c r="Y1218" s="3">
        <f t="shared" si="331"/>
        <v>0.61704433499835432</v>
      </c>
      <c r="Z1218" s="7">
        <f t="shared" si="332"/>
        <v>1216.5166478120489</v>
      </c>
      <c r="AA1218" s="2">
        <f t="shared" ref="AA1218:AA1281" si="344">H1218-Z1218</f>
        <v>-18.27664781204885</v>
      </c>
      <c r="AB1218" s="8">
        <f t="shared" si="333"/>
        <v>1</v>
      </c>
      <c r="AC1218" s="10">
        <v>6.875</v>
      </c>
      <c r="AD1218" s="7">
        <f t="shared" si="334"/>
        <v>1133.953197736628</v>
      </c>
      <c r="AE1218" s="2">
        <f t="shared" si="335"/>
        <v>64.28680226337201</v>
      </c>
      <c r="AF1218" s="10">
        <v>1</v>
      </c>
      <c r="AG1218" s="3">
        <f t="shared" si="336"/>
        <v>1623.19</v>
      </c>
      <c r="AH1218" s="7">
        <v>3220</v>
      </c>
      <c r="AI1218">
        <f t="shared" si="337"/>
        <v>360</v>
      </c>
      <c r="AJ1218" t="e">
        <f>VLOOKUP(A1218,'Borrower Details'!$A$1:$H$1493,8,FALSE)</f>
        <v>#N/A</v>
      </c>
      <c r="AK1218" s="4" t="e">
        <f t="shared" si="338"/>
        <v>#N/A</v>
      </c>
      <c r="AL1218" s="10">
        <v>7.625</v>
      </c>
      <c r="AM1218" s="3">
        <f t="shared" si="339"/>
        <v>162318.37369999997</v>
      </c>
      <c r="AN1218">
        <v>7.625</v>
      </c>
      <c r="AO1218" s="7">
        <f t="shared" si="340"/>
        <v>1216.5119539414818</v>
      </c>
      <c r="AP1218" s="2">
        <f t="shared" si="341"/>
        <v>-18.271953941481797</v>
      </c>
    </row>
    <row r="1219" spans="1:42" x14ac:dyDescent="0.15">
      <c r="A1219" s="8">
        <v>411060031</v>
      </c>
      <c r="B1219" t="s">
        <v>36</v>
      </c>
      <c r="C1219" t="s">
        <v>16</v>
      </c>
      <c r="D1219" s="1">
        <v>39379</v>
      </c>
      <c r="E1219" s="2">
        <v>170000</v>
      </c>
      <c r="F1219" s="2">
        <v>153000</v>
      </c>
      <c r="G1219" t="s">
        <v>17</v>
      </c>
      <c r="H1219" s="2">
        <v>1371.04</v>
      </c>
      <c r="I1219" s="2">
        <v>152539.18</v>
      </c>
      <c r="J1219">
        <v>0.10249999999999999</v>
      </c>
      <c r="K1219">
        <v>6</v>
      </c>
      <c r="L1219">
        <v>353</v>
      </c>
      <c r="M1219" t="str">
        <f t="shared" ref="M1219:M1282" si="345">(IF((L1219+K1219)&lt;180,"15 Year Fixed","30 Year Fixed"))</f>
        <v>30 Year Fixed</v>
      </c>
      <c r="N1219" s="2">
        <v>1302.94</v>
      </c>
      <c r="O1219" t="str">
        <f t="shared" si="342"/>
        <v>Refi</v>
      </c>
      <c r="P1219" s="3">
        <f t="shared" ref="P1219:P1282" si="346">IF((0.85*E1219)&gt;(I1219*1.015),((0.85*E1219)/1.015)-(I1219),0)</f>
        <v>0</v>
      </c>
      <c r="Q1219" s="4">
        <v>154827</v>
      </c>
      <c r="R1219" s="4" t="s">
        <v>41</v>
      </c>
      <c r="S1219" s="6">
        <v>673</v>
      </c>
      <c r="T1219">
        <v>6.75</v>
      </c>
      <c r="U1219" s="7">
        <f t="shared" si="343"/>
        <v>1068.7162249736684</v>
      </c>
      <c r="V1219" s="2">
        <f t="shared" ref="V1219:V1282" si="347">H1219-U1219</f>
        <v>302.32377502633153</v>
      </c>
      <c r="W1219" s="9">
        <f t="shared" ref="W1219:W1282" si="348">IF(AND(O1219="Cash Out",V1219&lt;0),1,0)</f>
        <v>0</v>
      </c>
      <c r="X1219" s="3">
        <v>154827</v>
      </c>
      <c r="Y1219" s="3">
        <f t="shared" ref="Y1219:Y1282" si="349">(X1219/1.015)-(I1219)</f>
        <v>-0.26374384234077297</v>
      </c>
      <c r="Z1219" s="7">
        <f t="shared" ref="Z1219:Z1282" si="350">(X1219*((AL1219/1200)/(1-(1+(AL1219/1200))^-AI1219)))+((X1219*0.005)/12)</f>
        <v>1068.7162249736684</v>
      </c>
      <c r="AA1219" s="2">
        <f t="shared" si="344"/>
        <v>302.32377502633153</v>
      </c>
      <c r="AB1219" s="8">
        <f t="shared" ref="AB1219:AB1282" si="351">IF(I1219=0,0,IF(AND(AH1219&gt;0,(AP1219/AO1219)&lt;0.07),1,IF(AND(AH1219=0,(AP1219/AO1219)&lt;0.1),1,0)))</f>
        <v>0</v>
      </c>
      <c r="AC1219" s="10">
        <v>6.75</v>
      </c>
      <c r="AD1219" s="7">
        <f t="shared" ref="AD1219:AD1282" si="352">(X1219*((AC1219/1200)/(1-(1+(AC1219/1200))^-AI1219)))+((X1219*0.005)/12)</f>
        <v>1068.7162249736684</v>
      </c>
      <c r="AE1219" s="2">
        <f t="shared" ref="AE1219:AE1282" si="353">H1219-AD1219</f>
        <v>302.32377502633153</v>
      </c>
      <c r="AF1219" s="10">
        <v>0</v>
      </c>
      <c r="AG1219" s="3">
        <f t="shared" ref="AG1219:AG1282" si="354">AF1219*X1219/100</f>
        <v>0</v>
      </c>
      <c r="AH1219" s="7">
        <v>3060</v>
      </c>
      <c r="AI1219">
        <f t="shared" ref="AI1219:AI1282" si="355">IF(M1219="30 Year Fixed",360,180)</f>
        <v>360</v>
      </c>
      <c r="AJ1219" t="e">
        <f>VLOOKUP(A1219,'Borrower Details'!$A$1:$H$1493,8,FALSE)</f>
        <v>#N/A</v>
      </c>
      <c r="AK1219" s="4" t="e">
        <f t="shared" ref="AK1219:AK1282" si="356">IF(AJ1219&gt;360,PV((J1219/12),AJ1219-AI1219,-H1219),"NA")</f>
        <v>#N/A</v>
      </c>
      <c r="AL1219" s="10">
        <v>6.75</v>
      </c>
      <c r="AM1219" s="3">
        <f t="shared" ref="AM1219:AM1282" si="357">I1219*1.015</f>
        <v>154827.26769999997</v>
      </c>
      <c r="AN1219">
        <v>6.75</v>
      </c>
      <c r="AO1219" s="7">
        <f t="shared" ref="AO1219:AO1282" si="358">(AM1219*((AN1219/1200)/(1-(1+(AN1219/1200))^-AI1219)))+((AM1219*0.005)/12)</f>
        <v>1068.7180728124395</v>
      </c>
      <c r="AP1219" s="2">
        <f t="shared" ref="AP1219:AP1282" si="359">H1219-AO1219</f>
        <v>302.3219271875605</v>
      </c>
    </row>
    <row r="1220" spans="1:42" x14ac:dyDescent="0.15">
      <c r="A1220" s="8">
        <v>410750137</v>
      </c>
      <c r="B1220" t="s">
        <v>36</v>
      </c>
      <c r="C1220" t="s">
        <v>18</v>
      </c>
      <c r="D1220" s="1">
        <v>39300</v>
      </c>
      <c r="E1220" s="2">
        <v>241000</v>
      </c>
      <c r="F1220" s="2">
        <v>228950</v>
      </c>
      <c r="G1220" t="s">
        <v>20</v>
      </c>
      <c r="H1220" s="2">
        <v>2107.15</v>
      </c>
      <c r="I1220" s="2">
        <v>228211.28</v>
      </c>
      <c r="J1220">
        <v>0.10575</v>
      </c>
      <c r="K1220">
        <v>8</v>
      </c>
      <c r="L1220">
        <v>352</v>
      </c>
      <c r="M1220" t="str">
        <f t="shared" si="345"/>
        <v>30 Year Fixed</v>
      </c>
      <c r="N1220" s="2">
        <v>2011.11</v>
      </c>
      <c r="O1220" t="str">
        <f t="shared" si="342"/>
        <v>Refi</v>
      </c>
      <c r="P1220" s="3">
        <f t="shared" si="346"/>
        <v>0</v>
      </c>
      <c r="Q1220" s="4">
        <v>231634</v>
      </c>
      <c r="R1220" s="4" t="s">
        <v>41</v>
      </c>
      <c r="S1220" s="6">
        <v>585</v>
      </c>
      <c r="T1220">
        <v>7.375</v>
      </c>
      <c r="U1220" s="7">
        <f t="shared" si="343"/>
        <v>1696.352638052284</v>
      </c>
      <c r="V1220" s="2">
        <f t="shared" si="347"/>
        <v>410.79736194771613</v>
      </c>
      <c r="W1220" s="9">
        <f t="shared" si="348"/>
        <v>0</v>
      </c>
      <c r="X1220" s="3">
        <v>231634</v>
      </c>
      <c r="Y1220" s="3">
        <f t="shared" si="349"/>
        <v>-0.44256157631753013</v>
      </c>
      <c r="Z1220" s="7">
        <f t="shared" si="350"/>
        <v>1696.352638052284</v>
      </c>
      <c r="AA1220" s="2">
        <f t="shared" si="344"/>
        <v>410.79736194771613</v>
      </c>
      <c r="AB1220" s="8">
        <f t="shared" si="351"/>
        <v>0</v>
      </c>
      <c r="AC1220" s="10">
        <v>7.375</v>
      </c>
      <c r="AD1220" s="7">
        <f t="shared" si="352"/>
        <v>1696.352638052284</v>
      </c>
      <c r="AE1220" s="2">
        <f t="shared" si="353"/>
        <v>410.79736194771613</v>
      </c>
      <c r="AF1220" s="10">
        <v>0</v>
      </c>
      <c r="AG1220" s="3">
        <f t="shared" si="354"/>
        <v>0</v>
      </c>
      <c r="AH1220" s="7">
        <v>4579</v>
      </c>
      <c r="AI1220">
        <f t="shared" si="355"/>
        <v>360</v>
      </c>
      <c r="AJ1220" t="e">
        <f>VLOOKUP(A1220,'Borrower Details'!$A$1:$H$1493,8,FALSE)</f>
        <v>#N/A</v>
      </c>
      <c r="AK1220" s="4" t="e">
        <f t="shared" si="356"/>
        <v>#N/A</v>
      </c>
      <c r="AL1220" s="10">
        <v>7.375</v>
      </c>
      <c r="AM1220" s="3">
        <f t="shared" si="357"/>
        <v>231634.44919999997</v>
      </c>
      <c r="AN1220">
        <v>7.375</v>
      </c>
      <c r="AO1220" s="7">
        <f t="shared" si="358"/>
        <v>1696.3559277317136</v>
      </c>
      <c r="AP1220" s="2">
        <f t="shared" si="359"/>
        <v>410.79407226828653</v>
      </c>
    </row>
    <row r="1221" spans="1:42" x14ac:dyDescent="0.15">
      <c r="A1221" s="8">
        <v>410397251</v>
      </c>
      <c r="B1221" t="s">
        <v>35</v>
      </c>
      <c r="C1221" t="s">
        <v>16</v>
      </c>
      <c r="D1221" s="1">
        <v>39251</v>
      </c>
      <c r="E1221" s="2">
        <v>91000</v>
      </c>
      <c r="F1221" s="2">
        <v>81900</v>
      </c>
      <c r="G1221" t="s">
        <v>17</v>
      </c>
      <c r="H1221" s="2">
        <v>644.30999999999995</v>
      </c>
      <c r="I1221" s="2">
        <v>81463.320000000007</v>
      </c>
      <c r="J1221">
        <v>8.7499999999999994E-2</v>
      </c>
      <c r="K1221">
        <v>10</v>
      </c>
      <c r="L1221">
        <v>351</v>
      </c>
      <c r="M1221" t="str">
        <f t="shared" si="345"/>
        <v>30 Year Fixed</v>
      </c>
      <c r="N1221" s="2">
        <v>594</v>
      </c>
      <c r="O1221" t="str">
        <f t="shared" si="342"/>
        <v>Refi</v>
      </c>
      <c r="P1221" s="3">
        <f t="shared" si="346"/>
        <v>0</v>
      </c>
      <c r="Q1221" s="4">
        <v>82685</v>
      </c>
      <c r="R1221" s="4" t="s">
        <v>41</v>
      </c>
      <c r="S1221" s="6">
        <v>606</v>
      </c>
      <c r="T1221">
        <v>7</v>
      </c>
      <c r="U1221" s="7">
        <f t="shared" si="343"/>
        <v>584.55745147224047</v>
      </c>
      <c r="V1221" s="2">
        <f t="shared" si="347"/>
        <v>59.752548527759473</v>
      </c>
      <c r="W1221" s="9">
        <f t="shared" si="348"/>
        <v>0</v>
      </c>
      <c r="X1221" s="3">
        <v>82685</v>
      </c>
      <c r="Y1221" s="3">
        <f t="shared" si="349"/>
        <v>-0.2658128078765003</v>
      </c>
      <c r="Z1221" s="7">
        <f t="shared" si="350"/>
        <v>584.55745147224047</v>
      </c>
      <c r="AA1221" s="2">
        <f t="shared" si="344"/>
        <v>59.752548527759473</v>
      </c>
      <c r="AB1221" s="8">
        <f t="shared" si="351"/>
        <v>0</v>
      </c>
      <c r="AC1221" s="10">
        <v>7</v>
      </c>
      <c r="AD1221" s="7">
        <f t="shared" si="352"/>
        <v>584.55745147224047</v>
      </c>
      <c r="AE1221" s="2">
        <f t="shared" si="353"/>
        <v>59.752548527759473</v>
      </c>
      <c r="AF1221" s="10">
        <v>0</v>
      </c>
      <c r="AG1221" s="3">
        <f t="shared" si="354"/>
        <v>0</v>
      </c>
      <c r="AH1221" s="7">
        <v>3583.125</v>
      </c>
      <c r="AI1221">
        <f t="shared" si="355"/>
        <v>360</v>
      </c>
      <c r="AJ1221" t="e">
        <f>VLOOKUP(A1221,'Borrower Details'!$A$1:$H$1493,8,FALSE)</f>
        <v>#N/A</v>
      </c>
      <c r="AK1221" s="4" t="e">
        <f t="shared" si="356"/>
        <v>#N/A</v>
      </c>
      <c r="AL1221" s="10">
        <v>7</v>
      </c>
      <c r="AM1221" s="3">
        <f t="shared" si="357"/>
        <v>82685.269799999995</v>
      </c>
      <c r="AN1221">
        <v>7</v>
      </c>
      <c r="AO1221" s="7">
        <f t="shared" si="358"/>
        <v>584.55935887503915</v>
      </c>
      <c r="AP1221" s="2">
        <f t="shared" si="359"/>
        <v>59.750641124960794</v>
      </c>
    </row>
    <row r="1222" spans="1:42" x14ac:dyDescent="0.15">
      <c r="A1222" s="8">
        <v>410673743</v>
      </c>
      <c r="B1222" t="s">
        <v>37</v>
      </c>
      <c r="C1222" t="s">
        <v>16</v>
      </c>
      <c r="D1222" s="1">
        <v>39315</v>
      </c>
      <c r="E1222" s="2">
        <v>159000</v>
      </c>
      <c r="F1222" s="2">
        <v>143100</v>
      </c>
      <c r="G1222" t="s">
        <v>20</v>
      </c>
      <c r="H1222" s="2">
        <v>1150.3900000000001</v>
      </c>
      <c r="I1222" s="2">
        <v>142347.73000000001</v>
      </c>
      <c r="J1222">
        <v>8.9899999999999994E-2</v>
      </c>
      <c r="K1222">
        <v>8</v>
      </c>
      <c r="L1222">
        <v>351</v>
      </c>
      <c r="M1222" t="str">
        <f t="shared" si="345"/>
        <v>30 Year Fixed</v>
      </c>
      <c r="N1222" s="2">
        <v>1067.08</v>
      </c>
      <c r="O1222" t="str">
        <f t="shared" si="342"/>
        <v>Refi</v>
      </c>
      <c r="P1222" s="3">
        <f t="shared" si="346"/>
        <v>0</v>
      </c>
      <c r="Q1222" s="4">
        <v>144483</v>
      </c>
      <c r="R1222" s="4" t="s">
        <v>41</v>
      </c>
      <c r="S1222" s="6">
        <v>676</v>
      </c>
      <c r="T1222">
        <v>6.75</v>
      </c>
      <c r="U1222" s="7">
        <f t="shared" si="343"/>
        <v>997.31523786465232</v>
      </c>
      <c r="V1222" s="2">
        <f t="shared" si="347"/>
        <v>153.07476213534778</v>
      </c>
      <c r="W1222" s="9">
        <f t="shared" si="348"/>
        <v>0</v>
      </c>
      <c r="X1222" s="3">
        <v>144483</v>
      </c>
      <c r="Y1222" s="3">
        <f t="shared" si="349"/>
        <v>5.3251231525791809E-2</v>
      </c>
      <c r="Z1222" s="7">
        <f t="shared" si="350"/>
        <v>997.31523786465232</v>
      </c>
      <c r="AA1222" s="2">
        <f t="shared" si="344"/>
        <v>153.07476213534778</v>
      </c>
      <c r="AB1222" s="8">
        <f t="shared" si="351"/>
        <v>0</v>
      </c>
      <c r="AC1222" s="10">
        <v>6.75</v>
      </c>
      <c r="AD1222" s="7">
        <f t="shared" si="352"/>
        <v>997.31523786465232</v>
      </c>
      <c r="AE1222" s="2">
        <f t="shared" si="353"/>
        <v>153.07476213534778</v>
      </c>
      <c r="AF1222" s="10">
        <v>0</v>
      </c>
      <c r="AG1222" s="3">
        <f t="shared" si="354"/>
        <v>0</v>
      </c>
      <c r="AH1222" s="7">
        <v>0</v>
      </c>
      <c r="AI1222">
        <f t="shared" si="355"/>
        <v>360</v>
      </c>
      <c r="AJ1222" t="e">
        <f>VLOOKUP(A1222,'Borrower Details'!$A$1:$H$1493,8,FALSE)</f>
        <v>#N/A</v>
      </c>
      <c r="AK1222" s="4" t="e">
        <f t="shared" si="356"/>
        <v>#N/A</v>
      </c>
      <c r="AL1222" s="10">
        <v>6.75</v>
      </c>
      <c r="AM1222" s="3">
        <f t="shared" si="357"/>
        <v>144482.94594999999</v>
      </c>
      <c r="AN1222">
        <v>6.75</v>
      </c>
      <c r="AO1222" s="7">
        <f t="shared" si="358"/>
        <v>997.31486477654778</v>
      </c>
      <c r="AP1222" s="2">
        <f t="shared" si="359"/>
        <v>153.07513522345232</v>
      </c>
    </row>
    <row r="1223" spans="1:42" x14ac:dyDescent="0.15">
      <c r="A1223" s="8">
        <v>410308605</v>
      </c>
      <c r="B1223" t="s">
        <v>37</v>
      </c>
      <c r="C1223" t="s">
        <v>19</v>
      </c>
      <c r="D1223" s="1">
        <v>39246</v>
      </c>
      <c r="E1223" s="2">
        <v>192000</v>
      </c>
      <c r="F1223" s="2">
        <v>134300</v>
      </c>
      <c r="G1223" t="s">
        <v>17</v>
      </c>
      <c r="H1223" s="2">
        <v>1023.15</v>
      </c>
      <c r="I1223" s="2">
        <v>133330.91</v>
      </c>
      <c r="J1223">
        <v>8.4000000000000005E-2</v>
      </c>
      <c r="K1223">
        <v>10</v>
      </c>
      <c r="L1223">
        <v>350</v>
      </c>
      <c r="M1223" t="str">
        <f t="shared" si="345"/>
        <v>30 Year Fixed</v>
      </c>
      <c r="N1223" s="2">
        <v>933.32</v>
      </c>
      <c r="O1223" t="str">
        <f t="shared" si="342"/>
        <v>Cash Out</v>
      </c>
      <c r="P1223" s="3">
        <f t="shared" si="346"/>
        <v>27457.267339901504</v>
      </c>
      <c r="Q1223" s="4">
        <v>163200</v>
      </c>
      <c r="R1223" s="4" t="s">
        <v>41</v>
      </c>
      <c r="S1223" s="6">
        <v>591</v>
      </c>
      <c r="T1223">
        <v>7.375</v>
      </c>
      <c r="U1223" s="7">
        <f t="shared" si="343"/>
        <v>1195.1818408788554</v>
      </c>
      <c r="V1223" s="2">
        <f t="shared" si="347"/>
        <v>-172.03184087885541</v>
      </c>
      <c r="W1223" s="9">
        <f t="shared" si="348"/>
        <v>1</v>
      </c>
      <c r="X1223" s="3">
        <v>139640</v>
      </c>
      <c r="Y1223" s="3">
        <f t="shared" si="349"/>
        <v>4245.444679802953</v>
      </c>
      <c r="Z1223" s="7">
        <f t="shared" si="350"/>
        <v>1022.6421094382558</v>
      </c>
      <c r="AA1223" s="2">
        <f t="shared" si="344"/>
        <v>0.50789056174414782</v>
      </c>
      <c r="AB1223" s="8">
        <f t="shared" si="351"/>
        <v>1</v>
      </c>
      <c r="AC1223" s="10">
        <v>6.375</v>
      </c>
      <c r="AD1223" s="7">
        <f t="shared" si="352"/>
        <v>929.35526005834413</v>
      </c>
      <c r="AE1223" s="2">
        <f t="shared" si="353"/>
        <v>93.794739941655848</v>
      </c>
      <c r="AF1223" s="10">
        <v>2.625</v>
      </c>
      <c r="AG1223" s="3">
        <f t="shared" si="354"/>
        <v>3665.55</v>
      </c>
      <c r="AH1223" s="7">
        <v>0</v>
      </c>
      <c r="AI1223">
        <f t="shared" si="355"/>
        <v>360</v>
      </c>
      <c r="AJ1223" t="e">
        <f>VLOOKUP(A1223,'Borrower Details'!$A$1:$H$1493,8,FALSE)</f>
        <v>#N/A</v>
      </c>
      <c r="AK1223" s="4" t="e">
        <f t="shared" si="356"/>
        <v>#N/A</v>
      </c>
      <c r="AL1223" s="10">
        <v>7.375</v>
      </c>
      <c r="AM1223" s="3">
        <f t="shared" si="357"/>
        <v>135330.87364999999</v>
      </c>
      <c r="AN1223">
        <v>7.375</v>
      </c>
      <c r="AO1223" s="7">
        <f t="shared" si="358"/>
        <v>991.08457534773754</v>
      </c>
      <c r="AP1223" s="2">
        <f t="shared" si="359"/>
        <v>32.065424652262436</v>
      </c>
    </row>
    <row r="1224" spans="1:42" x14ac:dyDescent="0.15">
      <c r="A1224" s="8">
        <v>410493431</v>
      </c>
      <c r="B1224" t="s">
        <v>35</v>
      </c>
      <c r="C1224" t="s">
        <v>16</v>
      </c>
      <c r="D1224" s="1">
        <v>39266</v>
      </c>
      <c r="E1224" s="2">
        <v>171000</v>
      </c>
      <c r="F1224" s="2">
        <v>144500</v>
      </c>
      <c r="G1224" t="s">
        <v>17</v>
      </c>
      <c r="H1224" s="2">
        <v>951.68</v>
      </c>
      <c r="I1224" s="2">
        <v>143132.28</v>
      </c>
      <c r="J1224">
        <v>6.9000000000000006E-2</v>
      </c>
      <c r="K1224">
        <v>10</v>
      </c>
      <c r="L1224">
        <v>349</v>
      </c>
      <c r="M1224" t="str">
        <f t="shared" si="345"/>
        <v>30 Year Fixed</v>
      </c>
      <c r="N1224" s="2">
        <v>823.01</v>
      </c>
      <c r="O1224" t="str">
        <f t="shared" si="342"/>
        <v>Cash Out</v>
      </c>
      <c r="P1224" s="3">
        <f t="shared" si="346"/>
        <v>69.690443349769339</v>
      </c>
      <c r="Q1224" s="4">
        <v>145350</v>
      </c>
      <c r="R1224" s="4" t="s">
        <v>41</v>
      </c>
      <c r="S1224" s="6">
        <v>668</v>
      </c>
      <c r="T1224">
        <v>6.75</v>
      </c>
      <c r="U1224" s="7">
        <f t="shared" si="343"/>
        <v>1003.2998333618988</v>
      </c>
      <c r="V1224" s="2">
        <f t="shared" si="347"/>
        <v>-51.619833361898827</v>
      </c>
      <c r="W1224" s="9">
        <f t="shared" si="348"/>
        <v>1</v>
      </c>
      <c r="X1224" s="3">
        <v>145279</v>
      </c>
      <c r="Y1224" s="3">
        <f t="shared" si="349"/>
        <v>-0.26029556649154983</v>
      </c>
      <c r="Z1224" s="7">
        <f t="shared" si="350"/>
        <v>1002.809745380002</v>
      </c>
      <c r="AA1224" s="2">
        <f t="shared" si="344"/>
        <v>-51.129745380002078</v>
      </c>
      <c r="AB1224" s="8">
        <f t="shared" si="351"/>
        <v>1</v>
      </c>
      <c r="AC1224" s="10">
        <v>6.125</v>
      </c>
      <c r="AD1224" s="7">
        <f t="shared" si="352"/>
        <v>943.2634324640967</v>
      </c>
      <c r="AE1224" s="2">
        <f t="shared" si="353"/>
        <v>8.4165675359032548</v>
      </c>
      <c r="AF1224" s="10">
        <v>3</v>
      </c>
      <c r="AG1224" s="3">
        <f t="shared" si="354"/>
        <v>4358.37</v>
      </c>
      <c r="AH1224" s="7">
        <v>4985.25</v>
      </c>
      <c r="AI1224">
        <f t="shared" si="355"/>
        <v>360</v>
      </c>
      <c r="AJ1224" t="e">
        <f>VLOOKUP(A1224,'Borrower Details'!$A$1:$H$1493,8,FALSE)</f>
        <v>#N/A</v>
      </c>
      <c r="AK1224" s="4" t="e">
        <f t="shared" si="356"/>
        <v>#N/A</v>
      </c>
      <c r="AL1224" s="10">
        <v>6.75</v>
      </c>
      <c r="AM1224" s="3">
        <f t="shared" si="357"/>
        <v>145279.26419999998</v>
      </c>
      <c r="AN1224">
        <v>6.75</v>
      </c>
      <c r="AO1224" s="7">
        <f t="shared" si="358"/>
        <v>1002.8115690595063</v>
      </c>
      <c r="AP1224" s="2">
        <f t="shared" si="359"/>
        <v>-51.131569059506319</v>
      </c>
    </row>
    <row r="1225" spans="1:42" x14ac:dyDescent="0.15">
      <c r="A1225" s="8">
        <v>410529549</v>
      </c>
      <c r="B1225" t="s">
        <v>38</v>
      </c>
      <c r="C1225" t="s">
        <v>18</v>
      </c>
      <c r="D1225" s="1">
        <v>39265</v>
      </c>
      <c r="E1225" s="2">
        <v>128000</v>
      </c>
      <c r="F1225" s="2">
        <v>115200</v>
      </c>
      <c r="G1225" t="s">
        <v>17</v>
      </c>
      <c r="H1225" s="2">
        <v>864.67</v>
      </c>
      <c r="I1225" s="2">
        <v>115061.59</v>
      </c>
      <c r="J1225">
        <v>8.8999999999999996E-2</v>
      </c>
      <c r="K1225">
        <v>10</v>
      </c>
      <c r="L1225">
        <v>350</v>
      </c>
      <c r="M1225" t="str">
        <f t="shared" si="345"/>
        <v>30 Year Fixed</v>
      </c>
      <c r="N1225" s="2">
        <v>853.37</v>
      </c>
      <c r="O1225" t="str">
        <f t="shared" si="342"/>
        <v>Refi</v>
      </c>
      <c r="P1225" s="3">
        <f t="shared" si="346"/>
        <v>0</v>
      </c>
      <c r="Q1225" s="4">
        <v>116788</v>
      </c>
      <c r="R1225" s="4" t="s">
        <v>41</v>
      </c>
      <c r="S1225" s="6">
        <v>627</v>
      </c>
      <c r="T1225">
        <v>6.75</v>
      </c>
      <c r="U1225" s="7">
        <f t="shared" si="343"/>
        <v>806.14641168675223</v>
      </c>
      <c r="V1225" s="2">
        <f t="shared" si="347"/>
        <v>58.523588313247728</v>
      </c>
      <c r="W1225" s="9">
        <f t="shared" si="348"/>
        <v>0</v>
      </c>
      <c r="X1225" s="3">
        <v>116788</v>
      </c>
      <c r="Y1225" s="3">
        <f t="shared" si="349"/>
        <v>0.47896551724988967</v>
      </c>
      <c r="Z1225" s="7">
        <f t="shared" si="350"/>
        <v>806.14641168675223</v>
      </c>
      <c r="AA1225" s="2">
        <f t="shared" si="344"/>
        <v>58.523588313247728</v>
      </c>
      <c r="AB1225" s="8">
        <f t="shared" si="351"/>
        <v>1</v>
      </c>
      <c r="AC1225" s="10">
        <v>6.125</v>
      </c>
      <c r="AD1225" s="7">
        <f t="shared" si="352"/>
        <v>758.27786363216239</v>
      </c>
      <c r="AE1225" s="2">
        <f t="shared" si="353"/>
        <v>106.39213636783757</v>
      </c>
      <c r="AF1225" s="10">
        <v>3</v>
      </c>
      <c r="AG1225" s="3">
        <f t="shared" si="354"/>
        <v>3503.64</v>
      </c>
      <c r="AH1225" s="7">
        <v>0</v>
      </c>
      <c r="AI1225">
        <f t="shared" si="355"/>
        <v>360</v>
      </c>
      <c r="AJ1225" t="e">
        <f>VLOOKUP(A1225,'Borrower Details'!$A$1:$H$1493,8,FALSE)</f>
        <v>#N/A</v>
      </c>
      <c r="AK1225" s="4" t="e">
        <f t="shared" si="356"/>
        <v>#N/A</v>
      </c>
      <c r="AL1225" s="10">
        <v>6.75</v>
      </c>
      <c r="AM1225" s="3">
        <f t="shared" si="357"/>
        <v>116787.51384999999</v>
      </c>
      <c r="AN1225">
        <v>6.75</v>
      </c>
      <c r="AO1225" s="7">
        <f t="shared" si="358"/>
        <v>806.14305596460565</v>
      </c>
      <c r="AP1225" s="2">
        <f t="shared" si="359"/>
        <v>58.526944035394308</v>
      </c>
    </row>
    <row r="1226" spans="1:42" x14ac:dyDescent="0.15">
      <c r="A1226" s="8">
        <v>410676225</v>
      </c>
      <c r="B1226" t="s">
        <v>35</v>
      </c>
      <c r="C1226" t="s">
        <v>16</v>
      </c>
      <c r="D1226" s="1">
        <v>39293</v>
      </c>
      <c r="E1226" s="2">
        <v>239000</v>
      </c>
      <c r="F1226" s="2">
        <v>226100</v>
      </c>
      <c r="G1226" t="s">
        <v>15</v>
      </c>
      <c r="H1226" s="2">
        <v>1604.22</v>
      </c>
      <c r="I1226" s="2">
        <v>224596.58</v>
      </c>
      <c r="J1226">
        <v>7.6499999999999999E-2</v>
      </c>
      <c r="K1226">
        <v>9</v>
      </c>
      <c r="L1226">
        <v>351</v>
      </c>
      <c r="M1226" t="str">
        <f t="shared" si="345"/>
        <v>30 Year Fixed</v>
      </c>
      <c r="N1226" s="2">
        <v>1431.8</v>
      </c>
      <c r="O1226" t="str">
        <f t="shared" si="342"/>
        <v>Refi</v>
      </c>
      <c r="P1226" s="3">
        <f t="shared" si="346"/>
        <v>0</v>
      </c>
      <c r="Q1226" s="4">
        <v>227966</v>
      </c>
      <c r="R1226" s="4" t="s">
        <v>41</v>
      </c>
      <c r="S1226" s="6">
        <v>649</v>
      </c>
      <c r="T1226">
        <v>6.75</v>
      </c>
      <c r="U1226" s="7">
        <f t="shared" si="343"/>
        <v>1573.5689701560277</v>
      </c>
      <c r="V1226" s="2">
        <f t="shared" si="347"/>
        <v>30.65102984397231</v>
      </c>
      <c r="W1226" s="9">
        <f t="shared" si="348"/>
        <v>0</v>
      </c>
      <c r="X1226" s="3">
        <v>227966</v>
      </c>
      <c r="Y1226" s="3">
        <f t="shared" si="349"/>
        <v>0.46433497540419921</v>
      </c>
      <c r="Z1226" s="7">
        <f t="shared" si="350"/>
        <v>1573.5689701560277</v>
      </c>
      <c r="AA1226" s="2">
        <f t="shared" si="344"/>
        <v>30.65102984397231</v>
      </c>
      <c r="AB1226" s="8">
        <f t="shared" si="351"/>
        <v>1</v>
      </c>
      <c r="AC1226" s="10">
        <v>6.125</v>
      </c>
      <c r="AD1226" s="7">
        <f t="shared" si="352"/>
        <v>1480.1312759938482</v>
      </c>
      <c r="AE1226" s="2">
        <f t="shared" si="353"/>
        <v>124.08872400615178</v>
      </c>
      <c r="AF1226" s="10">
        <v>3</v>
      </c>
      <c r="AG1226" s="3">
        <f t="shared" si="354"/>
        <v>6838.98</v>
      </c>
      <c r="AH1226" s="7">
        <v>8648.3250000000007</v>
      </c>
      <c r="AI1226">
        <f t="shared" si="355"/>
        <v>360</v>
      </c>
      <c r="AJ1226" t="e">
        <f>VLOOKUP(A1226,'Borrower Details'!$A$1:$H$1493,8,FALSE)</f>
        <v>#N/A</v>
      </c>
      <c r="AK1226" s="4" t="e">
        <f t="shared" si="356"/>
        <v>#N/A</v>
      </c>
      <c r="AL1226" s="10">
        <v>6.75</v>
      </c>
      <c r="AM1226" s="3">
        <f t="shared" si="357"/>
        <v>227965.52869999997</v>
      </c>
      <c r="AN1226">
        <v>6.75</v>
      </c>
      <c r="AO1226" s="7">
        <f t="shared" si="358"/>
        <v>1573.5657169381982</v>
      </c>
      <c r="AP1226" s="2">
        <f t="shared" si="359"/>
        <v>30.654283061801834</v>
      </c>
    </row>
    <row r="1227" spans="1:42" x14ac:dyDescent="0.15">
      <c r="A1227" s="8">
        <v>410891717</v>
      </c>
      <c r="B1227" t="s">
        <v>36</v>
      </c>
      <c r="C1227" t="s">
        <v>18</v>
      </c>
      <c r="D1227" s="1">
        <v>39339</v>
      </c>
      <c r="E1227" s="2">
        <v>215000</v>
      </c>
      <c r="F1227" s="2">
        <v>116310</v>
      </c>
      <c r="G1227" t="s">
        <v>17</v>
      </c>
      <c r="H1227" s="2">
        <v>921.25</v>
      </c>
      <c r="I1227" s="2">
        <v>115769.13</v>
      </c>
      <c r="J1227">
        <v>8.8249999999999995E-2</v>
      </c>
      <c r="K1227">
        <v>7</v>
      </c>
      <c r="L1227">
        <v>352</v>
      </c>
      <c r="M1227" t="str">
        <f t="shared" si="345"/>
        <v>30 Year Fixed</v>
      </c>
      <c r="N1227" s="2">
        <v>851.39</v>
      </c>
      <c r="O1227" t="str">
        <f t="shared" si="342"/>
        <v>Cash Out</v>
      </c>
      <c r="P1227" s="3">
        <f t="shared" si="346"/>
        <v>64280.13108374385</v>
      </c>
      <c r="Q1227" s="4">
        <v>182750</v>
      </c>
      <c r="R1227" s="4" t="s">
        <v>41</v>
      </c>
      <c r="S1227" s="6">
        <v>567</v>
      </c>
      <c r="T1227">
        <v>7.625</v>
      </c>
      <c r="U1227" s="7">
        <f t="shared" si="343"/>
        <v>1369.6389047964312</v>
      </c>
      <c r="V1227" s="2">
        <f t="shared" si="347"/>
        <v>-448.38890479643123</v>
      </c>
      <c r="W1227" s="9">
        <f t="shared" si="348"/>
        <v>1</v>
      </c>
      <c r="X1227" s="3">
        <v>122850</v>
      </c>
      <c r="Y1227" s="3">
        <f t="shared" si="349"/>
        <v>5265.352758620691</v>
      </c>
      <c r="Z1227" s="7">
        <f t="shared" si="350"/>
        <v>920.71211739667081</v>
      </c>
      <c r="AA1227" s="2">
        <f t="shared" si="344"/>
        <v>0.53788260332919435</v>
      </c>
      <c r="AB1227" s="8">
        <f t="shared" si="351"/>
        <v>1</v>
      </c>
      <c r="AC1227" s="10">
        <v>6.875</v>
      </c>
      <c r="AD1227" s="7">
        <f t="shared" si="352"/>
        <v>858.22454760037181</v>
      </c>
      <c r="AE1227" s="2">
        <f t="shared" si="353"/>
        <v>63.025452399628193</v>
      </c>
      <c r="AF1227" s="10">
        <v>1</v>
      </c>
      <c r="AG1227" s="3">
        <f t="shared" si="354"/>
        <v>1228.5</v>
      </c>
      <c r="AH1227" s="7">
        <v>2326.1999999999998</v>
      </c>
      <c r="AI1227">
        <f t="shared" si="355"/>
        <v>360</v>
      </c>
      <c r="AJ1227" t="e">
        <f>VLOOKUP(A1227,'Borrower Details'!$A$1:$H$1493,8,FALSE)</f>
        <v>#N/A</v>
      </c>
      <c r="AK1227" s="4" t="e">
        <f t="shared" si="356"/>
        <v>#N/A</v>
      </c>
      <c r="AL1227" s="10">
        <v>7.625</v>
      </c>
      <c r="AM1227" s="3">
        <f t="shared" si="357"/>
        <v>117505.66695</v>
      </c>
      <c r="AN1227">
        <v>7.625</v>
      </c>
      <c r="AO1227" s="7">
        <f t="shared" si="358"/>
        <v>880.6584568469068</v>
      </c>
      <c r="AP1227" s="2">
        <f t="shared" si="359"/>
        <v>40.591543153093198</v>
      </c>
    </row>
    <row r="1228" spans="1:42" x14ac:dyDescent="0.15">
      <c r="A1228" s="8">
        <v>410607485</v>
      </c>
      <c r="B1228" t="s">
        <v>36</v>
      </c>
      <c r="C1228" t="s">
        <v>18</v>
      </c>
      <c r="D1228" s="1">
        <v>39287</v>
      </c>
      <c r="E1228" s="2">
        <v>151000</v>
      </c>
      <c r="F1228" s="2">
        <v>135000</v>
      </c>
      <c r="G1228" t="s">
        <v>17</v>
      </c>
      <c r="H1228" s="2">
        <v>939.33</v>
      </c>
      <c r="I1228" s="2">
        <v>134057</v>
      </c>
      <c r="J1228">
        <v>7.4499999999999997E-2</v>
      </c>
      <c r="K1228">
        <v>9</v>
      </c>
      <c r="L1228">
        <v>351</v>
      </c>
      <c r="M1228" t="str">
        <f t="shared" si="345"/>
        <v>30 Year Fixed</v>
      </c>
      <c r="N1228" s="2">
        <v>832.27</v>
      </c>
      <c r="O1228" t="str">
        <f t="shared" si="342"/>
        <v>Refi</v>
      </c>
      <c r="P1228" s="3">
        <f t="shared" si="346"/>
        <v>0</v>
      </c>
      <c r="Q1228" s="4">
        <v>136068</v>
      </c>
      <c r="R1228" s="4" t="s">
        <v>41</v>
      </c>
      <c r="S1228" s="6">
        <v>661</v>
      </c>
      <c r="T1228">
        <v>6.75</v>
      </c>
      <c r="U1228" s="7">
        <f t="shared" si="343"/>
        <v>939.2294580384372</v>
      </c>
      <c r="V1228" s="2">
        <f t="shared" si="347"/>
        <v>0.10054196156283979</v>
      </c>
      <c r="W1228" s="9">
        <f t="shared" si="348"/>
        <v>0</v>
      </c>
      <c r="X1228" s="3">
        <v>136068</v>
      </c>
      <c r="Y1228" s="3">
        <f t="shared" si="349"/>
        <v>0.14285714286961593</v>
      </c>
      <c r="Z1228" s="7">
        <f t="shared" si="350"/>
        <v>939.2294580384372</v>
      </c>
      <c r="AA1228" s="2">
        <f t="shared" si="344"/>
        <v>0.10054196156283979</v>
      </c>
      <c r="AB1228" s="8">
        <f t="shared" si="351"/>
        <v>1</v>
      </c>
      <c r="AC1228" s="10">
        <v>6.125</v>
      </c>
      <c r="AD1228" s="7">
        <f t="shared" si="352"/>
        <v>883.45850899665277</v>
      </c>
      <c r="AE1228" s="2">
        <f t="shared" si="353"/>
        <v>55.871491003347273</v>
      </c>
      <c r="AF1228" s="10">
        <v>3</v>
      </c>
      <c r="AG1228" s="3">
        <f t="shared" si="354"/>
        <v>4082.04</v>
      </c>
      <c r="AH1228" s="7">
        <v>2700</v>
      </c>
      <c r="AI1228">
        <f t="shared" si="355"/>
        <v>360</v>
      </c>
      <c r="AJ1228" t="e">
        <f>VLOOKUP(A1228,'Borrower Details'!$A$1:$H$1493,8,FALSE)</f>
        <v>#N/A</v>
      </c>
      <c r="AK1228" s="4" t="e">
        <f t="shared" si="356"/>
        <v>#N/A</v>
      </c>
      <c r="AL1228" s="10">
        <v>6.75</v>
      </c>
      <c r="AM1228" s="3">
        <f t="shared" si="357"/>
        <v>136067.85499999998</v>
      </c>
      <c r="AN1228">
        <v>6.75</v>
      </c>
      <c r="AO1228" s="7">
        <f t="shared" si="358"/>
        <v>939.22845715453036</v>
      </c>
      <c r="AP1228" s="2">
        <f t="shared" si="359"/>
        <v>0.10154284546968029</v>
      </c>
    </row>
    <row r="1229" spans="1:42" x14ac:dyDescent="0.15">
      <c r="A1229" s="8">
        <v>410552335</v>
      </c>
      <c r="B1229" t="s">
        <v>36</v>
      </c>
      <c r="C1229" t="s">
        <v>18</v>
      </c>
      <c r="D1229" s="1">
        <v>39281</v>
      </c>
      <c r="E1229" s="2">
        <v>172000</v>
      </c>
      <c r="F1229" s="2">
        <v>163400</v>
      </c>
      <c r="G1229" t="s">
        <v>15</v>
      </c>
      <c r="H1229" s="2">
        <v>1305.0899999999999</v>
      </c>
      <c r="I1229" s="2">
        <v>163293.09</v>
      </c>
      <c r="J1229">
        <v>9.5000000000000001E-2</v>
      </c>
      <c r="K1229">
        <v>9</v>
      </c>
      <c r="L1229">
        <v>351</v>
      </c>
      <c r="M1229" t="str">
        <f t="shared" si="345"/>
        <v>30 Year Fixed</v>
      </c>
      <c r="N1229" s="2">
        <v>1292.74</v>
      </c>
      <c r="O1229" t="str">
        <f t="shared" si="342"/>
        <v>Refi</v>
      </c>
      <c r="P1229" s="3">
        <f t="shared" si="346"/>
        <v>0</v>
      </c>
      <c r="Q1229" s="4">
        <v>165742</v>
      </c>
      <c r="R1229" s="4" t="s">
        <v>41</v>
      </c>
      <c r="S1229" s="6">
        <v>604</v>
      </c>
      <c r="T1229">
        <v>6.875</v>
      </c>
      <c r="U1229" s="7">
        <f t="shared" si="343"/>
        <v>1157.866121028741</v>
      </c>
      <c r="V1229" s="2">
        <f t="shared" si="347"/>
        <v>147.22387897125896</v>
      </c>
      <c r="W1229" s="9">
        <f t="shared" si="348"/>
        <v>0</v>
      </c>
      <c r="X1229" s="3">
        <v>165742</v>
      </c>
      <c r="Y1229" s="3">
        <f t="shared" si="349"/>
        <v>-0.47916256156167947</v>
      </c>
      <c r="Z1229" s="7">
        <f t="shared" si="350"/>
        <v>1157.866121028741</v>
      </c>
      <c r="AA1229" s="2">
        <f t="shared" si="344"/>
        <v>147.22387897125896</v>
      </c>
      <c r="AB1229" s="8">
        <f t="shared" si="351"/>
        <v>0</v>
      </c>
      <c r="AC1229" s="10">
        <v>6.875</v>
      </c>
      <c r="AD1229" s="7">
        <f t="shared" si="352"/>
        <v>1157.866121028741</v>
      </c>
      <c r="AE1229" s="2">
        <f t="shared" si="353"/>
        <v>147.22387897125896</v>
      </c>
      <c r="AF1229" s="10">
        <v>0</v>
      </c>
      <c r="AG1229" s="3">
        <f t="shared" si="354"/>
        <v>0</v>
      </c>
      <c r="AH1229" s="7">
        <v>3268</v>
      </c>
      <c r="AI1229">
        <f t="shared" si="355"/>
        <v>360</v>
      </c>
      <c r="AJ1229" t="e">
        <f>VLOOKUP(A1229,'Borrower Details'!$A$1:$H$1493,8,FALSE)</f>
        <v>#N/A</v>
      </c>
      <c r="AK1229" s="4" t="e">
        <f t="shared" si="356"/>
        <v>#N/A</v>
      </c>
      <c r="AL1229" s="10">
        <v>6.875</v>
      </c>
      <c r="AM1229" s="3">
        <f t="shared" si="357"/>
        <v>165742.48634999999</v>
      </c>
      <c r="AN1229">
        <v>6.875</v>
      </c>
      <c r="AO1229" s="7">
        <f t="shared" si="358"/>
        <v>1157.8695186478594</v>
      </c>
      <c r="AP1229" s="2">
        <f t="shared" si="359"/>
        <v>147.2204813521405</v>
      </c>
    </row>
    <row r="1230" spans="1:42" x14ac:dyDescent="0.15">
      <c r="A1230" s="8">
        <v>410784789</v>
      </c>
      <c r="B1230" t="s">
        <v>36</v>
      </c>
      <c r="C1230" t="s">
        <v>16</v>
      </c>
      <c r="D1230" s="1">
        <v>39314</v>
      </c>
      <c r="E1230" s="2">
        <v>250000</v>
      </c>
      <c r="F1230" s="2">
        <v>200000</v>
      </c>
      <c r="G1230" t="s">
        <v>17</v>
      </c>
      <c r="H1230" s="2">
        <v>1941.01</v>
      </c>
      <c r="I1230" s="2">
        <v>199512.73</v>
      </c>
      <c r="J1230">
        <v>0.1124</v>
      </c>
      <c r="K1230">
        <v>8</v>
      </c>
      <c r="L1230">
        <v>353</v>
      </c>
      <c r="M1230" t="str">
        <f t="shared" si="345"/>
        <v>30 Year Fixed</v>
      </c>
      <c r="N1230" s="2">
        <v>1868.77</v>
      </c>
      <c r="O1230" t="str">
        <f t="shared" si="342"/>
        <v>Cash Out</v>
      </c>
      <c r="P1230" s="3">
        <f t="shared" si="346"/>
        <v>9846.8759113300475</v>
      </c>
      <c r="Q1230" s="4">
        <v>212500</v>
      </c>
      <c r="R1230" s="4" t="s">
        <v>41</v>
      </c>
      <c r="S1230" s="6">
        <v>528</v>
      </c>
      <c r="T1230">
        <v>7.625</v>
      </c>
      <c r="U1230" s="7">
        <f t="shared" si="343"/>
        <v>1592.6033776702691</v>
      </c>
      <c r="V1230" s="2">
        <f t="shared" si="347"/>
        <v>348.40662232973091</v>
      </c>
      <c r="W1230" s="9">
        <f t="shared" si="348"/>
        <v>0</v>
      </c>
      <c r="X1230" s="3">
        <v>212500</v>
      </c>
      <c r="Y1230" s="3">
        <f t="shared" si="349"/>
        <v>9846.8759113300475</v>
      </c>
      <c r="Z1230" s="7">
        <f t="shared" si="350"/>
        <v>1592.6033776702691</v>
      </c>
      <c r="AA1230" s="2">
        <f t="shared" si="344"/>
        <v>348.40662232973091</v>
      </c>
      <c r="AB1230" s="8">
        <f t="shared" si="351"/>
        <v>0</v>
      </c>
      <c r="AC1230" s="10">
        <v>7.625</v>
      </c>
      <c r="AD1230" s="7">
        <f t="shared" si="352"/>
        <v>1592.6033776702691</v>
      </c>
      <c r="AE1230" s="2">
        <f t="shared" si="353"/>
        <v>348.40662232973091</v>
      </c>
      <c r="AF1230" s="10">
        <v>0</v>
      </c>
      <c r="AG1230" s="3">
        <f t="shared" si="354"/>
        <v>0</v>
      </c>
      <c r="AH1230" s="7">
        <v>4000</v>
      </c>
      <c r="AI1230">
        <f t="shared" si="355"/>
        <v>360</v>
      </c>
      <c r="AJ1230" t="e">
        <f>VLOOKUP(A1230,'Borrower Details'!$A$1:$H$1493,8,FALSE)</f>
        <v>#N/A</v>
      </c>
      <c r="AK1230" s="4" t="e">
        <f t="shared" si="356"/>
        <v>#N/A</v>
      </c>
      <c r="AL1230" s="10">
        <v>7.625</v>
      </c>
      <c r="AM1230" s="3">
        <f t="shared" si="357"/>
        <v>202505.42095</v>
      </c>
      <c r="AN1230">
        <v>7.625</v>
      </c>
      <c r="AO1230" s="7">
        <f t="shared" si="358"/>
        <v>1517.6979642423985</v>
      </c>
      <c r="AP1230" s="2">
        <f t="shared" si="359"/>
        <v>423.31203575760151</v>
      </c>
    </row>
    <row r="1231" spans="1:42" x14ac:dyDescent="0.15">
      <c r="A1231" s="8">
        <v>410721625</v>
      </c>
      <c r="B1231" t="s">
        <v>35</v>
      </c>
      <c r="C1231" t="s">
        <v>16</v>
      </c>
      <c r="D1231" s="1">
        <v>39294</v>
      </c>
      <c r="E1231" s="2">
        <v>134000</v>
      </c>
      <c r="F1231" s="2">
        <v>120600</v>
      </c>
      <c r="G1231" t="s">
        <v>17</v>
      </c>
      <c r="H1231" s="2">
        <v>1036.1500000000001</v>
      </c>
      <c r="I1231" s="2">
        <v>120072.88</v>
      </c>
      <c r="J1231">
        <v>9.7500000000000003E-2</v>
      </c>
      <c r="K1231">
        <v>9</v>
      </c>
      <c r="L1231">
        <v>351</v>
      </c>
      <c r="M1231" t="str">
        <f t="shared" si="345"/>
        <v>30 Year Fixed</v>
      </c>
      <c r="N1231" s="2">
        <v>975.59</v>
      </c>
      <c r="O1231" t="str">
        <f t="shared" si="342"/>
        <v>Refi</v>
      </c>
      <c r="P1231" s="3">
        <f t="shared" si="346"/>
        <v>0</v>
      </c>
      <c r="Q1231" s="4">
        <v>121874</v>
      </c>
      <c r="R1231" s="4" t="s">
        <v>41</v>
      </c>
      <c r="S1231" s="6">
        <v>616</v>
      </c>
      <c r="T1231">
        <v>6.875</v>
      </c>
      <c r="U1231" s="7">
        <f t="shared" si="343"/>
        <v>851.40625571223211</v>
      </c>
      <c r="V1231" s="2">
        <f t="shared" si="347"/>
        <v>184.74374428776798</v>
      </c>
      <c r="W1231" s="9">
        <f t="shared" si="348"/>
        <v>0</v>
      </c>
      <c r="X1231" s="3">
        <v>121874</v>
      </c>
      <c r="Y1231" s="3">
        <f t="shared" si="349"/>
        <v>2.640394089394249E-2</v>
      </c>
      <c r="Z1231" s="7">
        <f t="shared" si="350"/>
        <v>851.40625571223211</v>
      </c>
      <c r="AA1231" s="2">
        <f t="shared" si="344"/>
        <v>184.74374428776798</v>
      </c>
      <c r="AB1231" s="8">
        <f t="shared" si="351"/>
        <v>0</v>
      </c>
      <c r="AC1231" s="10">
        <v>6.875</v>
      </c>
      <c r="AD1231" s="7">
        <f t="shared" si="352"/>
        <v>851.40625571223211</v>
      </c>
      <c r="AE1231" s="2">
        <f t="shared" si="353"/>
        <v>184.74374428776798</v>
      </c>
      <c r="AF1231" s="10">
        <v>0</v>
      </c>
      <c r="AG1231" s="3">
        <f t="shared" si="354"/>
        <v>0</v>
      </c>
      <c r="AH1231" s="7">
        <v>5879.25</v>
      </c>
      <c r="AI1231">
        <f t="shared" si="355"/>
        <v>360</v>
      </c>
      <c r="AJ1231" t="e">
        <f>VLOOKUP(A1231,'Borrower Details'!$A$1:$H$1493,8,FALSE)</f>
        <v>#N/A</v>
      </c>
      <c r="AK1231" s="4" t="e">
        <f t="shared" si="356"/>
        <v>#N/A</v>
      </c>
      <c r="AL1231" s="10">
        <v>6.875</v>
      </c>
      <c r="AM1231" s="3">
        <f t="shared" si="357"/>
        <v>121873.97319999999</v>
      </c>
      <c r="AN1231">
        <v>6.875</v>
      </c>
      <c r="AO1231" s="7">
        <f t="shared" si="358"/>
        <v>851.40606848864331</v>
      </c>
      <c r="AP1231" s="2">
        <f t="shared" si="359"/>
        <v>184.74393151135678</v>
      </c>
    </row>
    <row r="1232" spans="1:42" x14ac:dyDescent="0.15">
      <c r="A1232" s="8">
        <v>410474563</v>
      </c>
      <c r="B1232" t="s">
        <v>38</v>
      </c>
      <c r="C1232" t="s">
        <v>19</v>
      </c>
      <c r="D1232" s="1">
        <v>39266</v>
      </c>
      <c r="E1232" s="2">
        <v>187000</v>
      </c>
      <c r="F1232" s="2">
        <v>149255</v>
      </c>
      <c r="G1232" t="s">
        <v>15</v>
      </c>
      <c r="H1232" s="2">
        <v>1095.19</v>
      </c>
      <c r="I1232" s="2">
        <v>148222.65</v>
      </c>
      <c r="J1232">
        <v>0.08</v>
      </c>
      <c r="K1232">
        <v>10</v>
      </c>
      <c r="L1232">
        <v>350</v>
      </c>
      <c r="M1232" t="str">
        <f t="shared" si="345"/>
        <v>30 Year Fixed</v>
      </c>
      <c r="N1232" s="2">
        <v>988.15</v>
      </c>
      <c r="O1232" t="str">
        <f t="shared" si="342"/>
        <v>Cash Out</v>
      </c>
      <c r="P1232" s="3">
        <f t="shared" si="346"/>
        <v>8378.3352216749045</v>
      </c>
      <c r="Q1232" s="4">
        <v>158950</v>
      </c>
      <c r="R1232" s="4" t="s">
        <v>41</v>
      </c>
      <c r="S1232" s="6">
        <v>593</v>
      </c>
      <c r="T1232">
        <v>7.375</v>
      </c>
      <c r="U1232" s="7">
        <f t="shared" si="343"/>
        <v>1164.0573137726351</v>
      </c>
      <c r="V1232" s="2">
        <f t="shared" si="347"/>
        <v>-68.867313772635043</v>
      </c>
      <c r="W1232" s="9">
        <f t="shared" si="348"/>
        <v>1</v>
      </c>
      <c r="X1232" s="3">
        <v>150446</v>
      </c>
      <c r="Y1232" s="3">
        <f t="shared" si="349"/>
        <v>1.0098522179760039E-2</v>
      </c>
      <c r="Z1232" s="7">
        <f t="shared" si="350"/>
        <v>1101.7789658876241</v>
      </c>
      <c r="AA1232" s="2">
        <f t="shared" si="344"/>
        <v>-6.5889658876239992</v>
      </c>
      <c r="AB1232" s="8">
        <f t="shared" si="351"/>
        <v>1</v>
      </c>
      <c r="AC1232" s="10">
        <v>6.375</v>
      </c>
      <c r="AD1232" s="7">
        <f t="shared" si="352"/>
        <v>1001.2731413258209</v>
      </c>
      <c r="AE1232" s="2">
        <f t="shared" si="353"/>
        <v>93.916858674179139</v>
      </c>
      <c r="AF1232" s="10">
        <v>2.625</v>
      </c>
      <c r="AG1232" s="3">
        <f t="shared" si="354"/>
        <v>3949.2075</v>
      </c>
      <c r="AH1232" s="7">
        <v>0</v>
      </c>
      <c r="AI1232">
        <f t="shared" si="355"/>
        <v>360</v>
      </c>
      <c r="AJ1232" t="e">
        <f>VLOOKUP(A1232,'Borrower Details'!$A$1:$H$1493,8,FALSE)</f>
        <v>#N/A</v>
      </c>
      <c r="AK1232" s="4" t="e">
        <f t="shared" si="356"/>
        <v>#N/A</v>
      </c>
      <c r="AL1232" s="10">
        <v>7.375</v>
      </c>
      <c r="AM1232" s="3">
        <f t="shared" si="357"/>
        <v>150445.98974999998</v>
      </c>
      <c r="AN1232">
        <v>7.375</v>
      </c>
      <c r="AO1232" s="7">
        <f t="shared" si="358"/>
        <v>1101.778890822588</v>
      </c>
      <c r="AP1232" s="2">
        <f t="shared" si="359"/>
        <v>-6.5888908225879277</v>
      </c>
    </row>
    <row r="1233" spans="1:42" x14ac:dyDescent="0.15">
      <c r="A1233" s="8">
        <v>410590491</v>
      </c>
      <c r="B1233" t="s">
        <v>35</v>
      </c>
      <c r="C1233" t="s">
        <v>16</v>
      </c>
      <c r="D1233" s="1">
        <v>39279</v>
      </c>
      <c r="E1233" s="2">
        <v>167000</v>
      </c>
      <c r="F1233" s="2">
        <v>158650</v>
      </c>
      <c r="G1233" t="s">
        <v>17</v>
      </c>
      <c r="H1233" s="2">
        <v>1275.4000000000001</v>
      </c>
      <c r="I1233" s="2">
        <v>157936.73000000001</v>
      </c>
      <c r="J1233">
        <v>8.9899999999999994E-2</v>
      </c>
      <c r="K1233">
        <v>9</v>
      </c>
      <c r="L1233">
        <v>352</v>
      </c>
      <c r="M1233" t="str">
        <f t="shared" si="345"/>
        <v>30 Year Fixed</v>
      </c>
      <c r="N1233" s="2">
        <v>1183.21</v>
      </c>
      <c r="O1233" t="str">
        <f t="shared" si="342"/>
        <v>Refi</v>
      </c>
      <c r="P1233" s="3">
        <f t="shared" si="346"/>
        <v>0</v>
      </c>
      <c r="Q1233" s="4">
        <v>160306</v>
      </c>
      <c r="R1233" s="4" t="s">
        <v>41</v>
      </c>
      <c r="S1233" s="6">
        <v>602</v>
      </c>
      <c r="T1233">
        <v>6.875</v>
      </c>
      <c r="U1233" s="7">
        <f t="shared" si="343"/>
        <v>1119.8904707173397</v>
      </c>
      <c r="V1233" s="2">
        <f t="shared" si="347"/>
        <v>155.50952928266042</v>
      </c>
      <c r="W1233" s="9">
        <f t="shared" si="348"/>
        <v>0</v>
      </c>
      <c r="X1233" s="3">
        <v>160306</v>
      </c>
      <c r="Y1233" s="3">
        <f t="shared" si="349"/>
        <v>0.21581280787358992</v>
      </c>
      <c r="Z1233" s="7">
        <f t="shared" si="350"/>
        <v>1119.8904707173397</v>
      </c>
      <c r="AA1233" s="2">
        <f t="shared" si="344"/>
        <v>155.50952928266042</v>
      </c>
      <c r="AB1233" s="8">
        <f t="shared" si="351"/>
        <v>0</v>
      </c>
      <c r="AC1233" s="10">
        <v>6.875</v>
      </c>
      <c r="AD1233" s="7">
        <f t="shared" si="352"/>
        <v>1119.8904707173397</v>
      </c>
      <c r="AE1233" s="2">
        <f t="shared" si="353"/>
        <v>155.50952928266042</v>
      </c>
      <c r="AF1233" s="10">
        <v>0</v>
      </c>
      <c r="AG1233" s="3">
        <f t="shared" si="354"/>
        <v>0</v>
      </c>
      <c r="AH1233" s="7">
        <v>7131.3174999999992</v>
      </c>
      <c r="AI1233">
        <f t="shared" si="355"/>
        <v>360</v>
      </c>
      <c r="AJ1233" t="e">
        <f>VLOOKUP(A1233,'Borrower Details'!$A$1:$H$1493,8,FALSE)</f>
        <v>#N/A</v>
      </c>
      <c r="AK1233" s="4" t="e">
        <f t="shared" si="356"/>
        <v>#N/A</v>
      </c>
      <c r="AL1233" s="10">
        <v>6.875</v>
      </c>
      <c r="AM1233" s="3">
        <f t="shared" si="357"/>
        <v>160305.78094999999</v>
      </c>
      <c r="AN1233">
        <v>6.875</v>
      </c>
      <c r="AO1233" s="7">
        <f t="shared" si="358"/>
        <v>1119.8889404439401</v>
      </c>
      <c r="AP1233" s="2">
        <f t="shared" si="359"/>
        <v>155.51105955605999</v>
      </c>
    </row>
    <row r="1234" spans="1:42" x14ac:dyDescent="0.15">
      <c r="A1234" s="8">
        <v>410633309</v>
      </c>
      <c r="B1234" t="s">
        <v>36</v>
      </c>
      <c r="C1234" t="s">
        <v>19</v>
      </c>
      <c r="D1234" s="1">
        <v>39281</v>
      </c>
      <c r="E1234" s="2">
        <v>199500</v>
      </c>
      <c r="F1234" s="2">
        <v>70000</v>
      </c>
      <c r="G1234" t="s">
        <v>17</v>
      </c>
      <c r="H1234" s="2">
        <v>560.72</v>
      </c>
      <c r="I1234" s="2">
        <v>69600.399999999994</v>
      </c>
      <c r="J1234">
        <v>8.9499999999999996E-2</v>
      </c>
      <c r="K1234">
        <v>9</v>
      </c>
      <c r="L1234">
        <v>350</v>
      </c>
      <c r="M1234" t="str">
        <f t="shared" si="345"/>
        <v>30 Year Fixed</v>
      </c>
      <c r="N1234" s="2">
        <v>519.1</v>
      </c>
      <c r="O1234" t="str">
        <f t="shared" si="342"/>
        <v>Cash Out</v>
      </c>
      <c r="P1234" s="3">
        <f t="shared" si="346"/>
        <v>97468.565517241397</v>
      </c>
      <c r="Q1234" s="4">
        <v>169575</v>
      </c>
      <c r="R1234" s="4" t="s">
        <v>41</v>
      </c>
      <c r="S1234" s="6">
        <v>560</v>
      </c>
      <c r="T1234">
        <v>7.625</v>
      </c>
      <c r="U1234" s="7">
        <f t="shared" si="343"/>
        <v>1270.8974953808747</v>
      </c>
      <c r="V1234" s="2">
        <f t="shared" si="347"/>
        <v>-710.17749538087469</v>
      </c>
      <c r="W1234" s="9">
        <f t="shared" si="348"/>
        <v>1</v>
      </c>
      <c r="X1234" s="3">
        <v>74745</v>
      </c>
      <c r="Y1234" s="3">
        <f t="shared" si="349"/>
        <v>4039.9940886699624</v>
      </c>
      <c r="Z1234" s="7">
        <f t="shared" si="350"/>
        <v>560.18418571277289</v>
      </c>
      <c r="AA1234" s="2">
        <f t="shared" si="344"/>
        <v>0.53581428722714008</v>
      </c>
      <c r="AB1234" s="8">
        <f t="shared" si="351"/>
        <v>1</v>
      </c>
      <c r="AC1234" s="10">
        <v>6.875</v>
      </c>
      <c r="AD1234" s="7">
        <f t="shared" si="352"/>
        <v>522.16519178176463</v>
      </c>
      <c r="AE1234" s="2">
        <f t="shared" si="353"/>
        <v>38.554808218235394</v>
      </c>
      <c r="AF1234" s="10">
        <v>1.25</v>
      </c>
      <c r="AG1234" s="3">
        <f t="shared" si="354"/>
        <v>934.3125</v>
      </c>
      <c r="AH1234" s="7">
        <v>1400</v>
      </c>
      <c r="AI1234">
        <f t="shared" si="355"/>
        <v>360</v>
      </c>
      <c r="AJ1234" t="e">
        <f>VLOOKUP(A1234,'Borrower Details'!$A$1:$H$1493,8,FALSE)</f>
        <v>#N/A</v>
      </c>
      <c r="AK1234" s="4" t="e">
        <f t="shared" si="356"/>
        <v>#N/A</v>
      </c>
      <c r="AL1234" s="10">
        <v>7.625</v>
      </c>
      <c r="AM1234" s="3">
        <f t="shared" si="357"/>
        <v>70644.405999999988</v>
      </c>
      <c r="AN1234">
        <v>7.625</v>
      </c>
      <c r="AO1234" s="7">
        <f t="shared" si="358"/>
        <v>529.45185698404612</v>
      </c>
      <c r="AP1234" s="2">
        <f t="shared" si="359"/>
        <v>31.26814301595391</v>
      </c>
    </row>
    <row r="1235" spans="1:42" x14ac:dyDescent="0.15">
      <c r="A1235" s="8">
        <v>410903629</v>
      </c>
      <c r="B1235" t="s">
        <v>35</v>
      </c>
      <c r="C1235" t="s">
        <v>16</v>
      </c>
      <c r="D1235" s="1">
        <v>39343</v>
      </c>
      <c r="E1235" s="2">
        <v>260000</v>
      </c>
      <c r="F1235" s="2">
        <v>234000</v>
      </c>
      <c r="G1235" t="s">
        <v>17</v>
      </c>
      <c r="H1235" s="2">
        <v>1751.13</v>
      </c>
      <c r="I1235" s="2">
        <v>233550.79</v>
      </c>
      <c r="J1235">
        <v>8.6999999999999994E-2</v>
      </c>
      <c r="K1235">
        <v>7</v>
      </c>
      <c r="L1235">
        <v>352</v>
      </c>
      <c r="M1235" t="str">
        <f t="shared" si="345"/>
        <v>30 Year Fixed</v>
      </c>
      <c r="N1235" s="2">
        <v>1693.24</v>
      </c>
      <c r="O1235" t="str">
        <f t="shared" si="342"/>
        <v>Refi</v>
      </c>
      <c r="P1235" s="3">
        <f t="shared" si="346"/>
        <v>0</v>
      </c>
      <c r="Q1235" s="4">
        <v>237054</v>
      </c>
      <c r="R1235" s="4" t="s">
        <v>41</v>
      </c>
      <c r="S1235" s="6">
        <v>644</v>
      </c>
      <c r="T1235">
        <v>6.75</v>
      </c>
      <c r="U1235" s="7">
        <f t="shared" si="343"/>
        <v>1636.3002318388137</v>
      </c>
      <c r="V1235" s="2">
        <f t="shared" si="347"/>
        <v>114.82976816118639</v>
      </c>
      <c r="W1235" s="9">
        <f t="shared" si="348"/>
        <v>0</v>
      </c>
      <c r="X1235" s="3">
        <v>237054</v>
      </c>
      <c r="Y1235" s="3">
        <f t="shared" si="349"/>
        <v>-5.1083743834169582E-2</v>
      </c>
      <c r="Z1235" s="7">
        <f t="shared" si="350"/>
        <v>1636.3002318388137</v>
      </c>
      <c r="AA1235" s="2">
        <f t="shared" si="344"/>
        <v>114.82976816118639</v>
      </c>
      <c r="AB1235" s="8">
        <f t="shared" si="351"/>
        <v>0</v>
      </c>
      <c r="AC1235" s="10">
        <v>6.75</v>
      </c>
      <c r="AD1235" s="7">
        <f t="shared" si="352"/>
        <v>1636.3002318388137</v>
      </c>
      <c r="AE1235" s="2">
        <f t="shared" si="353"/>
        <v>114.82976816118639</v>
      </c>
      <c r="AF1235" s="10">
        <v>0</v>
      </c>
      <c r="AG1235" s="3">
        <f t="shared" si="354"/>
        <v>0</v>
      </c>
      <c r="AH1235" s="7">
        <v>10179</v>
      </c>
      <c r="AI1235">
        <f t="shared" si="355"/>
        <v>360</v>
      </c>
      <c r="AJ1235" t="e">
        <f>VLOOKUP(A1235,'Borrower Details'!$A$1:$H$1493,8,FALSE)</f>
        <v>#N/A</v>
      </c>
      <c r="AK1235" s="4" t="e">
        <f t="shared" si="356"/>
        <v>#N/A</v>
      </c>
      <c r="AL1235" s="10">
        <v>6.75</v>
      </c>
      <c r="AM1235" s="3">
        <f t="shared" si="357"/>
        <v>237054.05184999999</v>
      </c>
      <c r="AN1235">
        <v>6.75</v>
      </c>
      <c r="AO1235" s="7">
        <f t="shared" si="358"/>
        <v>1636.3005897410933</v>
      </c>
      <c r="AP1235" s="2">
        <f t="shared" si="359"/>
        <v>114.82941025890682</v>
      </c>
    </row>
    <row r="1236" spans="1:42" x14ac:dyDescent="0.15">
      <c r="A1236" s="8">
        <v>411187099</v>
      </c>
      <c r="B1236" t="s">
        <v>36</v>
      </c>
      <c r="C1236" t="s">
        <v>16</v>
      </c>
      <c r="D1236" s="1">
        <v>39443</v>
      </c>
      <c r="E1236" s="2">
        <v>340000</v>
      </c>
      <c r="F1236" s="2">
        <v>289000</v>
      </c>
      <c r="G1236" t="s">
        <v>20</v>
      </c>
      <c r="H1236" s="2">
        <v>2579</v>
      </c>
      <c r="I1236" s="2">
        <v>288629.37</v>
      </c>
      <c r="J1236">
        <v>0.10199999999999999</v>
      </c>
      <c r="K1236">
        <v>4</v>
      </c>
      <c r="L1236">
        <v>357</v>
      </c>
      <c r="M1236" t="str">
        <f t="shared" si="345"/>
        <v>30 Year Fixed</v>
      </c>
      <c r="N1236" s="2">
        <v>2453.35</v>
      </c>
      <c r="O1236" t="str">
        <f t="shared" si="342"/>
        <v>Refi</v>
      </c>
      <c r="P1236" s="3">
        <f t="shared" si="346"/>
        <v>0</v>
      </c>
      <c r="Q1236" s="4">
        <v>292959</v>
      </c>
      <c r="R1236" s="4" t="s">
        <v>41</v>
      </c>
      <c r="S1236" s="6">
        <v>627</v>
      </c>
      <c r="T1236">
        <v>6.75</v>
      </c>
      <c r="U1236" s="7">
        <f t="shared" si="343"/>
        <v>2022.1927477252736</v>
      </c>
      <c r="V1236" s="2">
        <f t="shared" si="347"/>
        <v>556.80725227472635</v>
      </c>
      <c r="W1236" s="9">
        <f t="shared" si="348"/>
        <v>0</v>
      </c>
      <c r="X1236" s="3">
        <v>292959</v>
      </c>
      <c r="Y1236" s="3">
        <f t="shared" si="349"/>
        <v>0.18665024632355198</v>
      </c>
      <c r="Z1236" s="7">
        <f t="shared" si="350"/>
        <v>2022.1927477252736</v>
      </c>
      <c r="AA1236" s="2">
        <f t="shared" si="344"/>
        <v>556.80725227472635</v>
      </c>
      <c r="AB1236" s="8">
        <f t="shared" si="351"/>
        <v>0</v>
      </c>
      <c r="AC1236" s="10">
        <v>6.75</v>
      </c>
      <c r="AD1236" s="7">
        <f t="shared" si="352"/>
        <v>2022.1927477252736</v>
      </c>
      <c r="AE1236" s="2">
        <f t="shared" si="353"/>
        <v>556.80725227472635</v>
      </c>
      <c r="AF1236" s="10">
        <v>0</v>
      </c>
      <c r="AG1236" s="3">
        <f t="shared" si="354"/>
        <v>0</v>
      </c>
      <c r="AH1236" s="7">
        <v>5780</v>
      </c>
      <c r="AI1236">
        <f t="shared" si="355"/>
        <v>360</v>
      </c>
      <c r="AJ1236" t="e">
        <f>VLOOKUP(A1236,'Borrower Details'!$A$1:$H$1493,8,FALSE)</f>
        <v>#N/A</v>
      </c>
      <c r="AK1236" s="4" t="e">
        <f t="shared" si="356"/>
        <v>#N/A</v>
      </c>
      <c r="AL1236" s="10">
        <v>6.75</v>
      </c>
      <c r="AM1236" s="3">
        <f t="shared" si="357"/>
        <v>292958.81054999999</v>
      </c>
      <c r="AN1236">
        <v>6.75</v>
      </c>
      <c r="AO1236" s="7">
        <f t="shared" si="358"/>
        <v>2022.1914400186795</v>
      </c>
      <c r="AP1236" s="2">
        <f t="shared" si="359"/>
        <v>556.80855998132051</v>
      </c>
    </row>
    <row r="1237" spans="1:42" x14ac:dyDescent="0.15">
      <c r="A1237" s="8">
        <v>411129927</v>
      </c>
      <c r="B1237" t="s">
        <v>36</v>
      </c>
      <c r="C1237" t="s">
        <v>16</v>
      </c>
      <c r="D1237" s="1">
        <v>39419</v>
      </c>
      <c r="E1237" s="2">
        <v>263000</v>
      </c>
      <c r="F1237" s="2">
        <v>236700</v>
      </c>
      <c r="G1237" t="s">
        <v>17</v>
      </c>
      <c r="H1237" s="2">
        <v>2156.35</v>
      </c>
      <c r="I1237" s="2">
        <v>236216.21</v>
      </c>
      <c r="J1237">
        <v>0.1045</v>
      </c>
      <c r="K1237">
        <v>5</v>
      </c>
      <c r="L1237">
        <v>355</v>
      </c>
      <c r="M1237" t="str">
        <f t="shared" si="345"/>
        <v>30 Year Fixed</v>
      </c>
      <c r="N1237" s="2">
        <v>2057.0500000000002</v>
      </c>
      <c r="O1237" t="str">
        <f t="shared" si="342"/>
        <v>Refi</v>
      </c>
      <c r="P1237" s="3">
        <f t="shared" si="346"/>
        <v>0</v>
      </c>
      <c r="Q1237" s="4">
        <v>239759</v>
      </c>
      <c r="R1237" s="4" t="s">
        <v>41</v>
      </c>
      <c r="S1237" s="6">
        <v>604</v>
      </c>
      <c r="T1237">
        <v>6.875</v>
      </c>
      <c r="U1237" s="7">
        <f t="shared" si="343"/>
        <v>1674.9455377136144</v>
      </c>
      <c r="V1237" s="2">
        <f t="shared" si="347"/>
        <v>481.40446228638552</v>
      </c>
      <c r="W1237" s="9">
        <f t="shared" si="348"/>
        <v>0</v>
      </c>
      <c r="X1237" s="3">
        <v>239759</v>
      </c>
      <c r="Y1237" s="3">
        <f t="shared" si="349"/>
        <v>-0.44645320193376392</v>
      </c>
      <c r="Z1237" s="7">
        <f t="shared" si="350"/>
        <v>1674.9455377136144</v>
      </c>
      <c r="AA1237" s="2">
        <f t="shared" si="344"/>
        <v>481.40446228638552</v>
      </c>
      <c r="AB1237" s="8">
        <f t="shared" si="351"/>
        <v>0</v>
      </c>
      <c r="AC1237" s="10">
        <v>6.875</v>
      </c>
      <c r="AD1237" s="7">
        <f t="shared" si="352"/>
        <v>1674.9455377136144</v>
      </c>
      <c r="AE1237" s="2">
        <f t="shared" si="353"/>
        <v>481.40446228638552</v>
      </c>
      <c r="AF1237" s="10">
        <v>0</v>
      </c>
      <c r="AG1237" s="3">
        <f t="shared" si="354"/>
        <v>0</v>
      </c>
      <c r="AH1237" s="7">
        <v>4734</v>
      </c>
      <c r="AI1237">
        <f t="shared" si="355"/>
        <v>360</v>
      </c>
      <c r="AJ1237" t="e">
        <f>VLOOKUP(A1237,'Borrower Details'!$A$1:$H$1493,8,FALSE)</f>
        <v>#N/A</v>
      </c>
      <c r="AK1237" s="4" t="e">
        <f t="shared" si="356"/>
        <v>#N/A</v>
      </c>
      <c r="AL1237" s="10">
        <v>6.875</v>
      </c>
      <c r="AM1237" s="3">
        <f t="shared" si="357"/>
        <v>239759.45314999996</v>
      </c>
      <c r="AN1237">
        <v>6.875</v>
      </c>
      <c r="AO1237" s="7">
        <f t="shared" si="358"/>
        <v>1674.9487033990333</v>
      </c>
      <c r="AP1237" s="2">
        <f t="shared" si="359"/>
        <v>481.40129660096659</v>
      </c>
    </row>
    <row r="1238" spans="1:42" x14ac:dyDescent="0.15">
      <c r="A1238" s="8">
        <v>411196793</v>
      </c>
      <c r="B1238" t="s">
        <v>36</v>
      </c>
      <c r="C1238" t="s">
        <v>16</v>
      </c>
      <c r="D1238" s="1">
        <v>39440</v>
      </c>
      <c r="E1238" s="2">
        <v>207500</v>
      </c>
      <c r="F1238" s="2">
        <v>186000</v>
      </c>
      <c r="G1238" t="s">
        <v>17</v>
      </c>
      <c r="H1238" s="2">
        <v>1598.03</v>
      </c>
      <c r="I1238" s="2">
        <v>185648.62</v>
      </c>
      <c r="J1238">
        <v>9.7500000000000003E-2</v>
      </c>
      <c r="K1238">
        <v>4</v>
      </c>
      <c r="L1238">
        <v>356</v>
      </c>
      <c r="M1238" t="str">
        <f t="shared" si="345"/>
        <v>30 Year Fixed</v>
      </c>
      <c r="N1238" s="2">
        <v>1508.4</v>
      </c>
      <c r="O1238" t="str">
        <f t="shared" si="342"/>
        <v>Refi</v>
      </c>
      <c r="P1238" s="3">
        <f t="shared" si="346"/>
        <v>0</v>
      </c>
      <c r="Q1238" s="4">
        <v>188433</v>
      </c>
      <c r="R1238" s="4" t="s">
        <v>41</v>
      </c>
      <c r="S1238" s="6">
        <v>623</v>
      </c>
      <c r="T1238">
        <v>6.75</v>
      </c>
      <c r="U1238" s="7">
        <f t="shared" si="343"/>
        <v>1300.6866013063825</v>
      </c>
      <c r="V1238" s="2">
        <f t="shared" si="347"/>
        <v>297.34339869361747</v>
      </c>
      <c r="W1238" s="9">
        <f t="shared" si="348"/>
        <v>0</v>
      </c>
      <c r="X1238" s="3">
        <v>188434</v>
      </c>
      <c r="Y1238" s="3">
        <f t="shared" si="349"/>
        <v>0.64108374385978095</v>
      </c>
      <c r="Z1238" s="7">
        <f t="shared" si="350"/>
        <v>1300.6935039540147</v>
      </c>
      <c r="AA1238" s="2">
        <f t="shared" si="344"/>
        <v>297.33649604598531</v>
      </c>
      <c r="AB1238" s="8">
        <f t="shared" si="351"/>
        <v>0</v>
      </c>
      <c r="AC1238" s="10">
        <v>6.75</v>
      </c>
      <c r="AD1238" s="7">
        <f t="shared" si="352"/>
        <v>1300.6935039540147</v>
      </c>
      <c r="AE1238" s="2">
        <f t="shared" si="353"/>
        <v>297.33649604598531</v>
      </c>
      <c r="AF1238" s="10">
        <v>0</v>
      </c>
      <c r="AG1238" s="3">
        <f t="shared" si="354"/>
        <v>0</v>
      </c>
      <c r="AH1238" s="7">
        <v>3720</v>
      </c>
      <c r="AI1238">
        <f t="shared" si="355"/>
        <v>360</v>
      </c>
      <c r="AJ1238" t="e">
        <f>VLOOKUP(A1238,'Borrower Details'!$A$1:$H$1493,8,FALSE)</f>
        <v>#N/A</v>
      </c>
      <c r="AK1238" s="4" t="e">
        <f t="shared" si="356"/>
        <v>#N/A</v>
      </c>
      <c r="AL1238" s="10">
        <v>6.75</v>
      </c>
      <c r="AM1238" s="3">
        <f t="shared" si="357"/>
        <v>188433.34929999997</v>
      </c>
      <c r="AN1238">
        <v>6.75</v>
      </c>
      <c r="AO1238" s="7">
        <f t="shared" si="358"/>
        <v>1300.6890124012002</v>
      </c>
      <c r="AP1238" s="2">
        <f t="shared" si="359"/>
        <v>297.34098759879976</v>
      </c>
    </row>
    <row r="1239" spans="1:42" x14ac:dyDescent="0.15">
      <c r="A1239" s="8">
        <v>411109101</v>
      </c>
      <c r="B1239" t="s">
        <v>37</v>
      </c>
      <c r="C1239" t="s">
        <v>16</v>
      </c>
      <c r="D1239" s="1">
        <v>39412</v>
      </c>
      <c r="E1239" s="2">
        <v>77000</v>
      </c>
      <c r="F1239" s="2">
        <v>65450</v>
      </c>
      <c r="G1239" t="s">
        <v>17</v>
      </c>
      <c r="H1239" s="2">
        <v>673.61</v>
      </c>
      <c r="I1239" s="2">
        <v>64591.37</v>
      </c>
      <c r="J1239">
        <v>9.2499999999999999E-2</v>
      </c>
      <c r="K1239">
        <v>5</v>
      </c>
      <c r="L1239">
        <v>175</v>
      </c>
      <c r="M1239" t="str">
        <f t="shared" si="345"/>
        <v>30 Year Fixed</v>
      </c>
      <c r="N1239" s="2">
        <v>497.89</v>
      </c>
      <c r="O1239" t="str">
        <f t="shared" si="342"/>
        <v>Refi</v>
      </c>
      <c r="P1239" s="3">
        <f t="shared" si="346"/>
        <v>0</v>
      </c>
      <c r="Q1239" s="4">
        <v>65560</v>
      </c>
      <c r="R1239" s="4" t="s">
        <v>41</v>
      </c>
      <c r="S1239" s="6">
        <v>640</v>
      </c>
      <c r="T1239">
        <v>6.875</v>
      </c>
      <c r="U1239" s="7">
        <f t="shared" si="343"/>
        <v>457.99919691233515</v>
      </c>
      <c r="V1239" s="2">
        <f t="shared" si="347"/>
        <v>215.61080308766486</v>
      </c>
      <c r="W1239" s="9">
        <f t="shared" si="348"/>
        <v>0</v>
      </c>
      <c r="X1239" s="3">
        <v>65560</v>
      </c>
      <c r="Y1239" s="3">
        <f t="shared" si="349"/>
        <v>-0.23699507388664642</v>
      </c>
      <c r="Z1239" s="7">
        <f t="shared" si="350"/>
        <v>457.99919691233515</v>
      </c>
      <c r="AA1239" s="2">
        <f t="shared" si="344"/>
        <v>215.61080308766486</v>
      </c>
      <c r="AB1239" s="8">
        <f t="shared" si="351"/>
        <v>0</v>
      </c>
      <c r="AC1239" s="10">
        <v>6.875</v>
      </c>
      <c r="AD1239" s="7">
        <f t="shared" si="352"/>
        <v>457.99919691233515</v>
      </c>
      <c r="AE1239" s="2">
        <f t="shared" si="353"/>
        <v>215.61080308766486</v>
      </c>
      <c r="AF1239" s="10">
        <v>0</v>
      </c>
      <c r="AG1239" s="3">
        <f t="shared" si="354"/>
        <v>0</v>
      </c>
      <c r="AH1239" s="7">
        <v>0</v>
      </c>
      <c r="AI1239">
        <f t="shared" si="355"/>
        <v>360</v>
      </c>
      <c r="AJ1239" t="e">
        <f>VLOOKUP(A1239,'Borrower Details'!$A$1:$H$1493,8,FALSE)</f>
        <v>#N/A</v>
      </c>
      <c r="AK1239" s="4" t="e">
        <f t="shared" si="356"/>
        <v>#N/A</v>
      </c>
      <c r="AL1239" s="10">
        <v>6.875</v>
      </c>
      <c r="AM1239" s="3">
        <f t="shared" si="357"/>
        <v>65560.240550000002</v>
      </c>
      <c r="AN1239">
        <v>6.875</v>
      </c>
      <c r="AO1239" s="7">
        <f t="shared" si="358"/>
        <v>458.00087738376311</v>
      </c>
      <c r="AP1239" s="2">
        <f t="shared" si="359"/>
        <v>215.6091226162369</v>
      </c>
    </row>
    <row r="1240" spans="1:42" x14ac:dyDescent="0.15">
      <c r="A1240" s="8">
        <v>410512263</v>
      </c>
      <c r="B1240" t="s">
        <v>37</v>
      </c>
      <c r="C1240" t="s">
        <v>19</v>
      </c>
      <c r="D1240" s="1">
        <v>39279</v>
      </c>
      <c r="E1240" s="2">
        <v>110000</v>
      </c>
      <c r="F1240" s="2">
        <v>88200</v>
      </c>
      <c r="G1240" t="s">
        <v>15</v>
      </c>
      <c r="H1240" s="2">
        <v>684.45</v>
      </c>
      <c r="I1240" s="2">
        <v>87657.03</v>
      </c>
      <c r="J1240">
        <v>8.5999999999999993E-2</v>
      </c>
      <c r="K1240">
        <v>9</v>
      </c>
      <c r="L1240">
        <v>350</v>
      </c>
      <c r="M1240" t="str">
        <f t="shared" si="345"/>
        <v>30 Year Fixed</v>
      </c>
      <c r="N1240" s="2">
        <v>628.61</v>
      </c>
      <c r="O1240" t="str">
        <f t="shared" si="342"/>
        <v>Cash Out</v>
      </c>
      <c r="P1240" s="3">
        <f t="shared" si="346"/>
        <v>4461.1966009852331</v>
      </c>
      <c r="Q1240" s="4">
        <v>93500</v>
      </c>
      <c r="R1240" s="4" t="s">
        <v>41</v>
      </c>
      <c r="S1240" s="6">
        <v>582</v>
      </c>
      <c r="T1240">
        <v>7.625</v>
      </c>
      <c r="U1240" s="7">
        <f t="shared" si="343"/>
        <v>700.74548617491837</v>
      </c>
      <c r="V1240" s="2">
        <f t="shared" si="347"/>
        <v>-16.295486174918324</v>
      </c>
      <c r="W1240" s="9">
        <f t="shared" si="348"/>
        <v>1</v>
      </c>
      <c r="X1240" s="3">
        <v>91250</v>
      </c>
      <c r="Y1240" s="3">
        <f t="shared" si="349"/>
        <v>2244.44783251232</v>
      </c>
      <c r="Z1240" s="7">
        <f t="shared" si="350"/>
        <v>683.88262688193913</v>
      </c>
      <c r="AA1240" s="2">
        <f t="shared" si="344"/>
        <v>0.56737311806091384</v>
      </c>
      <c r="AB1240" s="8">
        <f t="shared" si="351"/>
        <v>1</v>
      </c>
      <c r="AC1240" s="10">
        <v>6.5</v>
      </c>
      <c r="AD1240" s="7">
        <f t="shared" si="352"/>
        <v>614.78290477066491</v>
      </c>
      <c r="AE1240" s="2">
        <f t="shared" si="353"/>
        <v>69.667095229335132</v>
      </c>
      <c r="AF1240" s="10">
        <v>2.375</v>
      </c>
      <c r="AG1240" s="3">
        <f t="shared" si="354"/>
        <v>2167.1875</v>
      </c>
      <c r="AH1240" s="7">
        <v>0</v>
      </c>
      <c r="AI1240">
        <f t="shared" si="355"/>
        <v>360</v>
      </c>
      <c r="AJ1240" t="e">
        <f>VLOOKUP(A1240,'Borrower Details'!$A$1:$H$1493,8,FALSE)</f>
        <v>#N/A</v>
      </c>
      <c r="AK1240" s="4" t="e">
        <f t="shared" si="356"/>
        <v>#N/A</v>
      </c>
      <c r="AL1240" s="10">
        <v>7.625</v>
      </c>
      <c r="AM1240" s="3">
        <f t="shared" si="357"/>
        <v>88971.885449999987</v>
      </c>
      <c r="AN1240">
        <v>7.625</v>
      </c>
      <c r="AO1240" s="7">
        <f t="shared" si="358"/>
        <v>666.80906016641063</v>
      </c>
      <c r="AP1240" s="2">
        <f t="shared" si="359"/>
        <v>17.640939833589414</v>
      </c>
    </row>
    <row r="1241" spans="1:42" x14ac:dyDescent="0.15">
      <c r="A1241" s="8">
        <v>411073125</v>
      </c>
      <c r="B1241" t="s">
        <v>37</v>
      </c>
      <c r="C1241" t="s">
        <v>16</v>
      </c>
      <c r="D1241" s="1">
        <v>39387</v>
      </c>
      <c r="E1241" s="2">
        <v>238000</v>
      </c>
      <c r="F1241" s="2">
        <v>187600</v>
      </c>
      <c r="G1241" t="s">
        <v>17</v>
      </c>
      <c r="H1241" s="2">
        <v>1879.29</v>
      </c>
      <c r="I1241" s="2">
        <v>187364.57</v>
      </c>
      <c r="J1241">
        <v>0.11650000000000001</v>
      </c>
      <c r="K1241">
        <v>6</v>
      </c>
      <c r="L1241">
        <v>356</v>
      </c>
      <c r="M1241" t="str">
        <f t="shared" si="345"/>
        <v>30 Year Fixed</v>
      </c>
      <c r="N1241" s="2">
        <v>1819</v>
      </c>
      <c r="O1241" t="str">
        <f t="shared" si="342"/>
        <v>Cash Out</v>
      </c>
      <c r="P1241" s="3">
        <f t="shared" si="346"/>
        <v>11945.774827586225</v>
      </c>
      <c r="Q1241" s="4">
        <v>202300</v>
      </c>
      <c r="R1241" s="4" t="s">
        <v>41</v>
      </c>
      <c r="S1241" s="6">
        <v>529</v>
      </c>
      <c r="T1241">
        <v>7.625</v>
      </c>
      <c r="U1241" s="7">
        <f t="shared" si="343"/>
        <v>1516.1584155420962</v>
      </c>
      <c r="V1241" s="2">
        <f t="shared" si="347"/>
        <v>363.13158445790373</v>
      </c>
      <c r="W1241" s="9">
        <f t="shared" si="348"/>
        <v>0</v>
      </c>
      <c r="X1241" s="3">
        <v>202300</v>
      </c>
      <c r="Y1241" s="3">
        <f t="shared" si="349"/>
        <v>11945.774827586225</v>
      </c>
      <c r="Z1241" s="7">
        <f t="shared" si="350"/>
        <v>1516.1584155420962</v>
      </c>
      <c r="AA1241" s="2">
        <f t="shared" si="344"/>
        <v>363.13158445790373</v>
      </c>
      <c r="AB1241" s="8">
        <f t="shared" si="351"/>
        <v>0</v>
      </c>
      <c r="AC1241" s="10">
        <v>7.625</v>
      </c>
      <c r="AD1241" s="7">
        <f t="shared" si="352"/>
        <v>1516.1584155420962</v>
      </c>
      <c r="AE1241" s="2">
        <f t="shared" si="353"/>
        <v>363.13158445790373</v>
      </c>
      <c r="AF1241" s="10">
        <v>0</v>
      </c>
      <c r="AG1241" s="3">
        <f t="shared" si="354"/>
        <v>0</v>
      </c>
      <c r="AH1241" s="7">
        <v>1876</v>
      </c>
      <c r="AI1241">
        <f t="shared" si="355"/>
        <v>360</v>
      </c>
      <c r="AJ1241" t="e">
        <f>VLOOKUP(A1241,'Borrower Details'!$A$1:$H$1493,8,FALSE)</f>
        <v>#N/A</v>
      </c>
      <c r="AK1241" s="4" t="e">
        <f t="shared" si="356"/>
        <v>#N/A</v>
      </c>
      <c r="AL1241" s="10">
        <v>7.625</v>
      </c>
      <c r="AM1241" s="3">
        <f t="shared" si="357"/>
        <v>190175.03855</v>
      </c>
      <c r="AN1241">
        <v>7.625</v>
      </c>
      <c r="AO1241" s="7">
        <f t="shared" si="358"/>
        <v>1425.2866293802522</v>
      </c>
      <c r="AP1241" s="2">
        <f t="shared" si="359"/>
        <v>454.00337061974778</v>
      </c>
    </row>
    <row r="1242" spans="1:42" x14ac:dyDescent="0.15">
      <c r="A1242" s="8">
        <v>411157837</v>
      </c>
      <c r="B1242" t="s">
        <v>35</v>
      </c>
      <c r="C1242" t="s">
        <v>16</v>
      </c>
      <c r="D1242" s="1">
        <v>39427</v>
      </c>
      <c r="E1242" s="2">
        <v>110000</v>
      </c>
      <c r="F1242" s="2">
        <v>88000</v>
      </c>
      <c r="G1242" t="s">
        <v>17</v>
      </c>
      <c r="H1242" s="2">
        <v>878.18</v>
      </c>
      <c r="I1242" s="2">
        <v>87859.75</v>
      </c>
      <c r="J1242">
        <v>0.11600000000000001</v>
      </c>
      <c r="K1242">
        <v>4</v>
      </c>
      <c r="L1242">
        <v>355</v>
      </c>
      <c r="M1242" t="str">
        <f t="shared" si="345"/>
        <v>30 Year Fixed</v>
      </c>
      <c r="N1242" s="2">
        <v>849.59</v>
      </c>
      <c r="O1242" t="str">
        <f t="shared" si="342"/>
        <v>Cash Out</v>
      </c>
      <c r="P1242" s="3">
        <f t="shared" si="346"/>
        <v>4258.4766009852319</v>
      </c>
      <c r="Q1242" s="4">
        <v>93500</v>
      </c>
      <c r="R1242" s="4" t="s">
        <v>41</v>
      </c>
      <c r="S1242" s="6">
        <v>565</v>
      </c>
      <c r="T1242">
        <v>7.625</v>
      </c>
      <c r="U1242" s="7">
        <f t="shared" si="343"/>
        <v>700.74548617491837</v>
      </c>
      <c r="V1242" s="2">
        <f t="shared" si="347"/>
        <v>177.43451382508158</v>
      </c>
      <c r="W1242" s="9">
        <f t="shared" si="348"/>
        <v>0</v>
      </c>
      <c r="X1242" s="3">
        <v>93500</v>
      </c>
      <c r="Y1242" s="3">
        <f t="shared" si="349"/>
        <v>4258.4766009852319</v>
      </c>
      <c r="Z1242" s="7">
        <f t="shared" si="350"/>
        <v>700.74548617491837</v>
      </c>
      <c r="AA1242" s="2">
        <f t="shared" si="344"/>
        <v>177.43451382508158</v>
      </c>
      <c r="AB1242" s="8">
        <f t="shared" si="351"/>
        <v>0</v>
      </c>
      <c r="AC1242" s="10">
        <v>7.625</v>
      </c>
      <c r="AD1242" s="7">
        <f t="shared" si="352"/>
        <v>700.74548617491837</v>
      </c>
      <c r="AE1242" s="2">
        <f t="shared" si="353"/>
        <v>177.43451382508158</v>
      </c>
      <c r="AF1242" s="10">
        <v>0</v>
      </c>
      <c r="AG1242" s="3">
        <f t="shared" si="354"/>
        <v>0</v>
      </c>
      <c r="AH1242" s="7">
        <v>5104</v>
      </c>
      <c r="AI1242">
        <f t="shared" si="355"/>
        <v>360</v>
      </c>
      <c r="AJ1242" t="e">
        <f>VLOOKUP(A1242,'Borrower Details'!$A$1:$H$1493,8,FALSE)</f>
        <v>#N/A</v>
      </c>
      <c r="AK1242" s="4" t="e">
        <f t="shared" si="356"/>
        <v>#N/A</v>
      </c>
      <c r="AL1242" s="10">
        <v>7.625</v>
      </c>
      <c r="AM1242" s="3">
        <f t="shared" si="357"/>
        <v>89177.646249999991</v>
      </c>
      <c r="AN1242">
        <v>7.625</v>
      </c>
      <c r="AO1242" s="7">
        <f t="shared" si="358"/>
        <v>668.35115590792657</v>
      </c>
      <c r="AP1242" s="2">
        <f t="shared" si="359"/>
        <v>209.82884409207338</v>
      </c>
    </row>
    <row r="1243" spans="1:42" x14ac:dyDescent="0.15">
      <c r="A1243" s="8">
        <v>410868517</v>
      </c>
      <c r="B1243" t="s">
        <v>36</v>
      </c>
      <c r="C1243" t="s">
        <v>18</v>
      </c>
      <c r="D1243" s="1">
        <v>39317</v>
      </c>
      <c r="E1243" s="2">
        <v>620000</v>
      </c>
      <c r="F1243" s="2">
        <v>579500</v>
      </c>
      <c r="G1243" t="s">
        <v>21</v>
      </c>
      <c r="H1243" s="2">
        <v>5429.28</v>
      </c>
      <c r="I1243" s="2">
        <v>579373.4</v>
      </c>
      <c r="J1243">
        <v>0.112</v>
      </c>
      <c r="K1243">
        <v>8</v>
      </c>
      <c r="L1243">
        <v>354</v>
      </c>
      <c r="M1243" t="str">
        <f t="shared" si="345"/>
        <v>30 Year Fixed</v>
      </c>
      <c r="N1243" s="2">
        <v>5407.49</v>
      </c>
      <c r="O1243" t="str">
        <f t="shared" si="342"/>
        <v>Refi</v>
      </c>
      <c r="P1243" s="3">
        <f t="shared" si="346"/>
        <v>0</v>
      </c>
      <c r="Q1243" s="4">
        <v>588064</v>
      </c>
      <c r="R1243" s="4" t="s">
        <v>41</v>
      </c>
      <c r="S1243" s="6">
        <v>658</v>
      </c>
      <c r="T1243">
        <v>7.375</v>
      </c>
      <c r="U1243" s="7">
        <f t="shared" si="343"/>
        <v>4306.6385666334754</v>
      </c>
      <c r="V1243" s="2">
        <f t="shared" si="347"/>
        <v>1122.6414333665243</v>
      </c>
      <c r="W1243" s="9">
        <f t="shared" si="348"/>
        <v>0</v>
      </c>
      <c r="X1243" s="3">
        <v>588064</v>
      </c>
      <c r="Y1243" s="3">
        <f t="shared" si="349"/>
        <v>-9.8522158805280924E-4</v>
      </c>
      <c r="Z1243" s="7">
        <f t="shared" si="350"/>
        <v>4306.6385666334754</v>
      </c>
      <c r="AA1243" s="2">
        <f t="shared" si="344"/>
        <v>1122.6414333665243</v>
      </c>
      <c r="AB1243" s="8">
        <f t="shared" si="351"/>
        <v>0</v>
      </c>
      <c r="AC1243" s="10">
        <v>7.375</v>
      </c>
      <c r="AD1243" s="7">
        <f t="shared" si="352"/>
        <v>4306.6385666334754</v>
      </c>
      <c r="AE1243" s="2">
        <f t="shared" si="353"/>
        <v>1122.6414333665243</v>
      </c>
      <c r="AF1243" s="10">
        <v>0</v>
      </c>
      <c r="AG1243" s="3">
        <f t="shared" si="354"/>
        <v>0</v>
      </c>
      <c r="AH1243" s="7">
        <v>11590</v>
      </c>
      <c r="AI1243">
        <f t="shared" si="355"/>
        <v>360</v>
      </c>
      <c r="AJ1243" t="e">
        <f>VLOOKUP(A1243,'Borrower Details'!$A$1:$H$1493,8,FALSE)</f>
        <v>#N/A</v>
      </c>
      <c r="AK1243" s="4" t="e">
        <f t="shared" si="356"/>
        <v>#N/A</v>
      </c>
      <c r="AL1243" s="10">
        <v>7.375</v>
      </c>
      <c r="AM1243" s="3">
        <f t="shared" si="357"/>
        <v>588064.00099999993</v>
      </c>
      <c r="AN1243">
        <v>7.375</v>
      </c>
      <c r="AO1243" s="7">
        <f t="shared" si="358"/>
        <v>4306.6385739568932</v>
      </c>
      <c r="AP1243" s="2">
        <f t="shared" si="359"/>
        <v>1122.6414260431065</v>
      </c>
    </row>
    <row r="1244" spans="1:42" x14ac:dyDescent="0.15">
      <c r="A1244" s="8">
        <v>411135783</v>
      </c>
      <c r="B1244" t="s">
        <v>38</v>
      </c>
      <c r="C1244" t="s">
        <v>16</v>
      </c>
      <c r="D1244" s="1">
        <v>39419</v>
      </c>
      <c r="E1244" s="2">
        <v>320500</v>
      </c>
      <c r="F1244" s="2">
        <v>256400</v>
      </c>
      <c r="G1244" t="s">
        <v>17</v>
      </c>
      <c r="H1244" s="2">
        <v>2184.0700000000002</v>
      </c>
      <c r="I1244" s="2">
        <v>255905.32</v>
      </c>
      <c r="J1244">
        <v>9.6500000000000002E-2</v>
      </c>
      <c r="K1244">
        <v>4</v>
      </c>
      <c r="L1244">
        <v>356</v>
      </c>
      <c r="M1244" t="str">
        <f t="shared" si="345"/>
        <v>30 Year Fixed</v>
      </c>
      <c r="N1244" s="2">
        <v>2057.91</v>
      </c>
      <c r="O1244" t="str">
        <f t="shared" si="342"/>
        <v>Cash Out</v>
      </c>
      <c r="P1244" s="3">
        <f t="shared" si="346"/>
        <v>12493.694778325153</v>
      </c>
      <c r="Q1244" s="4">
        <v>272425</v>
      </c>
      <c r="R1244" s="4" t="s">
        <v>41</v>
      </c>
      <c r="S1244" s="6">
        <v>591</v>
      </c>
      <c r="T1244">
        <v>7.375</v>
      </c>
      <c r="U1244" s="7">
        <f t="shared" si="343"/>
        <v>1995.0821875087142</v>
      </c>
      <c r="V1244" s="2">
        <f t="shared" si="347"/>
        <v>188.98781249128592</v>
      </c>
      <c r="W1244" s="9">
        <f t="shared" si="348"/>
        <v>0</v>
      </c>
      <c r="X1244" s="3">
        <v>272425</v>
      </c>
      <c r="Y1244" s="3">
        <f t="shared" si="349"/>
        <v>12493.694778325153</v>
      </c>
      <c r="Z1244" s="7">
        <f t="shared" si="350"/>
        <v>1995.0821875087142</v>
      </c>
      <c r="AA1244" s="2">
        <f t="shared" si="344"/>
        <v>188.98781249128592</v>
      </c>
      <c r="AB1244" s="8">
        <f t="shared" si="351"/>
        <v>0</v>
      </c>
      <c r="AC1244" s="10">
        <v>7.375</v>
      </c>
      <c r="AD1244" s="7">
        <f t="shared" si="352"/>
        <v>1995.0821875087142</v>
      </c>
      <c r="AE1244" s="2">
        <f t="shared" si="353"/>
        <v>188.98781249128592</v>
      </c>
      <c r="AF1244" s="10">
        <v>0</v>
      </c>
      <c r="AG1244" s="3">
        <f t="shared" si="354"/>
        <v>0</v>
      </c>
      <c r="AH1244" s="7">
        <v>2564</v>
      </c>
      <c r="AI1244">
        <f t="shared" si="355"/>
        <v>360</v>
      </c>
      <c r="AJ1244" t="e">
        <f>VLOOKUP(A1244,'Borrower Details'!$A$1:$H$1493,8,FALSE)</f>
        <v>#N/A</v>
      </c>
      <c r="AK1244" s="4" t="e">
        <f t="shared" si="356"/>
        <v>#N/A</v>
      </c>
      <c r="AL1244" s="10">
        <v>7.375</v>
      </c>
      <c r="AM1244" s="3">
        <f t="shared" si="357"/>
        <v>259743.89979999998</v>
      </c>
      <c r="AN1244">
        <v>7.375</v>
      </c>
      <c r="AO1244" s="7">
        <f t="shared" si="358"/>
        <v>1902.2131882353976</v>
      </c>
      <c r="AP1244" s="2">
        <f t="shared" si="359"/>
        <v>281.85681176460253</v>
      </c>
    </row>
    <row r="1245" spans="1:42" x14ac:dyDescent="0.15">
      <c r="A1245" s="8">
        <v>410981773</v>
      </c>
      <c r="B1245" t="s">
        <v>35</v>
      </c>
      <c r="C1245" t="s">
        <v>16</v>
      </c>
      <c r="D1245" s="1">
        <v>39364</v>
      </c>
      <c r="E1245" s="2">
        <v>298000</v>
      </c>
      <c r="F1245" s="2">
        <v>267750</v>
      </c>
      <c r="G1245" t="s">
        <v>20</v>
      </c>
      <c r="H1245" s="2">
        <v>2359.6</v>
      </c>
      <c r="I1245" s="2">
        <v>266908.75</v>
      </c>
      <c r="J1245">
        <v>0.10050000000000001</v>
      </c>
      <c r="K1245">
        <v>6</v>
      </c>
      <c r="L1245">
        <v>353</v>
      </c>
      <c r="M1245" t="str">
        <f t="shared" si="345"/>
        <v>30 Year Fixed</v>
      </c>
      <c r="N1245" s="2">
        <v>2236.39</v>
      </c>
      <c r="O1245" t="str">
        <f t="shared" si="342"/>
        <v>Refi</v>
      </c>
      <c r="P1245" s="3">
        <f t="shared" si="346"/>
        <v>0</v>
      </c>
      <c r="Q1245" s="4">
        <v>270912</v>
      </c>
      <c r="R1245" s="4" t="s">
        <v>41</v>
      </c>
      <c r="S1245" s="6">
        <v>645</v>
      </c>
      <c r="T1245">
        <v>6.75</v>
      </c>
      <c r="U1245" s="7">
        <f t="shared" si="343"/>
        <v>1870.0100753748793</v>
      </c>
      <c r="V1245" s="2">
        <f t="shared" si="347"/>
        <v>489.5899246251206</v>
      </c>
      <c r="W1245" s="9">
        <f t="shared" si="348"/>
        <v>0</v>
      </c>
      <c r="X1245" s="3">
        <v>270913</v>
      </c>
      <c r="Y1245" s="3">
        <f t="shared" si="349"/>
        <v>0.60960591136245057</v>
      </c>
      <c r="Z1245" s="7">
        <f t="shared" si="350"/>
        <v>1870.0169780225117</v>
      </c>
      <c r="AA1245" s="2">
        <f t="shared" si="344"/>
        <v>489.58302197748822</v>
      </c>
      <c r="AB1245" s="8">
        <f t="shared" si="351"/>
        <v>0</v>
      </c>
      <c r="AC1245" s="10">
        <v>6.75</v>
      </c>
      <c r="AD1245" s="7">
        <f t="shared" si="352"/>
        <v>1870.0169780225117</v>
      </c>
      <c r="AE1245" s="2">
        <f t="shared" si="353"/>
        <v>489.58302197748822</v>
      </c>
      <c r="AF1245" s="10">
        <v>0</v>
      </c>
      <c r="AG1245" s="3">
        <f t="shared" si="354"/>
        <v>0</v>
      </c>
      <c r="AH1245" s="7">
        <v>13454.4375</v>
      </c>
      <c r="AI1245">
        <f t="shared" si="355"/>
        <v>360</v>
      </c>
      <c r="AJ1245" t="e">
        <f>VLOOKUP(A1245,'Borrower Details'!$A$1:$H$1493,8,FALSE)</f>
        <v>#N/A</v>
      </c>
      <c r="AK1245" s="4" t="e">
        <f t="shared" si="356"/>
        <v>#N/A</v>
      </c>
      <c r="AL1245" s="10">
        <v>6.75</v>
      </c>
      <c r="AM1245" s="3">
        <f t="shared" si="357"/>
        <v>270912.38124999998</v>
      </c>
      <c r="AN1245">
        <v>6.75</v>
      </c>
      <c r="AO1245" s="7">
        <f t="shared" si="358"/>
        <v>1870.012707009289</v>
      </c>
      <c r="AP1245" s="2">
        <f t="shared" si="359"/>
        <v>489.58729299071092</v>
      </c>
    </row>
    <row r="1246" spans="1:42" x14ac:dyDescent="0.15">
      <c r="A1246" s="8">
        <v>410765317</v>
      </c>
      <c r="B1246" t="s">
        <v>38</v>
      </c>
      <c r="C1246" t="s">
        <v>16</v>
      </c>
      <c r="D1246" s="1">
        <v>39330</v>
      </c>
      <c r="E1246" s="2">
        <v>125000</v>
      </c>
      <c r="F1246" s="2">
        <v>110880</v>
      </c>
      <c r="G1246" t="s">
        <v>20</v>
      </c>
      <c r="H1246" s="2">
        <v>1043.3900000000001</v>
      </c>
      <c r="I1246" s="2">
        <v>110542.66</v>
      </c>
      <c r="J1246">
        <v>0.1085</v>
      </c>
      <c r="K1246">
        <v>8</v>
      </c>
      <c r="L1246">
        <v>352</v>
      </c>
      <c r="M1246" t="str">
        <f t="shared" si="345"/>
        <v>30 Year Fixed</v>
      </c>
      <c r="N1246" s="2">
        <v>999.49</v>
      </c>
      <c r="O1246" t="str">
        <f t="shared" si="342"/>
        <v>Refi</v>
      </c>
      <c r="P1246" s="3">
        <f t="shared" si="346"/>
        <v>0</v>
      </c>
      <c r="Q1246" s="4">
        <v>112201</v>
      </c>
      <c r="R1246" s="4" t="s">
        <v>41</v>
      </c>
      <c r="S1246" s="6">
        <v>583</v>
      </c>
      <c r="T1246">
        <v>7.375</v>
      </c>
      <c r="U1246" s="7">
        <f t="shared" si="343"/>
        <v>821.69483902235561</v>
      </c>
      <c r="V1246" s="2">
        <f t="shared" si="347"/>
        <v>221.69516097764449</v>
      </c>
      <c r="W1246" s="9">
        <f t="shared" si="348"/>
        <v>0</v>
      </c>
      <c r="X1246" s="3">
        <v>112201</v>
      </c>
      <c r="Y1246" s="3">
        <f t="shared" si="349"/>
        <v>0.19714285715599544</v>
      </c>
      <c r="Z1246" s="7">
        <f t="shared" si="350"/>
        <v>821.69483902235561</v>
      </c>
      <c r="AA1246" s="2">
        <f t="shared" si="344"/>
        <v>221.69516097764449</v>
      </c>
      <c r="AB1246" s="8">
        <f t="shared" si="351"/>
        <v>0</v>
      </c>
      <c r="AC1246" s="10">
        <v>7.375</v>
      </c>
      <c r="AD1246" s="7">
        <f t="shared" si="352"/>
        <v>821.69483902235561</v>
      </c>
      <c r="AE1246" s="2">
        <f t="shared" si="353"/>
        <v>221.69516097764449</v>
      </c>
      <c r="AF1246" s="10">
        <v>0</v>
      </c>
      <c r="AG1246" s="3">
        <f t="shared" si="354"/>
        <v>0</v>
      </c>
      <c r="AH1246" s="7">
        <v>0</v>
      </c>
      <c r="AI1246">
        <f t="shared" si="355"/>
        <v>360</v>
      </c>
      <c r="AJ1246" t="e">
        <f>VLOOKUP(A1246,'Borrower Details'!$A$1:$H$1493,8,FALSE)</f>
        <v>#N/A</v>
      </c>
      <c r="AK1246" s="4" t="e">
        <f t="shared" si="356"/>
        <v>#N/A</v>
      </c>
      <c r="AL1246" s="10">
        <v>7.375</v>
      </c>
      <c r="AM1246" s="3">
        <f t="shared" si="357"/>
        <v>112200.7999</v>
      </c>
      <c r="AN1246">
        <v>7.375</v>
      </c>
      <c r="AO1246" s="7">
        <f t="shared" si="358"/>
        <v>821.69337360638519</v>
      </c>
      <c r="AP1246" s="2">
        <f t="shared" si="359"/>
        <v>221.69662639361491</v>
      </c>
    </row>
    <row r="1247" spans="1:42" x14ac:dyDescent="0.15">
      <c r="A1247" s="8">
        <v>410648547</v>
      </c>
      <c r="B1247" t="s">
        <v>35</v>
      </c>
      <c r="C1247" t="s">
        <v>16</v>
      </c>
      <c r="D1247" s="1">
        <v>39294</v>
      </c>
      <c r="E1247" s="2">
        <v>58000</v>
      </c>
      <c r="F1247" s="2">
        <v>50175</v>
      </c>
      <c r="G1247" t="s">
        <v>15</v>
      </c>
      <c r="H1247" s="2">
        <v>394.73</v>
      </c>
      <c r="I1247" s="2">
        <v>49907.45</v>
      </c>
      <c r="J1247">
        <v>8.7499999999999994E-2</v>
      </c>
      <c r="K1247">
        <v>9</v>
      </c>
      <c r="L1247">
        <v>351</v>
      </c>
      <c r="M1247" t="str">
        <f t="shared" si="345"/>
        <v>30 Year Fixed</v>
      </c>
      <c r="N1247" s="2">
        <v>363.91</v>
      </c>
      <c r="O1247" t="str">
        <f t="shared" si="342"/>
        <v>Refi</v>
      </c>
      <c r="P1247" s="3">
        <f t="shared" si="346"/>
        <v>0</v>
      </c>
      <c r="Q1247" s="4">
        <v>50656</v>
      </c>
      <c r="R1247" s="4" t="s">
        <v>41</v>
      </c>
      <c r="S1247" s="6">
        <v>615</v>
      </c>
      <c r="T1247">
        <v>7</v>
      </c>
      <c r="U1247" s="7">
        <f t="shared" si="343"/>
        <v>358.12229862463346</v>
      </c>
      <c r="V1247" s="2">
        <f t="shared" si="347"/>
        <v>36.60770137536656</v>
      </c>
      <c r="W1247" s="9">
        <f t="shared" si="348"/>
        <v>0</v>
      </c>
      <c r="X1247" s="3">
        <v>50656</v>
      </c>
      <c r="Y1247" s="3">
        <f t="shared" si="349"/>
        <v>-6.0837438417365775E-2</v>
      </c>
      <c r="Z1247" s="7">
        <f t="shared" si="350"/>
        <v>358.12229862463346</v>
      </c>
      <c r="AA1247" s="2">
        <f t="shared" si="344"/>
        <v>36.60770137536656</v>
      </c>
      <c r="AB1247" s="8">
        <f t="shared" si="351"/>
        <v>0</v>
      </c>
      <c r="AC1247" s="10">
        <v>7</v>
      </c>
      <c r="AD1247" s="7">
        <f t="shared" si="352"/>
        <v>358.12229862463346</v>
      </c>
      <c r="AE1247" s="2">
        <f t="shared" si="353"/>
        <v>36.60770137536656</v>
      </c>
      <c r="AF1247" s="10">
        <v>0</v>
      </c>
      <c r="AG1247" s="3">
        <f t="shared" si="354"/>
        <v>0</v>
      </c>
      <c r="AH1247" s="7">
        <v>2195.15625</v>
      </c>
      <c r="AI1247">
        <f t="shared" si="355"/>
        <v>360</v>
      </c>
      <c r="AJ1247" t="e">
        <f>VLOOKUP(A1247,'Borrower Details'!$A$1:$H$1493,8,FALSE)</f>
        <v>#N/A</v>
      </c>
      <c r="AK1247" s="4" t="e">
        <f t="shared" si="356"/>
        <v>#N/A</v>
      </c>
      <c r="AL1247" s="10">
        <v>7</v>
      </c>
      <c r="AM1247" s="3">
        <f t="shared" si="357"/>
        <v>50656.061749999993</v>
      </c>
      <c r="AN1247">
        <v>7</v>
      </c>
      <c r="AO1247" s="7">
        <f t="shared" si="358"/>
        <v>358.12273517809081</v>
      </c>
      <c r="AP1247" s="2">
        <f t="shared" si="359"/>
        <v>36.607264821909212</v>
      </c>
    </row>
    <row r="1248" spans="1:42" x14ac:dyDescent="0.15">
      <c r="A1248" s="8">
        <v>410862189</v>
      </c>
      <c r="B1248" t="s">
        <v>37</v>
      </c>
      <c r="C1248" t="s">
        <v>16</v>
      </c>
      <c r="D1248" s="1">
        <v>39325</v>
      </c>
      <c r="E1248" s="2">
        <v>91300</v>
      </c>
      <c r="F1248" s="2">
        <v>76500</v>
      </c>
      <c r="G1248" t="s">
        <v>20</v>
      </c>
      <c r="H1248" s="2">
        <v>798.69</v>
      </c>
      <c r="I1248" s="2">
        <v>76292.100000000006</v>
      </c>
      <c r="J1248">
        <v>0.122</v>
      </c>
      <c r="K1248">
        <v>8</v>
      </c>
      <c r="L1248">
        <v>352</v>
      </c>
      <c r="M1248" t="str">
        <f t="shared" si="345"/>
        <v>30 Year Fixed</v>
      </c>
      <c r="N1248" s="2">
        <v>775.64</v>
      </c>
      <c r="O1248" t="str">
        <f t="shared" si="342"/>
        <v>Cash Out</v>
      </c>
      <c r="P1248" s="3">
        <f t="shared" si="346"/>
        <v>166.02807881773333</v>
      </c>
      <c r="Q1248" s="4">
        <v>77605</v>
      </c>
      <c r="R1248" s="4" t="s">
        <v>41</v>
      </c>
      <c r="S1248" s="6">
        <v>555</v>
      </c>
      <c r="T1248">
        <v>7.625</v>
      </c>
      <c r="U1248" s="7">
        <f t="shared" si="343"/>
        <v>581.61875352518223</v>
      </c>
      <c r="V1248" s="2">
        <f t="shared" si="347"/>
        <v>217.07124647481783</v>
      </c>
      <c r="W1248" s="9">
        <f t="shared" si="348"/>
        <v>0</v>
      </c>
      <c r="X1248" s="3">
        <v>77605</v>
      </c>
      <c r="Y1248" s="3">
        <f t="shared" si="349"/>
        <v>166.02807881773333</v>
      </c>
      <c r="Z1248" s="7">
        <f t="shared" si="350"/>
        <v>581.61875352518223</v>
      </c>
      <c r="AA1248" s="2">
        <f t="shared" si="344"/>
        <v>217.07124647481783</v>
      </c>
      <c r="AB1248" s="8">
        <f t="shared" si="351"/>
        <v>0</v>
      </c>
      <c r="AC1248" s="10">
        <v>7.625</v>
      </c>
      <c r="AD1248" s="7">
        <f t="shared" si="352"/>
        <v>581.61875352518223</v>
      </c>
      <c r="AE1248" s="2">
        <f t="shared" si="353"/>
        <v>217.07124647481783</v>
      </c>
      <c r="AF1248" s="10">
        <v>0</v>
      </c>
      <c r="AG1248" s="3">
        <f t="shared" si="354"/>
        <v>0</v>
      </c>
      <c r="AH1248" s="7">
        <v>0</v>
      </c>
      <c r="AI1248">
        <f t="shared" si="355"/>
        <v>360</v>
      </c>
      <c r="AJ1248" t="e">
        <f>VLOOKUP(A1248,'Borrower Details'!$A$1:$H$1493,8,FALSE)</f>
        <v>#N/A</v>
      </c>
      <c r="AK1248" s="4" t="e">
        <f t="shared" si="356"/>
        <v>#N/A</v>
      </c>
      <c r="AL1248" s="10">
        <v>7.625</v>
      </c>
      <c r="AM1248" s="3">
        <f t="shared" si="357"/>
        <v>77436.481499999994</v>
      </c>
      <c r="AN1248">
        <v>7.625</v>
      </c>
      <c r="AO1248" s="7">
        <f t="shared" si="358"/>
        <v>580.35577407906487</v>
      </c>
      <c r="AP1248" s="2">
        <f t="shared" si="359"/>
        <v>218.33422592093518</v>
      </c>
    </row>
    <row r="1249" spans="1:42" x14ac:dyDescent="0.15">
      <c r="A1249" s="8">
        <v>411109747</v>
      </c>
      <c r="B1249" t="s">
        <v>38</v>
      </c>
      <c r="C1249" t="s">
        <v>16</v>
      </c>
      <c r="D1249" s="1">
        <v>39428</v>
      </c>
      <c r="E1249" s="2">
        <v>100000</v>
      </c>
      <c r="F1249" s="2">
        <v>85000</v>
      </c>
      <c r="G1249" t="s">
        <v>17</v>
      </c>
      <c r="H1249" s="2">
        <v>873.67</v>
      </c>
      <c r="I1249" s="2">
        <v>84875.64</v>
      </c>
      <c r="J1249">
        <v>0.11990000000000001</v>
      </c>
      <c r="K1249">
        <v>4</v>
      </c>
      <c r="L1249">
        <v>355</v>
      </c>
      <c r="M1249" t="str">
        <f t="shared" si="345"/>
        <v>30 Year Fixed</v>
      </c>
      <c r="N1249" s="2">
        <v>848.05</v>
      </c>
      <c r="O1249" t="str">
        <f t="shared" si="342"/>
        <v>Refi</v>
      </c>
      <c r="P1249" s="3">
        <f t="shared" si="346"/>
        <v>0</v>
      </c>
      <c r="Q1249" s="4">
        <v>86149</v>
      </c>
      <c r="R1249" s="4" t="s">
        <v>41</v>
      </c>
      <c r="S1249" s="6">
        <v>542</v>
      </c>
      <c r="T1249">
        <v>7.625</v>
      </c>
      <c r="U1249" s="7">
        <f t="shared" si="343"/>
        <v>645.65265121372238</v>
      </c>
      <c r="V1249" s="2">
        <f t="shared" si="347"/>
        <v>228.01734878627758</v>
      </c>
      <c r="W1249" s="9">
        <f t="shared" si="348"/>
        <v>0</v>
      </c>
      <c r="X1249" s="3">
        <v>86149</v>
      </c>
      <c r="Y1249" s="3">
        <f t="shared" si="349"/>
        <v>0.22206896552233957</v>
      </c>
      <c r="Z1249" s="7">
        <f t="shared" si="350"/>
        <v>645.65265121372238</v>
      </c>
      <c r="AA1249" s="2">
        <f t="shared" si="344"/>
        <v>228.01734878627758</v>
      </c>
      <c r="AB1249" s="8">
        <f t="shared" si="351"/>
        <v>0</v>
      </c>
      <c r="AC1249" s="10">
        <v>7.625</v>
      </c>
      <c r="AD1249" s="7">
        <f t="shared" si="352"/>
        <v>645.65265121372238</v>
      </c>
      <c r="AE1249" s="2">
        <f t="shared" si="353"/>
        <v>228.01734878627758</v>
      </c>
      <c r="AF1249" s="10">
        <v>0</v>
      </c>
      <c r="AG1249" s="3">
        <f t="shared" si="354"/>
        <v>0</v>
      </c>
      <c r="AH1249" s="7">
        <v>0</v>
      </c>
      <c r="AI1249">
        <f t="shared" si="355"/>
        <v>360</v>
      </c>
      <c r="AJ1249" t="e">
        <f>VLOOKUP(A1249,'Borrower Details'!$A$1:$H$1493,8,FALSE)</f>
        <v>#N/A</v>
      </c>
      <c r="AK1249" s="4" t="e">
        <f t="shared" si="356"/>
        <v>#N/A</v>
      </c>
      <c r="AL1249" s="10">
        <v>7.625</v>
      </c>
      <c r="AM1249" s="3">
        <f t="shared" si="357"/>
        <v>86148.77459999999</v>
      </c>
      <c r="AN1249">
        <v>7.625</v>
      </c>
      <c r="AO1249" s="7">
        <f t="shared" si="358"/>
        <v>645.65096192995134</v>
      </c>
      <c r="AP1249" s="2">
        <f t="shared" si="359"/>
        <v>228.01903807004862</v>
      </c>
    </row>
    <row r="1250" spans="1:42" x14ac:dyDescent="0.15">
      <c r="A1250" s="8">
        <v>410803605</v>
      </c>
      <c r="B1250" t="s">
        <v>36</v>
      </c>
      <c r="C1250" t="s">
        <v>16</v>
      </c>
      <c r="D1250" s="1">
        <v>39308</v>
      </c>
      <c r="E1250" s="2">
        <v>315000</v>
      </c>
      <c r="F1250" s="2">
        <v>248000</v>
      </c>
      <c r="G1250" t="s">
        <v>17</v>
      </c>
      <c r="H1250" s="2">
        <v>1993.68</v>
      </c>
      <c r="I1250" s="2">
        <v>246885.12</v>
      </c>
      <c r="J1250">
        <v>8.9899999999999994E-2</v>
      </c>
      <c r="K1250">
        <v>8</v>
      </c>
      <c r="L1250">
        <v>352</v>
      </c>
      <c r="M1250" t="str">
        <f t="shared" si="345"/>
        <v>30 Year Fixed</v>
      </c>
      <c r="N1250" s="2">
        <v>1849.58</v>
      </c>
      <c r="O1250" t="str">
        <f t="shared" si="342"/>
        <v>Cash Out</v>
      </c>
      <c r="P1250" s="3">
        <f t="shared" si="346"/>
        <v>16907.983448275889</v>
      </c>
      <c r="Q1250" s="4">
        <v>267750</v>
      </c>
      <c r="R1250" s="4" t="s">
        <v>41</v>
      </c>
      <c r="S1250" s="6">
        <v>522</v>
      </c>
      <c r="T1250">
        <v>7.625</v>
      </c>
      <c r="U1250" s="7">
        <f t="shared" si="343"/>
        <v>2006.680255864539</v>
      </c>
      <c r="V1250" s="2">
        <f t="shared" si="347"/>
        <v>-13.000255864538985</v>
      </c>
      <c r="W1250" s="9">
        <f t="shared" si="348"/>
        <v>1</v>
      </c>
      <c r="X1250" s="3">
        <v>265940</v>
      </c>
      <c r="Y1250" s="3">
        <f t="shared" si="349"/>
        <v>15124.732216748787</v>
      </c>
      <c r="Z1250" s="7">
        <f t="shared" si="350"/>
        <v>1993.1150223888535</v>
      </c>
      <c r="AA1250" s="2">
        <f t="shared" si="344"/>
        <v>0.56497761114655987</v>
      </c>
      <c r="AB1250" s="8">
        <f t="shared" si="351"/>
        <v>1</v>
      </c>
      <c r="AC1250" s="10">
        <v>6.875</v>
      </c>
      <c r="AD1250" s="7">
        <f t="shared" si="352"/>
        <v>1857.8448204220015</v>
      </c>
      <c r="AE1250" s="2">
        <f t="shared" si="353"/>
        <v>135.83517957799859</v>
      </c>
      <c r="AF1250" s="10">
        <v>1.75</v>
      </c>
      <c r="AG1250" s="3">
        <f t="shared" si="354"/>
        <v>4653.95</v>
      </c>
      <c r="AH1250" s="7">
        <v>4960</v>
      </c>
      <c r="AI1250">
        <f t="shared" si="355"/>
        <v>360</v>
      </c>
      <c r="AJ1250" t="e">
        <f>VLOOKUP(A1250,'Borrower Details'!$A$1:$H$1493,8,FALSE)</f>
        <v>#N/A</v>
      </c>
      <c r="AK1250" s="4" t="e">
        <f t="shared" si="356"/>
        <v>#N/A</v>
      </c>
      <c r="AL1250" s="10">
        <v>7.625</v>
      </c>
      <c r="AM1250" s="3">
        <f t="shared" si="357"/>
        <v>250588.39679999996</v>
      </c>
      <c r="AN1250">
        <v>7.625</v>
      </c>
      <c r="AO1250" s="7">
        <f t="shared" si="358"/>
        <v>1878.0608336407415</v>
      </c>
      <c r="AP1250" s="2">
        <f t="shared" si="359"/>
        <v>115.61916635925854</v>
      </c>
    </row>
    <row r="1251" spans="1:42" x14ac:dyDescent="0.15">
      <c r="A1251" s="8">
        <v>411174907</v>
      </c>
      <c r="B1251" t="s">
        <v>37</v>
      </c>
      <c r="C1251" t="s">
        <v>16</v>
      </c>
      <c r="D1251" s="1">
        <v>39434</v>
      </c>
      <c r="E1251" s="2">
        <v>250000</v>
      </c>
      <c r="F1251" s="2">
        <v>225000</v>
      </c>
      <c r="G1251" t="s">
        <v>17</v>
      </c>
      <c r="H1251" s="2">
        <v>2075.0100000000002</v>
      </c>
      <c r="I1251" s="2">
        <v>224554.66</v>
      </c>
      <c r="J1251">
        <v>0.106</v>
      </c>
      <c r="K1251">
        <v>4</v>
      </c>
      <c r="L1251">
        <v>355</v>
      </c>
      <c r="M1251" t="str">
        <f t="shared" si="345"/>
        <v>30 Year Fixed</v>
      </c>
      <c r="N1251" s="2">
        <v>1983.57</v>
      </c>
      <c r="O1251" t="str">
        <f t="shared" si="342"/>
        <v>Refi</v>
      </c>
      <c r="P1251" s="3">
        <f t="shared" si="346"/>
        <v>0</v>
      </c>
      <c r="Q1251" s="4">
        <v>227923</v>
      </c>
      <c r="R1251" s="4" t="s">
        <v>41</v>
      </c>
      <c r="S1251" s="6">
        <v>607</v>
      </c>
      <c r="T1251">
        <v>6.875</v>
      </c>
      <c r="U1251" s="7">
        <f t="shared" si="343"/>
        <v>1592.2597766603137</v>
      </c>
      <c r="V1251" s="2">
        <f t="shared" si="347"/>
        <v>482.7502233396865</v>
      </c>
      <c r="W1251" s="9">
        <f t="shared" si="348"/>
        <v>0</v>
      </c>
      <c r="X1251" s="3">
        <v>227923</v>
      </c>
      <c r="Y1251" s="3">
        <f t="shared" si="349"/>
        <v>1.9802955677732825E-2</v>
      </c>
      <c r="Z1251" s="7">
        <f t="shared" si="350"/>
        <v>1592.2597766603137</v>
      </c>
      <c r="AA1251" s="2">
        <f t="shared" si="344"/>
        <v>482.7502233396865</v>
      </c>
      <c r="AB1251" s="8">
        <f t="shared" si="351"/>
        <v>0</v>
      </c>
      <c r="AC1251" s="10">
        <v>6.875</v>
      </c>
      <c r="AD1251" s="7">
        <f t="shared" si="352"/>
        <v>1592.2597766603137</v>
      </c>
      <c r="AE1251" s="2">
        <f t="shared" si="353"/>
        <v>482.7502233396865</v>
      </c>
      <c r="AF1251" s="10">
        <v>0</v>
      </c>
      <c r="AG1251" s="3">
        <f t="shared" si="354"/>
        <v>0</v>
      </c>
      <c r="AH1251" s="7">
        <v>2250</v>
      </c>
      <c r="AI1251">
        <f t="shared" si="355"/>
        <v>360</v>
      </c>
      <c r="AJ1251" t="e">
        <f>VLOOKUP(A1251,'Borrower Details'!$A$1:$H$1493,8,FALSE)</f>
        <v>#N/A</v>
      </c>
      <c r="AK1251" s="4" t="e">
        <f t="shared" si="356"/>
        <v>#N/A</v>
      </c>
      <c r="AL1251" s="10">
        <v>6.875</v>
      </c>
      <c r="AM1251" s="3">
        <f t="shared" si="357"/>
        <v>227922.97989999998</v>
      </c>
      <c r="AN1251">
        <v>6.875</v>
      </c>
      <c r="AO1251" s="7">
        <f t="shared" si="358"/>
        <v>1592.259636242622</v>
      </c>
      <c r="AP1251" s="2">
        <f t="shared" si="359"/>
        <v>482.75036375737818</v>
      </c>
    </row>
    <row r="1252" spans="1:42" x14ac:dyDescent="0.15">
      <c r="A1252" s="8">
        <v>411082555</v>
      </c>
      <c r="B1252" t="s">
        <v>35</v>
      </c>
      <c r="C1252" t="s">
        <v>16</v>
      </c>
      <c r="D1252" s="1">
        <v>39386</v>
      </c>
      <c r="E1252" s="2">
        <v>120000</v>
      </c>
      <c r="F1252" s="2">
        <v>104940</v>
      </c>
      <c r="G1252" t="s">
        <v>20</v>
      </c>
      <c r="H1252" s="2">
        <v>995.41</v>
      </c>
      <c r="I1252" s="2">
        <v>104746.75</v>
      </c>
      <c r="J1252">
        <v>0.1095</v>
      </c>
      <c r="K1252">
        <v>6</v>
      </c>
      <c r="L1252">
        <v>355</v>
      </c>
      <c r="M1252" t="str">
        <f t="shared" si="345"/>
        <v>30 Year Fixed</v>
      </c>
      <c r="N1252" s="2">
        <v>955.81</v>
      </c>
      <c r="O1252" t="str">
        <f t="shared" si="342"/>
        <v>Refi</v>
      </c>
      <c r="P1252" s="3">
        <f t="shared" si="346"/>
        <v>0</v>
      </c>
      <c r="Q1252" s="4">
        <v>106318</v>
      </c>
      <c r="R1252" s="4" t="s">
        <v>41</v>
      </c>
      <c r="S1252" s="6">
        <v>580</v>
      </c>
      <c r="T1252">
        <v>7.375</v>
      </c>
      <c r="U1252" s="7">
        <f t="shared" si="343"/>
        <v>778.61117008920428</v>
      </c>
      <c r="V1252" s="2">
        <f t="shared" si="347"/>
        <v>216.79882991079569</v>
      </c>
      <c r="W1252" s="9">
        <f t="shared" si="348"/>
        <v>0</v>
      </c>
      <c r="X1252" s="3">
        <v>106318</v>
      </c>
      <c r="Y1252" s="3">
        <f t="shared" si="349"/>
        <v>4.8029556666733697E-2</v>
      </c>
      <c r="Z1252" s="7">
        <f t="shared" si="350"/>
        <v>778.61117008920428</v>
      </c>
      <c r="AA1252" s="2">
        <f t="shared" si="344"/>
        <v>216.79882991079569</v>
      </c>
      <c r="AB1252" s="8">
        <f t="shared" si="351"/>
        <v>0</v>
      </c>
      <c r="AC1252" s="10">
        <v>7.375</v>
      </c>
      <c r="AD1252" s="7">
        <f t="shared" si="352"/>
        <v>778.61117008920428</v>
      </c>
      <c r="AE1252" s="2">
        <f t="shared" si="353"/>
        <v>216.79882991079569</v>
      </c>
      <c r="AF1252" s="10">
        <v>0</v>
      </c>
      <c r="AG1252" s="3">
        <f t="shared" si="354"/>
        <v>0</v>
      </c>
      <c r="AH1252" s="7">
        <v>5745.4649999999992</v>
      </c>
      <c r="AI1252">
        <f t="shared" si="355"/>
        <v>360</v>
      </c>
      <c r="AJ1252" t="e">
        <f>VLOOKUP(A1252,'Borrower Details'!$A$1:$H$1493,8,FALSE)</f>
        <v>#N/A</v>
      </c>
      <c r="AK1252" s="4" t="e">
        <f t="shared" si="356"/>
        <v>#N/A</v>
      </c>
      <c r="AL1252" s="10">
        <v>7.375</v>
      </c>
      <c r="AM1252" s="3">
        <f t="shared" si="357"/>
        <v>106317.95124999998</v>
      </c>
      <c r="AN1252">
        <v>7.375</v>
      </c>
      <c r="AO1252" s="7">
        <f t="shared" si="358"/>
        <v>778.61081307256961</v>
      </c>
      <c r="AP1252" s="2">
        <f t="shared" si="359"/>
        <v>216.79918692743036</v>
      </c>
    </row>
    <row r="1253" spans="1:42" x14ac:dyDescent="0.15">
      <c r="A1253" s="8">
        <v>410693501</v>
      </c>
      <c r="B1253" t="s">
        <v>38</v>
      </c>
      <c r="C1253" t="s">
        <v>19</v>
      </c>
      <c r="D1253" s="1">
        <v>39288</v>
      </c>
      <c r="E1253" s="2">
        <v>132000</v>
      </c>
      <c r="F1253" s="2">
        <v>125400</v>
      </c>
      <c r="G1253" t="s">
        <v>15</v>
      </c>
      <c r="H1253" s="2">
        <v>1099.55</v>
      </c>
      <c r="I1253" s="2">
        <v>125000.98</v>
      </c>
      <c r="J1253">
        <v>9.9900000000000003E-2</v>
      </c>
      <c r="K1253">
        <v>9</v>
      </c>
      <c r="L1253">
        <v>353</v>
      </c>
      <c r="M1253" t="str">
        <f t="shared" si="345"/>
        <v>30 Year Fixed</v>
      </c>
      <c r="N1253" s="2">
        <v>1040.6300000000001</v>
      </c>
      <c r="O1253" t="str">
        <f t="shared" si="342"/>
        <v>Refi</v>
      </c>
      <c r="P1253" s="3">
        <f t="shared" si="346"/>
        <v>0</v>
      </c>
      <c r="Q1253" s="4">
        <v>126876</v>
      </c>
      <c r="R1253" s="4" t="s">
        <v>41</v>
      </c>
      <c r="S1253" s="6">
        <v>636</v>
      </c>
      <c r="T1253">
        <v>6.75</v>
      </c>
      <c r="U1253" s="7">
        <f t="shared" si="343"/>
        <v>875.78032100188693</v>
      </c>
      <c r="V1253" s="2">
        <f t="shared" si="347"/>
        <v>223.76967899811302</v>
      </c>
      <c r="W1253" s="9">
        <f t="shared" si="348"/>
        <v>0</v>
      </c>
      <c r="X1253" s="3">
        <v>126876</v>
      </c>
      <c r="Y1253" s="3">
        <f t="shared" si="349"/>
        <v>5.2216748881619424E-3</v>
      </c>
      <c r="Z1253" s="7">
        <f t="shared" si="350"/>
        <v>875.78032100188693</v>
      </c>
      <c r="AA1253" s="2">
        <f t="shared" si="344"/>
        <v>223.76967899811302</v>
      </c>
      <c r="AB1253" s="8">
        <f t="shared" si="351"/>
        <v>0</v>
      </c>
      <c r="AC1253" s="10">
        <v>6.75</v>
      </c>
      <c r="AD1253" s="7">
        <f t="shared" si="352"/>
        <v>875.78032100188693</v>
      </c>
      <c r="AE1253" s="2">
        <f t="shared" si="353"/>
        <v>223.76967899811302</v>
      </c>
      <c r="AF1253" s="10">
        <v>0</v>
      </c>
      <c r="AG1253" s="3">
        <f t="shared" si="354"/>
        <v>0</v>
      </c>
      <c r="AH1253" s="7">
        <v>0</v>
      </c>
      <c r="AI1253">
        <f t="shared" si="355"/>
        <v>360</v>
      </c>
      <c r="AJ1253" t="e">
        <f>VLOOKUP(A1253,'Borrower Details'!$A$1:$H$1493,8,FALSE)</f>
        <v>#N/A</v>
      </c>
      <c r="AK1253" s="4" t="e">
        <f t="shared" si="356"/>
        <v>#N/A</v>
      </c>
      <c r="AL1253" s="10">
        <v>6.75</v>
      </c>
      <c r="AM1253" s="3">
        <f t="shared" si="357"/>
        <v>126875.99469999998</v>
      </c>
      <c r="AN1253">
        <v>6.75</v>
      </c>
      <c r="AO1253" s="7">
        <f t="shared" si="358"/>
        <v>875.78028441785432</v>
      </c>
      <c r="AP1253" s="2">
        <f t="shared" si="359"/>
        <v>223.76971558214564</v>
      </c>
    </row>
    <row r="1254" spans="1:42" x14ac:dyDescent="0.15">
      <c r="A1254" s="8">
        <v>410821367</v>
      </c>
      <c r="B1254" t="s">
        <v>36</v>
      </c>
      <c r="C1254" t="s">
        <v>16</v>
      </c>
      <c r="D1254" s="1">
        <v>39321</v>
      </c>
      <c r="E1254" s="2">
        <v>255000</v>
      </c>
      <c r="F1254" s="2">
        <v>216750</v>
      </c>
      <c r="G1254" t="s">
        <v>20</v>
      </c>
      <c r="H1254" s="2">
        <v>1968.67</v>
      </c>
      <c r="I1254" s="2">
        <v>216676.6</v>
      </c>
      <c r="J1254">
        <v>0.1085</v>
      </c>
      <c r="K1254">
        <v>8</v>
      </c>
      <c r="L1254">
        <v>352</v>
      </c>
      <c r="M1254" t="str">
        <f t="shared" si="345"/>
        <v>30 Year Fixed</v>
      </c>
      <c r="N1254" s="2">
        <v>1959.12</v>
      </c>
      <c r="O1254" t="str">
        <f t="shared" si="342"/>
        <v>Refi</v>
      </c>
      <c r="P1254" s="3">
        <f t="shared" si="346"/>
        <v>0</v>
      </c>
      <c r="Q1254" s="4">
        <v>219927</v>
      </c>
      <c r="R1254" s="4" t="s">
        <v>41</v>
      </c>
      <c r="S1254" s="6">
        <v>543</v>
      </c>
      <c r="T1254">
        <v>7.625</v>
      </c>
      <c r="U1254" s="7">
        <f t="shared" si="343"/>
        <v>1648.2658025453611</v>
      </c>
      <c r="V1254" s="2">
        <f t="shared" si="347"/>
        <v>320.40419745463896</v>
      </c>
      <c r="W1254" s="9">
        <f t="shared" si="348"/>
        <v>0</v>
      </c>
      <c r="X1254" s="3">
        <v>219927</v>
      </c>
      <c r="Y1254" s="3">
        <f t="shared" si="349"/>
        <v>0.24729064040002413</v>
      </c>
      <c r="Z1254" s="7">
        <f t="shared" si="350"/>
        <v>1648.2658025453611</v>
      </c>
      <c r="AA1254" s="2">
        <f t="shared" si="344"/>
        <v>320.40419745463896</v>
      </c>
      <c r="AB1254" s="8">
        <f t="shared" si="351"/>
        <v>0</v>
      </c>
      <c r="AC1254" s="10">
        <v>7.625</v>
      </c>
      <c r="AD1254" s="7">
        <f t="shared" si="352"/>
        <v>1648.2658025453611</v>
      </c>
      <c r="AE1254" s="2">
        <f t="shared" si="353"/>
        <v>320.40419745463896</v>
      </c>
      <c r="AF1254" s="10">
        <v>0</v>
      </c>
      <c r="AG1254" s="3">
        <f t="shared" si="354"/>
        <v>0</v>
      </c>
      <c r="AH1254" s="7">
        <v>4335</v>
      </c>
      <c r="AI1254">
        <f t="shared" si="355"/>
        <v>360</v>
      </c>
      <c r="AJ1254" t="e">
        <f>VLOOKUP(A1254,'Borrower Details'!$A$1:$H$1493,8,FALSE)</f>
        <v>#N/A</v>
      </c>
      <c r="AK1254" s="4" t="e">
        <f t="shared" si="356"/>
        <v>#N/A</v>
      </c>
      <c r="AL1254" s="10">
        <v>7.625</v>
      </c>
      <c r="AM1254" s="3">
        <f t="shared" si="357"/>
        <v>219926.74899999998</v>
      </c>
      <c r="AN1254">
        <v>7.625</v>
      </c>
      <c r="AO1254" s="7">
        <f t="shared" si="358"/>
        <v>1648.2639213997245</v>
      </c>
      <c r="AP1254" s="2">
        <f t="shared" si="359"/>
        <v>320.40607860027558</v>
      </c>
    </row>
    <row r="1255" spans="1:42" x14ac:dyDescent="0.15">
      <c r="A1255" s="8">
        <v>410797591</v>
      </c>
      <c r="B1255" t="s">
        <v>36</v>
      </c>
      <c r="C1255" t="s">
        <v>18</v>
      </c>
      <c r="D1255" s="1">
        <v>39325</v>
      </c>
      <c r="E1255" s="2">
        <v>215000</v>
      </c>
      <c r="F1255" s="2">
        <v>182750</v>
      </c>
      <c r="G1255" t="s">
        <v>17</v>
      </c>
      <c r="H1255" s="2">
        <v>1699.08</v>
      </c>
      <c r="I1255" s="2">
        <v>182175.84</v>
      </c>
      <c r="J1255">
        <v>0.107</v>
      </c>
      <c r="K1255">
        <v>8</v>
      </c>
      <c r="L1255">
        <v>352</v>
      </c>
      <c r="M1255" t="str">
        <f t="shared" si="345"/>
        <v>30 Year Fixed</v>
      </c>
      <c r="N1255" s="2">
        <v>1624.4</v>
      </c>
      <c r="O1255" t="str">
        <f t="shared" si="342"/>
        <v>Refi</v>
      </c>
      <c r="P1255" s="3">
        <f t="shared" si="346"/>
        <v>0</v>
      </c>
      <c r="Q1255" s="4">
        <v>184908</v>
      </c>
      <c r="R1255" s="4" t="s">
        <v>41</v>
      </c>
      <c r="S1255" s="6">
        <v>523</v>
      </c>
      <c r="T1255">
        <v>7.625</v>
      </c>
      <c r="U1255" s="7">
        <f t="shared" si="343"/>
        <v>1385.8122605094311</v>
      </c>
      <c r="V1255" s="2">
        <f t="shared" si="347"/>
        <v>313.26773949056883</v>
      </c>
      <c r="W1255" s="9">
        <f t="shared" si="348"/>
        <v>0</v>
      </c>
      <c r="X1255" s="3">
        <v>184909</v>
      </c>
      <c r="Y1255" s="3">
        <f t="shared" si="349"/>
        <v>0.51467980298912153</v>
      </c>
      <c r="Z1255" s="7">
        <f t="shared" si="350"/>
        <v>1385.8197551135613</v>
      </c>
      <c r="AA1255" s="2">
        <f t="shared" si="344"/>
        <v>313.26024488643861</v>
      </c>
      <c r="AB1255" s="8">
        <f t="shared" si="351"/>
        <v>0</v>
      </c>
      <c r="AC1255" s="10">
        <v>7.625</v>
      </c>
      <c r="AD1255" s="7">
        <f t="shared" si="352"/>
        <v>1385.8197551135613</v>
      </c>
      <c r="AE1255" s="2">
        <f t="shared" si="353"/>
        <v>313.26024488643861</v>
      </c>
      <c r="AF1255" s="10">
        <v>0</v>
      </c>
      <c r="AG1255" s="3">
        <f t="shared" si="354"/>
        <v>0</v>
      </c>
      <c r="AH1255" s="7">
        <v>3655</v>
      </c>
      <c r="AI1255">
        <f t="shared" si="355"/>
        <v>360</v>
      </c>
      <c r="AJ1255" t="e">
        <f>VLOOKUP(A1255,'Borrower Details'!$A$1:$H$1493,8,FALSE)</f>
        <v>#N/A</v>
      </c>
      <c r="AK1255" s="4" t="e">
        <f t="shared" si="356"/>
        <v>#N/A</v>
      </c>
      <c r="AL1255" s="10">
        <v>7.625</v>
      </c>
      <c r="AM1255" s="3">
        <f t="shared" si="357"/>
        <v>184908.47759999998</v>
      </c>
      <c r="AN1255">
        <v>7.625</v>
      </c>
      <c r="AO1255" s="7">
        <f t="shared" si="358"/>
        <v>1385.8158399323634</v>
      </c>
      <c r="AP1255" s="2">
        <f t="shared" si="359"/>
        <v>313.26416006763657</v>
      </c>
    </row>
    <row r="1256" spans="1:42" x14ac:dyDescent="0.15">
      <c r="A1256" s="8">
        <v>411120587</v>
      </c>
      <c r="B1256" t="s">
        <v>37</v>
      </c>
      <c r="C1256" t="s">
        <v>16</v>
      </c>
      <c r="D1256" s="1">
        <v>39442</v>
      </c>
      <c r="E1256" s="2">
        <v>309000</v>
      </c>
      <c r="F1256" s="2">
        <v>156000</v>
      </c>
      <c r="G1256" t="s">
        <v>17</v>
      </c>
      <c r="H1256" s="2">
        <v>1317.43</v>
      </c>
      <c r="I1256" s="2">
        <v>155692.64000000001</v>
      </c>
      <c r="J1256">
        <v>9.5500000000000002E-2</v>
      </c>
      <c r="K1256">
        <v>4</v>
      </c>
      <c r="L1256">
        <v>356</v>
      </c>
      <c r="M1256" t="str">
        <f t="shared" si="345"/>
        <v>30 Year Fixed</v>
      </c>
      <c r="N1256" s="2">
        <v>1239.05</v>
      </c>
      <c r="O1256" t="str">
        <f t="shared" si="342"/>
        <v>Cash Out</v>
      </c>
      <c r="P1256" s="3">
        <f t="shared" si="346"/>
        <v>103075.83290640396</v>
      </c>
      <c r="Q1256" s="4">
        <v>262650</v>
      </c>
      <c r="R1256" s="4" t="s">
        <v>41</v>
      </c>
      <c r="S1256" s="6">
        <v>554</v>
      </c>
      <c r="T1256">
        <v>7.625</v>
      </c>
      <c r="U1256" s="7">
        <f t="shared" si="343"/>
        <v>1968.4577748004524</v>
      </c>
      <c r="V1256" s="2">
        <f t="shared" si="347"/>
        <v>-651.02777480045233</v>
      </c>
      <c r="W1256" s="9">
        <f t="shared" si="348"/>
        <v>1</v>
      </c>
      <c r="X1256" s="3">
        <v>175710</v>
      </c>
      <c r="Y1256" s="3">
        <f t="shared" si="349"/>
        <v>17420.660492610827</v>
      </c>
      <c r="Z1256" s="7">
        <f t="shared" si="350"/>
        <v>1316.8768917197317</v>
      </c>
      <c r="AA1256" s="2">
        <f t="shared" si="344"/>
        <v>0.55310828026836134</v>
      </c>
      <c r="AB1256" s="8">
        <f t="shared" si="351"/>
        <v>0</v>
      </c>
      <c r="AC1256" s="10">
        <v>7.625</v>
      </c>
      <c r="AD1256" s="7">
        <f t="shared" si="352"/>
        <v>1316.8768917197317</v>
      </c>
      <c r="AE1256" s="2">
        <f t="shared" si="353"/>
        <v>0.55310828026836134</v>
      </c>
      <c r="AF1256" s="10">
        <v>0</v>
      </c>
      <c r="AG1256" s="3">
        <f t="shared" si="354"/>
        <v>0</v>
      </c>
      <c r="AH1256" s="7">
        <v>0</v>
      </c>
      <c r="AI1256">
        <f t="shared" si="355"/>
        <v>360</v>
      </c>
      <c r="AJ1256" t="e">
        <f>VLOOKUP(A1256,'Borrower Details'!$A$1:$H$1493,8,FALSE)</f>
        <v>#N/A</v>
      </c>
      <c r="AK1256" s="4" t="e">
        <f t="shared" si="356"/>
        <v>#N/A</v>
      </c>
      <c r="AL1256" s="10">
        <v>7.625</v>
      </c>
      <c r="AM1256" s="3">
        <f t="shared" si="357"/>
        <v>158028.02960000001</v>
      </c>
      <c r="AN1256">
        <v>7.625</v>
      </c>
      <c r="AO1256" s="7">
        <f t="shared" si="358"/>
        <v>1184.3575233295871</v>
      </c>
      <c r="AP1256" s="2">
        <f t="shared" si="359"/>
        <v>133.07247667041293</v>
      </c>
    </row>
    <row r="1257" spans="1:42" x14ac:dyDescent="0.15">
      <c r="A1257" s="8">
        <v>410875421</v>
      </c>
      <c r="B1257" t="s">
        <v>36</v>
      </c>
      <c r="C1257" t="s">
        <v>16</v>
      </c>
      <c r="D1257" s="1">
        <v>39344</v>
      </c>
      <c r="E1257" s="2">
        <v>360000</v>
      </c>
      <c r="F1257" s="2">
        <v>306000</v>
      </c>
      <c r="G1257" t="s">
        <v>20</v>
      </c>
      <c r="H1257" s="2">
        <v>2440.16</v>
      </c>
      <c r="I1257" s="2">
        <v>304588.58</v>
      </c>
      <c r="J1257">
        <v>8.8999999999999996E-2</v>
      </c>
      <c r="K1257">
        <v>7</v>
      </c>
      <c r="L1257">
        <v>352</v>
      </c>
      <c r="M1257" t="str">
        <f t="shared" si="345"/>
        <v>30 Year Fixed</v>
      </c>
      <c r="N1257" s="2">
        <v>2259.0300000000002</v>
      </c>
      <c r="O1257" t="str">
        <f t="shared" si="342"/>
        <v>Refi</v>
      </c>
      <c r="P1257" s="3">
        <f t="shared" si="346"/>
        <v>0</v>
      </c>
      <c r="Q1257" s="4">
        <v>309157</v>
      </c>
      <c r="R1257" s="4" t="s">
        <v>41</v>
      </c>
      <c r="S1257" s="6">
        <v>625</v>
      </c>
      <c r="T1257">
        <v>6.75</v>
      </c>
      <c r="U1257" s="7">
        <f t="shared" si="343"/>
        <v>2134.0018340740594</v>
      </c>
      <c r="V1257" s="2">
        <f t="shared" si="347"/>
        <v>306.15816592594047</v>
      </c>
      <c r="W1257" s="9">
        <f t="shared" si="348"/>
        <v>0</v>
      </c>
      <c r="X1257" s="3">
        <v>309158</v>
      </c>
      <c r="Y1257" s="3">
        <f t="shared" si="349"/>
        <v>0.58256157638970762</v>
      </c>
      <c r="Z1257" s="7">
        <f t="shared" si="350"/>
        <v>2134.008736721692</v>
      </c>
      <c r="AA1257" s="2">
        <f t="shared" si="344"/>
        <v>306.15126327830785</v>
      </c>
      <c r="AB1257" s="8">
        <f t="shared" si="351"/>
        <v>0</v>
      </c>
      <c r="AC1257" s="10">
        <v>6.75</v>
      </c>
      <c r="AD1257" s="7">
        <f t="shared" si="352"/>
        <v>2134.008736721692</v>
      </c>
      <c r="AE1257" s="2">
        <f t="shared" si="353"/>
        <v>306.15126327830785</v>
      </c>
      <c r="AF1257" s="10">
        <v>0</v>
      </c>
      <c r="AG1257" s="3">
        <f t="shared" si="354"/>
        <v>0</v>
      </c>
      <c r="AH1257" s="7">
        <v>6120</v>
      </c>
      <c r="AI1257">
        <f t="shared" si="355"/>
        <v>360</v>
      </c>
      <c r="AJ1257" t="e">
        <f>VLOOKUP(A1257,'Borrower Details'!$A$1:$H$1493,8,FALSE)</f>
        <v>#N/A</v>
      </c>
      <c r="AK1257" s="4" t="e">
        <f t="shared" si="356"/>
        <v>#N/A</v>
      </c>
      <c r="AL1257" s="10">
        <v>6.75</v>
      </c>
      <c r="AM1257" s="3">
        <f t="shared" si="357"/>
        <v>309157.40869999997</v>
      </c>
      <c r="AN1257">
        <v>6.75</v>
      </c>
      <c r="AO1257" s="7">
        <f t="shared" si="358"/>
        <v>2134.0046551861465</v>
      </c>
      <c r="AP1257" s="2">
        <f t="shared" si="359"/>
        <v>306.15534481385339</v>
      </c>
    </row>
    <row r="1258" spans="1:42" x14ac:dyDescent="0.15">
      <c r="A1258" s="8">
        <v>411259997</v>
      </c>
      <c r="B1258" t="s">
        <v>38</v>
      </c>
      <c r="C1258" t="s">
        <v>16</v>
      </c>
      <c r="D1258" s="1">
        <v>39507</v>
      </c>
      <c r="E1258" s="2">
        <v>238000</v>
      </c>
      <c r="F1258" s="2">
        <v>190400</v>
      </c>
      <c r="G1258" t="s">
        <v>17</v>
      </c>
      <c r="H1258" s="2">
        <v>1518.33</v>
      </c>
      <c r="I1258" s="2">
        <v>190079.04</v>
      </c>
      <c r="J1258">
        <v>8.8999999999999996E-2</v>
      </c>
      <c r="K1258">
        <v>2</v>
      </c>
      <c r="L1258">
        <v>357</v>
      </c>
      <c r="M1258" t="str">
        <f t="shared" si="345"/>
        <v>30 Year Fixed</v>
      </c>
      <c r="N1258" s="2">
        <v>1409.75</v>
      </c>
      <c r="O1258" t="str">
        <f t="shared" si="342"/>
        <v>Cash Out</v>
      </c>
      <c r="P1258" s="3">
        <f t="shared" si="346"/>
        <v>9231.3048275862238</v>
      </c>
      <c r="Q1258" s="4">
        <v>202300</v>
      </c>
      <c r="R1258" s="4" t="s">
        <v>41</v>
      </c>
      <c r="S1258" s="6">
        <v>667</v>
      </c>
      <c r="T1258">
        <v>6.75</v>
      </c>
      <c r="U1258" s="7">
        <f t="shared" si="343"/>
        <v>1396.4056160241632</v>
      </c>
      <c r="V1258" s="2">
        <f t="shared" si="347"/>
        <v>121.92438397583669</v>
      </c>
      <c r="W1258" s="9">
        <f t="shared" si="348"/>
        <v>0</v>
      </c>
      <c r="X1258" s="3">
        <v>202300</v>
      </c>
      <c r="Y1258" s="3">
        <f t="shared" si="349"/>
        <v>9231.3048275862238</v>
      </c>
      <c r="Z1258" s="7">
        <f t="shared" si="350"/>
        <v>1396.4056160241632</v>
      </c>
      <c r="AA1258" s="2">
        <f t="shared" si="344"/>
        <v>121.92438397583669</v>
      </c>
      <c r="AB1258" s="8">
        <f t="shared" si="351"/>
        <v>0</v>
      </c>
      <c r="AC1258" s="10">
        <v>6.75</v>
      </c>
      <c r="AD1258" s="7">
        <f t="shared" si="352"/>
        <v>1396.4056160241632</v>
      </c>
      <c r="AE1258" s="2">
        <f t="shared" si="353"/>
        <v>121.92438397583669</v>
      </c>
      <c r="AF1258" s="10">
        <v>0</v>
      </c>
      <c r="AG1258" s="3">
        <f t="shared" si="354"/>
        <v>0</v>
      </c>
      <c r="AH1258" s="7">
        <v>1904</v>
      </c>
      <c r="AI1258">
        <f t="shared" si="355"/>
        <v>360</v>
      </c>
      <c r="AJ1258" t="e">
        <f>VLOOKUP(A1258,'Borrower Details'!$A$1:$H$1493,8,FALSE)</f>
        <v>#N/A</v>
      </c>
      <c r="AK1258" s="4" t="e">
        <f t="shared" si="356"/>
        <v>#N/A</v>
      </c>
      <c r="AL1258" s="10">
        <v>6.75</v>
      </c>
      <c r="AM1258" s="3">
        <f t="shared" si="357"/>
        <v>192930.22559999998</v>
      </c>
      <c r="AN1258">
        <v>6.75</v>
      </c>
      <c r="AO1258" s="7">
        <f t="shared" si="358"/>
        <v>1331.7293649463606</v>
      </c>
      <c r="AP1258" s="2">
        <f t="shared" si="359"/>
        <v>186.60063505363928</v>
      </c>
    </row>
    <row r="1259" spans="1:42" x14ac:dyDescent="0.15">
      <c r="A1259" s="8">
        <v>410863369</v>
      </c>
      <c r="B1259" t="s">
        <v>35</v>
      </c>
      <c r="C1259" t="s">
        <v>16</v>
      </c>
      <c r="D1259" s="1">
        <v>39351</v>
      </c>
      <c r="E1259" s="2">
        <v>280000</v>
      </c>
      <c r="F1259" s="2">
        <v>252000</v>
      </c>
      <c r="G1259" t="s">
        <v>20</v>
      </c>
      <c r="H1259" s="2">
        <v>2418.92</v>
      </c>
      <c r="I1259" s="2">
        <v>251360.08</v>
      </c>
      <c r="J1259">
        <v>0.111</v>
      </c>
      <c r="K1259">
        <v>7</v>
      </c>
      <c r="L1259">
        <v>353</v>
      </c>
      <c r="M1259" t="str">
        <f t="shared" si="345"/>
        <v>30 Year Fixed</v>
      </c>
      <c r="N1259" s="2">
        <v>2325.08</v>
      </c>
      <c r="O1259" t="str">
        <f t="shared" si="342"/>
        <v>Refi</v>
      </c>
      <c r="P1259" s="3">
        <f t="shared" si="346"/>
        <v>0</v>
      </c>
      <c r="Q1259" s="4">
        <v>255130</v>
      </c>
      <c r="R1259" s="4" t="s">
        <v>41</v>
      </c>
      <c r="S1259" s="6">
        <v>611</v>
      </c>
      <c r="T1259">
        <v>6.875</v>
      </c>
      <c r="U1259" s="7">
        <f t="shared" si="343"/>
        <v>1782.3266489970115</v>
      </c>
      <c r="V1259" s="2">
        <f t="shared" si="347"/>
        <v>636.59335100298858</v>
      </c>
      <c r="W1259" s="9">
        <f t="shared" si="348"/>
        <v>0</v>
      </c>
      <c r="X1259" s="3">
        <v>255130</v>
      </c>
      <c r="Y1259" s="3">
        <f t="shared" si="349"/>
        <v>-0.47408866990008391</v>
      </c>
      <c r="Z1259" s="7">
        <f t="shared" si="350"/>
        <v>1782.3266489970115</v>
      </c>
      <c r="AA1259" s="2">
        <f t="shared" si="344"/>
        <v>636.59335100298858</v>
      </c>
      <c r="AB1259" s="8">
        <f t="shared" si="351"/>
        <v>0</v>
      </c>
      <c r="AC1259" s="10">
        <v>6.875</v>
      </c>
      <c r="AD1259" s="7">
        <f t="shared" si="352"/>
        <v>1782.3266489970115</v>
      </c>
      <c r="AE1259" s="2">
        <f t="shared" si="353"/>
        <v>636.59335100298858</v>
      </c>
      <c r="AF1259" s="10">
        <v>0</v>
      </c>
      <c r="AG1259" s="3">
        <f t="shared" si="354"/>
        <v>0</v>
      </c>
      <c r="AH1259" s="7">
        <v>0</v>
      </c>
      <c r="AI1259">
        <f t="shared" si="355"/>
        <v>360</v>
      </c>
      <c r="AJ1259" t="e">
        <f>VLOOKUP(A1259,'Borrower Details'!$A$1:$H$1493,8,FALSE)</f>
        <v>#N/A</v>
      </c>
      <c r="AK1259" s="4" t="e">
        <f t="shared" si="356"/>
        <v>#N/A</v>
      </c>
      <c r="AL1259" s="10">
        <v>6.875</v>
      </c>
      <c r="AM1259" s="3">
        <f t="shared" si="357"/>
        <v>255130.48119999995</v>
      </c>
      <c r="AN1259">
        <v>6.875</v>
      </c>
      <c r="AO1259" s="7">
        <f t="shared" si="358"/>
        <v>1782.3300106384625</v>
      </c>
      <c r="AP1259" s="2">
        <f t="shared" si="359"/>
        <v>636.58998936153762</v>
      </c>
    </row>
    <row r="1260" spans="1:42" x14ac:dyDescent="0.15">
      <c r="A1260" s="8">
        <v>410813299</v>
      </c>
      <c r="B1260" t="s">
        <v>36</v>
      </c>
      <c r="C1260" t="s">
        <v>16</v>
      </c>
      <c r="D1260" s="1">
        <v>39318</v>
      </c>
      <c r="E1260" s="2">
        <v>222000</v>
      </c>
      <c r="F1260" s="2">
        <v>165000</v>
      </c>
      <c r="G1260" t="s">
        <v>17</v>
      </c>
      <c r="H1260" s="2">
        <v>1315.78</v>
      </c>
      <c r="I1260" s="2">
        <v>164244.37</v>
      </c>
      <c r="J1260">
        <v>8.8999999999999996E-2</v>
      </c>
      <c r="K1260">
        <v>8</v>
      </c>
      <c r="L1260">
        <v>352</v>
      </c>
      <c r="M1260" t="str">
        <f t="shared" si="345"/>
        <v>30 Year Fixed</v>
      </c>
      <c r="N1260" s="2">
        <v>1218.1500000000001</v>
      </c>
      <c r="O1260" t="str">
        <f t="shared" si="342"/>
        <v>Cash Out</v>
      </c>
      <c r="P1260" s="3">
        <f t="shared" si="346"/>
        <v>21666.960049261106</v>
      </c>
      <c r="Q1260" s="4">
        <v>188700</v>
      </c>
      <c r="R1260" s="4" t="s">
        <v>41</v>
      </c>
      <c r="S1260" s="6">
        <v>540</v>
      </c>
      <c r="T1260">
        <v>7.625</v>
      </c>
      <c r="U1260" s="7">
        <f t="shared" si="343"/>
        <v>1414.2317993711988</v>
      </c>
      <c r="V1260" s="2">
        <f t="shared" si="347"/>
        <v>-98.451799371198831</v>
      </c>
      <c r="W1260" s="9">
        <f t="shared" si="348"/>
        <v>1</v>
      </c>
      <c r="X1260" s="3">
        <v>175490</v>
      </c>
      <c r="Y1260" s="3">
        <f t="shared" si="349"/>
        <v>8652.1817241379467</v>
      </c>
      <c r="Z1260" s="7">
        <f t="shared" si="350"/>
        <v>1315.2280788110847</v>
      </c>
      <c r="AA1260" s="2">
        <f t="shared" si="344"/>
        <v>0.55192118891523023</v>
      </c>
      <c r="AB1260" s="8">
        <f t="shared" si="351"/>
        <v>1</v>
      </c>
      <c r="AC1260" s="10">
        <v>6.875</v>
      </c>
      <c r="AD1260" s="7">
        <f t="shared" si="352"/>
        <v>1225.9652084524969</v>
      </c>
      <c r="AE1260" s="2">
        <f t="shared" si="353"/>
        <v>89.814791547503091</v>
      </c>
      <c r="AF1260" s="10">
        <v>1</v>
      </c>
      <c r="AG1260" s="3">
        <f t="shared" si="354"/>
        <v>1754.9</v>
      </c>
      <c r="AH1260" s="7">
        <v>3300</v>
      </c>
      <c r="AI1260">
        <f t="shared" si="355"/>
        <v>360</v>
      </c>
      <c r="AJ1260" t="e">
        <f>VLOOKUP(A1260,'Borrower Details'!$A$1:$H$1493,8,FALSE)</f>
        <v>#N/A</v>
      </c>
      <c r="AK1260" s="4" t="e">
        <f t="shared" si="356"/>
        <v>#N/A</v>
      </c>
      <c r="AL1260" s="10">
        <v>7.625</v>
      </c>
      <c r="AM1260" s="3">
        <f t="shared" si="357"/>
        <v>166708.03554999997</v>
      </c>
      <c r="AN1260">
        <v>7.625</v>
      </c>
      <c r="AO1260" s="7">
        <f t="shared" si="358"/>
        <v>1249.4107317727305</v>
      </c>
      <c r="AP1260" s="2">
        <f t="shared" si="359"/>
        <v>66.369268227269458</v>
      </c>
    </row>
    <row r="1261" spans="1:42" x14ac:dyDescent="0.15">
      <c r="A1261" s="8">
        <v>411249907</v>
      </c>
      <c r="B1261" t="s">
        <v>35</v>
      </c>
      <c r="C1261" t="s">
        <v>16</v>
      </c>
      <c r="D1261" s="1">
        <v>39505</v>
      </c>
      <c r="E1261" s="2">
        <v>400000</v>
      </c>
      <c r="F1261" s="2">
        <v>319500</v>
      </c>
      <c r="G1261" t="s">
        <v>17</v>
      </c>
      <c r="H1261" s="2">
        <v>2355.5300000000002</v>
      </c>
      <c r="I1261" s="2">
        <v>319074.14</v>
      </c>
      <c r="J1261">
        <v>8.0500000000000002E-2</v>
      </c>
      <c r="K1261">
        <v>2</v>
      </c>
      <c r="L1261">
        <v>358</v>
      </c>
      <c r="M1261" t="str">
        <f t="shared" si="345"/>
        <v>30 Year Fixed</v>
      </c>
      <c r="N1261" s="2">
        <v>2140.46</v>
      </c>
      <c r="O1261" t="str">
        <f t="shared" si="342"/>
        <v>Cash Out</v>
      </c>
      <c r="P1261" s="3">
        <f t="shared" si="346"/>
        <v>15901.229458128102</v>
      </c>
      <c r="Q1261" s="4">
        <v>340000</v>
      </c>
      <c r="R1261" s="4" t="s">
        <v>41</v>
      </c>
      <c r="S1261" s="6">
        <v>604</v>
      </c>
      <c r="T1261">
        <v>6.875</v>
      </c>
      <c r="U1261" s="7">
        <f t="shared" si="343"/>
        <v>2375.2246331634219</v>
      </c>
      <c r="V1261" s="2">
        <f t="shared" si="347"/>
        <v>-19.694633163421713</v>
      </c>
      <c r="W1261" s="9">
        <f t="shared" si="348"/>
        <v>1</v>
      </c>
      <c r="X1261" s="3">
        <v>337100</v>
      </c>
      <c r="Y1261" s="3">
        <f t="shared" si="349"/>
        <v>13044.086600985262</v>
      </c>
      <c r="Z1261" s="7">
        <f t="shared" si="350"/>
        <v>2354.9653642334988</v>
      </c>
      <c r="AA1261" s="2">
        <f t="shared" si="344"/>
        <v>0.56463576650139657</v>
      </c>
      <c r="AB1261" s="8">
        <f t="shared" si="351"/>
        <v>1</v>
      </c>
      <c r="AC1261" s="10">
        <v>6.25</v>
      </c>
      <c r="AD1261" s="7">
        <f t="shared" si="352"/>
        <v>2216.0410159707062</v>
      </c>
      <c r="AE1261" s="2">
        <f t="shared" si="353"/>
        <v>139.48898402929399</v>
      </c>
      <c r="AF1261" s="10">
        <v>2.5</v>
      </c>
      <c r="AG1261" s="3">
        <f t="shared" si="354"/>
        <v>8427.5</v>
      </c>
      <c r="AH1261" s="7">
        <v>12859.875</v>
      </c>
      <c r="AI1261">
        <f t="shared" si="355"/>
        <v>360</v>
      </c>
      <c r="AJ1261" t="e">
        <f>VLOOKUP(A1261,'Borrower Details'!$A$1:$H$1493,8,FALSE)</f>
        <v>#N/A</v>
      </c>
      <c r="AK1261" s="4" t="e">
        <f t="shared" si="356"/>
        <v>#N/A</v>
      </c>
      <c r="AL1261" s="10">
        <v>6.875</v>
      </c>
      <c r="AM1261" s="3">
        <f t="shared" si="357"/>
        <v>323860.25209999998</v>
      </c>
      <c r="AN1261">
        <v>6.875</v>
      </c>
      <c r="AO1261" s="7">
        <f t="shared" si="358"/>
        <v>2262.4730837953998</v>
      </c>
      <c r="AP1261" s="2">
        <f t="shared" si="359"/>
        <v>93.056916204600384</v>
      </c>
    </row>
    <row r="1262" spans="1:42" x14ac:dyDescent="0.15">
      <c r="A1262" s="8">
        <v>411046527</v>
      </c>
      <c r="B1262" t="s">
        <v>35</v>
      </c>
      <c r="C1262" t="s">
        <v>16</v>
      </c>
      <c r="D1262" s="1">
        <v>39378</v>
      </c>
      <c r="E1262" s="2">
        <v>350000</v>
      </c>
      <c r="F1262" s="2">
        <v>262500</v>
      </c>
      <c r="G1262" t="s">
        <v>17</v>
      </c>
      <c r="H1262" s="2">
        <v>2313.34</v>
      </c>
      <c r="I1262" s="2">
        <v>261915.48</v>
      </c>
      <c r="J1262">
        <v>0.10050000000000001</v>
      </c>
      <c r="K1262">
        <v>6</v>
      </c>
      <c r="L1262">
        <v>355</v>
      </c>
      <c r="M1262" t="str">
        <f t="shared" si="345"/>
        <v>30 Year Fixed</v>
      </c>
      <c r="N1262" s="2">
        <v>2193.54</v>
      </c>
      <c r="O1262" t="str">
        <f t="shared" si="342"/>
        <v>Cash Out</v>
      </c>
      <c r="P1262" s="3">
        <f t="shared" si="346"/>
        <v>31187.968275862077</v>
      </c>
      <c r="Q1262" s="4">
        <v>297500</v>
      </c>
      <c r="R1262" s="4" t="s">
        <v>41</v>
      </c>
      <c r="S1262" s="6">
        <v>581</v>
      </c>
      <c r="T1262">
        <v>7.375</v>
      </c>
      <c r="U1262" s="7">
        <f t="shared" si="343"/>
        <v>2178.7168974354136</v>
      </c>
      <c r="V1262" s="2">
        <f t="shared" si="347"/>
        <v>134.62310256458659</v>
      </c>
      <c r="W1262" s="9">
        <f t="shared" si="348"/>
        <v>0</v>
      </c>
      <c r="X1262" s="3">
        <v>297500</v>
      </c>
      <c r="Y1262" s="3">
        <f t="shared" si="349"/>
        <v>31187.968275862077</v>
      </c>
      <c r="Z1262" s="7">
        <f t="shared" si="350"/>
        <v>2178.7168974354136</v>
      </c>
      <c r="AA1262" s="2">
        <f t="shared" si="344"/>
        <v>134.62310256458659</v>
      </c>
      <c r="AB1262" s="8">
        <f t="shared" si="351"/>
        <v>0</v>
      </c>
      <c r="AC1262" s="10">
        <v>7.375</v>
      </c>
      <c r="AD1262" s="7">
        <f t="shared" si="352"/>
        <v>2178.7168974354136</v>
      </c>
      <c r="AE1262" s="2">
        <f t="shared" si="353"/>
        <v>134.62310256458659</v>
      </c>
      <c r="AF1262" s="10">
        <v>0</v>
      </c>
      <c r="AG1262" s="3">
        <f t="shared" si="354"/>
        <v>0</v>
      </c>
      <c r="AH1262" s="7">
        <v>13190.625</v>
      </c>
      <c r="AI1262">
        <f t="shared" si="355"/>
        <v>360</v>
      </c>
      <c r="AJ1262" t="e">
        <f>VLOOKUP(A1262,'Borrower Details'!$A$1:$H$1493,8,FALSE)</f>
        <v>#N/A</v>
      </c>
      <c r="AK1262" s="4" t="e">
        <f t="shared" si="356"/>
        <v>#N/A</v>
      </c>
      <c r="AL1262" s="10">
        <v>7.375</v>
      </c>
      <c r="AM1262" s="3">
        <f t="shared" si="357"/>
        <v>265844.21220000001</v>
      </c>
      <c r="AN1262">
        <v>7.375</v>
      </c>
      <c r="AO1262" s="7">
        <f t="shared" si="358"/>
        <v>1946.88832674133</v>
      </c>
      <c r="AP1262" s="2">
        <f t="shared" si="359"/>
        <v>366.4516732586701</v>
      </c>
    </row>
    <row r="1263" spans="1:42" x14ac:dyDescent="0.15">
      <c r="A1263" s="8">
        <v>410950455</v>
      </c>
      <c r="B1263" t="s">
        <v>35</v>
      </c>
      <c r="C1263" t="s">
        <v>16</v>
      </c>
      <c r="D1263" s="1">
        <v>39366</v>
      </c>
      <c r="E1263" s="2">
        <v>122000</v>
      </c>
      <c r="F1263" s="2">
        <v>91500</v>
      </c>
      <c r="G1263" t="s">
        <v>17</v>
      </c>
      <c r="H1263" s="2">
        <v>845.55</v>
      </c>
      <c r="I1263" s="2">
        <v>91356.54</v>
      </c>
      <c r="J1263">
        <v>0.10625</v>
      </c>
      <c r="K1263">
        <v>6</v>
      </c>
      <c r="L1263">
        <v>356</v>
      </c>
      <c r="M1263" t="str">
        <f t="shared" si="345"/>
        <v>30 Year Fixed</v>
      </c>
      <c r="N1263" s="2">
        <v>808.89</v>
      </c>
      <c r="O1263" t="str">
        <f t="shared" si="342"/>
        <v>Cash Out</v>
      </c>
      <c r="P1263" s="3">
        <f t="shared" si="346"/>
        <v>10810.947684729079</v>
      </c>
      <c r="Q1263" s="4">
        <v>103700</v>
      </c>
      <c r="R1263" s="4" t="s">
        <v>41</v>
      </c>
      <c r="S1263" s="6">
        <v>557</v>
      </c>
      <c r="T1263">
        <v>7.625</v>
      </c>
      <c r="U1263" s="7">
        <f t="shared" si="343"/>
        <v>777.19044830309133</v>
      </c>
      <c r="V1263" s="2">
        <f t="shared" si="347"/>
        <v>68.359551696908625</v>
      </c>
      <c r="W1263" s="9">
        <f t="shared" si="348"/>
        <v>0</v>
      </c>
      <c r="X1263" s="3">
        <v>103700</v>
      </c>
      <c r="Y1263" s="3">
        <f t="shared" si="349"/>
        <v>10810.947684729079</v>
      </c>
      <c r="Z1263" s="7">
        <f t="shared" si="350"/>
        <v>777.19044830309133</v>
      </c>
      <c r="AA1263" s="2">
        <f t="shared" si="344"/>
        <v>68.359551696908625</v>
      </c>
      <c r="AB1263" s="8">
        <f t="shared" si="351"/>
        <v>0</v>
      </c>
      <c r="AC1263" s="10">
        <v>7.625</v>
      </c>
      <c r="AD1263" s="7">
        <f t="shared" si="352"/>
        <v>777.19044830309133</v>
      </c>
      <c r="AE1263" s="2">
        <f t="shared" si="353"/>
        <v>68.359551696908625</v>
      </c>
      <c r="AF1263" s="10">
        <v>0</v>
      </c>
      <c r="AG1263" s="3">
        <f t="shared" si="354"/>
        <v>0</v>
      </c>
      <c r="AH1263" s="7">
        <v>4860.9375</v>
      </c>
      <c r="AI1263">
        <f t="shared" si="355"/>
        <v>360</v>
      </c>
      <c r="AJ1263" t="e">
        <f>VLOOKUP(A1263,'Borrower Details'!$A$1:$H$1493,8,FALSE)</f>
        <v>#N/A</v>
      </c>
      <c r="AK1263" s="4" t="e">
        <f t="shared" si="356"/>
        <v>#N/A</v>
      </c>
      <c r="AL1263" s="10">
        <v>7.625</v>
      </c>
      <c r="AM1263" s="3">
        <f t="shared" si="357"/>
        <v>92726.888099999982</v>
      </c>
      <c r="AN1263">
        <v>7.625</v>
      </c>
      <c r="AO1263" s="7">
        <f t="shared" si="358"/>
        <v>694.95131853606142</v>
      </c>
      <c r="AP1263" s="2">
        <f t="shared" si="359"/>
        <v>150.59868146393853</v>
      </c>
    </row>
    <row r="1264" spans="1:42" x14ac:dyDescent="0.15">
      <c r="A1264" s="8">
        <v>411252745</v>
      </c>
      <c r="B1264" t="s">
        <v>36</v>
      </c>
      <c r="C1264" t="s">
        <v>16</v>
      </c>
      <c r="D1264" s="1">
        <v>39477</v>
      </c>
      <c r="E1264" s="2">
        <v>287000</v>
      </c>
      <c r="F1264" s="2">
        <v>248850</v>
      </c>
      <c r="G1264" t="s">
        <v>17</v>
      </c>
      <c r="H1264" s="2">
        <v>2182</v>
      </c>
      <c r="I1264" s="2">
        <v>248362.78</v>
      </c>
      <c r="J1264">
        <v>9.9900000000000003E-2</v>
      </c>
      <c r="K1264">
        <v>3</v>
      </c>
      <c r="L1264">
        <v>356</v>
      </c>
      <c r="M1264" t="str">
        <f t="shared" si="345"/>
        <v>30 Year Fixed</v>
      </c>
      <c r="N1264" s="2">
        <v>2068.6999999999998</v>
      </c>
      <c r="O1264" t="str">
        <f t="shared" si="342"/>
        <v>Refi</v>
      </c>
      <c r="P1264" s="3">
        <f t="shared" si="346"/>
        <v>0</v>
      </c>
      <c r="Q1264" s="4">
        <v>252088</v>
      </c>
      <c r="R1264" s="4" t="s">
        <v>41</v>
      </c>
      <c r="S1264" s="6">
        <v>619</v>
      </c>
      <c r="T1264">
        <v>6.875</v>
      </c>
      <c r="U1264" s="7">
        <f t="shared" si="343"/>
        <v>1761.0753744850022</v>
      </c>
      <c r="V1264" s="2">
        <f t="shared" si="347"/>
        <v>420.92462551499784</v>
      </c>
      <c r="W1264" s="9">
        <f t="shared" si="348"/>
        <v>0</v>
      </c>
      <c r="X1264" s="3">
        <v>252088</v>
      </c>
      <c r="Y1264" s="3">
        <f t="shared" si="349"/>
        <v>-0.21842364530311897</v>
      </c>
      <c r="Z1264" s="7">
        <f t="shared" si="350"/>
        <v>1761.0753744850022</v>
      </c>
      <c r="AA1264" s="2">
        <f t="shared" si="344"/>
        <v>420.92462551499784</v>
      </c>
      <c r="AB1264" s="8">
        <f t="shared" si="351"/>
        <v>0</v>
      </c>
      <c r="AC1264" s="10">
        <v>6.875</v>
      </c>
      <c r="AD1264" s="7">
        <f t="shared" si="352"/>
        <v>1761.0753744850022</v>
      </c>
      <c r="AE1264" s="2">
        <f t="shared" si="353"/>
        <v>420.92462551499784</v>
      </c>
      <c r="AF1264" s="10">
        <v>0</v>
      </c>
      <c r="AG1264" s="3">
        <f t="shared" si="354"/>
        <v>0</v>
      </c>
      <c r="AH1264" s="7">
        <v>4977</v>
      </c>
      <c r="AI1264">
        <f t="shared" si="355"/>
        <v>360</v>
      </c>
      <c r="AJ1264" t="e">
        <f>VLOOKUP(A1264,'Borrower Details'!$A$1:$H$1493,8,FALSE)</f>
        <v>#N/A</v>
      </c>
      <c r="AK1264" s="4" t="e">
        <f t="shared" si="356"/>
        <v>#N/A</v>
      </c>
      <c r="AL1264" s="10">
        <v>6.875</v>
      </c>
      <c r="AM1264" s="3">
        <f t="shared" si="357"/>
        <v>252088.22169999997</v>
      </c>
      <c r="AN1264">
        <v>6.875</v>
      </c>
      <c r="AO1264" s="7">
        <f t="shared" si="358"/>
        <v>1761.0769232711821</v>
      </c>
      <c r="AP1264" s="2">
        <f t="shared" si="359"/>
        <v>420.92307672881793</v>
      </c>
    </row>
    <row r="1265" spans="1:42" x14ac:dyDescent="0.15">
      <c r="A1265" s="8">
        <v>411110539</v>
      </c>
      <c r="B1265" t="s">
        <v>35</v>
      </c>
      <c r="C1265" t="s">
        <v>16</v>
      </c>
      <c r="D1265" s="1">
        <v>39426</v>
      </c>
      <c r="E1265" s="2">
        <v>155000</v>
      </c>
      <c r="F1265" s="2">
        <v>119300</v>
      </c>
      <c r="G1265" t="s">
        <v>20</v>
      </c>
      <c r="H1265" s="2">
        <v>1064.6199999999999</v>
      </c>
      <c r="I1265" s="2">
        <v>118932.44</v>
      </c>
      <c r="J1265">
        <v>0.10199999999999999</v>
      </c>
      <c r="K1265">
        <v>5</v>
      </c>
      <c r="L1265">
        <v>354</v>
      </c>
      <c r="M1265" t="str">
        <f t="shared" si="345"/>
        <v>30 Year Fixed</v>
      </c>
      <c r="N1265" s="2">
        <v>1011.38</v>
      </c>
      <c r="O1265" t="str">
        <f t="shared" si="342"/>
        <v>Cash Out</v>
      </c>
      <c r="P1265" s="3">
        <f t="shared" si="346"/>
        <v>10870.515665024635</v>
      </c>
      <c r="Q1265" s="4">
        <v>131750</v>
      </c>
      <c r="R1265" s="4" t="s">
        <v>41</v>
      </c>
      <c r="S1265" s="6">
        <v>560</v>
      </c>
      <c r="T1265">
        <v>7.625</v>
      </c>
      <c r="U1265" s="7">
        <f t="shared" si="343"/>
        <v>987.41409415556677</v>
      </c>
      <c r="V1265" s="2">
        <f t="shared" si="347"/>
        <v>77.205905844433119</v>
      </c>
      <c r="W1265" s="9">
        <f t="shared" si="348"/>
        <v>0</v>
      </c>
      <c r="X1265" s="3">
        <v>131750</v>
      </c>
      <c r="Y1265" s="3">
        <f t="shared" si="349"/>
        <v>10870.515665024635</v>
      </c>
      <c r="Z1265" s="7">
        <f t="shared" si="350"/>
        <v>987.41409415556677</v>
      </c>
      <c r="AA1265" s="2">
        <f t="shared" si="344"/>
        <v>77.205905844433119</v>
      </c>
      <c r="AB1265" s="8">
        <f t="shared" si="351"/>
        <v>0</v>
      </c>
      <c r="AC1265" s="10">
        <v>7.625</v>
      </c>
      <c r="AD1265" s="7">
        <f t="shared" si="352"/>
        <v>987.41409415556677</v>
      </c>
      <c r="AE1265" s="2">
        <f t="shared" si="353"/>
        <v>77.205905844433119</v>
      </c>
      <c r="AF1265" s="10">
        <v>0</v>
      </c>
      <c r="AG1265" s="3">
        <f t="shared" si="354"/>
        <v>0</v>
      </c>
      <c r="AH1265" s="7">
        <v>6084.3</v>
      </c>
      <c r="AI1265">
        <f t="shared" si="355"/>
        <v>360</v>
      </c>
      <c r="AJ1265" t="e">
        <f>VLOOKUP(A1265,'Borrower Details'!$A$1:$H$1493,8,FALSE)</f>
        <v>#N/A</v>
      </c>
      <c r="AK1265" s="4" t="e">
        <f t="shared" si="356"/>
        <v>#N/A</v>
      </c>
      <c r="AL1265" s="10">
        <v>7.625</v>
      </c>
      <c r="AM1265" s="3">
        <f t="shared" si="357"/>
        <v>120716.42659999999</v>
      </c>
      <c r="AN1265">
        <v>7.625</v>
      </c>
      <c r="AO1265" s="7">
        <f t="shared" si="358"/>
        <v>904.72182938091805</v>
      </c>
      <c r="AP1265" s="2">
        <f t="shared" si="359"/>
        <v>159.89817061908184</v>
      </c>
    </row>
    <row r="1266" spans="1:42" x14ac:dyDescent="0.15">
      <c r="A1266" s="8">
        <v>1183751</v>
      </c>
      <c r="B1266" t="s">
        <v>36</v>
      </c>
      <c r="C1266" t="s">
        <v>19</v>
      </c>
      <c r="D1266" s="1">
        <v>39181</v>
      </c>
      <c r="E1266" s="2">
        <v>123500</v>
      </c>
      <c r="F1266" s="2">
        <v>104975</v>
      </c>
      <c r="G1266" t="s">
        <v>17</v>
      </c>
      <c r="H1266" s="2">
        <v>748.43</v>
      </c>
      <c r="I1266" s="2">
        <v>104044.53</v>
      </c>
      <c r="J1266">
        <v>7.6999999999999999E-2</v>
      </c>
      <c r="K1266">
        <v>12</v>
      </c>
      <c r="L1266">
        <v>348</v>
      </c>
      <c r="M1266" t="str">
        <f t="shared" si="345"/>
        <v>30 Year Fixed</v>
      </c>
      <c r="N1266" s="2">
        <v>667.62</v>
      </c>
      <c r="O1266" t="str">
        <f t="shared" si="342"/>
        <v>Refi</v>
      </c>
      <c r="P1266" s="3">
        <f t="shared" si="346"/>
        <v>0</v>
      </c>
      <c r="Q1266" s="4">
        <v>105605</v>
      </c>
      <c r="R1266" s="4" t="s">
        <v>41</v>
      </c>
      <c r="S1266" s="6">
        <v>596</v>
      </c>
      <c r="T1266">
        <v>7.125</v>
      </c>
      <c r="U1266" s="7">
        <f t="shared" si="343"/>
        <v>755.48252986549767</v>
      </c>
      <c r="V1266" s="2">
        <f t="shared" si="347"/>
        <v>-7.0525298654977178</v>
      </c>
      <c r="W1266" s="9">
        <f t="shared" si="348"/>
        <v>0</v>
      </c>
      <c r="X1266" s="3">
        <v>105606</v>
      </c>
      <c r="Y1266" s="3">
        <f t="shared" si="349"/>
        <v>0.7901970443490427</v>
      </c>
      <c r="Z1266" s="7">
        <f t="shared" si="350"/>
        <v>755.48968371739738</v>
      </c>
      <c r="AA1266" s="2">
        <f t="shared" si="344"/>
        <v>-7.0596837173974336</v>
      </c>
      <c r="AB1266" s="8">
        <f t="shared" si="351"/>
        <v>1</v>
      </c>
      <c r="AC1266" s="10">
        <v>6.375</v>
      </c>
      <c r="AD1266" s="7">
        <f t="shared" si="352"/>
        <v>702.84654535750133</v>
      </c>
      <c r="AE1266" s="2">
        <f t="shared" si="353"/>
        <v>45.583454642498623</v>
      </c>
      <c r="AF1266" s="10">
        <v>2.5</v>
      </c>
      <c r="AG1266" s="3">
        <f t="shared" si="354"/>
        <v>2640.15</v>
      </c>
      <c r="AH1266" s="7">
        <v>2099.5</v>
      </c>
      <c r="AI1266">
        <f t="shared" si="355"/>
        <v>360</v>
      </c>
      <c r="AJ1266" t="e">
        <f>VLOOKUP(A1266,'Borrower Details'!$A$1:$H$1493,8,FALSE)</f>
        <v>#N/A</v>
      </c>
      <c r="AK1266" s="4" t="e">
        <f t="shared" si="356"/>
        <v>#N/A</v>
      </c>
      <c r="AL1266" s="10">
        <v>7.125</v>
      </c>
      <c r="AM1266" s="3">
        <f t="shared" si="357"/>
        <v>105605.19794999999</v>
      </c>
      <c r="AN1266">
        <v>7.125</v>
      </c>
      <c r="AO1266" s="7">
        <f t="shared" si="358"/>
        <v>755.48394597048116</v>
      </c>
      <c r="AP1266" s="2">
        <f t="shared" si="359"/>
        <v>-7.0539459704812089</v>
      </c>
    </row>
    <row r="1267" spans="1:42" x14ac:dyDescent="0.15">
      <c r="A1267" s="8">
        <v>411260177</v>
      </c>
      <c r="B1267" t="s">
        <v>36</v>
      </c>
      <c r="C1267" t="s">
        <v>16</v>
      </c>
      <c r="D1267" s="1">
        <v>39476</v>
      </c>
      <c r="E1267" s="2">
        <v>250000</v>
      </c>
      <c r="F1267" s="2">
        <v>212500</v>
      </c>
      <c r="G1267" t="s">
        <v>17</v>
      </c>
      <c r="H1267" s="2">
        <v>2112.48</v>
      </c>
      <c r="I1267" s="2">
        <v>212281.55</v>
      </c>
      <c r="J1267">
        <v>0.11550000000000001</v>
      </c>
      <c r="K1267">
        <v>3</v>
      </c>
      <c r="L1267">
        <v>357</v>
      </c>
      <c r="M1267" t="str">
        <f t="shared" si="345"/>
        <v>30 Year Fixed</v>
      </c>
      <c r="N1267" s="2">
        <v>2043.21</v>
      </c>
      <c r="O1267" t="str">
        <f t="shared" si="342"/>
        <v>Refi</v>
      </c>
      <c r="P1267" s="3">
        <f t="shared" si="346"/>
        <v>0</v>
      </c>
      <c r="Q1267" s="4">
        <v>215466</v>
      </c>
      <c r="R1267" s="4" t="s">
        <v>41</v>
      </c>
      <c r="S1267" s="6">
        <v>533</v>
      </c>
      <c r="T1267">
        <v>7.625</v>
      </c>
      <c r="U1267" s="7">
        <f t="shared" si="343"/>
        <v>1614.8323735204808</v>
      </c>
      <c r="V1267" s="2">
        <f t="shared" si="347"/>
        <v>497.6476264795192</v>
      </c>
      <c r="W1267" s="9">
        <f t="shared" si="348"/>
        <v>0</v>
      </c>
      <c r="X1267" s="3">
        <v>215466</v>
      </c>
      <c r="Y1267" s="3">
        <f t="shared" si="349"/>
        <v>0.22339901482337154</v>
      </c>
      <c r="Z1267" s="7">
        <f t="shared" si="350"/>
        <v>1614.8323735204808</v>
      </c>
      <c r="AA1267" s="2">
        <f t="shared" si="344"/>
        <v>497.6476264795192</v>
      </c>
      <c r="AB1267" s="8">
        <f t="shared" si="351"/>
        <v>0</v>
      </c>
      <c r="AC1267" s="10">
        <v>7.625</v>
      </c>
      <c r="AD1267" s="7">
        <f t="shared" si="352"/>
        <v>1614.8323735204808</v>
      </c>
      <c r="AE1267" s="2">
        <f t="shared" si="353"/>
        <v>497.6476264795192</v>
      </c>
      <c r="AF1267" s="10">
        <v>0</v>
      </c>
      <c r="AG1267" s="3">
        <f t="shared" si="354"/>
        <v>0</v>
      </c>
      <c r="AH1267" s="7">
        <v>4250</v>
      </c>
      <c r="AI1267">
        <f t="shared" si="355"/>
        <v>360</v>
      </c>
      <c r="AJ1267" t="e">
        <f>VLOOKUP(A1267,'Borrower Details'!$A$1:$H$1493,8,FALSE)</f>
        <v>#N/A</v>
      </c>
      <c r="AK1267" s="4" t="e">
        <f t="shared" si="356"/>
        <v>#N/A</v>
      </c>
      <c r="AL1267" s="10">
        <v>7.625</v>
      </c>
      <c r="AM1267" s="3">
        <f t="shared" si="357"/>
        <v>215465.77324999997</v>
      </c>
      <c r="AN1267">
        <v>7.625</v>
      </c>
      <c r="AO1267" s="7">
        <f t="shared" si="358"/>
        <v>1614.830674118994</v>
      </c>
      <c r="AP1267" s="2">
        <f t="shared" si="359"/>
        <v>497.64932588100601</v>
      </c>
    </row>
    <row r="1268" spans="1:42" x14ac:dyDescent="0.15">
      <c r="A1268" s="8">
        <v>410049639</v>
      </c>
      <c r="B1268" t="s">
        <v>36</v>
      </c>
      <c r="C1268" t="s">
        <v>19</v>
      </c>
      <c r="D1268" s="1">
        <v>39190</v>
      </c>
      <c r="E1268" s="2">
        <v>318000</v>
      </c>
      <c r="F1268" s="2">
        <v>263500</v>
      </c>
      <c r="G1268" t="s">
        <v>17</v>
      </c>
      <c r="H1268" s="2">
        <v>1608.85</v>
      </c>
      <c r="I1268" s="2">
        <v>262083.48</v>
      </c>
      <c r="J1268">
        <v>6.8500000000000005E-2</v>
      </c>
      <c r="K1268">
        <v>12</v>
      </c>
      <c r="L1268">
        <v>347</v>
      </c>
      <c r="M1268" t="str">
        <f t="shared" si="345"/>
        <v>30 Year Fixed</v>
      </c>
      <c r="N1268" s="2">
        <v>1496.06</v>
      </c>
      <c r="O1268" t="str">
        <f t="shared" si="342"/>
        <v>Cash Out</v>
      </c>
      <c r="P1268" s="3">
        <f t="shared" si="346"/>
        <v>4221.9387192118156</v>
      </c>
      <c r="Q1268" s="4">
        <v>270300</v>
      </c>
      <c r="R1268" s="4" t="s">
        <v>41</v>
      </c>
      <c r="S1268" s="6">
        <v>701</v>
      </c>
      <c r="T1268">
        <v>6.75</v>
      </c>
      <c r="U1268" s="7">
        <f t="shared" si="343"/>
        <v>1865.7856550238819</v>
      </c>
      <c r="V1268" s="2">
        <f t="shared" si="347"/>
        <v>-256.93565502388196</v>
      </c>
      <c r="W1268" s="9">
        <f t="shared" si="348"/>
        <v>1</v>
      </c>
      <c r="X1268" s="3">
        <v>266014</v>
      </c>
      <c r="Y1268" s="3">
        <f t="shared" si="349"/>
        <v>-0.72137931032921188</v>
      </c>
      <c r="Z1268" s="7">
        <f t="shared" si="350"/>
        <v>1836.2009072716348</v>
      </c>
      <c r="AA1268" s="2">
        <f t="shared" si="344"/>
        <v>-227.35090727163492</v>
      </c>
      <c r="AB1268" s="8">
        <f t="shared" si="351"/>
        <v>1</v>
      </c>
      <c r="AC1268" s="10">
        <v>6.125</v>
      </c>
      <c r="AD1268" s="7">
        <f t="shared" si="352"/>
        <v>1727.1682674268422</v>
      </c>
      <c r="AE1268" s="2">
        <f t="shared" si="353"/>
        <v>-118.31826742684234</v>
      </c>
      <c r="AF1268" s="10">
        <v>3</v>
      </c>
      <c r="AG1268" s="3">
        <f t="shared" si="354"/>
        <v>7980.42</v>
      </c>
      <c r="AH1268" s="7">
        <v>5270</v>
      </c>
      <c r="AI1268">
        <f t="shared" si="355"/>
        <v>360</v>
      </c>
      <c r="AJ1268" t="e">
        <f>VLOOKUP(A1268,'Borrower Details'!$A$1:$H$1493,8,FALSE)</f>
        <v>#N/A</v>
      </c>
      <c r="AK1268" s="4" t="e">
        <f t="shared" si="356"/>
        <v>#N/A</v>
      </c>
      <c r="AL1268" s="10">
        <v>6.75</v>
      </c>
      <c r="AM1268" s="3">
        <f t="shared" si="357"/>
        <v>266014.73219999997</v>
      </c>
      <c r="AN1268">
        <v>6.75</v>
      </c>
      <c r="AO1268" s="7">
        <f t="shared" si="358"/>
        <v>1836.2059613902311</v>
      </c>
      <c r="AP1268" s="2">
        <f t="shared" si="359"/>
        <v>-227.35596139023119</v>
      </c>
    </row>
    <row r="1269" spans="1:42" x14ac:dyDescent="0.15">
      <c r="A1269" s="8">
        <v>411239577</v>
      </c>
      <c r="B1269" t="s">
        <v>37</v>
      </c>
      <c r="C1269" t="s">
        <v>18</v>
      </c>
      <c r="D1269" s="1">
        <v>39471</v>
      </c>
      <c r="E1269" s="2">
        <v>141225.24</v>
      </c>
      <c r="F1269" s="2">
        <v>104000</v>
      </c>
      <c r="G1269" t="s">
        <v>17</v>
      </c>
      <c r="H1269" s="2">
        <v>825.61</v>
      </c>
      <c r="I1269" s="2">
        <v>103762.95</v>
      </c>
      <c r="J1269">
        <v>8.8499999999999995E-2</v>
      </c>
      <c r="K1269">
        <v>3</v>
      </c>
      <c r="L1269">
        <v>356</v>
      </c>
      <c r="M1269" t="str">
        <f t="shared" si="345"/>
        <v>30 Year Fixed</v>
      </c>
      <c r="N1269" s="2">
        <v>765.25</v>
      </c>
      <c r="O1269" t="str">
        <f t="shared" si="342"/>
        <v>Cash Out</v>
      </c>
      <c r="P1269" s="3">
        <f t="shared" si="346"/>
        <v>14504.492364532023</v>
      </c>
      <c r="Q1269" s="4">
        <v>120041</v>
      </c>
      <c r="R1269" s="4" t="s">
        <v>41</v>
      </c>
      <c r="S1269" s="6">
        <v>590</v>
      </c>
      <c r="T1269">
        <v>7.375</v>
      </c>
      <c r="U1269" s="7">
        <f t="shared" si="343"/>
        <v>879.1104372606535</v>
      </c>
      <c r="V1269" s="2">
        <f t="shared" si="347"/>
        <v>-53.500437260653484</v>
      </c>
      <c r="W1269" s="9">
        <f t="shared" si="348"/>
        <v>1</v>
      </c>
      <c r="X1269" s="3">
        <v>112661</v>
      </c>
      <c r="Y1269" s="3">
        <f t="shared" si="349"/>
        <v>7233.1091133005102</v>
      </c>
      <c r="Z1269" s="7">
        <f t="shared" si="350"/>
        <v>825.06361136797011</v>
      </c>
      <c r="AA1269" s="2">
        <f t="shared" si="344"/>
        <v>0.54638863202990251</v>
      </c>
      <c r="AB1269" s="8">
        <f t="shared" si="351"/>
        <v>1</v>
      </c>
      <c r="AC1269" s="10">
        <v>6.375</v>
      </c>
      <c r="AD1269" s="7">
        <f t="shared" si="352"/>
        <v>749.80015005323048</v>
      </c>
      <c r="AE1269" s="2">
        <f t="shared" si="353"/>
        <v>75.809849946769532</v>
      </c>
      <c r="AF1269" s="10">
        <v>2.625</v>
      </c>
      <c r="AG1269" s="3">
        <f t="shared" si="354"/>
        <v>2957.3512500000002</v>
      </c>
      <c r="AH1269" s="7">
        <v>0</v>
      </c>
      <c r="AI1269">
        <f t="shared" si="355"/>
        <v>360</v>
      </c>
      <c r="AJ1269" t="e">
        <f>VLOOKUP(A1269,'Borrower Details'!$A$1:$H$1493,8,FALSE)</f>
        <v>#N/A</v>
      </c>
      <c r="AK1269" s="4" t="e">
        <f t="shared" si="356"/>
        <v>#N/A</v>
      </c>
      <c r="AL1269" s="10">
        <v>7.375</v>
      </c>
      <c r="AM1269" s="3">
        <f t="shared" si="357"/>
        <v>105319.39424999998</v>
      </c>
      <c r="AN1269">
        <v>7.375</v>
      </c>
      <c r="AO1269" s="7">
        <f t="shared" si="358"/>
        <v>771.29796262230957</v>
      </c>
      <c r="AP1269" s="2">
        <f t="shared" si="359"/>
        <v>54.312037377690444</v>
      </c>
    </row>
    <row r="1270" spans="1:42" x14ac:dyDescent="0.15">
      <c r="A1270" s="8">
        <v>1167342</v>
      </c>
      <c r="B1270" t="s">
        <v>36</v>
      </c>
      <c r="C1270" t="s">
        <v>19</v>
      </c>
      <c r="D1270" s="1">
        <v>39188</v>
      </c>
      <c r="E1270" s="2">
        <v>120000</v>
      </c>
      <c r="F1270" s="2">
        <v>108000</v>
      </c>
      <c r="G1270" t="s">
        <v>15</v>
      </c>
      <c r="H1270" s="2">
        <v>788.71</v>
      </c>
      <c r="I1270" s="2">
        <v>107088.75</v>
      </c>
      <c r="J1270">
        <v>7.9500000000000001E-2</v>
      </c>
      <c r="K1270">
        <v>12</v>
      </c>
      <c r="L1270">
        <v>348</v>
      </c>
      <c r="M1270" t="str">
        <f t="shared" si="345"/>
        <v>30 Year Fixed</v>
      </c>
      <c r="N1270" s="2">
        <v>709.46</v>
      </c>
      <c r="O1270" t="str">
        <f t="shared" si="342"/>
        <v>Refi</v>
      </c>
      <c r="P1270" s="3">
        <f t="shared" si="346"/>
        <v>0</v>
      </c>
      <c r="Q1270" s="4">
        <v>108695</v>
      </c>
      <c r="R1270" s="4" t="s">
        <v>41</v>
      </c>
      <c r="S1270" s="6">
        <v>634</v>
      </c>
      <c r="T1270">
        <v>6.75</v>
      </c>
      <c r="U1270" s="7">
        <f t="shared" si="343"/>
        <v>750.28328439815334</v>
      </c>
      <c r="V1270" s="2">
        <f t="shared" si="347"/>
        <v>38.426715601846695</v>
      </c>
      <c r="W1270" s="9">
        <f t="shared" si="348"/>
        <v>0</v>
      </c>
      <c r="X1270" s="3">
        <v>108695</v>
      </c>
      <c r="Y1270" s="3">
        <f t="shared" si="349"/>
        <v>-8.0049261072417721E-2</v>
      </c>
      <c r="Z1270" s="7">
        <f t="shared" si="350"/>
        <v>750.28328439815334</v>
      </c>
      <c r="AA1270" s="2">
        <f t="shared" si="344"/>
        <v>38.426715601846695</v>
      </c>
      <c r="AB1270" s="8">
        <f t="shared" si="351"/>
        <v>1</v>
      </c>
      <c r="AC1270" s="10">
        <v>6.125</v>
      </c>
      <c r="AD1270" s="7">
        <f t="shared" si="352"/>
        <v>705.73185933056391</v>
      </c>
      <c r="AE1270" s="2">
        <f t="shared" si="353"/>
        <v>82.978140669436129</v>
      </c>
      <c r="AF1270" s="10">
        <v>3</v>
      </c>
      <c r="AG1270" s="3">
        <f t="shared" si="354"/>
        <v>3260.85</v>
      </c>
      <c r="AH1270" s="7">
        <v>2160</v>
      </c>
      <c r="AI1270">
        <f t="shared" si="355"/>
        <v>360</v>
      </c>
      <c r="AJ1270" t="e">
        <f>VLOOKUP(A1270,'Borrower Details'!$A$1:$H$1493,8,FALSE)</f>
        <v>#N/A</v>
      </c>
      <c r="AK1270" s="4" t="e">
        <f t="shared" si="356"/>
        <v>#N/A</v>
      </c>
      <c r="AL1270" s="10">
        <v>6.75</v>
      </c>
      <c r="AM1270" s="3">
        <f t="shared" si="357"/>
        <v>108695.08124999999</v>
      </c>
      <c r="AN1270">
        <v>6.75</v>
      </c>
      <c r="AO1270" s="7">
        <f t="shared" si="358"/>
        <v>750.28384523827333</v>
      </c>
      <c r="AP1270" s="2">
        <f t="shared" si="359"/>
        <v>38.426154761726707</v>
      </c>
    </row>
    <row r="1271" spans="1:42" x14ac:dyDescent="0.15">
      <c r="A1271" s="8">
        <v>411148489</v>
      </c>
      <c r="B1271" t="s">
        <v>37</v>
      </c>
      <c r="C1271" t="s">
        <v>16</v>
      </c>
      <c r="D1271" s="1">
        <v>39430</v>
      </c>
      <c r="E1271" s="2">
        <v>250000</v>
      </c>
      <c r="F1271" s="2">
        <v>200000</v>
      </c>
      <c r="G1271" t="s">
        <v>17</v>
      </c>
      <c r="H1271" s="2">
        <v>1934.94</v>
      </c>
      <c r="I1271" s="2">
        <v>199508.92</v>
      </c>
      <c r="J1271">
        <v>0.112</v>
      </c>
      <c r="K1271">
        <v>4</v>
      </c>
      <c r="L1271">
        <v>356</v>
      </c>
      <c r="M1271" t="str">
        <f t="shared" si="345"/>
        <v>30 Year Fixed</v>
      </c>
      <c r="N1271" s="2">
        <v>1862.08</v>
      </c>
      <c r="O1271" t="str">
        <f t="shared" si="342"/>
        <v>Cash Out</v>
      </c>
      <c r="P1271" s="3">
        <f t="shared" si="346"/>
        <v>9850.6859113300452</v>
      </c>
      <c r="Q1271" s="4">
        <v>212500</v>
      </c>
      <c r="R1271" s="4" t="s">
        <v>41</v>
      </c>
      <c r="S1271" s="6">
        <v>550</v>
      </c>
      <c r="T1271">
        <v>7.625</v>
      </c>
      <c r="U1271" s="7">
        <f t="shared" si="343"/>
        <v>1592.6033776702691</v>
      </c>
      <c r="V1271" s="2">
        <f t="shared" si="347"/>
        <v>342.33662232973097</v>
      </c>
      <c r="W1271" s="9">
        <f t="shared" si="348"/>
        <v>0</v>
      </c>
      <c r="X1271" s="3">
        <v>212500</v>
      </c>
      <c r="Y1271" s="3">
        <f t="shared" si="349"/>
        <v>9850.6859113300452</v>
      </c>
      <c r="Z1271" s="7">
        <f t="shared" si="350"/>
        <v>1592.6033776702691</v>
      </c>
      <c r="AA1271" s="2">
        <f t="shared" si="344"/>
        <v>342.33662232973097</v>
      </c>
      <c r="AB1271" s="8">
        <f t="shared" si="351"/>
        <v>0</v>
      </c>
      <c r="AC1271" s="10">
        <v>7.625</v>
      </c>
      <c r="AD1271" s="7">
        <f t="shared" si="352"/>
        <v>1592.6033776702691</v>
      </c>
      <c r="AE1271" s="2">
        <f t="shared" si="353"/>
        <v>342.33662232973097</v>
      </c>
      <c r="AF1271" s="10">
        <v>0</v>
      </c>
      <c r="AG1271" s="3">
        <f t="shared" si="354"/>
        <v>0</v>
      </c>
      <c r="AH1271" s="7">
        <v>2000</v>
      </c>
      <c r="AI1271">
        <f t="shared" si="355"/>
        <v>360</v>
      </c>
      <c r="AJ1271" t="e">
        <f>VLOOKUP(A1271,'Borrower Details'!$A$1:$H$1493,8,FALSE)</f>
        <v>#N/A</v>
      </c>
      <c r="AK1271" s="4" t="e">
        <f t="shared" si="356"/>
        <v>#N/A</v>
      </c>
      <c r="AL1271" s="10">
        <v>7.625</v>
      </c>
      <c r="AM1271" s="3">
        <f t="shared" si="357"/>
        <v>202501.55379999999</v>
      </c>
      <c r="AN1271">
        <v>7.625</v>
      </c>
      <c r="AO1271" s="7">
        <f t="shared" si="358"/>
        <v>1517.6689814840361</v>
      </c>
      <c r="AP1271" s="2">
        <f t="shared" si="359"/>
        <v>417.27101851596399</v>
      </c>
    </row>
    <row r="1272" spans="1:42" x14ac:dyDescent="0.15">
      <c r="A1272" s="8">
        <v>411304603</v>
      </c>
      <c r="B1272" t="s">
        <v>35</v>
      </c>
      <c r="C1272" t="s">
        <v>16</v>
      </c>
      <c r="D1272" s="1">
        <v>39499</v>
      </c>
      <c r="E1272" s="2">
        <v>215000</v>
      </c>
      <c r="F1272" s="2">
        <v>172000</v>
      </c>
      <c r="G1272" t="s">
        <v>17</v>
      </c>
      <c r="H1272" s="2">
        <v>1365.43</v>
      </c>
      <c r="I1272" s="2">
        <v>171805.43</v>
      </c>
      <c r="J1272">
        <v>8.8499999999999995E-2</v>
      </c>
      <c r="K1272">
        <v>2</v>
      </c>
      <c r="L1272">
        <v>358</v>
      </c>
      <c r="M1272" t="str">
        <f t="shared" si="345"/>
        <v>30 Year Fixed</v>
      </c>
      <c r="N1272" s="2">
        <v>1267.07</v>
      </c>
      <c r="O1272" t="str">
        <f t="shared" si="342"/>
        <v>Cash Out</v>
      </c>
      <c r="P1272" s="3">
        <f t="shared" si="346"/>
        <v>8243.8310837438621</v>
      </c>
      <c r="Q1272" s="4">
        <v>182750</v>
      </c>
      <c r="R1272" s="4" t="s">
        <v>41</v>
      </c>
      <c r="S1272" s="6">
        <v>629</v>
      </c>
      <c r="T1272">
        <v>6.75</v>
      </c>
      <c r="U1272" s="7">
        <f t="shared" si="343"/>
        <v>1261.458854811744</v>
      </c>
      <c r="V1272" s="2">
        <f t="shared" si="347"/>
        <v>103.97114518825606</v>
      </c>
      <c r="W1272" s="9">
        <f t="shared" si="348"/>
        <v>0</v>
      </c>
      <c r="X1272" s="3">
        <v>182750</v>
      </c>
      <c r="Y1272" s="3">
        <f t="shared" si="349"/>
        <v>8243.8310837438621</v>
      </c>
      <c r="Z1272" s="7">
        <f t="shared" si="350"/>
        <v>1261.458854811744</v>
      </c>
      <c r="AA1272" s="2">
        <f t="shared" si="344"/>
        <v>103.97114518825606</v>
      </c>
      <c r="AB1272" s="8">
        <f t="shared" si="351"/>
        <v>0</v>
      </c>
      <c r="AC1272" s="10">
        <v>6.75</v>
      </c>
      <c r="AD1272" s="7">
        <f t="shared" si="352"/>
        <v>1261.458854811744</v>
      </c>
      <c r="AE1272" s="2">
        <f t="shared" si="353"/>
        <v>103.97114518825606</v>
      </c>
      <c r="AF1272" s="10">
        <v>0</v>
      </c>
      <c r="AG1272" s="3">
        <f t="shared" si="354"/>
        <v>0</v>
      </c>
      <c r="AH1272" s="7">
        <v>7611</v>
      </c>
      <c r="AI1272">
        <f t="shared" si="355"/>
        <v>360</v>
      </c>
      <c r="AJ1272" t="e">
        <f>VLOOKUP(A1272,'Borrower Details'!$A$1:$H$1493,8,FALSE)</f>
        <v>#N/A</v>
      </c>
      <c r="AK1272" s="4" t="e">
        <f t="shared" si="356"/>
        <v>#N/A</v>
      </c>
      <c r="AL1272" s="10">
        <v>6.75</v>
      </c>
      <c r="AM1272" s="3">
        <f t="shared" si="357"/>
        <v>174382.51144999996</v>
      </c>
      <c r="AN1272">
        <v>6.75</v>
      </c>
      <c r="AO1272" s="7">
        <f t="shared" si="358"/>
        <v>1203.7010297833806</v>
      </c>
      <c r="AP1272" s="2">
        <f t="shared" si="359"/>
        <v>161.72897021661947</v>
      </c>
    </row>
    <row r="1273" spans="1:42" x14ac:dyDescent="0.15">
      <c r="A1273" s="8">
        <v>411088479</v>
      </c>
      <c r="B1273" t="s">
        <v>37</v>
      </c>
      <c r="C1273" t="s">
        <v>18</v>
      </c>
      <c r="D1273" s="1">
        <v>39401</v>
      </c>
      <c r="E1273" s="2">
        <v>194000</v>
      </c>
      <c r="F1273" s="2">
        <v>135700</v>
      </c>
      <c r="G1273" t="s">
        <v>17</v>
      </c>
      <c r="H1273" s="2">
        <v>1087</v>
      </c>
      <c r="I1273" s="2">
        <v>135187.19</v>
      </c>
      <c r="J1273">
        <v>8.9499999999999996E-2</v>
      </c>
      <c r="K1273">
        <v>5</v>
      </c>
      <c r="L1273">
        <v>355</v>
      </c>
      <c r="M1273" t="str">
        <f t="shared" si="345"/>
        <v>30 Year Fixed</v>
      </c>
      <c r="N1273" s="2">
        <v>1008.27</v>
      </c>
      <c r="O1273" t="str">
        <f t="shared" si="342"/>
        <v>Cash Out</v>
      </c>
      <c r="P1273" s="3">
        <f t="shared" si="346"/>
        <v>27275.864187192143</v>
      </c>
      <c r="Q1273" s="4">
        <v>164900</v>
      </c>
      <c r="R1273" s="4" t="s">
        <v>41</v>
      </c>
      <c r="S1273" s="6">
        <v>597</v>
      </c>
      <c r="T1273">
        <v>7.375</v>
      </c>
      <c r="U1273" s="7">
        <f t="shared" si="343"/>
        <v>1207.6316517213434</v>
      </c>
      <c r="V1273" s="2">
        <f t="shared" si="347"/>
        <v>-120.63165172134336</v>
      </c>
      <c r="W1273" s="9">
        <f t="shared" si="348"/>
        <v>1</v>
      </c>
      <c r="X1273" s="3">
        <v>148350</v>
      </c>
      <c r="Y1273" s="3">
        <f t="shared" si="349"/>
        <v>10970.445467980317</v>
      </c>
      <c r="Z1273" s="7">
        <f t="shared" si="350"/>
        <v>1086.4290814606507</v>
      </c>
      <c r="AA1273" s="2">
        <f t="shared" si="344"/>
        <v>0.57091853934934989</v>
      </c>
      <c r="AB1273" s="8">
        <f t="shared" si="351"/>
        <v>1</v>
      </c>
      <c r="AC1273" s="10">
        <v>6.375</v>
      </c>
      <c r="AD1273" s="7">
        <f t="shared" si="352"/>
        <v>987.32349491302887</v>
      </c>
      <c r="AE1273" s="2">
        <f t="shared" si="353"/>
        <v>99.676505086971133</v>
      </c>
      <c r="AF1273" s="10">
        <v>2.625</v>
      </c>
      <c r="AG1273" s="3">
        <f t="shared" si="354"/>
        <v>3894.1875</v>
      </c>
      <c r="AH1273" s="7">
        <v>0</v>
      </c>
      <c r="AI1273">
        <f t="shared" si="355"/>
        <v>360</v>
      </c>
      <c r="AJ1273" t="e">
        <f>VLOOKUP(A1273,'Borrower Details'!$A$1:$H$1493,8,FALSE)</f>
        <v>#N/A</v>
      </c>
      <c r="AK1273" s="4" t="e">
        <f t="shared" si="356"/>
        <v>#N/A</v>
      </c>
      <c r="AL1273" s="10">
        <v>7.375</v>
      </c>
      <c r="AM1273" s="3">
        <f t="shared" si="357"/>
        <v>137214.99784999999</v>
      </c>
      <c r="AN1273">
        <v>7.375</v>
      </c>
      <c r="AO1273" s="7">
        <f t="shared" si="358"/>
        <v>1004.8828046970046</v>
      </c>
      <c r="AP1273" s="2">
        <f t="shared" si="359"/>
        <v>82.117195302995356</v>
      </c>
    </row>
    <row r="1274" spans="1:42" x14ac:dyDescent="0.15">
      <c r="A1274" s="8">
        <v>411211329</v>
      </c>
      <c r="B1274" t="s">
        <v>37</v>
      </c>
      <c r="C1274" t="s">
        <v>16</v>
      </c>
      <c r="D1274" s="1">
        <v>39462</v>
      </c>
      <c r="E1274" s="2">
        <v>188000</v>
      </c>
      <c r="F1274" s="2">
        <v>159800</v>
      </c>
      <c r="G1274" t="s">
        <v>20</v>
      </c>
      <c r="H1274" s="2">
        <v>1461.76</v>
      </c>
      <c r="I1274" s="2">
        <v>159607.79</v>
      </c>
      <c r="J1274">
        <v>0.105</v>
      </c>
      <c r="K1274">
        <v>3</v>
      </c>
      <c r="L1274">
        <v>357</v>
      </c>
      <c r="M1274" t="str">
        <f t="shared" si="345"/>
        <v>30 Year Fixed</v>
      </c>
      <c r="N1274" s="2">
        <v>1396.57</v>
      </c>
      <c r="O1274" t="str">
        <f t="shared" si="342"/>
        <v>Refi</v>
      </c>
      <c r="P1274" s="3">
        <f t="shared" si="346"/>
        <v>0</v>
      </c>
      <c r="Q1274" s="4">
        <v>162002</v>
      </c>
      <c r="R1274" s="4" t="s">
        <v>41</v>
      </c>
      <c r="S1274" s="6">
        <v>541</v>
      </c>
      <c r="T1274">
        <v>7.625</v>
      </c>
      <c r="U1274" s="7">
        <f t="shared" si="343"/>
        <v>1214.1408583027712</v>
      </c>
      <c r="V1274" s="2">
        <f t="shared" si="347"/>
        <v>247.61914169722877</v>
      </c>
      <c r="W1274" s="9">
        <f t="shared" si="348"/>
        <v>0</v>
      </c>
      <c r="X1274" s="3">
        <v>162002</v>
      </c>
      <c r="Y1274" s="3">
        <f t="shared" si="349"/>
        <v>9.1773399035446346E-2</v>
      </c>
      <c r="Z1274" s="7">
        <f t="shared" si="350"/>
        <v>1214.1408583027712</v>
      </c>
      <c r="AA1274" s="2">
        <f t="shared" si="344"/>
        <v>247.61914169722877</v>
      </c>
      <c r="AB1274" s="8">
        <f t="shared" si="351"/>
        <v>0</v>
      </c>
      <c r="AC1274" s="10">
        <v>7.625</v>
      </c>
      <c r="AD1274" s="7">
        <f t="shared" si="352"/>
        <v>1214.1408583027712</v>
      </c>
      <c r="AE1274" s="2">
        <f t="shared" si="353"/>
        <v>247.61914169722877</v>
      </c>
      <c r="AF1274" s="10">
        <v>0</v>
      </c>
      <c r="AG1274" s="3">
        <f t="shared" si="354"/>
        <v>0</v>
      </c>
      <c r="AH1274" s="7">
        <v>0</v>
      </c>
      <c r="AI1274">
        <f t="shared" si="355"/>
        <v>360</v>
      </c>
      <c r="AJ1274" t="e">
        <f>VLOOKUP(A1274,'Borrower Details'!$A$1:$H$1493,8,FALSE)</f>
        <v>#N/A</v>
      </c>
      <c r="AK1274" s="4" t="e">
        <f t="shared" si="356"/>
        <v>#N/A</v>
      </c>
      <c r="AL1274" s="10">
        <v>7.625</v>
      </c>
      <c r="AM1274" s="3">
        <f t="shared" si="357"/>
        <v>162001.90685</v>
      </c>
      <c r="AN1274">
        <v>7.625</v>
      </c>
      <c r="AO1274" s="7">
        <f t="shared" si="358"/>
        <v>1214.1401601803966</v>
      </c>
      <c r="AP1274" s="2">
        <f t="shared" si="359"/>
        <v>247.61983981960338</v>
      </c>
    </row>
    <row r="1275" spans="1:42" x14ac:dyDescent="0.15">
      <c r="A1275" s="8">
        <v>411148281</v>
      </c>
      <c r="B1275" t="s">
        <v>35</v>
      </c>
      <c r="C1275" t="s">
        <v>16</v>
      </c>
      <c r="D1275" s="1">
        <v>39433</v>
      </c>
      <c r="E1275" s="2">
        <v>135000</v>
      </c>
      <c r="F1275" s="2">
        <v>67500</v>
      </c>
      <c r="G1275" t="s">
        <v>17</v>
      </c>
      <c r="H1275" s="2">
        <v>552.87</v>
      </c>
      <c r="I1275" s="2">
        <v>67320.42</v>
      </c>
      <c r="J1275">
        <v>9.1999999999999998E-2</v>
      </c>
      <c r="K1275">
        <v>4</v>
      </c>
      <c r="L1275">
        <v>355</v>
      </c>
      <c r="M1275" t="str">
        <f t="shared" si="345"/>
        <v>30 Year Fixed</v>
      </c>
      <c r="N1275" s="2">
        <v>516.12</v>
      </c>
      <c r="O1275" t="str">
        <f t="shared" si="342"/>
        <v>Cash Out</v>
      </c>
      <c r="P1275" s="3">
        <f t="shared" si="346"/>
        <v>45733.767192118234</v>
      </c>
      <c r="Q1275" s="4">
        <v>114750</v>
      </c>
      <c r="R1275" s="4" t="s">
        <v>41</v>
      </c>
      <c r="S1275" s="6">
        <v>641</v>
      </c>
      <c r="T1275">
        <v>6.75</v>
      </c>
      <c r="U1275" s="7">
        <f t="shared" si="343"/>
        <v>792.07881581202537</v>
      </c>
      <c r="V1275" s="2">
        <f t="shared" si="347"/>
        <v>-239.20881581202536</v>
      </c>
      <c r="W1275" s="9">
        <f t="shared" si="348"/>
        <v>1</v>
      </c>
      <c r="X1275" s="3">
        <v>80020</v>
      </c>
      <c r="Y1275" s="3">
        <f t="shared" si="349"/>
        <v>11517.018423645335</v>
      </c>
      <c r="Z1275" s="7">
        <f t="shared" si="350"/>
        <v>559.0161033698148</v>
      </c>
      <c r="AA1275" s="2">
        <f t="shared" si="344"/>
        <v>-6.1461033698147958</v>
      </c>
      <c r="AB1275" s="8">
        <f t="shared" si="351"/>
        <v>0</v>
      </c>
      <c r="AC1275" s="10">
        <v>6.875</v>
      </c>
      <c r="AD1275" s="7">
        <f t="shared" si="352"/>
        <v>559.0161033698148</v>
      </c>
      <c r="AE1275" s="2">
        <f t="shared" si="353"/>
        <v>-6.1461033698147958</v>
      </c>
      <c r="AF1275" s="10">
        <v>0</v>
      </c>
      <c r="AG1275" s="3">
        <f t="shared" si="354"/>
        <v>0</v>
      </c>
      <c r="AH1275" s="7">
        <v>3105</v>
      </c>
      <c r="AI1275">
        <f t="shared" si="355"/>
        <v>360</v>
      </c>
      <c r="AJ1275" t="e">
        <f>VLOOKUP(A1275,'Borrower Details'!$A$1:$H$1493,8,FALSE)</f>
        <v>#N/A</v>
      </c>
      <c r="AK1275" s="4" t="e">
        <f t="shared" si="356"/>
        <v>#N/A</v>
      </c>
      <c r="AL1275" s="10">
        <v>6.875</v>
      </c>
      <c r="AM1275" s="3">
        <f t="shared" si="357"/>
        <v>68330.226299999995</v>
      </c>
      <c r="AN1275">
        <v>6.875</v>
      </c>
      <c r="AO1275" s="7">
        <f t="shared" si="358"/>
        <v>477.35187263938559</v>
      </c>
      <c r="AP1275" s="2">
        <f t="shared" si="359"/>
        <v>75.518127360614415</v>
      </c>
    </row>
    <row r="1276" spans="1:42" x14ac:dyDescent="0.15">
      <c r="A1276" s="8">
        <v>1179245</v>
      </c>
      <c r="B1276" t="s">
        <v>35</v>
      </c>
      <c r="C1276" t="s">
        <v>16</v>
      </c>
      <c r="D1276" s="1">
        <v>39182</v>
      </c>
      <c r="E1276" s="2">
        <v>131000</v>
      </c>
      <c r="F1276" s="2">
        <v>117900</v>
      </c>
      <c r="G1276" t="s">
        <v>17</v>
      </c>
      <c r="H1276" s="2">
        <v>1139.75</v>
      </c>
      <c r="I1276" s="2">
        <v>117435.06</v>
      </c>
      <c r="J1276">
        <v>0.1119</v>
      </c>
      <c r="K1276">
        <v>12</v>
      </c>
      <c r="L1276">
        <v>349</v>
      </c>
      <c r="M1276" t="str">
        <f t="shared" si="345"/>
        <v>30 Year Fixed</v>
      </c>
      <c r="N1276" s="2">
        <v>1095.08</v>
      </c>
      <c r="O1276" t="str">
        <f t="shared" si="342"/>
        <v>Refi</v>
      </c>
      <c r="P1276" s="3">
        <f t="shared" si="346"/>
        <v>0</v>
      </c>
      <c r="Q1276" s="4">
        <v>119197</v>
      </c>
      <c r="R1276" s="4" t="s">
        <v>41</v>
      </c>
      <c r="S1276" s="6">
        <v>543</v>
      </c>
      <c r="T1276">
        <v>7.625</v>
      </c>
      <c r="U1276" s="7">
        <f t="shared" si="343"/>
        <v>893.3343285090026</v>
      </c>
      <c r="V1276" s="2">
        <f t="shared" si="347"/>
        <v>246.4156714909974</v>
      </c>
      <c r="W1276" s="9">
        <f t="shared" si="348"/>
        <v>0</v>
      </c>
      <c r="X1276" s="3">
        <v>119197</v>
      </c>
      <c r="Y1276" s="3">
        <f t="shared" si="349"/>
        <v>0.40798029558209237</v>
      </c>
      <c r="Z1276" s="7">
        <f t="shared" si="350"/>
        <v>893.3343285090026</v>
      </c>
      <c r="AA1276" s="2">
        <f t="shared" si="344"/>
        <v>246.4156714909974</v>
      </c>
      <c r="AB1276" s="8">
        <f t="shared" si="351"/>
        <v>0</v>
      </c>
      <c r="AC1276" s="10">
        <v>7.625</v>
      </c>
      <c r="AD1276" s="7">
        <f t="shared" si="352"/>
        <v>893.3343285090026</v>
      </c>
      <c r="AE1276" s="2">
        <f t="shared" si="353"/>
        <v>246.4156714909974</v>
      </c>
      <c r="AF1276" s="10">
        <v>0</v>
      </c>
      <c r="AG1276" s="3">
        <f t="shared" si="354"/>
        <v>0</v>
      </c>
      <c r="AH1276" s="7">
        <v>6596.5050000000001</v>
      </c>
      <c r="AI1276">
        <f t="shared" si="355"/>
        <v>360</v>
      </c>
      <c r="AJ1276" t="e">
        <f>VLOOKUP(A1276,'Borrower Details'!$A$1:$H$1493,8,FALSE)</f>
        <v>#N/A</v>
      </c>
      <c r="AK1276" s="4" t="e">
        <f t="shared" si="356"/>
        <v>#N/A</v>
      </c>
      <c r="AL1276" s="10">
        <v>7.625</v>
      </c>
      <c r="AM1276" s="3">
        <f t="shared" si="357"/>
        <v>119196.58589999999</v>
      </c>
      <c r="AN1276">
        <v>7.625</v>
      </c>
      <c r="AO1276" s="7">
        <f t="shared" si="358"/>
        <v>893.33122499343222</v>
      </c>
      <c r="AP1276" s="2">
        <f t="shared" si="359"/>
        <v>246.41877500656778</v>
      </c>
    </row>
    <row r="1277" spans="1:42" x14ac:dyDescent="0.15">
      <c r="A1277" s="8">
        <v>1184825</v>
      </c>
      <c r="B1277" t="s">
        <v>35</v>
      </c>
      <c r="C1277" t="s">
        <v>16</v>
      </c>
      <c r="D1277" s="1">
        <v>39182</v>
      </c>
      <c r="E1277" s="2">
        <v>107000</v>
      </c>
      <c r="F1277" s="2">
        <v>96300</v>
      </c>
      <c r="G1277" t="s">
        <v>15</v>
      </c>
      <c r="H1277" s="2">
        <v>774.86</v>
      </c>
      <c r="I1277" s="2">
        <v>95584.44</v>
      </c>
      <c r="J1277">
        <v>0.09</v>
      </c>
      <c r="K1277">
        <v>12</v>
      </c>
      <c r="L1277">
        <v>347</v>
      </c>
      <c r="M1277" t="str">
        <f t="shared" si="345"/>
        <v>30 Year Fixed</v>
      </c>
      <c r="N1277" s="2">
        <v>716.88</v>
      </c>
      <c r="O1277" t="str">
        <f t="shared" si="342"/>
        <v>Refi</v>
      </c>
      <c r="P1277" s="3">
        <f t="shared" si="346"/>
        <v>0</v>
      </c>
      <c r="Q1277" s="4">
        <v>97018</v>
      </c>
      <c r="R1277" s="4" t="s">
        <v>41</v>
      </c>
      <c r="S1277" s="6">
        <v>615</v>
      </c>
      <c r="T1277">
        <v>7</v>
      </c>
      <c r="U1277" s="7">
        <f t="shared" si="343"/>
        <v>685.88734143960608</v>
      </c>
      <c r="V1277" s="2">
        <f t="shared" si="347"/>
        <v>88.972658560393938</v>
      </c>
      <c r="W1277" s="9">
        <f t="shared" si="348"/>
        <v>0</v>
      </c>
      <c r="X1277" s="3">
        <v>97018</v>
      </c>
      <c r="Y1277" s="3">
        <f t="shared" si="349"/>
        <v>-0.20354679801675957</v>
      </c>
      <c r="Z1277" s="7">
        <f t="shared" si="350"/>
        <v>685.88734143960608</v>
      </c>
      <c r="AA1277" s="2">
        <f t="shared" si="344"/>
        <v>88.972658560393938</v>
      </c>
      <c r="AB1277" s="8">
        <f t="shared" si="351"/>
        <v>0</v>
      </c>
      <c r="AC1277" s="10">
        <v>7</v>
      </c>
      <c r="AD1277" s="7">
        <f t="shared" si="352"/>
        <v>685.88734143960608</v>
      </c>
      <c r="AE1277" s="2">
        <f t="shared" si="353"/>
        <v>88.972658560393938</v>
      </c>
      <c r="AF1277" s="10">
        <v>0</v>
      </c>
      <c r="AG1277" s="3">
        <f t="shared" si="354"/>
        <v>0</v>
      </c>
      <c r="AH1277" s="7">
        <v>4333.5</v>
      </c>
      <c r="AI1277">
        <f t="shared" si="355"/>
        <v>360</v>
      </c>
      <c r="AJ1277" t="e">
        <f>VLOOKUP(A1277,'Borrower Details'!$A$1:$H$1493,8,FALSE)</f>
        <v>#N/A</v>
      </c>
      <c r="AK1277" s="4" t="e">
        <f t="shared" si="356"/>
        <v>#N/A</v>
      </c>
      <c r="AL1277" s="10">
        <v>7</v>
      </c>
      <c r="AM1277" s="3">
        <f t="shared" si="357"/>
        <v>97018.20659999999</v>
      </c>
      <c r="AN1277">
        <v>7</v>
      </c>
      <c r="AO1277" s="7">
        <f t="shared" si="358"/>
        <v>685.88880203789438</v>
      </c>
      <c r="AP1277" s="2">
        <f t="shared" si="359"/>
        <v>88.971197962105634</v>
      </c>
    </row>
    <row r="1278" spans="1:42" x14ac:dyDescent="0.15">
      <c r="A1278" s="8">
        <v>1173604</v>
      </c>
      <c r="B1278" t="s">
        <v>38</v>
      </c>
      <c r="C1278" t="s">
        <v>19</v>
      </c>
      <c r="D1278" s="1">
        <v>39182</v>
      </c>
      <c r="E1278" s="2">
        <v>93000</v>
      </c>
      <c r="F1278" s="2">
        <v>84550</v>
      </c>
      <c r="G1278" t="s">
        <v>15</v>
      </c>
      <c r="H1278" s="2">
        <v>711.32</v>
      </c>
      <c r="I1278" s="2">
        <v>84346.68</v>
      </c>
      <c r="J1278">
        <v>9.9000000000000005E-2</v>
      </c>
      <c r="K1278">
        <v>12</v>
      </c>
      <c r="L1278">
        <v>347</v>
      </c>
      <c r="M1278" t="str">
        <f t="shared" si="345"/>
        <v>30 Year Fixed</v>
      </c>
      <c r="N1278" s="2">
        <v>695.86</v>
      </c>
      <c r="O1278" t="str">
        <f t="shared" si="342"/>
        <v>Refi</v>
      </c>
      <c r="P1278" s="3">
        <f t="shared" si="346"/>
        <v>0</v>
      </c>
      <c r="Q1278" s="4">
        <v>85612</v>
      </c>
      <c r="R1278" s="4" t="s">
        <v>41</v>
      </c>
      <c r="S1278" s="6">
        <v>616</v>
      </c>
      <c r="T1278">
        <v>7</v>
      </c>
      <c r="U1278" s="7">
        <f t="shared" si="343"/>
        <v>605.25043883946842</v>
      </c>
      <c r="V1278" s="2">
        <f t="shared" si="347"/>
        <v>106.06956116053163</v>
      </c>
      <c r="W1278" s="9">
        <f t="shared" si="348"/>
        <v>0</v>
      </c>
      <c r="X1278" s="3">
        <v>85612</v>
      </c>
      <c r="Y1278" s="3">
        <f t="shared" si="349"/>
        <v>0.1180295566591667</v>
      </c>
      <c r="Z1278" s="7">
        <f t="shared" si="350"/>
        <v>605.25043883946842</v>
      </c>
      <c r="AA1278" s="2">
        <f t="shared" si="344"/>
        <v>106.06956116053163</v>
      </c>
      <c r="AB1278" s="8">
        <f t="shared" si="351"/>
        <v>0</v>
      </c>
      <c r="AC1278" s="10">
        <v>7</v>
      </c>
      <c r="AD1278" s="7">
        <f t="shared" si="352"/>
        <v>605.25043883946842</v>
      </c>
      <c r="AE1278" s="2">
        <f t="shared" si="353"/>
        <v>106.06956116053163</v>
      </c>
      <c r="AF1278" s="10">
        <v>0</v>
      </c>
      <c r="AG1278" s="3">
        <f t="shared" si="354"/>
        <v>0</v>
      </c>
      <c r="AH1278" s="7">
        <v>0</v>
      </c>
      <c r="AI1278">
        <f t="shared" si="355"/>
        <v>360</v>
      </c>
      <c r="AJ1278" t="e">
        <f>VLOOKUP(A1278,'Borrower Details'!$A$1:$H$1493,8,FALSE)</f>
        <v>#N/A</v>
      </c>
      <c r="AK1278" s="4" t="e">
        <f t="shared" si="356"/>
        <v>#N/A</v>
      </c>
      <c r="AL1278" s="10">
        <v>7</v>
      </c>
      <c r="AM1278" s="3">
        <f t="shared" si="357"/>
        <v>85611.880199999985</v>
      </c>
      <c r="AN1278">
        <v>7</v>
      </c>
      <c r="AO1278" s="7">
        <f t="shared" si="358"/>
        <v>605.24959189041249</v>
      </c>
      <c r="AP1278" s="2">
        <f t="shared" si="359"/>
        <v>106.07040810958756</v>
      </c>
    </row>
    <row r="1279" spans="1:42" x14ac:dyDescent="0.15">
      <c r="A1279" s="8">
        <v>1185439</v>
      </c>
      <c r="B1279" t="s">
        <v>36</v>
      </c>
      <c r="C1279" t="s">
        <v>19</v>
      </c>
      <c r="D1279" s="1">
        <v>39181</v>
      </c>
      <c r="E1279" s="2">
        <v>141000</v>
      </c>
      <c r="F1279" s="2">
        <v>80000</v>
      </c>
      <c r="G1279" t="s">
        <v>17</v>
      </c>
      <c r="H1279" s="2">
        <v>581.35</v>
      </c>
      <c r="I1279" s="2">
        <v>79899.88</v>
      </c>
      <c r="J1279">
        <v>8.5999999999999993E-2</v>
      </c>
      <c r="K1279">
        <v>12</v>
      </c>
      <c r="L1279">
        <v>348</v>
      </c>
      <c r="M1279" t="str">
        <f t="shared" si="345"/>
        <v>30 Year Fixed</v>
      </c>
      <c r="N1279" s="2">
        <v>572.62</v>
      </c>
      <c r="O1279" t="str">
        <f t="shared" si="342"/>
        <v>Cash Out</v>
      </c>
      <c r="P1279" s="3">
        <f t="shared" si="346"/>
        <v>38178.937733990155</v>
      </c>
      <c r="Q1279" s="4">
        <v>119850</v>
      </c>
      <c r="R1279" s="4" t="s">
        <v>41</v>
      </c>
      <c r="S1279" s="6">
        <v>533</v>
      </c>
      <c r="T1279">
        <v>7.625</v>
      </c>
      <c r="U1279" s="7">
        <f t="shared" si="343"/>
        <v>898.22830500603175</v>
      </c>
      <c r="V1279" s="2">
        <f t="shared" si="347"/>
        <v>-316.87830500603172</v>
      </c>
      <c r="W1279" s="9">
        <f t="shared" si="348"/>
        <v>1</v>
      </c>
      <c r="X1279" s="3">
        <v>81098</v>
      </c>
      <c r="Y1279" s="3">
        <f t="shared" si="349"/>
        <v>-0.37261083743942436</v>
      </c>
      <c r="Z1279" s="7">
        <f t="shared" si="350"/>
        <v>607.7974057520164</v>
      </c>
      <c r="AA1279" s="2">
        <f t="shared" si="344"/>
        <v>-26.44740575201638</v>
      </c>
      <c r="AB1279" s="8">
        <f t="shared" si="351"/>
        <v>1</v>
      </c>
      <c r="AC1279" s="10">
        <v>6.875</v>
      </c>
      <c r="AD1279" s="7">
        <f t="shared" si="352"/>
        <v>566.54696264790357</v>
      </c>
      <c r="AE1279" s="2">
        <f t="shared" si="353"/>
        <v>14.803037352096453</v>
      </c>
      <c r="AF1279" s="10">
        <v>1.25</v>
      </c>
      <c r="AG1279" s="3">
        <f t="shared" si="354"/>
        <v>1013.725</v>
      </c>
      <c r="AH1279" s="7">
        <v>1600</v>
      </c>
      <c r="AI1279">
        <f t="shared" si="355"/>
        <v>360</v>
      </c>
      <c r="AJ1279" t="e">
        <f>VLOOKUP(A1279,'Borrower Details'!$A$1:$H$1493,8,FALSE)</f>
        <v>#N/A</v>
      </c>
      <c r="AK1279" s="4" t="e">
        <f t="shared" si="356"/>
        <v>#N/A</v>
      </c>
      <c r="AL1279" s="10">
        <v>7.625</v>
      </c>
      <c r="AM1279" s="3">
        <f t="shared" si="357"/>
        <v>81098.378199999992</v>
      </c>
      <c r="AN1279">
        <v>7.625</v>
      </c>
      <c r="AO1279" s="7">
        <f t="shared" si="358"/>
        <v>607.80024021129839</v>
      </c>
      <c r="AP1279" s="2">
        <f t="shared" si="359"/>
        <v>-26.450240211298365</v>
      </c>
    </row>
    <row r="1280" spans="1:42" x14ac:dyDescent="0.15">
      <c r="A1280" s="8">
        <v>1180424</v>
      </c>
      <c r="B1280" t="s">
        <v>36</v>
      </c>
      <c r="C1280" t="s">
        <v>19</v>
      </c>
      <c r="D1280" s="1">
        <v>39199</v>
      </c>
      <c r="E1280" s="2">
        <v>125000</v>
      </c>
      <c r="F1280" s="2">
        <v>118750</v>
      </c>
      <c r="G1280" t="s">
        <v>15</v>
      </c>
      <c r="H1280" s="2">
        <v>994.4</v>
      </c>
      <c r="I1280" s="2">
        <v>118502.82</v>
      </c>
      <c r="J1280">
        <v>9.8500000000000004E-2</v>
      </c>
      <c r="K1280">
        <v>12</v>
      </c>
      <c r="L1280">
        <v>348</v>
      </c>
      <c r="M1280" t="str">
        <f t="shared" si="345"/>
        <v>30 Year Fixed</v>
      </c>
      <c r="N1280" s="2">
        <v>972.71</v>
      </c>
      <c r="O1280" t="str">
        <f t="shared" si="342"/>
        <v>Refi</v>
      </c>
      <c r="P1280" s="3">
        <f t="shared" si="346"/>
        <v>0</v>
      </c>
      <c r="Q1280" s="4">
        <v>120280</v>
      </c>
      <c r="R1280" s="4" t="s">
        <v>41</v>
      </c>
      <c r="S1280" s="6">
        <v>604</v>
      </c>
      <c r="T1280">
        <v>6.875</v>
      </c>
      <c r="U1280" s="7">
        <f t="shared" si="343"/>
        <v>840.27064375557768</v>
      </c>
      <c r="V1280" s="2">
        <f t="shared" si="347"/>
        <v>154.1293562444223</v>
      </c>
      <c r="W1280" s="9">
        <f t="shared" si="348"/>
        <v>0</v>
      </c>
      <c r="X1280" s="3">
        <v>120281</v>
      </c>
      <c r="Y1280" s="3">
        <f t="shared" si="349"/>
        <v>0.62827586208004504</v>
      </c>
      <c r="Z1280" s="7">
        <f t="shared" si="350"/>
        <v>840.27762971038112</v>
      </c>
      <c r="AA1280" s="2">
        <f t="shared" si="344"/>
        <v>154.12237028961886</v>
      </c>
      <c r="AB1280" s="8">
        <f t="shared" si="351"/>
        <v>0</v>
      </c>
      <c r="AC1280" s="10">
        <v>6.875</v>
      </c>
      <c r="AD1280" s="7">
        <f t="shared" si="352"/>
        <v>840.27762971038112</v>
      </c>
      <c r="AE1280" s="2">
        <f t="shared" si="353"/>
        <v>154.12237028961886</v>
      </c>
      <c r="AF1280" s="10">
        <v>0</v>
      </c>
      <c r="AG1280" s="3">
        <f t="shared" si="354"/>
        <v>0</v>
      </c>
      <c r="AH1280" s="7">
        <v>2375</v>
      </c>
      <c r="AI1280">
        <f t="shared" si="355"/>
        <v>360</v>
      </c>
      <c r="AJ1280" t="e">
        <f>VLOOKUP(A1280,'Borrower Details'!$A$1:$H$1493,8,FALSE)</f>
        <v>#N/A</v>
      </c>
      <c r="AK1280" s="4" t="e">
        <f t="shared" si="356"/>
        <v>#N/A</v>
      </c>
      <c r="AL1280" s="10">
        <v>6.875</v>
      </c>
      <c r="AM1280" s="3">
        <f t="shared" si="357"/>
        <v>120280.36229999999</v>
      </c>
      <c r="AN1280">
        <v>6.875</v>
      </c>
      <c r="AO1280" s="7">
        <f t="shared" si="358"/>
        <v>840.27317476700284</v>
      </c>
      <c r="AP1280" s="2">
        <f t="shared" si="359"/>
        <v>154.12682523299713</v>
      </c>
    </row>
    <row r="1281" spans="1:42" x14ac:dyDescent="0.15">
      <c r="A1281" s="8">
        <v>1180313</v>
      </c>
      <c r="B1281" t="s">
        <v>36</v>
      </c>
      <c r="C1281" t="s">
        <v>19</v>
      </c>
      <c r="D1281" s="1">
        <v>39181</v>
      </c>
      <c r="E1281" s="2">
        <v>245000</v>
      </c>
      <c r="F1281" s="2">
        <v>219600</v>
      </c>
      <c r="G1281" t="s">
        <v>15</v>
      </c>
      <c r="H1281" s="2">
        <v>1649.79</v>
      </c>
      <c r="I1281" s="2">
        <v>217712.08</v>
      </c>
      <c r="J1281">
        <v>8.2500000000000004E-2</v>
      </c>
      <c r="K1281">
        <v>12</v>
      </c>
      <c r="L1281">
        <v>348</v>
      </c>
      <c r="M1281" t="str">
        <f t="shared" si="345"/>
        <v>30 Year Fixed</v>
      </c>
      <c r="N1281" s="2">
        <v>1496.77</v>
      </c>
      <c r="O1281" t="str">
        <f t="shared" si="342"/>
        <v>Refi</v>
      </c>
      <c r="P1281" s="3">
        <f t="shared" si="346"/>
        <v>0</v>
      </c>
      <c r="Q1281" s="4">
        <v>220978</v>
      </c>
      <c r="R1281" s="4" t="s">
        <v>41</v>
      </c>
      <c r="S1281" s="6">
        <v>611</v>
      </c>
      <c r="T1281">
        <v>6.875</v>
      </c>
      <c r="U1281" s="7">
        <f t="shared" si="343"/>
        <v>1543.7423205505493</v>
      </c>
      <c r="V1281" s="2">
        <f t="shared" si="347"/>
        <v>106.0476794494507</v>
      </c>
      <c r="W1281" s="9">
        <f t="shared" si="348"/>
        <v>0</v>
      </c>
      <c r="X1281" s="3">
        <v>220978</v>
      </c>
      <c r="Y1281" s="3">
        <f t="shared" si="349"/>
        <v>0.23527093598386273</v>
      </c>
      <c r="Z1281" s="7">
        <f t="shared" si="350"/>
        <v>1543.7423205505493</v>
      </c>
      <c r="AA1281" s="2">
        <f t="shared" si="344"/>
        <v>106.0476794494507</v>
      </c>
      <c r="AB1281" s="8">
        <f t="shared" si="351"/>
        <v>1</v>
      </c>
      <c r="AC1281" s="10">
        <v>6.25</v>
      </c>
      <c r="AD1281" s="7">
        <f t="shared" si="352"/>
        <v>1452.6737218249027</v>
      </c>
      <c r="AE1281" s="2">
        <f t="shared" si="353"/>
        <v>197.11627817509725</v>
      </c>
      <c r="AF1281" s="10">
        <v>2.5</v>
      </c>
      <c r="AG1281" s="3">
        <f t="shared" si="354"/>
        <v>5524.45</v>
      </c>
      <c r="AH1281" s="7">
        <v>4392</v>
      </c>
      <c r="AI1281">
        <f t="shared" si="355"/>
        <v>360</v>
      </c>
      <c r="AJ1281" t="e">
        <f>VLOOKUP(A1281,'Borrower Details'!$A$1:$H$1493,8,FALSE)</f>
        <v>#N/A</v>
      </c>
      <c r="AK1281" s="4" t="e">
        <f t="shared" si="356"/>
        <v>#N/A</v>
      </c>
      <c r="AL1281" s="10">
        <v>6.875</v>
      </c>
      <c r="AM1281" s="3">
        <f t="shared" si="357"/>
        <v>220977.76119999998</v>
      </c>
      <c r="AN1281">
        <v>6.875</v>
      </c>
      <c r="AO1281" s="7">
        <f t="shared" si="358"/>
        <v>1543.740652304542</v>
      </c>
      <c r="AP1281" s="2">
        <f t="shared" si="359"/>
        <v>106.04934769545798</v>
      </c>
    </row>
    <row r="1282" spans="1:42" x14ac:dyDescent="0.15">
      <c r="A1282" s="8">
        <v>1181785</v>
      </c>
      <c r="B1282" t="s">
        <v>38</v>
      </c>
      <c r="C1282" t="s">
        <v>18</v>
      </c>
      <c r="D1282" s="1">
        <v>39169</v>
      </c>
      <c r="E1282" s="2">
        <v>147000</v>
      </c>
      <c r="F1282" s="2">
        <v>139650</v>
      </c>
      <c r="G1282" t="s">
        <v>15</v>
      </c>
      <c r="H1282" s="2">
        <v>1123.6600000000001</v>
      </c>
      <c r="I1282" s="2">
        <v>138516.01</v>
      </c>
      <c r="J1282">
        <v>0.09</v>
      </c>
      <c r="K1282">
        <v>13</v>
      </c>
      <c r="L1282">
        <v>347</v>
      </c>
      <c r="M1282" t="str">
        <f t="shared" si="345"/>
        <v>30 Year Fixed</v>
      </c>
      <c r="N1282" s="2">
        <v>1038.8699999999999</v>
      </c>
      <c r="O1282" t="str">
        <f t="shared" ref="O1282:O1345" si="360">IF((0.85*E1282)&gt;(I1282*1.015),"Cash Out","Refi")</f>
        <v>Refi</v>
      </c>
      <c r="P1282" s="3">
        <f t="shared" si="346"/>
        <v>0</v>
      </c>
      <c r="Q1282" s="4">
        <v>140594</v>
      </c>
      <c r="R1282" s="4" t="s">
        <v>41</v>
      </c>
      <c r="S1282" s="6">
        <v>617</v>
      </c>
      <c r="T1282">
        <v>6.875</v>
      </c>
      <c r="U1282" s="7">
        <f t="shared" ref="U1282:U1345" si="361">(Q1282*((T1282/1200)/(1-(1+(T1282/1200))^-AI1282)))+((Q1282*0.005)/12)</f>
        <v>982.18332963228875</v>
      </c>
      <c r="V1282" s="2">
        <f t="shared" si="347"/>
        <v>141.47667036771134</v>
      </c>
      <c r="W1282" s="9">
        <f t="shared" si="348"/>
        <v>0</v>
      </c>
      <c r="X1282" s="3">
        <v>140594</v>
      </c>
      <c r="Y1282" s="3">
        <f t="shared" si="349"/>
        <v>0.24615763546898961</v>
      </c>
      <c r="Z1282" s="7">
        <f t="shared" si="350"/>
        <v>982.18332963228875</v>
      </c>
      <c r="AA1282" s="2">
        <f t="shared" ref="AA1282:AA1345" si="362">H1282-Z1282</f>
        <v>141.47667036771134</v>
      </c>
      <c r="AB1282" s="8">
        <f t="shared" si="351"/>
        <v>0</v>
      </c>
      <c r="AC1282" s="10">
        <v>6.875</v>
      </c>
      <c r="AD1282" s="7">
        <f t="shared" si="352"/>
        <v>982.18332963228875</v>
      </c>
      <c r="AE1282" s="2">
        <f t="shared" si="353"/>
        <v>141.47667036771134</v>
      </c>
      <c r="AF1282" s="10">
        <v>0</v>
      </c>
      <c r="AG1282" s="3">
        <f t="shared" si="354"/>
        <v>0</v>
      </c>
      <c r="AH1282" s="7">
        <v>0</v>
      </c>
      <c r="AI1282">
        <f t="shared" si="355"/>
        <v>360</v>
      </c>
      <c r="AJ1282" t="e">
        <f>VLOOKUP(A1282,'Borrower Details'!$A$1:$H$1493,8,FALSE)</f>
        <v>#N/A</v>
      </c>
      <c r="AK1282" s="4" t="e">
        <f t="shared" si="356"/>
        <v>#N/A</v>
      </c>
      <c r="AL1282" s="10">
        <v>6.875</v>
      </c>
      <c r="AM1282" s="3">
        <f t="shared" si="357"/>
        <v>140593.75015000001</v>
      </c>
      <c r="AN1282">
        <v>6.875</v>
      </c>
      <c r="AO1282" s="7">
        <f t="shared" si="358"/>
        <v>982.18158419148108</v>
      </c>
      <c r="AP1282" s="2">
        <f t="shared" si="359"/>
        <v>141.478415808519</v>
      </c>
    </row>
    <row r="1283" spans="1:42" x14ac:dyDescent="0.15">
      <c r="A1283" s="8">
        <v>410092811</v>
      </c>
      <c r="B1283" t="s">
        <v>38</v>
      </c>
      <c r="C1283" t="s">
        <v>19</v>
      </c>
      <c r="D1283" s="1">
        <v>39189</v>
      </c>
      <c r="E1283" s="2">
        <v>220000</v>
      </c>
      <c r="F1283" s="2">
        <v>194568</v>
      </c>
      <c r="G1283" t="s">
        <v>15</v>
      </c>
      <c r="H1283" s="2">
        <v>1482.3</v>
      </c>
      <c r="I1283" s="2">
        <v>192689.99</v>
      </c>
      <c r="J1283">
        <v>8.4000000000000005E-2</v>
      </c>
      <c r="K1283">
        <v>12</v>
      </c>
      <c r="L1283">
        <v>347</v>
      </c>
      <c r="M1283" t="str">
        <f t="shared" ref="M1283:M1346" si="363">(IF((L1283+K1283)&lt;180,"15 Year Fixed","30 Year Fixed"))</f>
        <v>30 Year Fixed</v>
      </c>
      <c r="N1283" s="2">
        <v>1348.83</v>
      </c>
      <c r="O1283" t="str">
        <f t="shared" si="360"/>
        <v>Refi</v>
      </c>
      <c r="P1283" s="3">
        <f t="shared" ref="P1283:P1346" si="364">IF((0.85*E1283)&gt;(I1283*1.015),((0.85*E1283)/1.015)-(I1283),0)</f>
        <v>0</v>
      </c>
      <c r="Q1283" s="4">
        <v>195580</v>
      </c>
      <c r="R1283" s="4" t="s">
        <v>41</v>
      </c>
      <c r="S1283" s="6">
        <v>618</v>
      </c>
      <c r="T1283">
        <v>6.875</v>
      </c>
      <c r="U1283" s="7">
        <f t="shared" si="361"/>
        <v>1366.3130404532415</v>
      </c>
      <c r="V1283" s="2">
        <f t="shared" ref="V1283:V1346" si="365">H1283-U1283</f>
        <v>115.9869595467585</v>
      </c>
      <c r="W1283" s="9">
        <f t="shared" ref="W1283:W1346" si="366">IF(AND(O1283="Cash Out",V1283&lt;0),1,0)</f>
        <v>0</v>
      </c>
      <c r="X1283" s="3">
        <v>195580</v>
      </c>
      <c r="Y1283" s="3">
        <f t="shared" ref="Y1283:Y1346" si="367">(X1283/1.015)-(I1283)</f>
        <v>-0.334827586193569</v>
      </c>
      <c r="Z1283" s="7">
        <f t="shared" ref="Z1283:Z1346" si="368">(X1283*((AL1283/1200)/(1-(1+(AL1283/1200))^-AI1283)))+((X1283*0.005)/12)</f>
        <v>1366.3130404532415</v>
      </c>
      <c r="AA1283" s="2">
        <f t="shared" si="362"/>
        <v>115.9869595467585</v>
      </c>
      <c r="AB1283" s="8">
        <f t="shared" ref="AB1283:AB1346" si="369">IF(I1283=0,0,IF(AND(AH1283&gt;0,(AP1283/AO1283)&lt;0.07),1,IF(AND(AH1283=0,(AP1283/AO1283)&lt;0.1),1,0)))</f>
        <v>0</v>
      </c>
      <c r="AC1283" s="10">
        <v>6.875</v>
      </c>
      <c r="AD1283" s="7">
        <f t="shared" ref="AD1283:AD1346" si="370">(X1283*((AC1283/1200)/(1-(1+(AC1283/1200))^-AI1283)))+((X1283*0.005)/12)</f>
        <v>1366.3130404532415</v>
      </c>
      <c r="AE1283" s="2">
        <f t="shared" ref="AE1283:AE1346" si="371">H1283-AD1283</f>
        <v>115.9869595467585</v>
      </c>
      <c r="AF1283" s="10">
        <v>0</v>
      </c>
      <c r="AG1283" s="3">
        <f t="shared" ref="AG1283:AG1346" si="372">AF1283*X1283/100</f>
        <v>0</v>
      </c>
      <c r="AH1283" s="7">
        <v>1945.68</v>
      </c>
      <c r="AI1283">
        <f t="shared" ref="AI1283:AI1346" si="373">IF(M1283="30 Year Fixed",360,180)</f>
        <v>360</v>
      </c>
      <c r="AJ1283" t="e">
        <f>VLOOKUP(A1283,'Borrower Details'!$A$1:$H$1493,8,FALSE)</f>
        <v>#N/A</v>
      </c>
      <c r="AK1283" s="4" t="e">
        <f t="shared" ref="AK1283:AK1346" si="374">IF(AJ1283&gt;360,PV((J1283/12),AJ1283-AI1283,-H1283),"NA")</f>
        <v>#N/A</v>
      </c>
      <c r="AL1283" s="10">
        <v>6.875</v>
      </c>
      <c r="AM1283" s="3">
        <f t="shared" ref="AM1283:AM1346" si="375">I1283*1.015</f>
        <v>195580.33984999996</v>
      </c>
      <c r="AN1283">
        <v>6.875</v>
      </c>
      <c r="AO1283" s="7">
        <f t="shared" ref="AO1283:AO1346" si="376">(AM1283*((AN1283/1200)/(1-(1+(AN1283/1200))^-AI1283)))+((AM1283*0.005)/12)</f>
        <v>1366.3154146299812</v>
      </c>
      <c r="AP1283" s="2">
        <f t="shared" ref="AP1283:AP1346" si="377">H1283-AO1283</f>
        <v>115.98458537001875</v>
      </c>
    </row>
    <row r="1284" spans="1:42" x14ac:dyDescent="0.15">
      <c r="A1284" s="8">
        <v>1142989</v>
      </c>
      <c r="B1284" t="s">
        <v>36</v>
      </c>
      <c r="C1284" t="s">
        <v>19</v>
      </c>
      <c r="D1284" s="1">
        <v>39146</v>
      </c>
      <c r="E1284" s="2">
        <v>349000</v>
      </c>
      <c r="F1284" s="2">
        <v>314100</v>
      </c>
      <c r="G1284" t="s">
        <v>15</v>
      </c>
      <c r="H1284" s="2">
        <v>2432.9899999999998</v>
      </c>
      <c r="I1284" s="2">
        <v>313733.62</v>
      </c>
      <c r="J1284">
        <v>9.1999999999999998E-2</v>
      </c>
      <c r="K1284">
        <v>14</v>
      </c>
      <c r="L1284">
        <v>346</v>
      </c>
      <c r="M1284" t="str">
        <f t="shared" si="363"/>
        <v>30 Year Fixed</v>
      </c>
      <c r="N1284" s="2">
        <v>2405.29</v>
      </c>
      <c r="O1284" t="str">
        <f t="shared" si="360"/>
        <v>Refi</v>
      </c>
      <c r="P1284" s="3">
        <f t="shared" si="364"/>
        <v>0</v>
      </c>
      <c r="Q1284" s="4">
        <v>318440</v>
      </c>
      <c r="R1284" s="4" t="s">
        <v>41</v>
      </c>
      <c r="S1284" s="6">
        <v>554</v>
      </c>
      <c r="T1284">
        <v>7.625</v>
      </c>
      <c r="U1284" s="7">
        <f t="shared" si="361"/>
        <v>2386.5817392250374</v>
      </c>
      <c r="V1284" s="2">
        <f t="shared" si="365"/>
        <v>46.4082607749624</v>
      </c>
      <c r="W1284" s="9">
        <f t="shared" si="366"/>
        <v>0</v>
      </c>
      <c r="X1284" s="3">
        <v>318440</v>
      </c>
      <c r="Y1284" s="3">
        <f t="shared" si="367"/>
        <v>0.37014778330922127</v>
      </c>
      <c r="Z1284" s="7">
        <f t="shared" si="368"/>
        <v>2386.5817392250374</v>
      </c>
      <c r="AA1284" s="2">
        <f t="shared" si="362"/>
        <v>46.4082607749624</v>
      </c>
      <c r="AB1284" s="8">
        <f t="shared" si="369"/>
        <v>1</v>
      </c>
      <c r="AC1284" s="10">
        <v>6.875</v>
      </c>
      <c r="AD1284" s="7">
        <f t="shared" si="370"/>
        <v>2224.6074476016474</v>
      </c>
      <c r="AE1284" s="2">
        <f t="shared" si="371"/>
        <v>208.38255239835235</v>
      </c>
      <c r="AF1284" s="10">
        <v>1</v>
      </c>
      <c r="AG1284" s="3">
        <f t="shared" si="372"/>
        <v>3184.4</v>
      </c>
      <c r="AH1284" s="7">
        <v>6282</v>
      </c>
      <c r="AI1284">
        <f t="shared" si="373"/>
        <v>360</v>
      </c>
      <c r="AJ1284" t="e">
        <f>VLOOKUP(A1284,'Borrower Details'!$A$1:$H$1493,8,FALSE)</f>
        <v>#N/A</v>
      </c>
      <c r="AK1284" s="4" t="e">
        <f t="shared" si="374"/>
        <v>#N/A</v>
      </c>
      <c r="AL1284" s="10">
        <v>7.625</v>
      </c>
      <c r="AM1284" s="3">
        <f t="shared" si="375"/>
        <v>318439.62429999997</v>
      </c>
      <c r="AN1284">
        <v>7.625</v>
      </c>
      <c r="AO1284" s="7">
        <f t="shared" si="376"/>
        <v>2386.5789235022653</v>
      </c>
      <c r="AP1284" s="2">
        <f t="shared" si="377"/>
        <v>46.411076497734484</v>
      </c>
    </row>
    <row r="1285" spans="1:42" x14ac:dyDescent="0.15">
      <c r="A1285" s="8">
        <v>1151437</v>
      </c>
      <c r="B1285" t="s">
        <v>38</v>
      </c>
      <c r="C1285" t="s">
        <v>19</v>
      </c>
      <c r="D1285" s="1">
        <v>39139</v>
      </c>
      <c r="E1285" s="2">
        <v>125000</v>
      </c>
      <c r="F1285" s="2">
        <v>87500</v>
      </c>
      <c r="G1285" t="s">
        <v>17</v>
      </c>
      <c r="H1285" s="2">
        <v>719.85</v>
      </c>
      <c r="I1285" s="2">
        <v>86060.65</v>
      </c>
      <c r="J1285">
        <v>9.2499999999999999E-2</v>
      </c>
      <c r="K1285">
        <v>14</v>
      </c>
      <c r="L1285">
        <v>345</v>
      </c>
      <c r="M1285" t="str">
        <f t="shared" si="363"/>
        <v>30 Year Fixed</v>
      </c>
      <c r="N1285" s="2">
        <v>666.57</v>
      </c>
      <c r="O1285" t="str">
        <f t="shared" si="360"/>
        <v>Cash Out</v>
      </c>
      <c r="P1285" s="3">
        <f t="shared" si="364"/>
        <v>18619.152955665035</v>
      </c>
      <c r="Q1285" s="4">
        <v>106250</v>
      </c>
      <c r="R1285" s="4" t="s">
        <v>41</v>
      </c>
      <c r="S1285" s="6">
        <v>537</v>
      </c>
      <c r="T1285">
        <v>7.625</v>
      </c>
      <c r="U1285" s="7">
        <f t="shared" si="361"/>
        <v>796.30168883513454</v>
      </c>
      <c r="V1285" s="2">
        <f t="shared" si="365"/>
        <v>-76.451688835134519</v>
      </c>
      <c r="W1285" s="9">
        <f t="shared" si="366"/>
        <v>1</v>
      </c>
      <c r="X1285" s="3">
        <v>95980</v>
      </c>
      <c r="Y1285" s="3">
        <f t="shared" si="367"/>
        <v>8500.9263546798175</v>
      </c>
      <c r="Z1285" s="7">
        <f t="shared" si="368"/>
        <v>719.33210441784672</v>
      </c>
      <c r="AA1285" s="2">
        <f t="shared" si="362"/>
        <v>0.51789558215330089</v>
      </c>
      <c r="AB1285" s="8">
        <f t="shared" si="369"/>
        <v>1</v>
      </c>
      <c r="AC1285" s="10">
        <v>6.5</v>
      </c>
      <c r="AD1285" s="7">
        <f t="shared" si="370"/>
        <v>646.65055561521547</v>
      </c>
      <c r="AE1285" s="2">
        <f t="shared" si="371"/>
        <v>73.199444384784556</v>
      </c>
      <c r="AF1285" s="10">
        <v>2.625</v>
      </c>
      <c r="AG1285" s="3">
        <f t="shared" si="372"/>
        <v>2519.4749999999999</v>
      </c>
      <c r="AH1285" s="7">
        <v>0</v>
      </c>
      <c r="AI1285">
        <f t="shared" si="373"/>
        <v>360</v>
      </c>
      <c r="AJ1285" t="e">
        <f>VLOOKUP(A1285,'Borrower Details'!$A$1:$H$1493,8,FALSE)</f>
        <v>#N/A</v>
      </c>
      <c r="AK1285" s="4" t="e">
        <f t="shared" si="374"/>
        <v>#N/A</v>
      </c>
      <c r="AL1285" s="10">
        <v>7.625</v>
      </c>
      <c r="AM1285" s="3">
        <f t="shared" si="375"/>
        <v>87351.559749999986</v>
      </c>
      <c r="AN1285">
        <v>7.625</v>
      </c>
      <c r="AO1285" s="7">
        <f t="shared" si="376"/>
        <v>654.66536048290016</v>
      </c>
      <c r="AP1285" s="2">
        <f t="shared" si="377"/>
        <v>65.184639517099868</v>
      </c>
    </row>
    <row r="1286" spans="1:42" x14ac:dyDescent="0.15">
      <c r="A1286" s="8">
        <v>1173486</v>
      </c>
      <c r="B1286" t="s">
        <v>36</v>
      </c>
      <c r="C1286" t="s">
        <v>19</v>
      </c>
      <c r="D1286" s="1">
        <v>39168</v>
      </c>
      <c r="E1286" s="2">
        <v>163500</v>
      </c>
      <c r="F1286" s="2">
        <v>138000</v>
      </c>
      <c r="G1286" t="s">
        <v>15</v>
      </c>
      <c r="H1286" s="2">
        <v>1061.1099999999999</v>
      </c>
      <c r="I1286" s="2">
        <v>136865.64000000001</v>
      </c>
      <c r="J1286">
        <v>8.5000000000000006E-2</v>
      </c>
      <c r="K1286">
        <v>13</v>
      </c>
      <c r="L1286">
        <v>347</v>
      </c>
      <c r="M1286" t="str">
        <f t="shared" si="363"/>
        <v>30 Year Fixed</v>
      </c>
      <c r="N1286" s="2">
        <v>969.46</v>
      </c>
      <c r="O1286" t="str">
        <f t="shared" si="360"/>
        <v>Cash Out</v>
      </c>
      <c r="P1286" s="3">
        <f t="shared" si="364"/>
        <v>55.542266009841114</v>
      </c>
      <c r="Q1286" s="4">
        <v>138975</v>
      </c>
      <c r="R1286" s="4" t="s">
        <v>41</v>
      </c>
      <c r="S1286" s="6">
        <v>572</v>
      </c>
      <c r="T1286">
        <v>7.625</v>
      </c>
      <c r="U1286" s="7">
        <f t="shared" si="361"/>
        <v>1041.5626089963559</v>
      </c>
      <c r="V1286" s="2">
        <f t="shared" si="365"/>
        <v>19.547391003643952</v>
      </c>
      <c r="W1286" s="9">
        <f t="shared" si="366"/>
        <v>0</v>
      </c>
      <c r="X1286" s="3">
        <v>138975</v>
      </c>
      <c r="Y1286" s="3">
        <f t="shared" si="367"/>
        <v>55.542266009841114</v>
      </c>
      <c r="Z1286" s="7">
        <f t="shared" si="368"/>
        <v>1041.5626089963559</v>
      </c>
      <c r="AA1286" s="2">
        <f t="shared" si="362"/>
        <v>19.547391003643952</v>
      </c>
      <c r="AB1286" s="8">
        <f t="shared" si="369"/>
        <v>1</v>
      </c>
      <c r="AC1286" s="10">
        <v>6.875</v>
      </c>
      <c r="AD1286" s="7">
        <f t="shared" si="370"/>
        <v>970.87306880554877</v>
      </c>
      <c r="AE1286" s="2">
        <f t="shared" si="371"/>
        <v>90.236931194451131</v>
      </c>
      <c r="AF1286" s="10">
        <v>1</v>
      </c>
      <c r="AG1286" s="3">
        <f t="shared" si="372"/>
        <v>1389.75</v>
      </c>
      <c r="AH1286" s="7">
        <v>2760</v>
      </c>
      <c r="AI1286">
        <f t="shared" si="373"/>
        <v>360</v>
      </c>
      <c r="AJ1286" t="e">
        <f>VLOOKUP(A1286,'Borrower Details'!$A$1:$H$1493,8,FALSE)</f>
        <v>#N/A</v>
      </c>
      <c r="AK1286" s="4" t="e">
        <f t="shared" si="374"/>
        <v>#N/A</v>
      </c>
      <c r="AL1286" s="10">
        <v>7.625</v>
      </c>
      <c r="AM1286" s="3">
        <f t="shared" si="375"/>
        <v>138918.62460000001</v>
      </c>
      <c r="AN1286">
        <v>7.625</v>
      </c>
      <c r="AO1286" s="7">
        <f t="shared" si="376"/>
        <v>1041.1400976906737</v>
      </c>
      <c r="AP1286" s="2">
        <f t="shared" si="377"/>
        <v>19.969902309326244</v>
      </c>
    </row>
    <row r="1287" spans="1:42" x14ac:dyDescent="0.15">
      <c r="A1287" s="8">
        <v>1153880</v>
      </c>
      <c r="B1287" t="s">
        <v>35</v>
      </c>
      <c r="C1287" t="s">
        <v>16</v>
      </c>
      <c r="D1287" s="1">
        <v>39141</v>
      </c>
      <c r="E1287" s="2">
        <v>125000</v>
      </c>
      <c r="F1287" s="2">
        <v>100000</v>
      </c>
      <c r="G1287" t="s">
        <v>15</v>
      </c>
      <c r="H1287" s="2">
        <v>822.68</v>
      </c>
      <c r="I1287" s="2">
        <v>99236.45</v>
      </c>
      <c r="J1287">
        <v>9.2499999999999999E-2</v>
      </c>
      <c r="K1287">
        <v>14</v>
      </c>
      <c r="L1287">
        <v>346</v>
      </c>
      <c r="M1287" t="str">
        <f t="shared" si="363"/>
        <v>30 Year Fixed</v>
      </c>
      <c r="N1287" s="2">
        <v>764.95</v>
      </c>
      <c r="O1287" t="str">
        <f t="shared" si="360"/>
        <v>Cash Out</v>
      </c>
      <c r="P1287" s="3">
        <f t="shared" si="364"/>
        <v>5443.3529556650319</v>
      </c>
      <c r="Q1287" s="4">
        <v>106250</v>
      </c>
      <c r="R1287" s="4" t="s">
        <v>41</v>
      </c>
      <c r="S1287" s="6">
        <v>531</v>
      </c>
      <c r="T1287">
        <v>7.625</v>
      </c>
      <c r="U1287" s="7">
        <f t="shared" si="361"/>
        <v>796.30168883513454</v>
      </c>
      <c r="V1287" s="2">
        <f t="shared" si="365"/>
        <v>26.378311164865409</v>
      </c>
      <c r="W1287" s="9">
        <f t="shared" si="366"/>
        <v>0</v>
      </c>
      <c r="X1287" s="3">
        <v>106250</v>
      </c>
      <c r="Y1287" s="3">
        <f t="shared" si="367"/>
        <v>5443.3529556650319</v>
      </c>
      <c r="Z1287" s="7">
        <f t="shared" si="368"/>
        <v>796.30168883513454</v>
      </c>
      <c r="AA1287" s="2">
        <f t="shared" si="362"/>
        <v>26.378311164865409</v>
      </c>
      <c r="AB1287" s="8">
        <f t="shared" si="369"/>
        <v>0</v>
      </c>
      <c r="AC1287" s="10">
        <v>7.625</v>
      </c>
      <c r="AD1287" s="7">
        <f t="shared" si="370"/>
        <v>796.30168883513454</v>
      </c>
      <c r="AE1287" s="2">
        <f t="shared" si="371"/>
        <v>26.378311164865409</v>
      </c>
      <c r="AF1287" s="10">
        <v>0</v>
      </c>
      <c r="AG1287" s="3">
        <f t="shared" si="372"/>
        <v>0</v>
      </c>
      <c r="AH1287" s="7">
        <v>4625</v>
      </c>
      <c r="AI1287">
        <f t="shared" si="373"/>
        <v>360</v>
      </c>
      <c r="AJ1287" t="e">
        <f>VLOOKUP(A1287,'Borrower Details'!$A$1:$H$1493,8,FALSE)</f>
        <v>#N/A</v>
      </c>
      <c r="AK1287" s="4" t="e">
        <f t="shared" si="374"/>
        <v>#N/A</v>
      </c>
      <c r="AL1287" s="10">
        <v>7.625</v>
      </c>
      <c r="AM1287" s="3">
        <f t="shared" si="375"/>
        <v>100724.99674999999</v>
      </c>
      <c r="AN1287">
        <v>7.625</v>
      </c>
      <c r="AO1287" s="7">
        <f t="shared" si="376"/>
        <v>754.89397665824401</v>
      </c>
      <c r="AP1287" s="2">
        <f t="shared" si="377"/>
        <v>67.786023341755936</v>
      </c>
    </row>
    <row r="1288" spans="1:42" x14ac:dyDescent="0.15">
      <c r="A1288" s="8">
        <v>1160600</v>
      </c>
      <c r="B1288" t="s">
        <v>38</v>
      </c>
      <c r="C1288" t="s">
        <v>19</v>
      </c>
      <c r="D1288" s="1">
        <v>39160</v>
      </c>
      <c r="E1288" s="2">
        <v>209500</v>
      </c>
      <c r="F1288" s="2">
        <v>199025</v>
      </c>
      <c r="G1288" t="s">
        <v>15</v>
      </c>
      <c r="H1288" s="2">
        <v>1724.57</v>
      </c>
      <c r="I1288" s="2">
        <v>197783.21</v>
      </c>
      <c r="J1288">
        <v>9.8500000000000004E-2</v>
      </c>
      <c r="K1288">
        <v>13</v>
      </c>
      <c r="L1288">
        <v>347</v>
      </c>
      <c r="M1288" t="str">
        <f t="shared" si="363"/>
        <v>30 Year Fixed</v>
      </c>
      <c r="N1288" s="2">
        <v>1623.47</v>
      </c>
      <c r="O1288" t="str">
        <f t="shared" si="360"/>
        <v>Refi</v>
      </c>
      <c r="P1288" s="3">
        <f t="shared" si="364"/>
        <v>0</v>
      </c>
      <c r="Q1288" s="4">
        <v>200750</v>
      </c>
      <c r="R1288" s="4" t="s">
        <v>41</v>
      </c>
      <c r="S1288" s="6">
        <v>588</v>
      </c>
      <c r="T1288">
        <v>7.375</v>
      </c>
      <c r="U1288" s="7">
        <f t="shared" si="361"/>
        <v>1470.1761921349889</v>
      </c>
      <c r="V1288" s="2">
        <f t="shared" si="365"/>
        <v>254.39380786501101</v>
      </c>
      <c r="W1288" s="9">
        <f t="shared" si="366"/>
        <v>0</v>
      </c>
      <c r="X1288" s="3">
        <v>200750</v>
      </c>
      <c r="Y1288" s="3">
        <f t="shared" si="367"/>
        <v>4.1231527109630406E-2</v>
      </c>
      <c r="Z1288" s="7">
        <f t="shared" si="368"/>
        <v>1470.1761921349889</v>
      </c>
      <c r="AA1288" s="2">
        <f t="shared" si="362"/>
        <v>254.39380786501101</v>
      </c>
      <c r="AB1288" s="8">
        <f t="shared" si="369"/>
        <v>0</v>
      </c>
      <c r="AC1288" s="10">
        <v>7.375</v>
      </c>
      <c r="AD1288" s="7">
        <f t="shared" si="370"/>
        <v>1470.1761921349889</v>
      </c>
      <c r="AE1288" s="2">
        <f t="shared" si="371"/>
        <v>254.39380786501101</v>
      </c>
      <c r="AF1288" s="10">
        <v>0</v>
      </c>
      <c r="AG1288" s="3">
        <f t="shared" si="372"/>
        <v>0</v>
      </c>
      <c r="AH1288" s="7">
        <v>1990.25</v>
      </c>
      <c r="AI1288">
        <f t="shared" si="373"/>
        <v>360</v>
      </c>
      <c r="AJ1288" t="e">
        <f>VLOOKUP(A1288,'Borrower Details'!$A$1:$H$1493,8,FALSE)</f>
        <v>#N/A</v>
      </c>
      <c r="AK1288" s="4" t="e">
        <f t="shared" si="374"/>
        <v>#N/A</v>
      </c>
      <c r="AL1288" s="10">
        <v>7.375</v>
      </c>
      <c r="AM1288" s="3">
        <f t="shared" si="375"/>
        <v>200749.95814999996</v>
      </c>
      <c r="AN1288">
        <v>7.375</v>
      </c>
      <c r="AO1288" s="7">
        <f t="shared" si="376"/>
        <v>1470.1758856499393</v>
      </c>
      <c r="AP1288" s="2">
        <f t="shared" si="377"/>
        <v>254.39411435006059</v>
      </c>
    </row>
    <row r="1289" spans="1:42" x14ac:dyDescent="0.15">
      <c r="A1289" s="8">
        <v>1164818</v>
      </c>
      <c r="B1289" t="s">
        <v>36</v>
      </c>
      <c r="C1289" t="s">
        <v>19</v>
      </c>
      <c r="D1289" s="1">
        <v>39167</v>
      </c>
      <c r="E1289" s="2">
        <v>154500</v>
      </c>
      <c r="F1289" s="2">
        <v>146775</v>
      </c>
      <c r="G1289" t="s">
        <v>15</v>
      </c>
      <c r="H1289" s="2">
        <v>1119.27</v>
      </c>
      <c r="I1289" s="2">
        <v>145254.44</v>
      </c>
      <c r="J1289">
        <v>9.0499999999999997E-2</v>
      </c>
      <c r="K1289">
        <v>13</v>
      </c>
      <c r="L1289">
        <v>347</v>
      </c>
      <c r="M1289" t="str">
        <f t="shared" si="363"/>
        <v>30 Year Fixed</v>
      </c>
      <c r="N1289" s="2">
        <v>1095.46</v>
      </c>
      <c r="O1289" t="str">
        <f t="shared" si="360"/>
        <v>Refi</v>
      </c>
      <c r="P1289" s="3">
        <f t="shared" si="364"/>
        <v>0</v>
      </c>
      <c r="Q1289" s="4">
        <v>147433</v>
      </c>
      <c r="R1289" s="4" t="s">
        <v>41</v>
      </c>
      <c r="S1289" s="6">
        <v>594</v>
      </c>
      <c r="T1289">
        <v>7.375</v>
      </c>
      <c r="U1289" s="7">
        <f t="shared" si="361"/>
        <v>1079.7135070238496</v>
      </c>
      <c r="V1289" s="2">
        <f t="shared" si="365"/>
        <v>39.556492976150366</v>
      </c>
      <c r="W1289" s="9">
        <f t="shared" si="366"/>
        <v>0</v>
      </c>
      <c r="X1289" s="3">
        <v>147433</v>
      </c>
      <c r="Y1289" s="3">
        <f t="shared" si="367"/>
        <v>-0.25280788177042268</v>
      </c>
      <c r="Z1289" s="7">
        <f t="shared" si="368"/>
        <v>1079.7135070238496</v>
      </c>
      <c r="AA1289" s="2">
        <f t="shared" si="362"/>
        <v>39.556492976150366</v>
      </c>
      <c r="AB1289" s="8">
        <f t="shared" si="369"/>
        <v>1</v>
      </c>
      <c r="AC1289" s="10">
        <v>6.625</v>
      </c>
      <c r="AD1289" s="7">
        <f t="shared" si="370"/>
        <v>1005.4600759085449</v>
      </c>
      <c r="AE1289" s="2">
        <f t="shared" si="371"/>
        <v>113.80992409145506</v>
      </c>
      <c r="AF1289" s="10">
        <v>1.875</v>
      </c>
      <c r="AG1289" s="3">
        <f t="shared" si="372"/>
        <v>2764.3687500000001</v>
      </c>
      <c r="AH1289" s="7">
        <v>2935.5</v>
      </c>
      <c r="AI1289">
        <f t="shared" si="373"/>
        <v>360</v>
      </c>
      <c r="AJ1289" t="e">
        <f>VLOOKUP(A1289,'Borrower Details'!$A$1:$H$1493,8,FALSE)</f>
        <v>#N/A</v>
      </c>
      <c r="AK1289" s="4" t="e">
        <f t="shared" si="374"/>
        <v>#N/A</v>
      </c>
      <c r="AL1289" s="10">
        <v>7.375</v>
      </c>
      <c r="AM1289" s="3">
        <f t="shared" si="375"/>
        <v>147433.25659999999</v>
      </c>
      <c r="AN1289">
        <v>7.375</v>
      </c>
      <c r="AO1289" s="7">
        <f t="shared" si="376"/>
        <v>1079.7153862129451</v>
      </c>
      <c r="AP1289" s="2">
        <f t="shared" si="377"/>
        <v>39.554613787054905</v>
      </c>
    </row>
    <row r="1290" spans="1:42" x14ac:dyDescent="0.15">
      <c r="A1290" s="8">
        <v>410029847</v>
      </c>
      <c r="B1290" t="s">
        <v>36</v>
      </c>
      <c r="C1290" t="s">
        <v>19</v>
      </c>
      <c r="D1290" s="1">
        <v>39202</v>
      </c>
      <c r="E1290" s="2">
        <v>316000</v>
      </c>
      <c r="F1290" s="2">
        <v>195000</v>
      </c>
      <c r="G1290" t="s">
        <v>15</v>
      </c>
      <c r="H1290" s="2">
        <v>1312.16</v>
      </c>
      <c r="I1290" s="2">
        <v>194308.08</v>
      </c>
      <c r="J1290">
        <v>7.6999999999999999E-2</v>
      </c>
      <c r="K1290">
        <v>12</v>
      </c>
      <c r="L1290">
        <v>349</v>
      </c>
      <c r="M1290" t="str">
        <f t="shared" si="363"/>
        <v>30 Year Fixed</v>
      </c>
      <c r="N1290" s="2">
        <v>1246.81</v>
      </c>
      <c r="O1290" t="str">
        <f t="shared" si="360"/>
        <v>Cash Out</v>
      </c>
      <c r="P1290" s="3">
        <f t="shared" si="364"/>
        <v>70322.46187192123</v>
      </c>
      <c r="Q1290" s="4">
        <v>268600</v>
      </c>
      <c r="R1290" s="4" t="s">
        <v>41</v>
      </c>
      <c r="S1290" s="6">
        <v>539</v>
      </c>
      <c r="T1290">
        <v>7.625</v>
      </c>
      <c r="U1290" s="7">
        <f t="shared" si="361"/>
        <v>2013.0506693752202</v>
      </c>
      <c r="V1290" s="2">
        <f t="shared" si="365"/>
        <v>-700.89066937522011</v>
      </c>
      <c r="W1290" s="9">
        <f t="shared" si="366"/>
        <v>1</v>
      </c>
      <c r="X1290" s="3">
        <v>197223</v>
      </c>
      <c r="Y1290" s="3">
        <f t="shared" si="367"/>
        <v>0.29438423647661693</v>
      </c>
      <c r="Z1290" s="7">
        <f t="shared" si="368"/>
        <v>1478.1083103730045</v>
      </c>
      <c r="AA1290" s="2">
        <f t="shared" si="362"/>
        <v>-165.94831037300446</v>
      </c>
      <c r="AB1290" s="8">
        <f t="shared" si="369"/>
        <v>1</v>
      </c>
      <c r="AC1290" s="10">
        <v>6.875</v>
      </c>
      <c r="AD1290" s="7">
        <f t="shared" si="370"/>
        <v>1377.7909641952635</v>
      </c>
      <c r="AE1290" s="2">
        <f t="shared" si="371"/>
        <v>-65.630964195263459</v>
      </c>
      <c r="AF1290" s="10">
        <v>1</v>
      </c>
      <c r="AG1290" s="3">
        <f t="shared" si="372"/>
        <v>1972.23</v>
      </c>
      <c r="AH1290" s="7">
        <v>3900</v>
      </c>
      <c r="AI1290">
        <f t="shared" si="373"/>
        <v>360</v>
      </c>
      <c r="AJ1290" t="e">
        <f>VLOOKUP(A1290,'Borrower Details'!$A$1:$H$1493,8,FALSE)</f>
        <v>#N/A</v>
      </c>
      <c r="AK1290" s="4" t="e">
        <f t="shared" si="374"/>
        <v>#N/A</v>
      </c>
      <c r="AL1290" s="10">
        <v>7.625</v>
      </c>
      <c r="AM1290" s="3">
        <f t="shared" si="375"/>
        <v>197222.70119999998</v>
      </c>
      <c r="AN1290">
        <v>7.625</v>
      </c>
      <c r="AO1290" s="7">
        <f t="shared" si="376"/>
        <v>1478.1060709852902</v>
      </c>
      <c r="AP1290" s="2">
        <f t="shared" si="377"/>
        <v>-165.94607098529013</v>
      </c>
    </row>
    <row r="1291" spans="1:42" x14ac:dyDescent="0.15">
      <c r="A1291" s="8">
        <v>1151240</v>
      </c>
      <c r="B1291" t="s">
        <v>37</v>
      </c>
      <c r="C1291" t="s">
        <v>18</v>
      </c>
      <c r="D1291" s="1">
        <v>39181</v>
      </c>
      <c r="E1291" s="2">
        <v>85000</v>
      </c>
      <c r="F1291" s="2">
        <v>72000</v>
      </c>
      <c r="G1291" t="s">
        <v>15</v>
      </c>
      <c r="H1291" s="2">
        <v>639.85</v>
      </c>
      <c r="I1291" s="2">
        <v>71645.929999999993</v>
      </c>
      <c r="J1291">
        <v>0.10150000000000001</v>
      </c>
      <c r="K1291">
        <v>12</v>
      </c>
      <c r="L1291">
        <v>349</v>
      </c>
      <c r="M1291" t="str">
        <f t="shared" si="363"/>
        <v>30 Year Fixed</v>
      </c>
      <c r="N1291" s="2">
        <v>606.01</v>
      </c>
      <c r="O1291" t="str">
        <f t="shared" si="360"/>
        <v>Refi</v>
      </c>
      <c r="P1291" s="3">
        <f t="shared" si="364"/>
        <v>0</v>
      </c>
      <c r="Q1291" s="4">
        <v>72721</v>
      </c>
      <c r="R1291" s="4" t="s">
        <v>41</v>
      </c>
      <c r="S1291" s="6">
        <v>555</v>
      </c>
      <c r="T1291">
        <v>7.625</v>
      </c>
      <c r="U1291" s="7">
        <f t="shared" si="361"/>
        <v>545.01510695322179</v>
      </c>
      <c r="V1291" s="2">
        <f t="shared" si="365"/>
        <v>94.834893046778234</v>
      </c>
      <c r="W1291" s="9">
        <f t="shared" si="366"/>
        <v>0</v>
      </c>
      <c r="X1291" s="3">
        <v>72721</v>
      </c>
      <c r="Y1291" s="3">
        <f t="shared" si="367"/>
        <v>0.37541871922439896</v>
      </c>
      <c r="Z1291" s="7">
        <f t="shared" si="368"/>
        <v>545.01510695322179</v>
      </c>
      <c r="AA1291" s="2">
        <f t="shared" si="362"/>
        <v>94.834893046778234</v>
      </c>
      <c r="AB1291" s="8">
        <f t="shared" si="369"/>
        <v>0</v>
      </c>
      <c r="AC1291" s="10">
        <v>7.625</v>
      </c>
      <c r="AD1291" s="7">
        <f t="shared" si="370"/>
        <v>545.01510695322179</v>
      </c>
      <c r="AE1291" s="2">
        <f t="shared" si="371"/>
        <v>94.834893046778234</v>
      </c>
      <c r="AF1291" s="10">
        <v>0</v>
      </c>
      <c r="AG1291" s="3">
        <f t="shared" si="372"/>
        <v>0</v>
      </c>
      <c r="AH1291" s="7">
        <v>0</v>
      </c>
      <c r="AI1291">
        <f t="shared" si="373"/>
        <v>360</v>
      </c>
      <c r="AJ1291" t="e">
        <f>VLOOKUP(A1291,'Borrower Details'!$A$1:$H$1493,8,FALSE)</f>
        <v>#N/A</v>
      </c>
      <c r="AK1291" s="4" t="e">
        <f t="shared" si="374"/>
        <v>#N/A</v>
      </c>
      <c r="AL1291" s="10">
        <v>7.625</v>
      </c>
      <c r="AM1291" s="3">
        <f t="shared" si="375"/>
        <v>72720.618949999989</v>
      </c>
      <c r="AN1291">
        <v>7.625</v>
      </c>
      <c r="AO1291" s="7">
        <f t="shared" si="376"/>
        <v>545.01225113431781</v>
      </c>
      <c r="AP1291" s="2">
        <f t="shared" si="377"/>
        <v>94.837748865682215</v>
      </c>
    </row>
    <row r="1292" spans="1:42" x14ac:dyDescent="0.15">
      <c r="A1292" s="8">
        <v>1142723</v>
      </c>
      <c r="B1292" t="s">
        <v>37</v>
      </c>
      <c r="C1292" t="s">
        <v>19</v>
      </c>
      <c r="D1292" s="1">
        <v>39162</v>
      </c>
      <c r="E1292" s="2">
        <v>132500</v>
      </c>
      <c r="F1292" s="2">
        <v>112625</v>
      </c>
      <c r="G1292" t="s">
        <v>15</v>
      </c>
      <c r="H1292" s="2">
        <v>890.49</v>
      </c>
      <c r="I1292" s="2">
        <v>112195.61</v>
      </c>
      <c r="J1292">
        <v>9.2499999999999999E-2</v>
      </c>
      <c r="K1292">
        <v>13</v>
      </c>
      <c r="L1292">
        <v>346</v>
      </c>
      <c r="M1292" t="str">
        <f t="shared" si="363"/>
        <v>30 Year Fixed</v>
      </c>
      <c r="N1292" s="2">
        <v>865.04</v>
      </c>
      <c r="O1292" t="str">
        <f t="shared" si="360"/>
        <v>Refi</v>
      </c>
      <c r="P1292" s="3">
        <f t="shared" si="364"/>
        <v>0</v>
      </c>
      <c r="Q1292" s="4">
        <v>113879</v>
      </c>
      <c r="R1292" s="4" t="s">
        <v>41</v>
      </c>
      <c r="S1292" s="6">
        <v>537</v>
      </c>
      <c r="T1292">
        <v>7.625</v>
      </c>
      <c r="U1292" s="7">
        <f t="shared" si="361"/>
        <v>853.47802374452965</v>
      </c>
      <c r="V1292" s="2">
        <f t="shared" si="365"/>
        <v>37.011976255470358</v>
      </c>
      <c r="W1292" s="9">
        <f t="shared" si="366"/>
        <v>0</v>
      </c>
      <c r="X1292" s="3">
        <v>113879</v>
      </c>
      <c r="Y1292" s="3">
        <f t="shared" si="367"/>
        <v>0.44911330050672404</v>
      </c>
      <c r="Z1292" s="7">
        <f t="shared" si="368"/>
        <v>853.47802374452965</v>
      </c>
      <c r="AA1292" s="2">
        <f t="shared" si="362"/>
        <v>37.011976255470358</v>
      </c>
      <c r="AB1292" s="8">
        <f t="shared" si="369"/>
        <v>1</v>
      </c>
      <c r="AC1292" s="10">
        <v>6.5</v>
      </c>
      <c r="AD1292" s="7">
        <f t="shared" si="370"/>
        <v>767.24232780688806</v>
      </c>
      <c r="AE1292" s="2">
        <f t="shared" si="371"/>
        <v>123.24767219311195</v>
      </c>
      <c r="AF1292" s="10">
        <v>2.375</v>
      </c>
      <c r="AG1292" s="3">
        <f t="shared" si="372"/>
        <v>2704.6262499999998</v>
      </c>
      <c r="AH1292" s="7">
        <v>0</v>
      </c>
      <c r="AI1292">
        <f t="shared" si="373"/>
        <v>360</v>
      </c>
      <c r="AJ1292" t="e">
        <f>VLOOKUP(A1292,'Borrower Details'!$A$1:$H$1493,8,FALSE)</f>
        <v>#N/A</v>
      </c>
      <c r="AK1292" s="4" t="e">
        <f t="shared" si="374"/>
        <v>#N/A</v>
      </c>
      <c r="AL1292" s="10">
        <v>7.625</v>
      </c>
      <c r="AM1292" s="3">
        <f t="shared" si="375"/>
        <v>113878.54414999999</v>
      </c>
      <c r="AN1292">
        <v>7.625</v>
      </c>
      <c r="AO1292" s="7">
        <f t="shared" si="376"/>
        <v>853.47460732923685</v>
      </c>
      <c r="AP1292" s="2">
        <f t="shared" si="377"/>
        <v>37.015392670763163</v>
      </c>
    </row>
    <row r="1293" spans="1:42" x14ac:dyDescent="0.15">
      <c r="A1293" s="8">
        <v>410057269</v>
      </c>
      <c r="B1293" t="s">
        <v>35</v>
      </c>
      <c r="C1293" t="s">
        <v>16</v>
      </c>
      <c r="D1293" s="1">
        <v>39190</v>
      </c>
      <c r="E1293" s="2">
        <v>125000</v>
      </c>
      <c r="F1293" s="2">
        <v>112500</v>
      </c>
      <c r="G1293" t="s">
        <v>17</v>
      </c>
      <c r="H1293" s="2">
        <v>884.07</v>
      </c>
      <c r="I1293" s="2">
        <v>112381.53</v>
      </c>
      <c r="J1293">
        <v>9.3399999999999997E-2</v>
      </c>
      <c r="K1293">
        <v>12</v>
      </c>
      <c r="L1293">
        <v>348</v>
      </c>
      <c r="M1293" t="str">
        <f t="shared" si="363"/>
        <v>30 Year Fixed</v>
      </c>
      <c r="N1293" s="2">
        <v>874.7</v>
      </c>
      <c r="O1293" t="str">
        <f t="shared" si="360"/>
        <v>Refi</v>
      </c>
      <c r="P1293" s="3">
        <f t="shared" si="364"/>
        <v>0</v>
      </c>
      <c r="Q1293" s="4">
        <v>114067</v>
      </c>
      <c r="R1293" s="4" t="s">
        <v>41</v>
      </c>
      <c r="S1293" s="6">
        <v>569</v>
      </c>
      <c r="T1293">
        <v>7.625</v>
      </c>
      <c r="U1293" s="7">
        <f t="shared" si="361"/>
        <v>854.88700932100971</v>
      </c>
      <c r="V1293" s="2">
        <f t="shared" si="365"/>
        <v>29.182990678990336</v>
      </c>
      <c r="W1293" s="9">
        <f t="shared" si="366"/>
        <v>0</v>
      </c>
      <c r="X1293" s="3">
        <v>114068</v>
      </c>
      <c r="Y1293" s="3">
        <f t="shared" si="367"/>
        <v>0.73600985223311</v>
      </c>
      <c r="Z1293" s="7">
        <f t="shared" si="368"/>
        <v>854.89450392513993</v>
      </c>
      <c r="AA1293" s="2">
        <f t="shared" si="362"/>
        <v>29.175496074860121</v>
      </c>
      <c r="AB1293" s="8">
        <f t="shared" si="369"/>
        <v>1</v>
      </c>
      <c r="AC1293" s="10">
        <v>6.875</v>
      </c>
      <c r="AD1293" s="7">
        <f t="shared" si="370"/>
        <v>796.8738925167213</v>
      </c>
      <c r="AE1293" s="2">
        <f t="shared" si="371"/>
        <v>87.196107483278752</v>
      </c>
      <c r="AF1293" s="10">
        <v>1</v>
      </c>
      <c r="AG1293" s="3">
        <f t="shared" si="372"/>
        <v>1140.68</v>
      </c>
      <c r="AH1293" s="7">
        <v>5253.75</v>
      </c>
      <c r="AI1293">
        <f t="shared" si="373"/>
        <v>360</v>
      </c>
      <c r="AJ1293" t="e">
        <f>VLOOKUP(A1293,'Borrower Details'!$A$1:$H$1493,8,FALSE)</f>
        <v>#N/A</v>
      </c>
      <c r="AK1293" s="4" t="e">
        <f t="shared" si="374"/>
        <v>#N/A</v>
      </c>
      <c r="AL1293" s="10">
        <v>7.625</v>
      </c>
      <c r="AM1293" s="3">
        <f t="shared" si="375"/>
        <v>114067.25294999999</v>
      </c>
      <c r="AN1293">
        <v>7.625</v>
      </c>
      <c r="AO1293" s="7">
        <f t="shared" si="376"/>
        <v>854.88890508112445</v>
      </c>
      <c r="AP1293" s="2">
        <f t="shared" si="377"/>
        <v>29.181094918875601</v>
      </c>
    </row>
    <row r="1294" spans="1:42" x14ac:dyDescent="0.15">
      <c r="A1294" s="8">
        <v>1149020</v>
      </c>
      <c r="B1294" t="s">
        <v>36</v>
      </c>
      <c r="C1294" t="s">
        <v>19</v>
      </c>
      <c r="D1294" s="1">
        <v>39171</v>
      </c>
      <c r="E1294" s="2">
        <v>550000</v>
      </c>
      <c r="F1294" s="2">
        <v>495000</v>
      </c>
      <c r="G1294" t="s">
        <v>15</v>
      </c>
      <c r="H1294" s="2">
        <v>3243.54</v>
      </c>
      <c r="I1294" s="2">
        <v>488733.26</v>
      </c>
      <c r="J1294">
        <v>6.8500000000000005E-2</v>
      </c>
      <c r="K1294">
        <v>13</v>
      </c>
      <c r="L1294">
        <v>346</v>
      </c>
      <c r="M1294" t="str">
        <f t="shared" si="363"/>
        <v>30 Year Fixed</v>
      </c>
      <c r="N1294" s="2">
        <v>2789.85</v>
      </c>
      <c r="O1294" t="str">
        <f t="shared" si="360"/>
        <v>Refi</v>
      </c>
      <c r="P1294" s="3">
        <f t="shared" si="364"/>
        <v>0</v>
      </c>
      <c r="Q1294" s="4">
        <v>496064</v>
      </c>
      <c r="R1294" s="4" t="s">
        <v>41</v>
      </c>
      <c r="S1294" s="6">
        <v>713</v>
      </c>
      <c r="T1294">
        <v>7.375</v>
      </c>
      <c r="U1294" s="7">
        <f t="shared" si="361"/>
        <v>3632.8840975105909</v>
      </c>
      <c r="V1294" s="2">
        <f t="shared" si="365"/>
        <v>-389.34409751059093</v>
      </c>
      <c r="W1294" s="9">
        <f t="shared" si="366"/>
        <v>0</v>
      </c>
      <c r="X1294" s="3">
        <v>496064</v>
      </c>
      <c r="Y1294" s="3">
        <f t="shared" si="367"/>
        <v>-0.25507389160338789</v>
      </c>
      <c r="Z1294" s="7">
        <f t="shared" si="368"/>
        <v>3632.8840975105909</v>
      </c>
      <c r="AA1294" s="2">
        <f t="shared" si="362"/>
        <v>-389.34409751059093</v>
      </c>
      <c r="AB1294" s="8">
        <f t="shared" si="369"/>
        <v>1</v>
      </c>
      <c r="AC1294" s="10">
        <v>6.625</v>
      </c>
      <c r="AD1294" s="7">
        <f t="shared" si="370"/>
        <v>3383.045499281005</v>
      </c>
      <c r="AE1294" s="2">
        <f t="shared" si="371"/>
        <v>-139.50549928100509</v>
      </c>
      <c r="AF1294" s="10">
        <v>1.875</v>
      </c>
      <c r="AG1294" s="3">
        <f t="shared" si="372"/>
        <v>9301.2000000000007</v>
      </c>
      <c r="AH1294" s="7">
        <v>9900</v>
      </c>
      <c r="AI1294">
        <f t="shared" si="373"/>
        <v>360</v>
      </c>
      <c r="AJ1294" t="e">
        <f>VLOOKUP(A1294,'Borrower Details'!$A$1:$H$1493,8,FALSE)</f>
        <v>#N/A</v>
      </c>
      <c r="AK1294" s="4" t="e">
        <f t="shared" si="374"/>
        <v>#N/A</v>
      </c>
      <c r="AL1294" s="10">
        <v>7.375</v>
      </c>
      <c r="AM1294" s="3">
        <f t="shared" si="375"/>
        <v>496064.25889999996</v>
      </c>
      <c r="AN1294">
        <v>7.375</v>
      </c>
      <c r="AO1294" s="7">
        <f t="shared" si="376"/>
        <v>3632.885993543548</v>
      </c>
      <c r="AP1294" s="2">
        <f t="shared" si="377"/>
        <v>-389.34599354354805</v>
      </c>
    </row>
    <row r="1295" spans="1:42" x14ac:dyDescent="0.15">
      <c r="A1295" s="8">
        <v>1157605</v>
      </c>
      <c r="B1295" t="s">
        <v>36</v>
      </c>
      <c r="C1295" t="s">
        <v>18</v>
      </c>
      <c r="D1295" s="1">
        <v>39148</v>
      </c>
      <c r="E1295" s="2">
        <v>256000</v>
      </c>
      <c r="F1295" s="2">
        <v>179000</v>
      </c>
      <c r="G1295" t="s">
        <v>17</v>
      </c>
      <c r="H1295" s="2">
        <v>1251.5999999999999</v>
      </c>
      <c r="I1295" s="2">
        <v>176473.98</v>
      </c>
      <c r="J1295">
        <v>7.4999999999999997E-2</v>
      </c>
      <c r="K1295">
        <v>13</v>
      </c>
      <c r="L1295">
        <v>347</v>
      </c>
      <c r="M1295" t="str">
        <f t="shared" si="363"/>
        <v>30 Year Fixed</v>
      </c>
      <c r="N1295" s="2">
        <v>1102.96</v>
      </c>
      <c r="O1295" t="str">
        <f t="shared" si="360"/>
        <v>Cash Out</v>
      </c>
      <c r="P1295" s="3">
        <f t="shared" si="364"/>
        <v>37910.25645320199</v>
      </c>
      <c r="Q1295" s="4">
        <v>217600</v>
      </c>
      <c r="R1295" s="4" t="s">
        <v>41</v>
      </c>
      <c r="S1295" s="6">
        <v>503</v>
      </c>
      <c r="T1295">
        <v>7.625</v>
      </c>
      <c r="U1295" s="7">
        <f t="shared" si="361"/>
        <v>1630.8258587343555</v>
      </c>
      <c r="V1295" s="2">
        <f t="shared" si="365"/>
        <v>-379.2258587343556</v>
      </c>
      <c r="W1295" s="9">
        <f t="shared" si="366"/>
        <v>1</v>
      </c>
      <c r="X1295" s="3">
        <v>179121</v>
      </c>
      <c r="Y1295" s="3">
        <f t="shared" si="367"/>
        <v>-8.8374384242342785E-2</v>
      </c>
      <c r="Z1295" s="7">
        <f t="shared" si="368"/>
        <v>1342.4409864078882</v>
      </c>
      <c r="AA1295" s="2">
        <f t="shared" si="362"/>
        <v>-90.840986407888295</v>
      </c>
      <c r="AB1295" s="8">
        <f t="shared" si="369"/>
        <v>1</v>
      </c>
      <c r="AC1295" s="10">
        <v>6.875</v>
      </c>
      <c r="AD1295" s="7">
        <f t="shared" si="370"/>
        <v>1251.3312103437215</v>
      </c>
      <c r="AE1295" s="2">
        <f t="shared" si="371"/>
        <v>0.26878965627838625</v>
      </c>
      <c r="AF1295" s="10">
        <v>1.75</v>
      </c>
      <c r="AG1295" s="3">
        <f t="shared" si="372"/>
        <v>3134.6174999999998</v>
      </c>
      <c r="AH1295" s="7">
        <v>3580</v>
      </c>
      <c r="AI1295">
        <f t="shared" si="373"/>
        <v>360</v>
      </c>
      <c r="AJ1295" t="e">
        <f>VLOOKUP(A1295,'Borrower Details'!$A$1:$H$1493,8,FALSE)</f>
        <v>#N/A</v>
      </c>
      <c r="AK1295" s="4" t="e">
        <f t="shared" si="374"/>
        <v>#N/A</v>
      </c>
      <c r="AL1295" s="10">
        <v>7.625</v>
      </c>
      <c r="AM1295" s="3">
        <f t="shared" si="375"/>
        <v>179121.08969999998</v>
      </c>
      <c r="AN1295">
        <v>7.625</v>
      </c>
      <c r="AO1295" s="7">
        <f t="shared" si="376"/>
        <v>1342.4416586738785</v>
      </c>
      <c r="AP1295" s="2">
        <f t="shared" si="377"/>
        <v>-90.841658673878555</v>
      </c>
    </row>
    <row r="1296" spans="1:42" x14ac:dyDescent="0.15">
      <c r="A1296" s="8">
        <v>1144594</v>
      </c>
      <c r="B1296" t="s">
        <v>37</v>
      </c>
      <c r="C1296" t="s">
        <v>19</v>
      </c>
      <c r="D1296" s="1">
        <v>39139</v>
      </c>
      <c r="E1296" s="2">
        <v>320000</v>
      </c>
      <c r="F1296" s="2">
        <v>268280</v>
      </c>
      <c r="G1296" t="s">
        <v>15</v>
      </c>
      <c r="H1296" s="2">
        <v>2158.65</v>
      </c>
      <c r="I1296" s="2">
        <v>266125.21000000002</v>
      </c>
      <c r="J1296">
        <v>0.09</v>
      </c>
      <c r="K1296">
        <v>14</v>
      </c>
      <c r="L1296">
        <v>346</v>
      </c>
      <c r="M1296" t="str">
        <f t="shared" si="363"/>
        <v>30 Year Fixed</v>
      </c>
      <c r="N1296" s="2">
        <v>1995.94</v>
      </c>
      <c r="O1296" t="str">
        <f t="shared" si="360"/>
        <v>Cash Out</v>
      </c>
      <c r="P1296" s="3">
        <f t="shared" si="364"/>
        <v>1855.0855665024719</v>
      </c>
      <c r="Q1296" s="4">
        <v>272000</v>
      </c>
      <c r="R1296" s="4" t="s">
        <v>41</v>
      </c>
      <c r="S1296" s="6">
        <v>522</v>
      </c>
      <c r="T1296">
        <v>7.625</v>
      </c>
      <c r="U1296" s="7">
        <f t="shared" si="361"/>
        <v>2038.5323234179443</v>
      </c>
      <c r="V1296" s="2">
        <f t="shared" si="365"/>
        <v>120.11767658205576</v>
      </c>
      <c r="W1296" s="9">
        <f t="shared" si="366"/>
        <v>0</v>
      </c>
      <c r="X1296" s="3">
        <v>272000</v>
      </c>
      <c r="Y1296" s="3">
        <f t="shared" si="367"/>
        <v>1855.0855665024719</v>
      </c>
      <c r="Z1296" s="7">
        <f t="shared" si="368"/>
        <v>2038.5323234179443</v>
      </c>
      <c r="AA1296" s="2">
        <f t="shared" si="362"/>
        <v>120.11767658205576</v>
      </c>
      <c r="AB1296" s="8">
        <f t="shared" si="369"/>
        <v>1</v>
      </c>
      <c r="AC1296" s="10">
        <v>6.875</v>
      </c>
      <c r="AD1296" s="7">
        <f t="shared" si="370"/>
        <v>1900.1797065307376</v>
      </c>
      <c r="AE1296" s="2">
        <f t="shared" si="371"/>
        <v>258.47029346926251</v>
      </c>
      <c r="AF1296" s="10">
        <v>1.75</v>
      </c>
      <c r="AG1296" s="3">
        <f t="shared" si="372"/>
        <v>4760</v>
      </c>
      <c r="AH1296" s="7">
        <v>2682.8</v>
      </c>
      <c r="AI1296">
        <f t="shared" si="373"/>
        <v>360</v>
      </c>
      <c r="AJ1296" t="e">
        <f>VLOOKUP(A1296,'Borrower Details'!$A$1:$H$1493,8,FALSE)</f>
        <v>#N/A</v>
      </c>
      <c r="AK1296" s="4" t="e">
        <f t="shared" si="374"/>
        <v>#N/A</v>
      </c>
      <c r="AL1296" s="10">
        <v>7.625</v>
      </c>
      <c r="AM1296" s="3">
        <f t="shared" si="375"/>
        <v>270117.08814999997</v>
      </c>
      <c r="AN1296">
        <v>7.625</v>
      </c>
      <c r="AO1296" s="7">
        <f t="shared" si="376"/>
        <v>2024.4206444901072</v>
      </c>
      <c r="AP1296" s="2">
        <f t="shared" si="377"/>
        <v>134.22935550989291</v>
      </c>
    </row>
    <row r="1297" spans="1:42" x14ac:dyDescent="0.15">
      <c r="A1297" s="8">
        <v>410224091</v>
      </c>
      <c r="B1297" t="s">
        <v>36</v>
      </c>
      <c r="C1297" t="s">
        <v>19</v>
      </c>
      <c r="D1297" s="1">
        <v>39218</v>
      </c>
      <c r="E1297" s="2">
        <v>269000</v>
      </c>
      <c r="F1297" s="2">
        <v>242100</v>
      </c>
      <c r="G1297" t="s">
        <v>17</v>
      </c>
      <c r="H1297" s="2">
        <v>1747.26</v>
      </c>
      <c r="I1297" s="2">
        <v>241373.94</v>
      </c>
      <c r="J1297">
        <v>8.3500000000000005E-2</v>
      </c>
      <c r="K1297">
        <v>11</v>
      </c>
      <c r="L1297">
        <v>349</v>
      </c>
      <c r="M1297" t="str">
        <f t="shared" si="363"/>
        <v>30 Year Fixed</v>
      </c>
      <c r="N1297" s="2">
        <v>1679.56</v>
      </c>
      <c r="O1297" t="str">
        <f t="shared" si="360"/>
        <v>Refi</v>
      </c>
      <c r="P1297" s="3">
        <f t="shared" si="364"/>
        <v>0</v>
      </c>
      <c r="Q1297" s="4">
        <v>244995</v>
      </c>
      <c r="R1297" s="4" t="s">
        <v>41</v>
      </c>
      <c r="S1297" s="6">
        <v>627</v>
      </c>
      <c r="T1297">
        <v>6.75</v>
      </c>
      <c r="U1297" s="7">
        <f t="shared" si="361"/>
        <v>1691.1141566872955</v>
      </c>
      <c r="V1297" s="2">
        <f t="shared" si="365"/>
        <v>56.145843312704528</v>
      </c>
      <c r="W1297" s="9">
        <f t="shared" si="366"/>
        <v>0</v>
      </c>
      <c r="X1297" s="3">
        <v>244995</v>
      </c>
      <c r="Y1297" s="3">
        <f t="shared" si="367"/>
        <v>0.44423645321512595</v>
      </c>
      <c r="Z1297" s="7">
        <f t="shared" si="368"/>
        <v>1691.1141566872955</v>
      </c>
      <c r="AA1297" s="2">
        <f t="shared" si="362"/>
        <v>56.145843312704528</v>
      </c>
      <c r="AB1297" s="8">
        <f t="shared" si="369"/>
        <v>1</v>
      </c>
      <c r="AC1297" s="10">
        <v>6.125</v>
      </c>
      <c r="AD1297" s="7">
        <f t="shared" si="370"/>
        <v>1590.6966914457105</v>
      </c>
      <c r="AE1297" s="2">
        <f t="shared" si="371"/>
        <v>156.56330855428951</v>
      </c>
      <c r="AF1297" s="10">
        <v>3</v>
      </c>
      <c r="AG1297" s="3">
        <f t="shared" si="372"/>
        <v>7349.85</v>
      </c>
      <c r="AH1297" s="7">
        <v>4842</v>
      </c>
      <c r="AI1297">
        <f t="shared" si="373"/>
        <v>360</v>
      </c>
      <c r="AJ1297" t="e">
        <f>VLOOKUP(A1297,'Borrower Details'!$A$1:$H$1493,8,FALSE)</f>
        <v>#N/A</v>
      </c>
      <c r="AK1297" s="4" t="e">
        <f t="shared" si="374"/>
        <v>#N/A</v>
      </c>
      <c r="AL1297" s="10">
        <v>6.75</v>
      </c>
      <c r="AM1297" s="3">
        <f t="shared" si="375"/>
        <v>244994.54909999997</v>
      </c>
      <c r="AN1297">
        <v>6.75</v>
      </c>
      <c r="AO1297" s="7">
        <f t="shared" si="376"/>
        <v>1691.1110442834779</v>
      </c>
      <c r="AP1297" s="2">
        <f t="shared" si="377"/>
        <v>56.148955716522096</v>
      </c>
    </row>
    <row r="1298" spans="1:42" x14ac:dyDescent="0.15">
      <c r="A1298" s="8">
        <v>1139714</v>
      </c>
      <c r="B1298" t="s">
        <v>35</v>
      </c>
      <c r="C1298" t="s">
        <v>16</v>
      </c>
      <c r="D1298" s="1">
        <v>39164</v>
      </c>
      <c r="E1298" s="2">
        <v>158000</v>
      </c>
      <c r="F1298" s="2">
        <v>142200</v>
      </c>
      <c r="G1298" t="s">
        <v>17</v>
      </c>
      <c r="H1298" s="2">
        <v>1274.26</v>
      </c>
      <c r="I1298" s="2">
        <v>140867.64000000001</v>
      </c>
      <c r="J1298">
        <v>0.10249999999999999</v>
      </c>
      <c r="K1298">
        <v>13</v>
      </c>
      <c r="L1298">
        <v>347</v>
      </c>
      <c r="M1298" t="str">
        <f t="shared" si="363"/>
        <v>30 Year Fixed</v>
      </c>
      <c r="N1298" s="2">
        <v>1203.24</v>
      </c>
      <c r="O1298" t="str">
        <f t="shared" si="360"/>
        <v>Refi</v>
      </c>
      <c r="P1298" s="3">
        <f t="shared" si="364"/>
        <v>0</v>
      </c>
      <c r="Q1298" s="4">
        <v>142981</v>
      </c>
      <c r="R1298" s="4" t="s">
        <v>41</v>
      </c>
      <c r="S1298" s="6">
        <v>534</v>
      </c>
      <c r="T1298">
        <v>7.625</v>
      </c>
      <c r="U1298" s="7">
        <f t="shared" si="361"/>
        <v>1071.5859931419893</v>
      </c>
      <c r="V1298" s="2">
        <f t="shared" si="365"/>
        <v>202.67400685801067</v>
      </c>
      <c r="W1298" s="9">
        <f t="shared" si="366"/>
        <v>0</v>
      </c>
      <c r="X1298" s="3">
        <v>142981</v>
      </c>
      <c r="Y1298" s="3">
        <f t="shared" si="367"/>
        <v>0.34029556650784798</v>
      </c>
      <c r="Z1298" s="7">
        <f t="shared" si="368"/>
        <v>1071.5859931419893</v>
      </c>
      <c r="AA1298" s="2">
        <f t="shared" si="362"/>
        <v>202.67400685801067</v>
      </c>
      <c r="AB1298" s="8">
        <f t="shared" si="369"/>
        <v>0</v>
      </c>
      <c r="AC1298" s="10">
        <v>7.625</v>
      </c>
      <c r="AD1298" s="7">
        <f t="shared" si="370"/>
        <v>1071.5859931419893</v>
      </c>
      <c r="AE1298" s="2">
        <f t="shared" si="371"/>
        <v>202.67400685801067</v>
      </c>
      <c r="AF1298" s="10">
        <v>0</v>
      </c>
      <c r="AG1298" s="3">
        <f t="shared" si="372"/>
        <v>0</v>
      </c>
      <c r="AH1298" s="7">
        <v>7287.75</v>
      </c>
      <c r="AI1298">
        <f t="shared" si="373"/>
        <v>360</v>
      </c>
      <c r="AJ1298" t="e">
        <f>VLOOKUP(A1298,'Borrower Details'!$A$1:$H$1493,8,FALSE)</f>
        <v>#N/A</v>
      </c>
      <c r="AK1298" s="4" t="e">
        <f t="shared" si="374"/>
        <v>#N/A</v>
      </c>
      <c r="AL1298" s="10">
        <v>7.625</v>
      </c>
      <c r="AM1298" s="3">
        <f t="shared" si="375"/>
        <v>142980.65460000001</v>
      </c>
      <c r="AN1298">
        <v>7.625</v>
      </c>
      <c r="AO1298" s="7">
        <f t="shared" si="376"/>
        <v>1071.5834045057229</v>
      </c>
      <c r="AP1298" s="2">
        <f t="shared" si="377"/>
        <v>202.67659549427708</v>
      </c>
    </row>
    <row r="1299" spans="1:42" x14ac:dyDescent="0.15">
      <c r="A1299" s="8">
        <v>410197875</v>
      </c>
      <c r="B1299" t="s">
        <v>35</v>
      </c>
      <c r="C1299" t="s">
        <v>16</v>
      </c>
      <c r="D1299" s="1">
        <v>39218</v>
      </c>
      <c r="E1299" s="2">
        <v>170000</v>
      </c>
      <c r="F1299" s="2">
        <v>153000</v>
      </c>
      <c r="G1299" t="s">
        <v>17</v>
      </c>
      <c r="H1299" s="2">
        <v>1329.3</v>
      </c>
      <c r="I1299" s="2">
        <v>152741.79</v>
      </c>
      <c r="J1299">
        <v>0.10249999999999999</v>
      </c>
      <c r="K1299">
        <v>11</v>
      </c>
      <c r="L1299">
        <v>349</v>
      </c>
      <c r="M1299" t="str">
        <f t="shared" si="363"/>
        <v>30 Year Fixed</v>
      </c>
      <c r="N1299" s="2">
        <v>1304.67</v>
      </c>
      <c r="O1299" t="str">
        <f t="shared" si="360"/>
        <v>Refi</v>
      </c>
      <c r="P1299" s="3">
        <f t="shared" si="364"/>
        <v>0</v>
      </c>
      <c r="Q1299" s="4">
        <v>155033</v>
      </c>
      <c r="R1299" s="4" t="s">
        <v>41</v>
      </c>
      <c r="S1299" s="6">
        <v>554</v>
      </c>
      <c r="T1299">
        <v>7.625</v>
      </c>
      <c r="U1299" s="7">
        <f t="shared" si="361"/>
        <v>1161.9109621193168</v>
      </c>
      <c r="V1299" s="2">
        <f t="shared" si="365"/>
        <v>167.38903788068319</v>
      </c>
      <c r="W1299" s="9">
        <f t="shared" si="366"/>
        <v>0</v>
      </c>
      <c r="X1299" s="3">
        <v>155033</v>
      </c>
      <c r="Y1299" s="3">
        <f t="shared" si="367"/>
        <v>8.192118228180334E-2</v>
      </c>
      <c r="Z1299" s="7">
        <f t="shared" si="368"/>
        <v>1161.9109621193168</v>
      </c>
      <c r="AA1299" s="2">
        <f t="shared" si="362"/>
        <v>167.38903788068319</v>
      </c>
      <c r="AB1299" s="8">
        <f t="shared" si="369"/>
        <v>0</v>
      </c>
      <c r="AC1299" s="10">
        <v>7.625</v>
      </c>
      <c r="AD1299" s="7">
        <f t="shared" si="370"/>
        <v>1161.9109621193168</v>
      </c>
      <c r="AE1299" s="2">
        <f t="shared" si="371"/>
        <v>167.38903788068319</v>
      </c>
      <c r="AF1299" s="10">
        <v>0</v>
      </c>
      <c r="AG1299" s="3">
        <f t="shared" si="372"/>
        <v>0</v>
      </c>
      <c r="AH1299" s="7">
        <v>7841.25</v>
      </c>
      <c r="AI1299">
        <f t="shared" si="373"/>
        <v>360</v>
      </c>
      <c r="AJ1299" t="e">
        <f>VLOOKUP(A1299,'Borrower Details'!$A$1:$H$1493,8,FALSE)</f>
        <v>#N/A</v>
      </c>
      <c r="AK1299" s="4" t="e">
        <f t="shared" si="374"/>
        <v>#N/A</v>
      </c>
      <c r="AL1299" s="10">
        <v>7.625</v>
      </c>
      <c r="AM1299" s="3">
        <f t="shared" si="375"/>
        <v>155032.91684999998</v>
      </c>
      <c r="AN1299">
        <v>7.625</v>
      </c>
      <c r="AO1299" s="7">
        <f t="shared" si="376"/>
        <v>1161.9103389429833</v>
      </c>
      <c r="AP1299" s="2">
        <f t="shared" si="377"/>
        <v>167.38966105701661</v>
      </c>
    </row>
    <row r="1300" spans="1:42" x14ac:dyDescent="0.15">
      <c r="A1300" s="8">
        <v>1164707</v>
      </c>
      <c r="B1300" t="s">
        <v>36</v>
      </c>
      <c r="C1300" t="s">
        <v>19</v>
      </c>
      <c r="D1300" s="1">
        <v>39160</v>
      </c>
      <c r="E1300" s="2">
        <v>182000</v>
      </c>
      <c r="F1300" s="2">
        <v>154700</v>
      </c>
      <c r="G1300" t="s">
        <v>17</v>
      </c>
      <c r="H1300" s="2">
        <v>1038.71</v>
      </c>
      <c r="I1300" s="2">
        <v>154403.47</v>
      </c>
      <c r="J1300">
        <v>7.9000000000000001E-2</v>
      </c>
      <c r="K1300">
        <v>13</v>
      </c>
      <c r="L1300">
        <v>346</v>
      </c>
      <c r="M1300" t="str">
        <f t="shared" si="363"/>
        <v>30 Year Fixed</v>
      </c>
      <c r="N1300" s="2">
        <v>1016.63</v>
      </c>
      <c r="O1300" t="str">
        <f t="shared" si="360"/>
        <v>Refi</v>
      </c>
      <c r="P1300" s="3">
        <f t="shared" si="364"/>
        <v>0</v>
      </c>
      <c r="Q1300" s="4">
        <v>156720</v>
      </c>
      <c r="R1300" s="4" t="s">
        <v>41</v>
      </c>
      <c r="S1300" s="6">
        <v>577</v>
      </c>
      <c r="T1300">
        <v>7.625</v>
      </c>
      <c r="U1300" s="7">
        <f t="shared" si="361"/>
        <v>1174.554359286986</v>
      </c>
      <c r="V1300" s="2">
        <f t="shared" si="365"/>
        <v>-135.84435928698599</v>
      </c>
      <c r="W1300" s="9">
        <f t="shared" si="366"/>
        <v>0</v>
      </c>
      <c r="X1300" s="3">
        <v>156719</v>
      </c>
      <c r="Y1300" s="3">
        <f t="shared" si="367"/>
        <v>-0.51433497536345385</v>
      </c>
      <c r="Z1300" s="7">
        <f t="shared" si="368"/>
        <v>1174.546864682856</v>
      </c>
      <c r="AA1300" s="2">
        <f t="shared" si="362"/>
        <v>-135.836864682856</v>
      </c>
      <c r="AB1300" s="8">
        <f t="shared" si="369"/>
        <v>1</v>
      </c>
      <c r="AC1300" s="10">
        <v>6.875</v>
      </c>
      <c r="AD1300" s="7">
        <f t="shared" si="370"/>
        <v>1094.8318508374659</v>
      </c>
      <c r="AE1300" s="2">
        <f t="shared" si="371"/>
        <v>-56.1218508374659</v>
      </c>
      <c r="AF1300" s="10">
        <v>1</v>
      </c>
      <c r="AG1300" s="3">
        <f t="shared" si="372"/>
        <v>1567.19</v>
      </c>
      <c r="AH1300" s="7">
        <v>3094</v>
      </c>
      <c r="AI1300">
        <f t="shared" si="373"/>
        <v>360</v>
      </c>
      <c r="AJ1300" t="e">
        <f>VLOOKUP(A1300,'Borrower Details'!$A$1:$H$1493,8,FALSE)</f>
        <v>#N/A</v>
      </c>
      <c r="AK1300" s="4" t="e">
        <f t="shared" si="374"/>
        <v>#N/A</v>
      </c>
      <c r="AL1300" s="10">
        <v>7.625</v>
      </c>
      <c r="AM1300" s="3">
        <f t="shared" si="375"/>
        <v>156719.52205</v>
      </c>
      <c r="AN1300">
        <v>7.625</v>
      </c>
      <c r="AO1300" s="7">
        <f t="shared" si="376"/>
        <v>1174.5507772409421</v>
      </c>
      <c r="AP1300" s="2">
        <f t="shared" si="377"/>
        <v>-135.84077724094209</v>
      </c>
    </row>
    <row r="1301" spans="1:42" x14ac:dyDescent="0.15">
      <c r="A1301" s="8">
        <v>1175727</v>
      </c>
      <c r="B1301" t="s">
        <v>35</v>
      </c>
      <c r="C1301" t="s">
        <v>16</v>
      </c>
      <c r="D1301" s="1">
        <v>39168</v>
      </c>
      <c r="E1301" s="2">
        <v>145000</v>
      </c>
      <c r="F1301" s="2">
        <v>130500</v>
      </c>
      <c r="G1301" t="s">
        <v>17</v>
      </c>
      <c r="H1301" s="2">
        <v>976.6</v>
      </c>
      <c r="I1301" s="2">
        <v>130086.12</v>
      </c>
      <c r="J1301">
        <v>8.6999999999999994E-2</v>
      </c>
      <c r="K1301">
        <v>13</v>
      </c>
      <c r="L1301">
        <v>347</v>
      </c>
      <c r="M1301" t="str">
        <f t="shared" si="363"/>
        <v>30 Year Fixed</v>
      </c>
      <c r="N1301" s="2">
        <v>943.12</v>
      </c>
      <c r="O1301" t="str">
        <f t="shared" si="360"/>
        <v>Refi</v>
      </c>
      <c r="P1301" s="3">
        <f t="shared" si="364"/>
        <v>0</v>
      </c>
      <c r="Q1301" s="4">
        <v>132037</v>
      </c>
      <c r="R1301" s="4" t="s">
        <v>41</v>
      </c>
      <c r="S1301" s="6">
        <v>670</v>
      </c>
      <c r="T1301">
        <v>6.75</v>
      </c>
      <c r="U1301" s="7">
        <f t="shared" si="361"/>
        <v>911.40488543243907</v>
      </c>
      <c r="V1301" s="2">
        <f t="shared" si="365"/>
        <v>65.19511456756095</v>
      </c>
      <c r="W1301" s="9">
        <f t="shared" si="366"/>
        <v>0</v>
      </c>
      <c r="X1301" s="3">
        <v>132037</v>
      </c>
      <c r="Y1301" s="3">
        <f t="shared" si="367"/>
        <v>-0.4057142856909195</v>
      </c>
      <c r="Z1301" s="7">
        <f t="shared" si="368"/>
        <v>911.40488543243907</v>
      </c>
      <c r="AA1301" s="2">
        <f t="shared" si="362"/>
        <v>65.19511456756095</v>
      </c>
      <c r="AB1301" s="8">
        <f t="shared" si="369"/>
        <v>0</v>
      </c>
      <c r="AC1301" s="10">
        <v>6.75</v>
      </c>
      <c r="AD1301" s="7">
        <f t="shared" si="370"/>
        <v>911.40488543243907</v>
      </c>
      <c r="AE1301" s="2">
        <f t="shared" si="371"/>
        <v>65.19511456756095</v>
      </c>
      <c r="AF1301" s="10">
        <v>0</v>
      </c>
      <c r="AG1301" s="3">
        <f t="shared" si="372"/>
        <v>0</v>
      </c>
      <c r="AH1301" s="7">
        <v>5676.75</v>
      </c>
      <c r="AI1301">
        <f t="shared" si="373"/>
        <v>360</v>
      </c>
      <c r="AJ1301" t="e">
        <f>VLOOKUP(A1301,'Borrower Details'!$A$1:$H$1493,8,FALSE)</f>
        <v>#N/A</v>
      </c>
      <c r="AK1301" s="4" t="e">
        <f t="shared" si="374"/>
        <v>#N/A</v>
      </c>
      <c r="AL1301" s="10">
        <v>6.75</v>
      </c>
      <c r="AM1301" s="3">
        <f t="shared" si="375"/>
        <v>132037.41179999997</v>
      </c>
      <c r="AN1301">
        <v>6.75</v>
      </c>
      <c r="AO1301" s="7">
        <f t="shared" si="376"/>
        <v>911.40772794273391</v>
      </c>
      <c r="AP1301" s="2">
        <f t="shared" si="377"/>
        <v>65.192272057266109</v>
      </c>
    </row>
    <row r="1302" spans="1:42" x14ac:dyDescent="0.15">
      <c r="A1302" s="8">
        <v>1164777</v>
      </c>
      <c r="B1302" t="s">
        <v>36</v>
      </c>
      <c r="C1302" t="s">
        <v>19</v>
      </c>
      <c r="D1302" s="1">
        <v>39174</v>
      </c>
      <c r="E1302" s="2">
        <v>185000</v>
      </c>
      <c r="F1302" s="2">
        <v>175750</v>
      </c>
      <c r="G1302" t="s">
        <v>15</v>
      </c>
      <c r="H1302" s="2">
        <v>1220.7</v>
      </c>
      <c r="I1302" s="2">
        <v>175121.34</v>
      </c>
      <c r="J1302">
        <v>7.9899999999999999E-2</v>
      </c>
      <c r="K1302">
        <v>12</v>
      </c>
      <c r="L1302">
        <v>348</v>
      </c>
      <c r="M1302" t="str">
        <f t="shared" si="363"/>
        <v>30 Year Fixed</v>
      </c>
      <c r="N1302" s="2">
        <v>1166.02</v>
      </c>
      <c r="O1302" t="str">
        <f t="shared" si="360"/>
        <v>Refi</v>
      </c>
      <c r="P1302" s="3">
        <f t="shared" si="364"/>
        <v>0</v>
      </c>
      <c r="Q1302" s="4">
        <v>177748</v>
      </c>
      <c r="R1302" s="4" t="s">
        <v>41</v>
      </c>
      <c r="S1302" s="6">
        <v>640</v>
      </c>
      <c r="T1302">
        <v>6.75</v>
      </c>
      <c r="U1302" s="7">
        <f t="shared" si="361"/>
        <v>1226.9318113547354</v>
      </c>
      <c r="V1302" s="2">
        <f t="shared" si="365"/>
        <v>-6.2318113547353278</v>
      </c>
      <c r="W1302" s="9">
        <f t="shared" si="366"/>
        <v>0</v>
      </c>
      <c r="X1302" s="3">
        <v>177748</v>
      </c>
      <c r="Y1302" s="3">
        <f t="shared" si="367"/>
        <v>-0.15773399014142342</v>
      </c>
      <c r="Z1302" s="7">
        <f t="shared" si="368"/>
        <v>1226.9318113547354</v>
      </c>
      <c r="AA1302" s="2">
        <f t="shared" si="362"/>
        <v>-6.2318113547353278</v>
      </c>
      <c r="AB1302" s="8">
        <f t="shared" si="369"/>
        <v>1</v>
      </c>
      <c r="AC1302" s="10">
        <v>6.125</v>
      </c>
      <c r="AD1302" s="7">
        <f t="shared" si="370"/>
        <v>1154.077248560551</v>
      </c>
      <c r="AE1302" s="2">
        <f t="shared" si="371"/>
        <v>66.622751439449075</v>
      </c>
      <c r="AF1302" s="10">
        <v>3</v>
      </c>
      <c r="AG1302" s="3">
        <f t="shared" si="372"/>
        <v>5332.44</v>
      </c>
      <c r="AH1302" s="7">
        <v>3515</v>
      </c>
      <c r="AI1302">
        <f t="shared" si="373"/>
        <v>360</v>
      </c>
      <c r="AJ1302" t="e">
        <f>VLOOKUP(A1302,'Borrower Details'!$A$1:$H$1493,8,FALSE)</f>
        <v>#N/A</v>
      </c>
      <c r="AK1302" s="4" t="e">
        <f t="shared" si="374"/>
        <v>#N/A</v>
      </c>
      <c r="AL1302" s="10">
        <v>6.75</v>
      </c>
      <c r="AM1302" s="3">
        <f t="shared" si="375"/>
        <v>177748.16009999998</v>
      </c>
      <c r="AN1302">
        <v>6.75</v>
      </c>
      <c r="AO1302" s="7">
        <f t="shared" si="376"/>
        <v>1226.932916468621</v>
      </c>
      <c r="AP1302" s="2">
        <f t="shared" si="377"/>
        <v>-6.2329164686209424</v>
      </c>
    </row>
    <row r="1303" spans="1:42" x14ac:dyDescent="0.15">
      <c r="A1303" s="8">
        <v>1169034</v>
      </c>
      <c r="B1303" t="s">
        <v>35</v>
      </c>
      <c r="C1303" t="s">
        <v>16</v>
      </c>
      <c r="D1303" s="1">
        <v>39161</v>
      </c>
      <c r="E1303" s="2">
        <v>115000</v>
      </c>
      <c r="F1303" s="2">
        <v>92000</v>
      </c>
      <c r="G1303" t="s">
        <v>17</v>
      </c>
      <c r="H1303" s="2">
        <v>783.68</v>
      </c>
      <c r="I1303" s="2">
        <v>91401.18</v>
      </c>
      <c r="J1303">
        <v>9.6500000000000002E-2</v>
      </c>
      <c r="K1303">
        <v>13</v>
      </c>
      <c r="L1303">
        <v>347</v>
      </c>
      <c r="M1303" t="str">
        <f t="shared" si="363"/>
        <v>30 Year Fixed</v>
      </c>
      <c r="N1303" s="2">
        <v>735.02</v>
      </c>
      <c r="O1303" t="str">
        <f t="shared" si="360"/>
        <v>Cash Out</v>
      </c>
      <c r="P1303" s="3">
        <f t="shared" si="364"/>
        <v>4904.2387192118331</v>
      </c>
      <c r="Q1303" s="4">
        <v>97750</v>
      </c>
      <c r="R1303" s="4" t="s">
        <v>41</v>
      </c>
      <c r="S1303" s="6">
        <v>520</v>
      </c>
      <c r="T1303">
        <v>7.625</v>
      </c>
      <c r="U1303" s="7">
        <f t="shared" si="361"/>
        <v>732.59755372832365</v>
      </c>
      <c r="V1303" s="2">
        <f t="shared" si="365"/>
        <v>51.082446271676304</v>
      </c>
      <c r="W1303" s="9">
        <f t="shared" si="366"/>
        <v>0</v>
      </c>
      <c r="X1303" s="3">
        <v>97750</v>
      </c>
      <c r="Y1303" s="3">
        <f t="shared" si="367"/>
        <v>4904.2387192118331</v>
      </c>
      <c r="Z1303" s="7">
        <f t="shared" si="368"/>
        <v>732.59755372832365</v>
      </c>
      <c r="AA1303" s="2">
        <f t="shared" si="362"/>
        <v>51.082446271676304</v>
      </c>
      <c r="AB1303" s="8">
        <f t="shared" si="369"/>
        <v>0</v>
      </c>
      <c r="AC1303" s="10">
        <v>7.625</v>
      </c>
      <c r="AD1303" s="7">
        <f t="shared" si="370"/>
        <v>732.59755372832365</v>
      </c>
      <c r="AE1303" s="2">
        <f t="shared" si="371"/>
        <v>51.082446271676304</v>
      </c>
      <c r="AF1303" s="10">
        <v>0</v>
      </c>
      <c r="AG1303" s="3">
        <f t="shared" si="372"/>
        <v>0</v>
      </c>
      <c r="AH1303" s="7">
        <v>4439</v>
      </c>
      <c r="AI1303">
        <f t="shared" si="373"/>
        <v>360</v>
      </c>
      <c r="AJ1303" t="e">
        <f>VLOOKUP(A1303,'Borrower Details'!$A$1:$H$1493,8,FALSE)</f>
        <v>#N/A</v>
      </c>
      <c r="AK1303" s="4" t="e">
        <f t="shared" si="374"/>
        <v>#N/A</v>
      </c>
      <c r="AL1303" s="10">
        <v>7.625</v>
      </c>
      <c r="AM1303" s="3">
        <f t="shared" si="375"/>
        <v>92772.19769999999</v>
      </c>
      <c r="AN1303">
        <v>7.625</v>
      </c>
      <c r="AO1303" s="7">
        <f t="shared" si="376"/>
        <v>695.29089605135971</v>
      </c>
      <c r="AP1303" s="2">
        <f t="shared" si="377"/>
        <v>88.389103948640241</v>
      </c>
    </row>
    <row r="1304" spans="1:42" x14ac:dyDescent="0.15">
      <c r="A1304" s="8">
        <v>1154686</v>
      </c>
      <c r="B1304" t="s">
        <v>36</v>
      </c>
      <c r="C1304" t="s">
        <v>18</v>
      </c>
      <c r="D1304" s="1">
        <v>39182</v>
      </c>
      <c r="E1304" s="2">
        <v>219000</v>
      </c>
      <c r="F1304" s="2">
        <v>175200</v>
      </c>
      <c r="G1304" t="s">
        <v>17</v>
      </c>
      <c r="H1304" s="2">
        <v>1340.94</v>
      </c>
      <c r="I1304" s="2">
        <v>173862.08</v>
      </c>
      <c r="J1304">
        <v>8.4500000000000006E-2</v>
      </c>
      <c r="K1304">
        <v>12</v>
      </c>
      <c r="L1304">
        <v>348</v>
      </c>
      <c r="M1304" t="str">
        <f t="shared" si="363"/>
        <v>30 Year Fixed</v>
      </c>
      <c r="N1304" s="2">
        <v>1224.28</v>
      </c>
      <c r="O1304" t="str">
        <f t="shared" si="360"/>
        <v>Cash Out</v>
      </c>
      <c r="P1304" s="3">
        <f t="shared" si="364"/>
        <v>9536.9347783251433</v>
      </c>
      <c r="Q1304" s="4">
        <v>186150</v>
      </c>
      <c r="R1304" s="4" t="s">
        <v>41</v>
      </c>
      <c r="S1304" s="6">
        <v>564</v>
      </c>
      <c r="T1304">
        <v>7.625</v>
      </c>
      <c r="U1304" s="7">
        <f t="shared" si="361"/>
        <v>1395.1205588391556</v>
      </c>
      <c r="V1304" s="2">
        <f t="shared" si="365"/>
        <v>-54.180558839155537</v>
      </c>
      <c r="W1304" s="9">
        <f t="shared" si="366"/>
        <v>1</v>
      </c>
      <c r="X1304" s="3">
        <v>178850</v>
      </c>
      <c r="Y1304" s="3">
        <f t="shared" si="367"/>
        <v>2344.8165517241578</v>
      </c>
      <c r="Z1304" s="7">
        <f t="shared" si="368"/>
        <v>1340.4099486886005</v>
      </c>
      <c r="AA1304" s="2">
        <f t="shared" si="362"/>
        <v>0.53005131139957484</v>
      </c>
      <c r="AB1304" s="8">
        <f t="shared" si="369"/>
        <v>1</v>
      </c>
      <c r="AC1304" s="10">
        <v>6.875</v>
      </c>
      <c r="AD1304" s="7">
        <f t="shared" si="370"/>
        <v>1249.4380165919943</v>
      </c>
      <c r="AE1304" s="2">
        <f t="shared" si="371"/>
        <v>91.501983408005799</v>
      </c>
      <c r="AF1304" s="10">
        <v>1</v>
      </c>
      <c r="AG1304" s="3">
        <f t="shared" si="372"/>
        <v>1788.5</v>
      </c>
      <c r="AH1304" s="7">
        <v>3504</v>
      </c>
      <c r="AI1304">
        <f t="shared" si="373"/>
        <v>360</v>
      </c>
      <c r="AJ1304" t="e">
        <f>VLOOKUP(A1304,'Borrower Details'!$A$1:$H$1493,8,FALSE)</f>
        <v>#N/A</v>
      </c>
      <c r="AK1304" s="4" t="e">
        <f t="shared" si="374"/>
        <v>#N/A</v>
      </c>
      <c r="AL1304" s="10">
        <v>7.625</v>
      </c>
      <c r="AM1304" s="3">
        <f t="shared" si="375"/>
        <v>176470.01119999998</v>
      </c>
      <c r="AN1304">
        <v>7.625</v>
      </c>
      <c r="AO1304" s="7">
        <f t="shared" si="376"/>
        <v>1322.5728747982596</v>
      </c>
      <c r="AP1304" s="2">
        <f t="shared" si="377"/>
        <v>18.367125201740464</v>
      </c>
    </row>
    <row r="1305" spans="1:42" x14ac:dyDescent="0.15">
      <c r="A1305" s="8">
        <v>1139791</v>
      </c>
      <c r="B1305" t="s">
        <v>36</v>
      </c>
      <c r="C1305" t="s">
        <v>19</v>
      </c>
      <c r="D1305" s="1">
        <v>39136</v>
      </c>
      <c r="E1305" s="2">
        <v>180000</v>
      </c>
      <c r="F1305" s="2">
        <v>162000</v>
      </c>
      <c r="G1305" t="s">
        <v>17</v>
      </c>
      <c r="H1305" s="2">
        <v>1187.57</v>
      </c>
      <c r="I1305" s="2">
        <v>160384.71</v>
      </c>
      <c r="J1305">
        <v>7.9899999999999999E-2</v>
      </c>
      <c r="K1305">
        <v>14</v>
      </c>
      <c r="L1305">
        <v>346</v>
      </c>
      <c r="M1305" t="str">
        <f t="shared" si="363"/>
        <v>30 Year Fixed</v>
      </c>
      <c r="N1305" s="2">
        <v>1067.8900000000001</v>
      </c>
      <c r="O1305" t="str">
        <f t="shared" si="360"/>
        <v>Refi</v>
      </c>
      <c r="P1305" s="3">
        <f t="shared" si="364"/>
        <v>0</v>
      </c>
      <c r="Q1305" s="4">
        <v>162790</v>
      </c>
      <c r="R1305" s="4" t="s">
        <v>41</v>
      </c>
      <c r="S1305" s="6">
        <v>628</v>
      </c>
      <c r="T1305">
        <v>6.75</v>
      </c>
      <c r="U1305" s="7">
        <f t="shared" si="361"/>
        <v>1123.682008070062</v>
      </c>
      <c r="V1305" s="2">
        <f t="shared" si="365"/>
        <v>63.887991929937925</v>
      </c>
      <c r="W1305" s="9">
        <f t="shared" si="366"/>
        <v>0</v>
      </c>
      <c r="X1305" s="3">
        <v>162791</v>
      </c>
      <c r="Y1305" s="3">
        <f t="shared" si="367"/>
        <v>0.51167487687780522</v>
      </c>
      <c r="Z1305" s="7">
        <f t="shared" si="368"/>
        <v>1123.6889107176944</v>
      </c>
      <c r="AA1305" s="2">
        <f t="shared" si="362"/>
        <v>63.881089282305538</v>
      </c>
      <c r="AB1305" s="8">
        <f t="shared" si="369"/>
        <v>1</v>
      </c>
      <c r="AC1305" s="10">
        <v>6.125</v>
      </c>
      <c r="AD1305" s="7">
        <f t="shared" si="370"/>
        <v>1056.9648568221337</v>
      </c>
      <c r="AE1305" s="2">
        <f t="shared" si="371"/>
        <v>130.60514317786624</v>
      </c>
      <c r="AF1305" s="10">
        <v>3</v>
      </c>
      <c r="AG1305" s="3">
        <f t="shared" si="372"/>
        <v>4883.7299999999996</v>
      </c>
      <c r="AH1305" s="7">
        <v>3240</v>
      </c>
      <c r="AI1305">
        <f t="shared" si="373"/>
        <v>360</v>
      </c>
      <c r="AJ1305" t="e">
        <f>VLOOKUP(A1305,'Borrower Details'!$A$1:$H$1493,8,FALSE)</f>
        <v>#N/A</v>
      </c>
      <c r="AK1305" s="4" t="e">
        <f t="shared" si="374"/>
        <v>#N/A</v>
      </c>
      <c r="AL1305" s="10">
        <v>6.75</v>
      </c>
      <c r="AM1305" s="3">
        <f t="shared" si="375"/>
        <v>162790.48064999998</v>
      </c>
      <c r="AN1305">
        <v>6.75</v>
      </c>
      <c r="AO1305" s="7">
        <f t="shared" si="376"/>
        <v>1123.6853258276462</v>
      </c>
      <c r="AP1305" s="2">
        <f t="shared" si="377"/>
        <v>63.884674172353698</v>
      </c>
    </row>
    <row r="1306" spans="1:42" x14ac:dyDescent="0.15">
      <c r="A1306" s="8">
        <v>1182488</v>
      </c>
      <c r="B1306" t="s">
        <v>37</v>
      </c>
      <c r="C1306" t="s">
        <v>19</v>
      </c>
      <c r="D1306" s="1">
        <v>39198</v>
      </c>
      <c r="E1306" s="2">
        <v>115000</v>
      </c>
      <c r="F1306" s="2">
        <v>94500</v>
      </c>
      <c r="G1306" t="s">
        <v>17</v>
      </c>
      <c r="H1306" s="2">
        <v>729.98</v>
      </c>
      <c r="I1306" s="2">
        <v>93688.44</v>
      </c>
      <c r="J1306">
        <v>8.5500000000000007E-2</v>
      </c>
      <c r="K1306">
        <v>12</v>
      </c>
      <c r="L1306">
        <v>347</v>
      </c>
      <c r="M1306" t="str">
        <f t="shared" si="363"/>
        <v>30 Year Fixed</v>
      </c>
      <c r="N1306" s="2">
        <v>667.53</v>
      </c>
      <c r="O1306" t="str">
        <f t="shared" si="360"/>
        <v>Cash Out</v>
      </c>
      <c r="P1306" s="3">
        <f t="shared" si="364"/>
        <v>2616.9787192118238</v>
      </c>
      <c r="Q1306" s="4">
        <v>97750</v>
      </c>
      <c r="R1306" s="4" t="s">
        <v>41</v>
      </c>
      <c r="S1306" s="6">
        <v>648</v>
      </c>
      <c r="T1306">
        <v>6.875</v>
      </c>
      <c r="U1306" s="7">
        <f t="shared" si="361"/>
        <v>682.87708203448381</v>
      </c>
      <c r="V1306" s="2">
        <f t="shared" si="365"/>
        <v>47.102917965516212</v>
      </c>
      <c r="W1306" s="9">
        <f t="shared" si="366"/>
        <v>0</v>
      </c>
      <c r="X1306" s="3">
        <v>97750</v>
      </c>
      <c r="Y1306" s="3">
        <f t="shared" si="367"/>
        <v>2616.9787192118238</v>
      </c>
      <c r="Z1306" s="7">
        <f t="shared" si="368"/>
        <v>682.87708203448381</v>
      </c>
      <c r="AA1306" s="2">
        <f t="shared" si="362"/>
        <v>47.102917965516212</v>
      </c>
      <c r="AB1306" s="8">
        <f t="shared" si="369"/>
        <v>1</v>
      </c>
      <c r="AC1306" s="10">
        <v>6</v>
      </c>
      <c r="AD1306" s="7">
        <f t="shared" si="370"/>
        <v>626.78980500348848</v>
      </c>
      <c r="AE1306" s="2">
        <f t="shared" si="371"/>
        <v>103.19019499651154</v>
      </c>
      <c r="AF1306" s="10">
        <v>3</v>
      </c>
      <c r="AG1306" s="3">
        <f t="shared" si="372"/>
        <v>2932.5</v>
      </c>
      <c r="AH1306" s="7">
        <v>0</v>
      </c>
      <c r="AI1306">
        <f t="shared" si="373"/>
        <v>360</v>
      </c>
      <c r="AJ1306" t="e">
        <f>VLOOKUP(A1306,'Borrower Details'!$A$1:$H$1493,8,FALSE)</f>
        <v>#N/A</v>
      </c>
      <c r="AK1306" s="4" t="e">
        <f t="shared" si="374"/>
        <v>#N/A</v>
      </c>
      <c r="AL1306" s="10">
        <v>6.875</v>
      </c>
      <c r="AM1306" s="3">
        <f t="shared" si="375"/>
        <v>95093.766599999988</v>
      </c>
      <c r="AN1306">
        <v>6.875</v>
      </c>
      <c r="AO1306" s="7">
        <f t="shared" si="376"/>
        <v>664.32075555474432</v>
      </c>
      <c r="AP1306" s="2">
        <f t="shared" si="377"/>
        <v>65.659244445255695</v>
      </c>
    </row>
    <row r="1307" spans="1:42" x14ac:dyDescent="0.15">
      <c r="A1307" s="8">
        <v>410415095</v>
      </c>
      <c r="B1307" t="s">
        <v>35</v>
      </c>
      <c r="C1307" t="s">
        <v>16</v>
      </c>
      <c r="D1307" s="1">
        <v>39253</v>
      </c>
      <c r="E1307" s="2">
        <v>193000</v>
      </c>
      <c r="F1307" s="2">
        <v>164050</v>
      </c>
      <c r="G1307" t="s">
        <v>15</v>
      </c>
      <c r="H1307" s="2">
        <v>1438.45</v>
      </c>
      <c r="I1307" s="2">
        <v>163294.79999999999</v>
      </c>
      <c r="J1307">
        <v>9.9900000000000003E-2</v>
      </c>
      <c r="K1307">
        <v>10</v>
      </c>
      <c r="L1307">
        <v>350</v>
      </c>
      <c r="M1307" t="str">
        <f t="shared" si="363"/>
        <v>30 Year Fixed</v>
      </c>
      <c r="N1307" s="2">
        <v>1359.43</v>
      </c>
      <c r="O1307" t="str">
        <f t="shared" si="360"/>
        <v>Refi</v>
      </c>
      <c r="P1307" s="3">
        <f t="shared" si="364"/>
        <v>0</v>
      </c>
      <c r="Q1307" s="4">
        <v>165744</v>
      </c>
      <c r="R1307" s="4" t="s">
        <v>41</v>
      </c>
      <c r="S1307" s="6">
        <v>546</v>
      </c>
      <c r="T1307">
        <v>7.625</v>
      </c>
      <c r="U1307" s="7">
        <f t="shared" si="361"/>
        <v>1242.1856669580284</v>
      </c>
      <c r="V1307" s="2">
        <f t="shared" si="365"/>
        <v>196.26433304197167</v>
      </c>
      <c r="W1307" s="9">
        <f t="shared" si="366"/>
        <v>0</v>
      </c>
      <c r="X1307" s="3">
        <v>165744</v>
      </c>
      <c r="Y1307" s="3">
        <f t="shared" si="367"/>
        <v>-0.21871921178535558</v>
      </c>
      <c r="Z1307" s="7">
        <f t="shared" si="368"/>
        <v>1242.1856669580284</v>
      </c>
      <c r="AA1307" s="2">
        <f t="shared" si="362"/>
        <v>196.26433304197167</v>
      </c>
      <c r="AB1307" s="8">
        <f t="shared" si="369"/>
        <v>0</v>
      </c>
      <c r="AC1307" s="10">
        <v>7.625</v>
      </c>
      <c r="AD1307" s="7">
        <f t="shared" si="370"/>
        <v>1242.1856669580284</v>
      </c>
      <c r="AE1307" s="2">
        <f t="shared" si="371"/>
        <v>196.26433304197167</v>
      </c>
      <c r="AF1307" s="10">
        <v>0</v>
      </c>
      <c r="AG1307" s="3">
        <f t="shared" si="372"/>
        <v>0</v>
      </c>
      <c r="AH1307" s="7">
        <v>8194.2975000000006</v>
      </c>
      <c r="AI1307">
        <f t="shared" si="373"/>
        <v>360</v>
      </c>
      <c r="AJ1307" t="e">
        <f>VLOOKUP(A1307,'Borrower Details'!$A$1:$H$1493,8,FALSE)</f>
        <v>#N/A</v>
      </c>
      <c r="AK1307" s="4" t="e">
        <f t="shared" si="374"/>
        <v>#N/A</v>
      </c>
      <c r="AL1307" s="10">
        <v>7.625</v>
      </c>
      <c r="AM1307" s="3">
        <f t="shared" si="375"/>
        <v>165744.22199999998</v>
      </c>
      <c r="AN1307">
        <v>7.625</v>
      </c>
      <c r="AO1307" s="7">
        <f t="shared" si="376"/>
        <v>1242.1873307601454</v>
      </c>
      <c r="AP1307" s="2">
        <f t="shared" si="377"/>
        <v>196.26266923985463</v>
      </c>
    </row>
    <row r="1308" spans="1:42" x14ac:dyDescent="0.15">
      <c r="A1308" s="8">
        <v>410258453</v>
      </c>
      <c r="B1308" t="s">
        <v>37</v>
      </c>
      <c r="C1308" t="s">
        <v>18</v>
      </c>
      <c r="D1308" s="1">
        <v>39217</v>
      </c>
      <c r="E1308" s="2">
        <v>214900</v>
      </c>
      <c r="F1308" s="2">
        <v>125000</v>
      </c>
      <c r="G1308" t="s">
        <v>17</v>
      </c>
      <c r="H1308" s="2">
        <v>996.8</v>
      </c>
      <c r="I1308" s="2">
        <v>124204.04</v>
      </c>
      <c r="J1308">
        <v>8.8999999999999996E-2</v>
      </c>
      <c r="K1308">
        <v>11</v>
      </c>
      <c r="L1308">
        <v>349</v>
      </c>
      <c r="M1308" t="str">
        <f t="shared" si="363"/>
        <v>30 Year Fixed</v>
      </c>
      <c r="N1308" s="2">
        <v>921.18</v>
      </c>
      <c r="O1308" t="str">
        <f t="shared" si="360"/>
        <v>Cash Out</v>
      </c>
      <c r="P1308" s="3">
        <f t="shared" si="364"/>
        <v>55761.47724137934</v>
      </c>
      <c r="Q1308" s="4">
        <v>182665</v>
      </c>
      <c r="R1308" s="4" t="s">
        <v>41</v>
      </c>
      <c r="S1308" s="6">
        <v>528</v>
      </c>
      <c r="T1308">
        <v>7.625</v>
      </c>
      <c r="U1308" s="7">
        <f t="shared" si="361"/>
        <v>1369.0018634453631</v>
      </c>
      <c r="V1308" s="2">
        <f t="shared" si="365"/>
        <v>-372.20186344536319</v>
      </c>
      <c r="W1308" s="9">
        <f t="shared" si="366"/>
        <v>1</v>
      </c>
      <c r="X1308" s="3">
        <v>132935</v>
      </c>
      <c r="Y1308" s="3">
        <f t="shared" si="367"/>
        <v>6766.4033497537166</v>
      </c>
      <c r="Z1308" s="7">
        <f t="shared" si="368"/>
        <v>996.29520004986921</v>
      </c>
      <c r="AA1308" s="2">
        <f t="shared" si="362"/>
        <v>0.50479995013074586</v>
      </c>
      <c r="AB1308" s="8">
        <f t="shared" si="369"/>
        <v>1</v>
      </c>
      <c r="AC1308" s="10">
        <v>6.625</v>
      </c>
      <c r="AD1308" s="7">
        <f t="shared" si="370"/>
        <v>906.58695943854104</v>
      </c>
      <c r="AE1308" s="2">
        <f t="shared" si="371"/>
        <v>90.213040561458911</v>
      </c>
      <c r="AF1308" s="10">
        <v>2.875</v>
      </c>
      <c r="AG1308" s="3">
        <f t="shared" si="372"/>
        <v>3821.8812499999999</v>
      </c>
      <c r="AH1308" s="7">
        <v>0</v>
      </c>
      <c r="AI1308">
        <f t="shared" si="373"/>
        <v>360</v>
      </c>
      <c r="AJ1308" t="e">
        <f>VLOOKUP(A1308,'Borrower Details'!$A$1:$H$1493,8,FALSE)</f>
        <v>#N/A</v>
      </c>
      <c r="AK1308" s="4" t="e">
        <f t="shared" si="374"/>
        <v>#N/A</v>
      </c>
      <c r="AL1308" s="10">
        <v>7.625</v>
      </c>
      <c r="AM1308" s="3">
        <f t="shared" si="375"/>
        <v>126067.10059999998</v>
      </c>
      <c r="AN1308">
        <v>7.625</v>
      </c>
      <c r="AO1308" s="7">
        <f t="shared" si="376"/>
        <v>944.8230128407414</v>
      </c>
      <c r="AP1308" s="2">
        <f t="shared" si="377"/>
        <v>51.976987159258556</v>
      </c>
    </row>
    <row r="1309" spans="1:42" x14ac:dyDescent="0.15">
      <c r="A1309" s="8">
        <v>1151424</v>
      </c>
      <c r="B1309" t="s">
        <v>37</v>
      </c>
      <c r="C1309" t="s">
        <v>19</v>
      </c>
      <c r="D1309" s="1">
        <v>39148</v>
      </c>
      <c r="E1309" s="2">
        <v>230000</v>
      </c>
      <c r="F1309" s="2">
        <v>154000</v>
      </c>
      <c r="G1309" t="s">
        <v>17</v>
      </c>
      <c r="H1309" s="2">
        <v>1156.96</v>
      </c>
      <c r="I1309" s="2">
        <v>152669.24</v>
      </c>
      <c r="J1309">
        <v>8.2500000000000004E-2</v>
      </c>
      <c r="K1309">
        <v>13</v>
      </c>
      <c r="L1309">
        <v>347</v>
      </c>
      <c r="M1309" t="str">
        <f t="shared" si="363"/>
        <v>30 Year Fixed</v>
      </c>
      <c r="N1309" s="2">
        <v>1049.5999999999999</v>
      </c>
      <c r="O1309" t="str">
        <f t="shared" si="360"/>
        <v>Cash Out</v>
      </c>
      <c r="P1309" s="3">
        <f t="shared" si="364"/>
        <v>39941.597438423662</v>
      </c>
      <c r="Q1309" s="4">
        <v>195500</v>
      </c>
      <c r="R1309" s="4" t="s">
        <v>41</v>
      </c>
      <c r="S1309" s="6">
        <v>575</v>
      </c>
      <c r="T1309">
        <v>7.625</v>
      </c>
      <c r="U1309" s="7">
        <f t="shared" si="361"/>
        <v>1465.1951074566473</v>
      </c>
      <c r="V1309" s="2">
        <f t="shared" si="365"/>
        <v>-308.23510745664726</v>
      </c>
      <c r="W1309" s="9">
        <f t="shared" si="366"/>
        <v>1</v>
      </c>
      <c r="X1309" s="3">
        <v>154959</v>
      </c>
      <c r="Y1309" s="3">
        <f t="shared" si="367"/>
        <v>-0.27448275859933347</v>
      </c>
      <c r="Z1309" s="7">
        <f t="shared" si="368"/>
        <v>1161.356361413681</v>
      </c>
      <c r="AA1309" s="2">
        <f t="shared" si="362"/>
        <v>-4.3963614136810065</v>
      </c>
      <c r="AB1309" s="8">
        <f t="shared" si="369"/>
        <v>1</v>
      </c>
      <c r="AC1309" s="10">
        <v>6.875</v>
      </c>
      <c r="AD1309" s="7">
        <f t="shared" si="370"/>
        <v>1082.5365703834434</v>
      </c>
      <c r="AE1309" s="2">
        <f t="shared" si="371"/>
        <v>74.423429616556632</v>
      </c>
      <c r="AF1309" s="10">
        <v>1</v>
      </c>
      <c r="AG1309" s="3">
        <f t="shared" si="372"/>
        <v>1549.59</v>
      </c>
      <c r="AH1309" s="7">
        <v>1540</v>
      </c>
      <c r="AI1309">
        <f t="shared" si="373"/>
        <v>360</v>
      </c>
      <c r="AJ1309" t="e">
        <f>VLOOKUP(A1309,'Borrower Details'!$A$1:$H$1493,8,FALSE)</f>
        <v>#N/A</v>
      </c>
      <c r="AK1309" s="4" t="e">
        <f t="shared" si="374"/>
        <v>#N/A</v>
      </c>
      <c r="AL1309" s="10">
        <v>7.625</v>
      </c>
      <c r="AM1309" s="3">
        <f t="shared" si="375"/>
        <v>154959.27859999996</v>
      </c>
      <c r="AN1309">
        <v>7.625</v>
      </c>
      <c r="AO1309" s="7">
        <f t="shared" si="376"/>
        <v>1161.3584494103914</v>
      </c>
      <c r="AP1309" s="2">
        <f t="shared" si="377"/>
        <v>-4.3984494103913221</v>
      </c>
    </row>
    <row r="1310" spans="1:42" x14ac:dyDescent="0.15">
      <c r="A1310" s="8">
        <v>410159917</v>
      </c>
      <c r="B1310" t="s">
        <v>38</v>
      </c>
      <c r="C1310" t="s">
        <v>19</v>
      </c>
      <c r="D1310" s="1">
        <v>39216</v>
      </c>
      <c r="E1310" s="2">
        <v>203800</v>
      </c>
      <c r="F1310" s="2">
        <v>193610</v>
      </c>
      <c r="G1310" t="s">
        <v>15</v>
      </c>
      <c r="H1310" s="2">
        <v>1606.11</v>
      </c>
      <c r="I1310" s="2">
        <v>193186.73</v>
      </c>
      <c r="J1310">
        <v>9.7500000000000003E-2</v>
      </c>
      <c r="K1310">
        <v>11</v>
      </c>
      <c r="L1310">
        <v>349</v>
      </c>
      <c r="M1310" t="str">
        <f t="shared" si="363"/>
        <v>30 Year Fixed</v>
      </c>
      <c r="N1310" s="2">
        <v>1569.64</v>
      </c>
      <c r="O1310" t="str">
        <f t="shared" si="360"/>
        <v>Refi</v>
      </c>
      <c r="P1310" s="3">
        <f t="shared" si="364"/>
        <v>0</v>
      </c>
      <c r="Q1310" s="4">
        <v>196085</v>
      </c>
      <c r="R1310" s="4" t="s">
        <v>41</v>
      </c>
      <c r="S1310" s="6">
        <v>628</v>
      </c>
      <c r="T1310">
        <v>6.75</v>
      </c>
      <c r="U1310" s="7">
        <f t="shared" si="361"/>
        <v>1353.5056609891153</v>
      </c>
      <c r="V1310" s="2">
        <f t="shared" si="365"/>
        <v>252.60433901088459</v>
      </c>
      <c r="W1310" s="9">
        <f t="shared" si="366"/>
        <v>0</v>
      </c>
      <c r="X1310" s="3">
        <v>196085</v>
      </c>
      <c r="Y1310" s="3">
        <f t="shared" si="367"/>
        <v>0.46211822659824975</v>
      </c>
      <c r="Z1310" s="7">
        <f t="shared" si="368"/>
        <v>1353.5056609891153</v>
      </c>
      <c r="AA1310" s="2">
        <f t="shared" si="362"/>
        <v>252.60433901088459</v>
      </c>
      <c r="AB1310" s="8">
        <f t="shared" si="369"/>
        <v>0</v>
      </c>
      <c r="AC1310" s="10">
        <v>6.75</v>
      </c>
      <c r="AD1310" s="7">
        <f t="shared" si="370"/>
        <v>1353.5056609891153</v>
      </c>
      <c r="AE1310" s="2">
        <f t="shared" si="371"/>
        <v>252.60433901088459</v>
      </c>
      <c r="AF1310" s="10">
        <v>0</v>
      </c>
      <c r="AG1310" s="3">
        <f t="shared" si="372"/>
        <v>0</v>
      </c>
      <c r="AH1310" s="7">
        <v>1936.1</v>
      </c>
      <c r="AI1310">
        <f t="shared" si="373"/>
        <v>360</v>
      </c>
      <c r="AJ1310" t="e">
        <f>VLOOKUP(A1310,'Borrower Details'!$A$1:$H$1493,8,FALSE)</f>
        <v>#N/A</v>
      </c>
      <c r="AK1310" s="4" t="e">
        <f t="shared" si="374"/>
        <v>#N/A</v>
      </c>
      <c r="AL1310" s="10">
        <v>6.75</v>
      </c>
      <c r="AM1310" s="3">
        <f t="shared" si="375"/>
        <v>196084.53094999999</v>
      </c>
      <c r="AN1310">
        <v>6.75</v>
      </c>
      <c r="AO1310" s="7">
        <f t="shared" si="376"/>
        <v>1353.5024233022434</v>
      </c>
      <c r="AP1310" s="2">
        <f t="shared" si="377"/>
        <v>252.60757669775649</v>
      </c>
    </row>
    <row r="1311" spans="1:42" x14ac:dyDescent="0.15">
      <c r="A1311" s="8">
        <v>410194823</v>
      </c>
      <c r="B1311" t="s">
        <v>38</v>
      </c>
      <c r="C1311" t="s">
        <v>19</v>
      </c>
      <c r="D1311" s="1">
        <v>39216</v>
      </c>
      <c r="E1311" s="2">
        <v>84000</v>
      </c>
      <c r="F1311" s="2">
        <v>71400</v>
      </c>
      <c r="G1311" t="s">
        <v>15</v>
      </c>
      <c r="H1311" s="2">
        <v>553.35</v>
      </c>
      <c r="I1311" s="2">
        <v>71400</v>
      </c>
      <c r="J1311">
        <v>9.2999999999999999E-2</v>
      </c>
      <c r="K1311">
        <v>11</v>
      </c>
      <c r="L1311">
        <v>349</v>
      </c>
      <c r="M1311" t="str">
        <f t="shared" si="363"/>
        <v>30 Year Fixed</v>
      </c>
      <c r="N1311" s="2">
        <v>553.35</v>
      </c>
      <c r="O1311" t="str">
        <f t="shared" si="360"/>
        <v>Refi</v>
      </c>
      <c r="P1311" s="3">
        <f t="shared" si="364"/>
        <v>0</v>
      </c>
      <c r="Q1311" s="4">
        <v>72471</v>
      </c>
      <c r="R1311" s="4" t="s">
        <v>41</v>
      </c>
      <c r="S1311" s="6">
        <v>591</v>
      </c>
      <c r="T1311">
        <v>7.625</v>
      </c>
      <c r="U1311" s="7">
        <f t="shared" si="361"/>
        <v>543.14145592066848</v>
      </c>
      <c r="V1311" s="2">
        <f t="shared" si="365"/>
        <v>10.208544079331546</v>
      </c>
      <c r="W1311" s="9">
        <f t="shared" si="366"/>
        <v>0</v>
      </c>
      <c r="X1311" s="3">
        <v>72471</v>
      </c>
      <c r="Y1311" s="3">
        <f t="shared" si="367"/>
        <v>0</v>
      </c>
      <c r="Z1311" s="7">
        <f t="shared" si="368"/>
        <v>543.14145592066848</v>
      </c>
      <c r="AA1311" s="2">
        <f t="shared" si="362"/>
        <v>10.208544079331546</v>
      </c>
      <c r="AB1311" s="8">
        <f t="shared" si="369"/>
        <v>1</v>
      </c>
      <c r="AC1311" s="10">
        <v>6.5</v>
      </c>
      <c r="AD1311" s="7">
        <f t="shared" si="370"/>
        <v>488.26226730558744</v>
      </c>
      <c r="AE1311" s="2">
        <f t="shared" si="371"/>
        <v>65.08773269441258</v>
      </c>
      <c r="AF1311" s="10">
        <v>2.375</v>
      </c>
      <c r="AG1311" s="3">
        <f t="shared" si="372"/>
        <v>1721.18625</v>
      </c>
      <c r="AH1311" s="7">
        <v>0</v>
      </c>
      <c r="AI1311">
        <f t="shared" si="373"/>
        <v>360</v>
      </c>
      <c r="AJ1311" t="e">
        <f>VLOOKUP(A1311,'Borrower Details'!$A$1:$H$1493,8,FALSE)</f>
        <v>#N/A</v>
      </c>
      <c r="AK1311" s="4" t="e">
        <f t="shared" si="374"/>
        <v>#N/A</v>
      </c>
      <c r="AL1311" s="10">
        <v>7.625</v>
      </c>
      <c r="AM1311" s="3">
        <f t="shared" si="375"/>
        <v>72471</v>
      </c>
      <c r="AN1311">
        <v>7.625</v>
      </c>
      <c r="AO1311" s="7">
        <f t="shared" si="376"/>
        <v>543.14145592066848</v>
      </c>
      <c r="AP1311" s="2">
        <f t="shared" si="377"/>
        <v>10.208544079331546</v>
      </c>
    </row>
    <row r="1312" spans="1:42" x14ac:dyDescent="0.15">
      <c r="A1312" s="8">
        <v>410286785</v>
      </c>
      <c r="B1312" t="s">
        <v>37</v>
      </c>
      <c r="C1312" t="s">
        <v>18</v>
      </c>
      <c r="D1312" s="1">
        <v>39225</v>
      </c>
      <c r="E1312" s="2">
        <v>185400</v>
      </c>
      <c r="F1312" s="2">
        <v>150000</v>
      </c>
      <c r="G1312" t="s">
        <v>15</v>
      </c>
      <c r="H1312" s="2">
        <v>1079.81</v>
      </c>
      <c r="I1312" s="2">
        <v>148808.88</v>
      </c>
      <c r="J1312">
        <v>7.8E-2</v>
      </c>
      <c r="K1312">
        <v>11</v>
      </c>
      <c r="L1312">
        <v>349</v>
      </c>
      <c r="M1312" t="str">
        <f t="shared" si="363"/>
        <v>30 Year Fixed</v>
      </c>
      <c r="N1312" s="2">
        <v>967.26</v>
      </c>
      <c r="O1312" t="str">
        <f t="shared" si="360"/>
        <v>Cash Out</v>
      </c>
      <c r="P1312" s="3">
        <f t="shared" si="364"/>
        <v>6452.2037438423722</v>
      </c>
      <c r="Q1312" s="4">
        <v>157590</v>
      </c>
      <c r="R1312" s="4" t="s">
        <v>41</v>
      </c>
      <c r="S1312" s="6">
        <v>647</v>
      </c>
      <c r="T1312">
        <v>6.75</v>
      </c>
      <c r="U1312" s="7">
        <f t="shared" si="361"/>
        <v>1087.788240381848</v>
      </c>
      <c r="V1312" s="2">
        <f t="shared" si="365"/>
        <v>-7.9782403818480816</v>
      </c>
      <c r="W1312" s="9">
        <f t="shared" si="366"/>
        <v>1</v>
      </c>
      <c r="X1312" s="3">
        <v>156360</v>
      </c>
      <c r="Y1312" s="3">
        <f t="shared" si="367"/>
        <v>5240.3810837438505</v>
      </c>
      <c r="Z1312" s="7">
        <f t="shared" si="368"/>
        <v>1079.2979837940591</v>
      </c>
      <c r="AA1312" s="2">
        <f t="shared" si="362"/>
        <v>0.51201620594088126</v>
      </c>
      <c r="AB1312" s="8">
        <f t="shared" si="369"/>
        <v>1</v>
      </c>
      <c r="AC1312" s="10">
        <v>6.125</v>
      </c>
      <c r="AD1312" s="7">
        <f t="shared" si="370"/>
        <v>1015.2098396883663</v>
      </c>
      <c r="AE1312" s="2">
        <f t="shared" si="371"/>
        <v>64.600160311633658</v>
      </c>
      <c r="AF1312" s="10">
        <v>3</v>
      </c>
      <c r="AG1312" s="3">
        <f t="shared" si="372"/>
        <v>4690.8</v>
      </c>
      <c r="AH1312" s="7">
        <v>0</v>
      </c>
      <c r="AI1312">
        <f t="shared" si="373"/>
        <v>360</v>
      </c>
      <c r="AJ1312" t="e">
        <f>VLOOKUP(A1312,'Borrower Details'!$A$1:$H$1493,8,FALSE)</f>
        <v>#N/A</v>
      </c>
      <c r="AK1312" s="4" t="e">
        <f t="shared" si="374"/>
        <v>#N/A</v>
      </c>
      <c r="AL1312" s="10">
        <v>6.75</v>
      </c>
      <c r="AM1312" s="3">
        <f t="shared" si="375"/>
        <v>151041.01319999999</v>
      </c>
      <c r="AN1312">
        <v>6.75</v>
      </c>
      <c r="AO1312" s="7">
        <f t="shared" si="376"/>
        <v>1042.5828921525444</v>
      </c>
      <c r="AP1312" s="2">
        <f t="shared" si="377"/>
        <v>37.2271078474555</v>
      </c>
    </row>
    <row r="1313" spans="1:42" x14ac:dyDescent="0.15">
      <c r="A1313" s="8">
        <v>1165829</v>
      </c>
      <c r="B1313" t="s">
        <v>35</v>
      </c>
      <c r="C1313" t="s">
        <v>16</v>
      </c>
      <c r="D1313" s="1">
        <v>39174</v>
      </c>
      <c r="E1313" s="2">
        <v>142000</v>
      </c>
      <c r="F1313" s="2">
        <v>115000</v>
      </c>
      <c r="G1313" t="s">
        <v>17</v>
      </c>
      <c r="H1313" s="2">
        <v>742.07</v>
      </c>
      <c r="I1313" s="2">
        <v>113645.68</v>
      </c>
      <c r="J1313">
        <v>6.7000000000000004E-2</v>
      </c>
      <c r="K1313">
        <v>13</v>
      </c>
      <c r="L1313">
        <v>347</v>
      </c>
      <c r="M1313" t="str">
        <f t="shared" si="363"/>
        <v>30 Year Fixed</v>
      </c>
      <c r="N1313" s="2">
        <v>634.52</v>
      </c>
      <c r="O1313" t="str">
        <f t="shared" si="360"/>
        <v>Cash Out</v>
      </c>
      <c r="P1313" s="3">
        <f t="shared" si="364"/>
        <v>5270.5761576354853</v>
      </c>
      <c r="Q1313" s="4">
        <v>120700</v>
      </c>
      <c r="R1313" s="4" t="s">
        <v>41</v>
      </c>
      <c r="S1313" s="6">
        <v>662</v>
      </c>
      <c r="T1313">
        <v>6.75</v>
      </c>
      <c r="U1313" s="7">
        <f t="shared" si="361"/>
        <v>833.14956922450074</v>
      </c>
      <c r="V1313" s="2">
        <f t="shared" si="365"/>
        <v>-91.079569224500688</v>
      </c>
      <c r="W1313" s="9">
        <f t="shared" si="366"/>
        <v>1</v>
      </c>
      <c r="X1313" s="3">
        <v>115351</v>
      </c>
      <c r="Y1313" s="3">
        <f t="shared" si="367"/>
        <v>0.62541871922439896</v>
      </c>
      <c r="Z1313" s="7">
        <f t="shared" si="368"/>
        <v>796.227307039067</v>
      </c>
      <c r="AA1313" s="2">
        <f t="shared" si="362"/>
        <v>-54.15730703906695</v>
      </c>
      <c r="AB1313" s="8">
        <f t="shared" si="369"/>
        <v>1</v>
      </c>
      <c r="AC1313" s="10">
        <v>6.125</v>
      </c>
      <c r="AD1313" s="7">
        <f t="shared" si="370"/>
        <v>748.94775017838788</v>
      </c>
      <c r="AE1313" s="2">
        <f t="shared" si="371"/>
        <v>-6.8777501783878279</v>
      </c>
      <c r="AF1313" s="10">
        <v>3</v>
      </c>
      <c r="AG1313" s="3">
        <f t="shared" si="372"/>
        <v>3460.53</v>
      </c>
      <c r="AH1313" s="7">
        <v>3852.5</v>
      </c>
      <c r="AI1313">
        <f t="shared" si="373"/>
        <v>360</v>
      </c>
      <c r="AJ1313" t="e">
        <f>VLOOKUP(A1313,'Borrower Details'!$A$1:$H$1493,8,FALSE)</f>
        <v>#N/A</v>
      </c>
      <c r="AK1313" s="4" t="e">
        <f t="shared" si="374"/>
        <v>#N/A</v>
      </c>
      <c r="AL1313" s="10">
        <v>6.75</v>
      </c>
      <c r="AM1313" s="3">
        <f t="shared" si="375"/>
        <v>115350.36519999999</v>
      </c>
      <c r="AN1313">
        <v>6.75</v>
      </c>
      <c r="AO1313" s="7">
        <f t="shared" si="376"/>
        <v>796.22292523834983</v>
      </c>
      <c r="AP1313" s="2">
        <f t="shared" si="377"/>
        <v>-54.152925238349781</v>
      </c>
    </row>
    <row r="1314" spans="1:42" x14ac:dyDescent="0.15">
      <c r="A1314" s="8">
        <v>1169963</v>
      </c>
      <c r="B1314" t="s">
        <v>35</v>
      </c>
      <c r="C1314" t="s">
        <v>16</v>
      </c>
      <c r="D1314" s="1">
        <v>39160</v>
      </c>
      <c r="E1314" s="2">
        <v>365000</v>
      </c>
      <c r="F1314" s="2">
        <v>250000</v>
      </c>
      <c r="G1314" t="s">
        <v>17</v>
      </c>
      <c r="H1314" s="2">
        <v>2002.57</v>
      </c>
      <c r="I1314" s="2">
        <v>248123.65</v>
      </c>
      <c r="J1314">
        <v>8.9499999999999996E-2</v>
      </c>
      <c r="K1314">
        <v>13</v>
      </c>
      <c r="L1314">
        <v>347</v>
      </c>
      <c r="M1314" t="str">
        <f t="shared" si="363"/>
        <v>30 Year Fixed</v>
      </c>
      <c r="N1314" s="2">
        <v>1850.59</v>
      </c>
      <c r="O1314" t="str">
        <f t="shared" si="360"/>
        <v>Cash Out</v>
      </c>
      <c r="P1314" s="3">
        <f t="shared" si="364"/>
        <v>57541.374630541919</v>
      </c>
      <c r="Q1314" s="4">
        <v>310250</v>
      </c>
      <c r="R1314" s="4" t="s">
        <v>41</v>
      </c>
      <c r="S1314" s="6">
        <v>531</v>
      </c>
      <c r="T1314">
        <v>7.625</v>
      </c>
      <c r="U1314" s="7">
        <f t="shared" si="361"/>
        <v>2325.2009313985927</v>
      </c>
      <c r="V1314" s="2">
        <f t="shared" si="365"/>
        <v>-322.63093139859279</v>
      </c>
      <c r="W1314" s="9">
        <f t="shared" si="366"/>
        <v>1</v>
      </c>
      <c r="X1314" s="3">
        <v>267130</v>
      </c>
      <c r="Y1314" s="3">
        <f t="shared" si="367"/>
        <v>15058.616009852238</v>
      </c>
      <c r="Z1314" s="7">
        <f t="shared" si="368"/>
        <v>2002.0336013038068</v>
      </c>
      <c r="AA1314" s="2">
        <f t="shared" si="362"/>
        <v>0.53639869619314595</v>
      </c>
      <c r="AB1314" s="8">
        <f t="shared" si="369"/>
        <v>1</v>
      </c>
      <c r="AC1314" s="10">
        <v>6.875</v>
      </c>
      <c r="AD1314" s="7">
        <f t="shared" si="370"/>
        <v>1866.1581066380736</v>
      </c>
      <c r="AE1314" s="2">
        <f t="shared" si="371"/>
        <v>136.41189336192633</v>
      </c>
      <c r="AF1314" s="10">
        <v>1</v>
      </c>
      <c r="AG1314" s="3">
        <f t="shared" si="372"/>
        <v>2671.3</v>
      </c>
      <c r="AH1314" s="7">
        <v>11187.5</v>
      </c>
      <c r="AI1314">
        <f t="shared" si="373"/>
        <v>360</v>
      </c>
      <c r="AJ1314" t="e">
        <f>VLOOKUP(A1314,'Borrower Details'!$A$1:$H$1493,8,FALSE)</f>
        <v>#N/A</v>
      </c>
      <c r="AK1314" s="4" t="e">
        <f t="shared" si="374"/>
        <v>#N/A</v>
      </c>
      <c r="AL1314" s="10">
        <v>7.625</v>
      </c>
      <c r="AM1314" s="3">
        <f t="shared" si="375"/>
        <v>251845.50474999996</v>
      </c>
      <c r="AN1314">
        <v>7.625</v>
      </c>
      <c r="AO1314" s="7">
        <f t="shared" si="376"/>
        <v>1887.4823600749353</v>
      </c>
      <c r="AP1314" s="2">
        <f t="shared" si="377"/>
        <v>115.08763992506465</v>
      </c>
    </row>
    <row r="1315" spans="1:42" x14ac:dyDescent="0.15">
      <c r="A1315" s="8">
        <v>410161921</v>
      </c>
      <c r="B1315" t="s">
        <v>35</v>
      </c>
      <c r="C1315" t="s">
        <v>16</v>
      </c>
      <c r="D1315" s="1">
        <v>39203</v>
      </c>
      <c r="E1315" s="2">
        <v>151000</v>
      </c>
      <c r="F1315" s="2">
        <v>128350</v>
      </c>
      <c r="G1315" t="s">
        <v>17</v>
      </c>
      <c r="H1315" s="2">
        <v>993.74</v>
      </c>
      <c r="I1315" s="2">
        <v>127389.78</v>
      </c>
      <c r="J1315">
        <v>8.5750000000000007E-2</v>
      </c>
      <c r="K1315">
        <v>12</v>
      </c>
      <c r="L1315">
        <v>348</v>
      </c>
      <c r="M1315" t="str">
        <f t="shared" si="363"/>
        <v>30 Year Fixed</v>
      </c>
      <c r="N1315" s="2">
        <v>910.31</v>
      </c>
      <c r="O1315" t="str">
        <f t="shared" si="360"/>
        <v>Refi</v>
      </c>
      <c r="P1315" s="3">
        <f t="shared" si="364"/>
        <v>0</v>
      </c>
      <c r="Q1315" s="4">
        <v>129301</v>
      </c>
      <c r="R1315" s="4" t="s">
        <v>41</v>
      </c>
      <c r="S1315" s="6">
        <v>604</v>
      </c>
      <c r="T1315">
        <v>6.875</v>
      </c>
      <c r="U1315" s="7">
        <f t="shared" si="361"/>
        <v>903.29094203724594</v>
      </c>
      <c r="V1315" s="2">
        <f t="shared" si="365"/>
        <v>90.449057962754068</v>
      </c>
      <c r="W1315" s="9">
        <f t="shared" si="366"/>
        <v>0</v>
      </c>
      <c r="X1315" s="3">
        <v>129301</v>
      </c>
      <c r="Y1315" s="3">
        <f t="shared" si="367"/>
        <v>0.36778325124760158</v>
      </c>
      <c r="Z1315" s="7">
        <f t="shared" si="368"/>
        <v>903.29094203724594</v>
      </c>
      <c r="AA1315" s="2">
        <f t="shared" si="362"/>
        <v>90.449057962754068</v>
      </c>
      <c r="AB1315" s="8">
        <f t="shared" si="369"/>
        <v>0</v>
      </c>
      <c r="AC1315" s="10">
        <v>6.875</v>
      </c>
      <c r="AD1315" s="7">
        <f t="shared" si="370"/>
        <v>903.29094203724594</v>
      </c>
      <c r="AE1315" s="2">
        <f t="shared" si="371"/>
        <v>90.449057962754068</v>
      </c>
      <c r="AF1315" s="10">
        <v>0</v>
      </c>
      <c r="AG1315" s="3">
        <f t="shared" si="372"/>
        <v>0</v>
      </c>
      <c r="AH1315" s="7">
        <v>5503.0062500000004</v>
      </c>
      <c r="AI1315">
        <f t="shared" si="373"/>
        <v>360</v>
      </c>
      <c r="AJ1315" t="e">
        <f>VLOOKUP(A1315,'Borrower Details'!$A$1:$H$1493,8,FALSE)</f>
        <v>#N/A</v>
      </c>
      <c r="AK1315" s="4" t="e">
        <f t="shared" si="374"/>
        <v>#N/A</v>
      </c>
      <c r="AL1315" s="10">
        <v>6.875</v>
      </c>
      <c r="AM1315" s="3">
        <f t="shared" si="375"/>
        <v>129300.62669999999</v>
      </c>
      <c r="AN1315">
        <v>6.875</v>
      </c>
      <c r="AO1315" s="7">
        <f t="shared" si="376"/>
        <v>903.28833418031786</v>
      </c>
      <c r="AP1315" s="2">
        <f t="shared" si="377"/>
        <v>90.451665819682148</v>
      </c>
    </row>
    <row r="1316" spans="1:42" x14ac:dyDescent="0.15">
      <c r="A1316" s="8">
        <v>410670467</v>
      </c>
      <c r="B1316" t="s">
        <v>35</v>
      </c>
      <c r="C1316" t="s">
        <v>16</v>
      </c>
      <c r="D1316" s="1">
        <v>39286</v>
      </c>
      <c r="E1316" s="2">
        <v>257000</v>
      </c>
      <c r="F1316" s="2">
        <v>231300</v>
      </c>
      <c r="G1316" t="s">
        <v>17</v>
      </c>
      <c r="H1316" s="2">
        <v>1500.21</v>
      </c>
      <c r="I1316" s="2">
        <v>229675.08</v>
      </c>
      <c r="J1316">
        <v>6.7500000000000004E-2</v>
      </c>
      <c r="K1316">
        <v>9</v>
      </c>
      <c r="L1316">
        <v>352</v>
      </c>
      <c r="M1316" t="str">
        <f t="shared" si="363"/>
        <v>30 Year Fixed</v>
      </c>
      <c r="N1316" s="2">
        <v>1291.92</v>
      </c>
      <c r="O1316" t="str">
        <f t="shared" si="360"/>
        <v>Refi</v>
      </c>
      <c r="P1316" s="3">
        <f t="shared" si="364"/>
        <v>0</v>
      </c>
      <c r="Q1316" s="4">
        <v>233120</v>
      </c>
      <c r="R1316" s="4" t="s">
        <v>41</v>
      </c>
      <c r="S1316" s="6">
        <v>705</v>
      </c>
      <c r="T1316">
        <v>6.75</v>
      </c>
      <c r="U1316" s="7">
        <f t="shared" si="361"/>
        <v>1609.1452160531535</v>
      </c>
      <c r="V1316" s="2">
        <f t="shared" si="365"/>
        <v>-108.93521605315345</v>
      </c>
      <c r="W1316" s="9">
        <f t="shared" si="366"/>
        <v>0</v>
      </c>
      <c r="X1316" s="3">
        <v>233120</v>
      </c>
      <c r="Y1316" s="3">
        <f t="shared" si="367"/>
        <v>-0.2031527093204204</v>
      </c>
      <c r="Z1316" s="7">
        <f t="shared" si="368"/>
        <v>1609.1452160531535</v>
      </c>
      <c r="AA1316" s="2">
        <f t="shared" si="362"/>
        <v>-108.93521605315345</v>
      </c>
      <c r="AB1316" s="8">
        <f t="shared" si="369"/>
        <v>1</v>
      </c>
      <c r="AC1316" s="10">
        <v>6.125</v>
      </c>
      <c r="AD1316" s="7">
        <f t="shared" si="370"/>
        <v>1513.5950232038369</v>
      </c>
      <c r="AE1316" s="2">
        <f t="shared" si="371"/>
        <v>-13.385023203836909</v>
      </c>
      <c r="AF1316" s="10">
        <v>3</v>
      </c>
      <c r="AG1316" s="3">
        <f t="shared" si="372"/>
        <v>6993.6</v>
      </c>
      <c r="AH1316" s="7">
        <v>7806.3750000000009</v>
      </c>
      <c r="AI1316">
        <f t="shared" si="373"/>
        <v>360</v>
      </c>
      <c r="AJ1316" t="e">
        <f>VLOOKUP(A1316,'Borrower Details'!$A$1:$H$1493,8,FALSE)</f>
        <v>#N/A</v>
      </c>
      <c r="AK1316" s="4" t="e">
        <f t="shared" si="374"/>
        <v>#N/A</v>
      </c>
      <c r="AL1316" s="10">
        <v>6.75</v>
      </c>
      <c r="AM1316" s="3">
        <f t="shared" si="375"/>
        <v>233120.20619999996</v>
      </c>
      <c r="AN1316">
        <v>6.75</v>
      </c>
      <c r="AO1316" s="7">
        <f t="shared" si="376"/>
        <v>1609.1466393790949</v>
      </c>
      <c r="AP1316" s="2">
        <f t="shared" si="377"/>
        <v>-108.93663937909491</v>
      </c>
    </row>
    <row r="1317" spans="1:42" x14ac:dyDescent="0.15">
      <c r="A1317" s="8">
        <v>410652275</v>
      </c>
      <c r="B1317" t="s">
        <v>36</v>
      </c>
      <c r="C1317" t="s">
        <v>19</v>
      </c>
      <c r="D1317" s="1">
        <v>39290</v>
      </c>
      <c r="E1317" s="2">
        <v>169000</v>
      </c>
      <c r="F1317" s="2">
        <v>126750</v>
      </c>
      <c r="G1317" t="s">
        <v>17</v>
      </c>
      <c r="H1317" s="2">
        <v>890.84</v>
      </c>
      <c r="I1317" s="2">
        <v>126423.78</v>
      </c>
      <c r="J1317">
        <v>8.1000000000000003E-2</v>
      </c>
      <c r="K1317">
        <v>9</v>
      </c>
      <c r="L1317">
        <v>351</v>
      </c>
      <c r="M1317" t="str">
        <f t="shared" si="363"/>
        <v>30 Year Fixed</v>
      </c>
      <c r="N1317" s="2">
        <v>853.36</v>
      </c>
      <c r="O1317" t="str">
        <f t="shared" si="360"/>
        <v>Cash Out</v>
      </c>
      <c r="P1317" s="3">
        <f t="shared" si="364"/>
        <v>15103.313596059132</v>
      </c>
      <c r="Q1317" s="4">
        <v>143650</v>
      </c>
      <c r="R1317" s="4" t="s">
        <v>41</v>
      </c>
      <c r="S1317" s="6">
        <v>606</v>
      </c>
      <c r="T1317">
        <v>6.875</v>
      </c>
      <c r="U1317" s="7">
        <f t="shared" si="361"/>
        <v>1003.5324075115458</v>
      </c>
      <c r="V1317" s="2">
        <f t="shared" si="365"/>
        <v>-112.69240751154575</v>
      </c>
      <c r="W1317" s="9">
        <f t="shared" si="366"/>
        <v>1</v>
      </c>
      <c r="X1317" s="3">
        <v>128320</v>
      </c>
      <c r="Y1317" s="3">
        <f t="shared" si="367"/>
        <v>-0.13467980294080917</v>
      </c>
      <c r="Z1317" s="7">
        <f t="shared" si="368"/>
        <v>896.43772037508927</v>
      </c>
      <c r="AA1317" s="2">
        <f t="shared" si="362"/>
        <v>-5.5977203750892386</v>
      </c>
      <c r="AB1317" s="8">
        <f t="shared" si="369"/>
        <v>1</v>
      </c>
      <c r="AC1317" s="10">
        <v>6.25</v>
      </c>
      <c r="AD1317" s="7">
        <f t="shared" si="370"/>
        <v>843.55497825381485</v>
      </c>
      <c r="AE1317" s="2">
        <f t="shared" si="371"/>
        <v>47.28502174618518</v>
      </c>
      <c r="AF1317" s="10">
        <v>2.5</v>
      </c>
      <c r="AG1317" s="3">
        <f t="shared" si="372"/>
        <v>3208</v>
      </c>
      <c r="AH1317" s="7">
        <v>2535</v>
      </c>
      <c r="AI1317">
        <f t="shared" si="373"/>
        <v>360</v>
      </c>
      <c r="AJ1317" t="e">
        <f>VLOOKUP(A1317,'Borrower Details'!$A$1:$H$1493,8,FALSE)</f>
        <v>#N/A</v>
      </c>
      <c r="AK1317" s="4" t="e">
        <f t="shared" si="374"/>
        <v>#N/A</v>
      </c>
      <c r="AL1317" s="10">
        <v>6.875</v>
      </c>
      <c r="AM1317" s="3">
        <f t="shared" si="375"/>
        <v>128320.13669999999</v>
      </c>
      <c r="AN1317">
        <v>6.875</v>
      </c>
      <c r="AO1317" s="7">
        <f t="shared" si="376"/>
        <v>896.43867535511072</v>
      </c>
      <c r="AP1317" s="2">
        <f t="shared" si="377"/>
        <v>-5.5986753551106858</v>
      </c>
    </row>
    <row r="1318" spans="1:42" x14ac:dyDescent="0.15">
      <c r="A1318" s="8">
        <v>411183973</v>
      </c>
      <c r="B1318" t="s">
        <v>36</v>
      </c>
      <c r="C1318" t="s">
        <v>18</v>
      </c>
      <c r="D1318" s="1">
        <v>39434</v>
      </c>
      <c r="E1318" s="2">
        <v>154000</v>
      </c>
      <c r="F1318" s="2">
        <v>130900</v>
      </c>
      <c r="G1318" t="s">
        <v>17</v>
      </c>
      <c r="H1318" s="2">
        <v>1052.31</v>
      </c>
      <c r="I1318" s="2">
        <v>130536.34</v>
      </c>
      <c r="J1318">
        <v>8.9899999999999994E-2</v>
      </c>
      <c r="K1318">
        <v>4</v>
      </c>
      <c r="L1318">
        <v>355</v>
      </c>
      <c r="M1318" t="str">
        <f t="shared" si="363"/>
        <v>30 Year Fixed</v>
      </c>
      <c r="N1318" s="2">
        <v>977.93</v>
      </c>
      <c r="O1318" t="str">
        <f t="shared" si="360"/>
        <v>Refi</v>
      </c>
      <c r="P1318" s="3">
        <f t="shared" si="364"/>
        <v>0</v>
      </c>
      <c r="Q1318" s="4">
        <v>132494</v>
      </c>
      <c r="R1318" s="4" t="s">
        <v>41</v>
      </c>
      <c r="S1318" s="6">
        <v>646</v>
      </c>
      <c r="T1318">
        <v>6.75</v>
      </c>
      <c r="U1318" s="7">
        <f t="shared" si="361"/>
        <v>914.55939540042255</v>
      </c>
      <c r="V1318" s="2">
        <f t="shared" si="365"/>
        <v>137.7506045995774</v>
      </c>
      <c r="W1318" s="9">
        <f t="shared" si="366"/>
        <v>0</v>
      </c>
      <c r="X1318" s="3">
        <v>132494</v>
      </c>
      <c r="Y1318" s="3">
        <f t="shared" si="367"/>
        <v>-0.37940886698197573</v>
      </c>
      <c r="Z1318" s="7">
        <f t="shared" si="368"/>
        <v>914.55939540042255</v>
      </c>
      <c r="AA1318" s="2">
        <f t="shared" si="362"/>
        <v>137.7506045995774</v>
      </c>
      <c r="AB1318" s="8">
        <f t="shared" si="369"/>
        <v>0</v>
      </c>
      <c r="AC1318" s="10">
        <v>6.75</v>
      </c>
      <c r="AD1318" s="7">
        <f t="shared" si="370"/>
        <v>914.55939540042255</v>
      </c>
      <c r="AE1318" s="2">
        <f t="shared" si="371"/>
        <v>137.7506045995774</v>
      </c>
      <c r="AF1318" s="10">
        <v>0</v>
      </c>
      <c r="AG1318" s="3">
        <f t="shared" si="372"/>
        <v>0</v>
      </c>
      <c r="AH1318" s="7">
        <v>2618</v>
      </c>
      <c r="AI1318">
        <f t="shared" si="373"/>
        <v>360</v>
      </c>
      <c r="AJ1318" t="e">
        <f>VLOOKUP(A1318,'Borrower Details'!$A$1:$H$1493,8,FALSE)</f>
        <v>#N/A</v>
      </c>
      <c r="AK1318" s="4" t="e">
        <f t="shared" si="374"/>
        <v>#N/A</v>
      </c>
      <c r="AL1318" s="10">
        <v>6.75</v>
      </c>
      <c r="AM1318" s="3">
        <f t="shared" si="375"/>
        <v>132494.38509999998</v>
      </c>
      <c r="AN1318">
        <v>6.75</v>
      </c>
      <c r="AO1318" s="7">
        <f t="shared" si="376"/>
        <v>914.5620536100256</v>
      </c>
      <c r="AP1318" s="2">
        <f t="shared" si="377"/>
        <v>137.74794638997435</v>
      </c>
    </row>
    <row r="1319" spans="1:42" x14ac:dyDescent="0.15">
      <c r="A1319" s="8">
        <v>410566285</v>
      </c>
      <c r="B1319" t="s">
        <v>37</v>
      </c>
      <c r="C1319" t="s">
        <v>19</v>
      </c>
      <c r="D1319" s="1">
        <v>39281</v>
      </c>
      <c r="E1319" s="2">
        <v>208000</v>
      </c>
      <c r="F1319" s="2">
        <v>149500</v>
      </c>
      <c r="G1319" t="s">
        <v>17</v>
      </c>
      <c r="H1319" s="2">
        <v>1255.99</v>
      </c>
      <c r="I1319" s="2">
        <v>148815.39000000001</v>
      </c>
      <c r="J1319">
        <v>9.4899999999999998E-2</v>
      </c>
      <c r="K1319">
        <v>9</v>
      </c>
      <c r="L1319">
        <v>351</v>
      </c>
      <c r="M1319" t="str">
        <f t="shared" si="363"/>
        <v>30 Year Fixed</v>
      </c>
      <c r="N1319" s="2">
        <v>1176.8800000000001</v>
      </c>
      <c r="O1319" t="str">
        <f t="shared" si="360"/>
        <v>Cash Out</v>
      </c>
      <c r="P1319" s="3">
        <f t="shared" si="364"/>
        <v>25371.802118226595</v>
      </c>
      <c r="Q1319" s="4">
        <v>176800</v>
      </c>
      <c r="R1319" s="4" t="s">
        <v>41</v>
      </c>
      <c r="S1319" s="6">
        <v>522</v>
      </c>
      <c r="T1319">
        <v>7.625</v>
      </c>
      <c r="U1319" s="7">
        <f t="shared" si="361"/>
        <v>1325.0460102216639</v>
      </c>
      <c r="V1319" s="2">
        <f t="shared" si="365"/>
        <v>-69.056010221663882</v>
      </c>
      <c r="W1319" s="9">
        <f t="shared" si="366"/>
        <v>1</v>
      </c>
      <c r="X1319" s="3">
        <v>167510</v>
      </c>
      <c r="Y1319" s="3">
        <f t="shared" si="367"/>
        <v>16219.092758620682</v>
      </c>
      <c r="Z1319" s="7">
        <f t="shared" si="368"/>
        <v>1255.4211378519847</v>
      </c>
      <c r="AA1319" s="2">
        <f t="shared" si="362"/>
        <v>0.56886214801534152</v>
      </c>
      <c r="AB1319" s="8">
        <f t="shared" si="369"/>
        <v>0</v>
      </c>
      <c r="AC1319" s="10">
        <v>7.625</v>
      </c>
      <c r="AD1319" s="7">
        <f t="shared" si="370"/>
        <v>1255.4211378519847</v>
      </c>
      <c r="AE1319" s="2">
        <f t="shared" si="371"/>
        <v>0.56886214801534152</v>
      </c>
      <c r="AF1319" s="10">
        <v>0</v>
      </c>
      <c r="AG1319" s="3">
        <f t="shared" si="372"/>
        <v>0</v>
      </c>
      <c r="AH1319" s="7">
        <v>0</v>
      </c>
      <c r="AI1319">
        <f t="shared" si="373"/>
        <v>360</v>
      </c>
      <c r="AJ1319" t="e">
        <f>VLOOKUP(A1319,'Borrower Details'!$A$1:$H$1493,8,FALSE)</f>
        <v>#N/A</v>
      </c>
      <c r="AK1319" s="4" t="e">
        <f t="shared" si="374"/>
        <v>#N/A</v>
      </c>
      <c r="AL1319" s="10">
        <v>7.625</v>
      </c>
      <c r="AM1319" s="3">
        <f t="shared" si="375"/>
        <v>151047.62085000001</v>
      </c>
      <c r="AN1319">
        <v>7.625</v>
      </c>
      <c r="AO1319" s="7">
        <f t="shared" si="376"/>
        <v>1132.0421230812619</v>
      </c>
      <c r="AP1319" s="2">
        <f t="shared" si="377"/>
        <v>123.94787691873807</v>
      </c>
    </row>
    <row r="1320" spans="1:42" x14ac:dyDescent="0.15">
      <c r="A1320" s="8">
        <v>411080187</v>
      </c>
      <c r="B1320" t="s">
        <v>35</v>
      </c>
      <c r="C1320" t="s">
        <v>16</v>
      </c>
      <c r="D1320" s="1">
        <v>39391</v>
      </c>
      <c r="E1320" s="2">
        <v>100000</v>
      </c>
      <c r="F1320" s="2">
        <v>80000</v>
      </c>
      <c r="G1320" t="s">
        <v>17</v>
      </c>
      <c r="H1320" s="2">
        <v>640.83000000000004</v>
      </c>
      <c r="I1320" s="2">
        <v>79730.039999999994</v>
      </c>
      <c r="J1320">
        <v>8.9499999999999996E-2</v>
      </c>
      <c r="K1320">
        <v>6</v>
      </c>
      <c r="L1320">
        <v>354</v>
      </c>
      <c r="M1320" t="str">
        <f t="shared" si="363"/>
        <v>30 Year Fixed</v>
      </c>
      <c r="N1320" s="2">
        <v>594.65</v>
      </c>
      <c r="O1320" t="str">
        <f t="shared" si="360"/>
        <v>Cash Out</v>
      </c>
      <c r="P1320" s="3">
        <f t="shared" si="364"/>
        <v>4013.8023645320354</v>
      </c>
      <c r="Q1320" s="4">
        <v>85000</v>
      </c>
      <c r="R1320" s="4" t="s">
        <v>41</v>
      </c>
      <c r="S1320" s="6">
        <v>621</v>
      </c>
      <c r="T1320">
        <v>6.875</v>
      </c>
      <c r="U1320" s="7">
        <f t="shared" si="361"/>
        <v>593.80615829085548</v>
      </c>
      <c r="V1320" s="2">
        <f t="shared" si="365"/>
        <v>47.023841709144563</v>
      </c>
      <c r="W1320" s="9">
        <f t="shared" si="366"/>
        <v>0</v>
      </c>
      <c r="X1320" s="3">
        <v>85000</v>
      </c>
      <c r="Y1320" s="3">
        <f t="shared" si="367"/>
        <v>4013.8023645320354</v>
      </c>
      <c r="Z1320" s="7">
        <f t="shared" si="368"/>
        <v>593.80615829085548</v>
      </c>
      <c r="AA1320" s="2">
        <f t="shared" si="362"/>
        <v>47.023841709144563</v>
      </c>
      <c r="AB1320" s="8">
        <f t="shared" si="369"/>
        <v>0</v>
      </c>
      <c r="AC1320" s="10">
        <v>6.875</v>
      </c>
      <c r="AD1320" s="7">
        <f t="shared" si="370"/>
        <v>593.80615829085548</v>
      </c>
      <c r="AE1320" s="2">
        <f t="shared" si="371"/>
        <v>47.023841709144563</v>
      </c>
      <c r="AF1320" s="10">
        <v>0</v>
      </c>
      <c r="AG1320" s="3">
        <f t="shared" si="372"/>
        <v>0</v>
      </c>
      <c r="AH1320" s="7">
        <v>3580</v>
      </c>
      <c r="AI1320">
        <f t="shared" si="373"/>
        <v>360</v>
      </c>
      <c r="AJ1320" t="e">
        <f>VLOOKUP(A1320,'Borrower Details'!$A$1:$H$1493,8,FALSE)</f>
        <v>#N/A</v>
      </c>
      <c r="AK1320" s="4" t="e">
        <f t="shared" si="374"/>
        <v>#N/A</v>
      </c>
      <c r="AL1320" s="10">
        <v>6.875</v>
      </c>
      <c r="AM1320" s="3">
        <f t="shared" si="375"/>
        <v>80925.99059999999</v>
      </c>
      <c r="AN1320">
        <v>6.875</v>
      </c>
      <c r="AO1320" s="7">
        <f t="shared" si="376"/>
        <v>565.34531275373979</v>
      </c>
      <c r="AP1320" s="2">
        <f t="shared" si="377"/>
        <v>75.484687246260251</v>
      </c>
    </row>
    <row r="1321" spans="1:42" x14ac:dyDescent="0.15">
      <c r="A1321" s="8">
        <v>1161849</v>
      </c>
      <c r="B1321" t="s">
        <v>38</v>
      </c>
      <c r="C1321" t="s">
        <v>19</v>
      </c>
      <c r="D1321" s="1">
        <v>39161</v>
      </c>
      <c r="E1321" s="2">
        <v>135000</v>
      </c>
      <c r="F1321" s="2">
        <v>114750</v>
      </c>
      <c r="G1321" t="s">
        <v>17</v>
      </c>
      <c r="H1321" s="2">
        <v>964.05</v>
      </c>
      <c r="I1321" s="2">
        <v>114040.84</v>
      </c>
      <c r="J1321">
        <v>9.4899999999999998E-2</v>
      </c>
      <c r="K1321">
        <v>13</v>
      </c>
      <c r="L1321">
        <v>348</v>
      </c>
      <c r="M1321" t="str">
        <f t="shared" si="363"/>
        <v>30 Year Fixed</v>
      </c>
      <c r="N1321" s="2">
        <v>901.87</v>
      </c>
      <c r="O1321" t="str">
        <f t="shared" si="360"/>
        <v>Refi</v>
      </c>
      <c r="P1321" s="3">
        <f t="shared" si="364"/>
        <v>0</v>
      </c>
      <c r="Q1321" s="4">
        <v>115751</v>
      </c>
      <c r="R1321" s="4" t="s">
        <v>41</v>
      </c>
      <c r="S1321" s="6">
        <v>570</v>
      </c>
      <c r="T1321">
        <v>7.625</v>
      </c>
      <c r="U1321" s="7">
        <f t="shared" si="361"/>
        <v>867.50792267628856</v>
      </c>
      <c r="V1321" s="2">
        <f t="shared" si="365"/>
        <v>96.542077323711396</v>
      </c>
      <c r="W1321" s="9">
        <f t="shared" si="366"/>
        <v>0</v>
      </c>
      <c r="X1321" s="3">
        <v>115752</v>
      </c>
      <c r="Y1321" s="3">
        <f t="shared" si="367"/>
        <v>0.53931034484412521</v>
      </c>
      <c r="Z1321" s="7">
        <f t="shared" si="368"/>
        <v>867.51541728041877</v>
      </c>
      <c r="AA1321" s="2">
        <f t="shared" si="362"/>
        <v>96.534582719581181</v>
      </c>
      <c r="AB1321" s="8">
        <f t="shared" si="369"/>
        <v>0</v>
      </c>
      <c r="AC1321" s="10">
        <v>7.625</v>
      </c>
      <c r="AD1321" s="7">
        <f t="shared" si="370"/>
        <v>867.51541728041877</v>
      </c>
      <c r="AE1321" s="2">
        <f t="shared" si="371"/>
        <v>96.534582719581181</v>
      </c>
      <c r="AF1321" s="10">
        <v>0</v>
      </c>
      <c r="AG1321" s="3">
        <f t="shared" si="372"/>
        <v>0</v>
      </c>
      <c r="AH1321" s="7">
        <v>0</v>
      </c>
      <c r="AI1321">
        <f t="shared" si="373"/>
        <v>360</v>
      </c>
      <c r="AJ1321" t="e">
        <f>VLOOKUP(A1321,'Borrower Details'!$A$1:$H$1493,8,FALSE)</f>
        <v>#N/A</v>
      </c>
      <c r="AK1321" s="4" t="e">
        <f t="shared" si="374"/>
        <v>#N/A</v>
      </c>
      <c r="AL1321" s="10">
        <v>7.625</v>
      </c>
      <c r="AM1321" s="3">
        <f t="shared" si="375"/>
        <v>115751.45259999999</v>
      </c>
      <c r="AN1321">
        <v>7.625</v>
      </c>
      <c r="AO1321" s="7">
        <f t="shared" si="376"/>
        <v>867.51131473411772</v>
      </c>
      <c r="AP1321" s="2">
        <f t="shared" si="377"/>
        <v>96.538685265882236</v>
      </c>
    </row>
    <row r="1322" spans="1:42" x14ac:dyDescent="0.15">
      <c r="A1322" s="8">
        <v>410278337</v>
      </c>
      <c r="B1322" t="s">
        <v>35</v>
      </c>
      <c r="C1322" t="s">
        <v>16</v>
      </c>
      <c r="D1322" s="1">
        <v>39224</v>
      </c>
      <c r="E1322" s="2">
        <v>155000</v>
      </c>
      <c r="F1322" s="2">
        <v>108500</v>
      </c>
      <c r="G1322" t="s">
        <v>15</v>
      </c>
      <c r="H1322" s="2">
        <v>818.95</v>
      </c>
      <c r="I1322" s="2">
        <v>107719.99</v>
      </c>
      <c r="J1322">
        <v>8.3000000000000004E-2</v>
      </c>
      <c r="K1322">
        <v>11</v>
      </c>
      <c r="L1322">
        <v>349</v>
      </c>
      <c r="M1322" t="str">
        <f t="shared" si="363"/>
        <v>30 Year Fixed</v>
      </c>
      <c r="N1322" s="2">
        <v>745.06</v>
      </c>
      <c r="O1322" t="str">
        <f t="shared" si="360"/>
        <v>Cash Out</v>
      </c>
      <c r="P1322" s="3">
        <f t="shared" si="364"/>
        <v>22082.965665024632</v>
      </c>
      <c r="Q1322" s="4">
        <v>131750</v>
      </c>
      <c r="R1322" s="4" t="s">
        <v>41</v>
      </c>
      <c r="S1322" s="6">
        <v>580</v>
      </c>
      <c r="T1322">
        <v>7.375</v>
      </c>
      <c r="U1322" s="7">
        <f t="shared" si="361"/>
        <v>964.86034029282587</v>
      </c>
      <c r="V1322" s="2">
        <f t="shared" si="365"/>
        <v>-145.91034029282582</v>
      </c>
      <c r="W1322" s="9">
        <f t="shared" si="366"/>
        <v>1</v>
      </c>
      <c r="X1322" s="3">
        <v>111750</v>
      </c>
      <c r="Y1322" s="3">
        <f t="shared" si="367"/>
        <v>2378.5321674876905</v>
      </c>
      <c r="Z1322" s="7">
        <f t="shared" si="368"/>
        <v>818.39197744002502</v>
      </c>
      <c r="AA1322" s="2">
        <f t="shared" si="362"/>
        <v>0.55802255997502925</v>
      </c>
      <c r="AB1322" s="8">
        <f t="shared" si="369"/>
        <v>1</v>
      </c>
      <c r="AC1322" s="10">
        <v>6.625</v>
      </c>
      <c r="AD1322" s="7">
        <f t="shared" si="370"/>
        <v>762.10999900144395</v>
      </c>
      <c r="AE1322" s="2">
        <f t="shared" si="371"/>
        <v>56.840000998556093</v>
      </c>
      <c r="AF1322" s="10">
        <v>1.875</v>
      </c>
      <c r="AG1322" s="3">
        <f t="shared" si="372"/>
        <v>2095.3125</v>
      </c>
      <c r="AH1322" s="7">
        <v>4502.75</v>
      </c>
      <c r="AI1322">
        <f t="shared" si="373"/>
        <v>360</v>
      </c>
      <c r="AJ1322" t="e">
        <f>VLOOKUP(A1322,'Borrower Details'!$A$1:$H$1493,8,FALSE)</f>
        <v>#N/A</v>
      </c>
      <c r="AK1322" s="4" t="e">
        <f t="shared" si="374"/>
        <v>#N/A</v>
      </c>
      <c r="AL1322" s="10">
        <v>7.375</v>
      </c>
      <c r="AM1322" s="3">
        <f t="shared" si="375"/>
        <v>109335.78985</v>
      </c>
      <c r="AN1322">
        <v>7.375</v>
      </c>
      <c r="AO1322" s="7">
        <f t="shared" si="376"/>
        <v>800.71170702736924</v>
      </c>
      <c r="AP1322" s="2">
        <f t="shared" si="377"/>
        <v>18.238292972630802</v>
      </c>
    </row>
    <row r="1323" spans="1:42" x14ac:dyDescent="0.15">
      <c r="A1323" s="8">
        <v>410513477</v>
      </c>
      <c r="B1323" t="s">
        <v>36</v>
      </c>
      <c r="C1323" t="s">
        <v>19</v>
      </c>
      <c r="D1323" s="1">
        <v>39266</v>
      </c>
      <c r="E1323" s="2">
        <v>722000</v>
      </c>
      <c r="F1323" s="2">
        <v>613700</v>
      </c>
      <c r="G1323" t="s">
        <v>15</v>
      </c>
      <c r="H1323" s="2">
        <v>3976.81</v>
      </c>
      <c r="I1323" s="2">
        <v>613151.11</v>
      </c>
      <c r="J1323">
        <v>7.5999999999999998E-2</v>
      </c>
      <c r="K1323">
        <v>9</v>
      </c>
      <c r="L1323">
        <v>354</v>
      </c>
      <c r="M1323" t="str">
        <f t="shared" si="363"/>
        <v>30 Year Fixed</v>
      </c>
      <c r="N1323" s="2">
        <v>3883.29</v>
      </c>
      <c r="O1323" t="str">
        <f t="shared" si="360"/>
        <v>Refi</v>
      </c>
      <c r="P1323" s="3">
        <f t="shared" si="364"/>
        <v>0</v>
      </c>
      <c r="Q1323" s="4">
        <v>622348</v>
      </c>
      <c r="R1323" s="4" t="s">
        <v>41</v>
      </c>
      <c r="S1323" s="6">
        <v>607</v>
      </c>
      <c r="T1323">
        <v>7.625</v>
      </c>
      <c r="U1323" s="7">
        <f t="shared" si="361"/>
        <v>4664.2518912298192</v>
      </c>
      <c r="V1323" s="2">
        <f t="shared" si="365"/>
        <v>-687.44189122981925</v>
      </c>
      <c r="W1323" s="9">
        <f t="shared" si="366"/>
        <v>0</v>
      </c>
      <c r="X1323" s="3">
        <v>622348</v>
      </c>
      <c r="Y1323" s="3">
        <f t="shared" si="367"/>
        <v>-0.37108374375384301</v>
      </c>
      <c r="Z1323" s="7">
        <f t="shared" si="368"/>
        <v>4664.2518912298192</v>
      </c>
      <c r="AA1323" s="2">
        <f t="shared" si="362"/>
        <v>-687.44189122981925</v>
      </c>
      <c r="AB1323" s="8">
        <f t="shared" si="369"/>
        <v>1</v>
      </c>
      <c r="AC1323" s="10">
        <v>6.875</v>
      </c>
      <c r="AD1323" s="7">
        <f t="shared" si="370"/>
        <v>4347.6949999999688</v>
      </c>
      <c r="AE1323" s="2">
        <f t="shared" si="371"/>
        <v>-370.88499999996884</v>
      </c>
      <c r="AF1323" s="10">
        <v>1</v>
      </c>
      <c r="AG1323" s="3">
        <f t="shared" si="372"/>
        <v>6223.48</v>
      </c>
      <c r="AH1323" s="7">
        <v>12274</v>
      </c>
      <c r="AI1323">
        <f t="shared" si="373"/>
        <v>360</v>
      </c>
      <c r="AJ1323" t="e">
        <f>VLOOKUP(A1323,'Borrower Details'!$A$1:$H$1493,8,FALSE)</f>
        <v>#N/A</v>
      </c>
      <c r="AK1323" s="4" t="e">
        <f t="shared" si="374"/>
        <v>#N/A</v>
      </c>
      <c r="AL1323" s="10">
        <v>7.625</v>
      </c>
      <c r="AM1323" s="3">
        <f t="shared" si="375"/>
        <v>622348.37664999987</v>
      </c>
      <c r="AN1323">
        <v>7.625</v>
      </c>
      <c r="AO1323" s="7">
        <f t="shared" si="376"/>
        <v>4664.2547140724637</v>
      </c>
      <c r="AP1323" s="2">
        <f t="shared" si="377"/>
        <v>-687.44471407246374</v>
      </c>
    </row>
    <row r="1324" spans="1:42" x14ac:dyDescent="0.15">
      <c r="A1324" s="8">
        <v>410051973</v>
      </c>
      <c r="B1324" t="s">
        <v>36</v>
      </c>
      <c r="C1324" t="s">
        <v>19</v>
      </c>
      <c r="D1324" s="1">
        <v>39202</v>
      </c>
      <c r="E1324" s="2">
        <v>191000</v>
      </c>
      <c r="F1324" s="2">
        <v>152000</v>
      </c>
      <c r="G1324" t="s">
        <v>17</v>
      </c>
      <c r="H1324" s="2">
        <v>1249.3699999999999</v>
      </c>
      <c r="I1324" s="2">
        <v>150977.04999999999</v>
      </c>
      <c r="J1324">
        <v>9.2399999999999996E-2</v>
      </c>
      <c r="K1324">
        <v>12</v>
      </c>
      <c r="L1324">
        <v>348</v>
      </c>
      <c r="M1324" t="str">
        <f t="shared" si="363"/>
        <v>30 Year Fixed</v>
      </c>
      <c r="N1324" s="2">
        <v>1162.52</v>
      </c>
      <c r="O1324" t="str">
        <f t="shared" si="360"/>
        <v>Cash Out</v>
      </c>
      <c r="P1324" s="3">
        <f t="shared" si="364"/>
        <v>8973.6889162561856</v>
      </c>
      <c r="Q1324" s="4">
        <v>162350</v>
      </c>
      <c r="R1324" s="4" t="s">
        <v>41</v>
      </c>
      <c r="S1324" s="6">
        <v>564</v>
      </c>
      <c r="T1324">
        <v>7.625</v>
      </c>
      <c r="U1324" s="7">
        <f t="shared" si="361"/>
        <v>1216.7489805400855</v>
      </c>
      <c r="V1324" s="2">
        <f t="shared" si="365"/>
        <v>32.621019459914351</v>
      </c>
      <c r="W1324" s="9">
        <f t="shared" si="366"/>
        <v>0</v>
      </c>
      <c r="X1324" s="3">
        <v>162350</v>
      </c>
      <c r="Y1324" s="3">
        <f t="shared" si="367"/>
        <v>8973.6889162561856</v>
      </c>
      <c r="Z1324" s="7">
        <f t="shared" si="368"/>
        <v>1216.7489805400855</v>
      </c>
      <c r="AA1324" s="2">
        <f t="shared" si="362"/>
        <v>32.621019459914351</v>
      </c>
      <c r="AB1324" s="8">
        <f t="shared" si="369"/>
        <v>0</v>
      </c>
      <c r="AC1324" s="10">
        <v>7.625</v>
      </c>
      <c r="AD1324" s="7">
        <f t="shared" si="370"/>
        <v>1216.7489805400855</v>
      </c>
      <c r="AE1324" s="2">
        <f t="shared" si="371"/>
        <v>32.621019459914351</v>
      </c>
      <c r="AF1324" s="10">
        <v>0</v>
      </c>
      <c r="AG1324" s="3">
        <f t="shared" si="372"/>
        <v>0</v>
      </c>
      <c r="AH1324" s="7">
        <v>3040</v>
      </c>
      <c r="AI1324">
        <f t="shared" si="373"/>
        <v>360</v>
      </c>
      <c r="AJ1324" t="e">
        <f>VLOOKUP(A1324,'Borrower Details'!$A$1:$H$1493,8,FALSE)</f>
        <v>#N/A</v>
      </c>
      <c r="AK1324" s="4" t="e">
        <f t="shared" si="374"/>
        <v>#N/A</v>
      </c>
      <c r="AL1324" s="10">
        <v>7.625</v>
      </c>
      <c r="AM1324" s="3">
        <f t="shared" si="375"/>
        <v>153241.70574999996</v>
      </c>
      <c r="AN1324">
        <v>7.625</v>
      </c>
      <c r="AO1324" s="7">
        <f t="shared" si="376"/>
        <v>1148.4859208348396</v>
      </c>
      <c r="AP1324" s="2">
        <f t="shared" si="377"/>
        <v>100.8840791651603</v>
      </c>
    </row>
    <row r="1325" spans="1:42" x14ac:dyDescent="0.15">
      <c r="A1325" s="8">
        <v>410135453</v>
      </c>
      <c r="B1325" t="s">
        <v>37</v>
      </c>
      <c r="C1325" t="s">
        <v>19</v>
      </c>
      <c r="D1325" s="1">
        <v>39202</v>
      </c>
      <c r="E1325" s="2">
        <v>255000</v>
      </c>
      <c r="F1325" s="2">
        <v>204000</v>
      </c>
      <c r="G1325" t="s">
        <v>15</v>
      </c>
      <c r="H1325" s="2">
        <v>1495.46</v>
      </c>
      <c r="I1325" s="2">
        <v>202143.92</v>
      </c>
      <c r="J1325">
        <v>7.9899999999999999E-2</v>
      </c>
      <c r="K1325">
        <v>12</v>
      </c>
      <c r="L1325">
        <v>347</v>
      </c>
      <c r="M1325" t="str">
        <f t="shared" si="363"/>
        <v>30 Year Fixed</v>
      </c>
      <c r="N1325" s="2">
        <v>1346.93</v>
      </c>
      <c r="O1325" t="str">
        <f t="shared" si="360"/>
        <v>Cash Out</v>
      </c>
      <c r="P1325" s="3">
        <f t="shared" si="364"/>
        <v>11402.878029556654</v>
      </c>
      <c r="Q1325" s="4">
        <v>216750</v>
      </c>
      <c r="R1325" s="4" t="s">
        <v>41</v>
      </c>
      <c r="S1325" s="6">
        <v>618</v>
      </c>
      <c r="T1325">
        <v>6.875</v>
      </c>
      <c r="U1325" s="7">
        <f t="shared" si="361"/>
        <v>1514.2057036416816</v>
      </c>
      <c r="V1325" s="2">
        <f t="shared" si="365"/>
        <v>-18.74570364168153</v>
      </c>
      <c r="W1325" s="9">
        <f t="shared" si="366"/>
        <v>1</v>
      </c>
      <c r="X1325" s="3">
        <v>213990</v>
      </c>
      <c r="Y1325" s="3">
        <f t="shared" si="367"/>
        <v>8683.666206896567</v>
      </c>
      <c r="Z1325" s="7">
        <f t="shared" si="368"/>
        <v>1494.9244683842373</v>
      </c>
      <c r="AA1325" s="2">
        <f t="shared" si="362"/>
        <v>0.53553161576269304</v>
      </c>
      <c r="AB1325" s="8">
        <f t="shared" si="369"/>
        <v>1</v>
      </c>
      <c r="AC1325" s="10">
        <v>6.25</v>
      </c>
      <c r="AD1325" s="7">
        <f t="shared" si="370"/>
        <v>1406.7357371924395</v>
      </c>
      <c r="AE1325" s="2">
        <f t="shared" si="371"/>
        <v>88.724262807560535</v>
      </c>
      <c r="AF1325" s="10">
        <v>2.5</v>
      </c>
      <c r="AG1325" s="3">
        <f t="shared" si="372"/>
        <v>5349.75</v>
      </c>
      <c r="AH1325" s="7">
        <v>2040</v>
      </c>
      <c r="AI1325">
        <f t="shared" si="373"/>
        <v>360</v>
      </c>
      <c r="AJ1325" t="e">
        <f>VLOOKUP(A1325,'Borrower Details'!$A$1:$H$1493,8,FALSE)</f>
        <v>#N/A</v>
      </c>
      <c r="AK1325" s="4" t="e">
        <f t="shared" si="374"/>
        <v>#N/A</v>
      </c>
      <c r="AL1325" s="10">
        <v>6.875</v>
      </c>
      <c r="AM1325" s="3">
        <f t="shared" si="375"/>
        <v>205176.07879999999</v>
      </c>
      <c r="AN1325">
        <v>6.875</v>
      </c>
      <c r="AO1325" s="7">
        <f t="shared" si="376"/>
        <v>1433.3508132401157</v>
      </c>
      <c r="AP1325" s="2">
        <f t="shared" si="377"/>
        <v>62.109186759884324</v>
      </c>
    </row>
    <row r="1326" spans="1:42" x14ac:dyDescent="0.15">
      <c r="A1326" s="8">
        <v>1164646</v>
      </c>
      <c r="B1326" t="s">
        <v>37</v>
      </c>
      <c r="C1326" t="s">
        <v>19</v>
      </c>
      <c r="D1326" s="1">
        <v>39175</v>
      </c>
      <c r="E1326" s="2">
        <v>150000</v>
      </c>
      <c r="F1326" s="2">
        <v>86000</v>
      </c>
      <c r="G1326" t="s">
        <v>17</v>
      </c>
      <c r="H1326" s="2">
        <v>707.51</v>
      </c>
      <c r="I1326" s="2">
        <v>85392.71</v>
      </c>
      <c r="J1326">
        <v>9.2499999999999999E-2</v>
      </c>
      <c r="K1326">
        <v>12</v>
      </c>
      <c r="L1326">
        <v>347</v>
      </c>
      <c r="M1326" t="str">
        <f t="shared" si="363"/>
        <v>30 Year Fixed</v>
      </c>
      <c r="N1326" s="2">
        <v>658.61</v>
      </c>
      <c r="O1326" t="str">
        <f t="shared" si="360"/>
        <v>Cash Out</v>
      </c>
      <c r="P1326" s="3">
        <f t="shared" si="364"/>
        <v>40223.053546798037</v>
      </c>
      <c r="Q1326" s="4">
        <v>127500</v>
      </c>
      <c r="R1326" s="4" t="s">
        <v>41</v>
      </c>
      <c r="S1326" s="6">
        <v>538</v>
      </c>
      <c r="T1326">
        <v>7.625</v>
      </c>
      <c r="U1326" s="7">
        <f t="shared" si="361"/>
        <v>955.56202660216138</v>
      </c>
      <c r="V1326" s="2">
        <f t="shared" si="365"/>
        <v>-248.05202660216139</v>
      </c>
      <c r="W1326" s="9">
        <f t="shared" si="366"/>
        <v>1</v>
      </c>
      <c r="X1326" s="3">
        <v>94330</v>
      </c>
      <c r="Y1326" s="3">
        <f t="shared" si="367"/>
        <v>7543.2505911330081</v>
      </c>
      <c r="Z1326" s="7">
        <f t="shared" si="368"/>
        <v>706.96600760299521</v>
      </c>
      <c r="AA1326" s="2">
        <f t="shared" si="362"/>
        <v>0.54399239700478574</v>
      </c>
      <c r="AB1326" s="8">
        <f t="shared" si="369"/>
        <v>1</v>
      </c>
      <c r="AC1326" s="10">
        <v>6.5</v>
      </c>
      <c r="AD1326" s="7">
        <f t="shared" si="370"/>
        <v>635.53393322758154</v>
      </c>
      <c r="AE1326" s="2">
        <f t="shared" si="371"/>
        <v>71.976066772418449</v>
      </c>
      <c r="AF1326" s="10">
        <v>2.625</v>
      </c>
      <c r="AG1326" s="3">
        <f t="shared" si="372"/>
        <v>2476.1624999999999</v>
      </c>
      <c r="AH1326" s="7">
        <v>0</v>
      </c>
      <c r="AI1326">
        <f t="shared" si="373"/>
        <v>360</v>
      </c>
      <c r="AJ1326" t="e">
        <f>VLOOKUP(A1326,'Borrower Details'!$A$1:$H$1493,8,FALSE)</f>
        <v>#N/A</v>
      </c>
      <c r="AK1326" s="4" t="e">
        <f t="shared" si="374"/>
        <v>#N/A</v>
      </c>
      <c r="AL1326" s="10">
        <v>7.625</v>
      </c>
      <c r="AM1326" s="3">
        <f t="shared" si="375"/>
        <v>86673.600649999993</v>
      </c>
      <c r="AN1326">
        <v>7.625</v>
      </c>
      <c r="AO1326" s="7">
        <f t="shared" si="376"/>
        <v>649.58432541192474</v>
      </c>
      <c r="AP1326" s="2">
        <f t="shared" si="377"/>
        <v>57.925674588075253</v>
      </c>
    </row>
    <row r="1327" spans="1:42" x14ac:dyDescent="0.15">
      <c r="A1327" s="8">
        <v>1167930</v>
      </c>
      <c r="B1327" t="s">
        <v>36</v>
      </c>
      <c r="C1327" t="s">
        <v>18</v>
      </c>
      <c r="D1327" s="1">
        <v>39174</v>
      </c>
      <c r="E1327" s="2">
        <v>144000</v>
      </c>
      <c r="F1327" s="2">
        <v>129600</v>
      </c>
      <c r="G1327" t="s">
        <v>15</v>
      </c>
      <c r="H1327" s="2">
        <v>982.07</v>
      </c>
      <c r="I1327" s="2">
        <v>129460.56</v>
      </c>
      <c r="J1327">
        <v>8.9899999999999994E-2</v>
      </c>
      <c r="K1327">
        <v>12</v>
      </c>
      <c r="L1327">
        <v>348</v>
      </c>
      <c r="M1327" t="str">
        <f t="shared" si="363"/>
        <v>30 Year Fixed</v>
      </c>
      <c r="N1327" s="2">
        <v>969.88</v>
      </c>
      <c r="O1327" t="str">
        <f t="shared" si="360"/>
        <v>Refi</v>
      </c>
      <c r="P1327" s="3">
        <f t="shared" si="364"/>
        <v>0</v>
      </c>
      <c r="Q1327" s="4">
        <v>131402</v>
      </c>
      <c r="R1327" s="4" t="s">
        <v>41</v>
      </c>
      <c r="S1327" s="6">
        <v>590</v>
      </c>
      <c r="T1327">
        <v>7.375</v>
      </c>
      <c r="U1327" s="7">
        <f t="shared" si="361"/>
        <v>962.31179077918705</v>
      </c>
      <c r="V1327" s="2">
        <f t="shared" si="365"/>
        <v>19.758209220813001</v>
      </c>
      <c r="W1327" s="9">
        <f t="shared" si="366"/>
        <v>0</v>
      </c>
      <c r="X1327" s="3">
        <v>131403</v>
      </c>
      <c r="Y1327" s="3">
        <f t="shared" si="367"/>
        <v>0.52374384237919003</v>
      </c>
      <c r="Z1327" s="7">
        <f t="shared" si="368"/>
        <v>962.31911419732978</v>
      </c>
      <c r="AA1327" s="2">
        <f t="shared" si="362"/>
        <v>19.750885802670268</v>
      </c>
      <c r="AB1327" s="8">
        <f t="shared" si="369"/>
        <v>1</v>
      </c>
      <c r="AC1327" s="10">
        <v>6.625</v>
      </c>
      <c r="AD1327" s="7">
        <f t="shared" si="370"/>
        <v>896.13906218153693</v>
      </c>
      <c r="AE1327" s="2">
        <f t="shared" si="371"/>
        <v>85.930937818463121</v>
      </c>
      <c r="AF1327" s="10">
        <v>1.875</v>
      </c>
      <c r="AG1327" s="3">
        <f t="shared" si="372"/>
        <v>2463.8062500000001</v>
      </c>
      <c r="AH1327" s="7">
        <v>2592</v>
      </c>
      <c r="AI1327">
        <f t="shared" si="373"/>
        <v>360</v>
      </c>
      <c r="AJ1327" t="e">
        <f>VLOOKUP(A1327,'Borrower Details'!$A$1:$H$1493,8,FALSE)</f>
        <v>#N/A</v>
      </c>
      <c r="AK1327" s="4" t="e">
        <f t="shared" si="374"/>
        <v>#N/A</v>
      </c>
      <c r="AL1327" s="10">
        <v>7.375</v>
      </c>
      <c r="AM1327" s="3">
        <f t="shared" si="375"/>
        <v>131402.46839999998</v>
      </c>
      <c r="AN1327">
        <v>7.375</v>
      </c>
      <c r="AO1327" s="7">
        <f t="shared" si="376"/>
        <v>962.31522106824502</v>
      </c>
      <c r="AP1327" s="2">
        <f t="shared" si="377"/>
        <v>19.754778931755027</v>
      </c>
    </row>
    <row r="1328" spans="1:42" x14ac:dyDescent="0.15">
      <c r="A1328" s="8">
        <v>1132471</v>
      </c>
      <c r="B1328" t="s">
        <v>35</v>
      </c>
      <c r="C1328" t="s">
        <v>16</v>
      </c>
      <c r="D1328" s="1">
        <v>39139</v>
      </c>
      <c r="E1328" s="2">
        <v>113000</v>
      </c>
      <c r="F1328" s="2">
        <v>94500</v>
      </c>
      <c r="G1328" t="s">
        <v>17</v>
      </c>
      <c r="H1328" s="2">
        <v>726.63</v>
      </c>
      <c r="I1328" s="2">
        <v>93519.9</v>
      </c>
      <c r="J1328">
        <v>8.5000000000000006E-2</v>
      </c>
      <c r="K1328">
        <v>14</v>
      </c>
      <c r="L1328">
        <v>346</v>
      </c>
      <c r="M1328" t="str">
        <f t="shared" si="363"/>
        <v>30 Year Fixed</v>
      </c>
      <c r="N1328" s="2">
        <v>662.43</v>
      </c>
      <c r="O1328" t="str">
        <f t="shared" si="360"/>
        <v>Cash Out</v>
      </c>
      <c r="P1328" s="3">
        <f t="shared" si="364"/>
        <v>1110.6418719211943</v>
      </c>
      <c r="Q1328" s="4">
        <v>96050</v>
      </c>
      <c r="R1328" s="4" t="s">
        <v>41</v>
      </c>
      <c r="S1328" s="6">
        <v>580</v>
      </c>
      <c r="T1328">
        <v>7.625</v>
      </c>
      <c r="U1328" s="7">
        <f t="shared" si="361"/>
        <v>719.85672670696158</v>
      </c>
      <c r="V1328" s="2">
        <f t="shared" si="365"/>
        <v>6.7732732930384145</v>
      </c>
      <c r="W1328" s="9">
        <f t="shared" si="366"/>
        <v>0</v>
      </c>
      <c r="X1328" s="3">
        <v>96050</v>
      </c>
      <c r="Y1328" s="3">
        <f t="shared" si="367"/>
        <v>1110.6418719211943</v>
      </c>
      <c r="Z1328" s="7">
        <f t="shared" si="368"/>
        <v>719.85672670696158</v>
      </c>
      <c r="AA1328" s="2">
        <f t="shared" si="362"/>
        <v>6.7732732930384145</v>
      </c>
      <c r="AB1328" s="8">
        <f t="shared" si="369"/>
        <v>1</v>
      </c>
      <c r="AC1328" s="10">
        <v>6.875</v>
      </c>
      <c r="AD1328" s="7">
        <f t="shared" si="370"/>
        <v>671.00095886866677</v>
      </c>
      <c r="AE1328" s="2">
        <f t="shared" si="371"/>
        <v>55.629041131333224</v>
      </c>
      <c r="AF1328" s="10">
        <v>1</v>
      </c>
      <c r="AG1328" s="3">
        <f t="shared" si="372"/>
        <v>960.5</v>
      </c>
      <c r="AH1328" s="7">
        <v>4016.25</v>
      </c>
      <c r="AI1328">
        <f t="shared" si="373"/>
        <v>360</v>
      </c>
      <c r="AJ1328" t="e">
        <f>VLOOKUP(A1328,'Borrower Details'!$A$1:$H$1493,8,FALSE)</f>
        <v>#N/A</v>
      </c>
      <c r="AK1328" s="4" t="e">
        <f t="shared" si="374"/>
        <v>#N/A</v>
      </c>
      <c r="AL1328" s="10">
        <v>7.625</v>
      </c>
      <c r="AM1328" s="3">
        <f t="shared" si="375"/>
        <v>94922.698499999984</v>
      </c>
      <c r="AN1328">
        <v>7.625</v>
      </c>
      <c r="AO1328" s="7">
        <f t="shared" si="376"/>
        <v>711.40804822906614</v>
      </c>
      <c r="AP1328" s="2">
        <f t="shared" si="377"/>
        <v>15.221951770933856</v>
      </c>
    </row>
    <row r="1329" spans="1:42" x14ac:dyDescent="0.15">
      <c r="A1329" s="8">
        <v>410782486</v>
      </c>
      <c r="B1329" t="s">
        <v>37</v>
      </c>
      <c r="C1329" t="s">
        <v>16</v>
      </c>
      <c r="D1329" s="1">
        <v>39314</v>
      </c>
      <c r="E1329" s="2">
        <v>227000</v>
      </c>
      <c r="F1329" s="2">
        <v>181600</v>
      </c>
      <c r="G1329" t="s">
        <v>21</v>
      </c>
      <c r="H1329" s="2">
        <v>1560.66</v>
      </c>
      <c r="I1329" s="2">
        <v>181521.74</v>
      </c>
      <c r="J1329">
        <v>0.10249999999999999</v>
      </c>
      <c r="K1329">
        <v>8</v>
      </c>
      <c r="L1329">
        <v>352</v>
      </c>
      <c r="M1329" t="str">
        <f t="shared" si="363"/>
        <v>30 Year Fixed</v>
      </c>
      <c r="N1329" s="2">
        <v>1550.5</v>
      </c>
      <c r="O1329" t="str">
        <f t="shared" si="360"/>
        <v>Cash Out</v>
      </c>
      <c r="P1329" s="3">
        <f t="shared" si="364"/>
        <v>8576.7821674877196</v>
      </c>
      <c r="Q1329" s="4">
        <v>192950</v>
      </c>
      <c r="R1329" s="4" t="s">
        <v>41</v>
      </c>
      <c r="S1329" s="6">
        <v>543</v>
      </c>
      <c r="T1329">
        <v>7.625</v>
      </c>
      <c r="U1329" s="7">
        <f t="shared" si="361"/>
        <v>1446.0838669246041</v>
      </c>
      <c r="V1329" s="2">
        <f t="shared" si="365"/>
        <v>114.576133075396</v>
      </c>
      <c r="W1329" s="9">
        <f t="shared" si="366"/>
        <v>0</v>
      </c>
      <c r="X1329" s="3">
        <v>192950</v>
      </c>
      <c r="Y1329" s="3">
        <f t="shared" si="367"/>
        <v>8576.7821674877196</v>
      </c>
      <c r="Z1329" s="7">
        <f t="shared" si="368"/>
        <v>1446.0838669246041</v>
      </c>
      <c r="AA1329" s="2">
        <f t="shared" si="362"/>
        <v>114.576133075396</v>
      </c>
      <c r="AB1329" s="8">
        <f t="shared" si="369"/>
        <v>0</v>
      </c>
      <c r="AC1329" s="10">
        <v>7.625</v>
      </c>
      <c r="AD1329" s="7">
        <f t="shared" si="370"/>
        <v>1446.0838669246041</v>
      </c>
      <c r="AE1329" s="2">
        <f t="shared" si="371"/>
        <v>114.576133075396</v>
      </c>
      <c r="AF1329" s="10">
        <v>0</v>
      </c>
      <c r="AG1329" s="3">
        <f t="shared" si="372"/>
        <v>0</v>
      </c>
      <c r="AH1329" s="7">
        <v>1816</v>
      </c>
      <c r="AI1329">
        <f t="shared" si="373"/>
        <v>360</v>
      </c>
      <c r="AJ1329" t="e">
        <f>VLOOKUP(A1329,'Borrower Details'!$A$1:$H$1493,8,FALSE)</f>
        <v>#N/A</v>
      </c>
      <c r="AK1329" s="4" t="e">
        <f t="shared" si="374"/>
        <v>#N/A</v>
      </c>
      <c r="AL1329" s="10">
        <v>7.625</v>
      </c>
      <c r="AM1329" s="3">
        <f t="shared" si="375"/>
        <v>184244.56609999997</v>
      </c>
      <c r="AN1329">
        <v>7.625</v>
      </c>
      <c r="AO1329" s="7">
        <f t="shared" si="376"/>
        <v>1380.8400860623674</v>
      </c>
      <c r="AP1329" s="2">
        <f t="shared" si="377"/>
        <v>179.81991393763269</v>
      </c>
    </row>
    <row r="1330" spans="1:42" x14ac:dyDescent="0.15">
      <c r="A1330" s="8">
        <v>410494744</v>
      </c>
      <c r="B1330" t="s">
        <v>36</v>
      </c>
      <c r="C1330" t="s">
        <v>19</v>
      </c>
      <c r="D1330" s="1">
        <v>39261</v>
      </c>
      <c r="E1330" s="2">
        <v>204500</v>
      </c>
      <c r="F1330" s="2">
        <v>184050</v>
      </c>
      <c r="G1330" t="s">
        <v>15</v>
      </c>
      <c r="H1330" s="2">
        <v>1255.55</v>
      </c>
      <c r="I1330" s="2">
        <v>182574.52</v>
      </c>
      <c r="J1330">
        <v>7.2499999999999995E-2</v>
      </c>
      <c r="K1330">
        <v>10</v>
      </c>
      <c r="L1330">
        <v>350</v>
      </c>
      <c r="M1330" t="str">
        <f t="shared" si="363"/>
        <v>30 Year Fixed</v>
      </c>
      <c r="N1330" s="2">
        <v>1103.05</v>
      </c>
      <c r="O1330" t="str">
        <f t="shared" si="360"/>
        <v>Refi</v>
      </c>
      <c r="P1330" s="3">
        <f t="shared" si="364"/>
        <v>0</v>
      </c>
      <c r="Q1330" s="4">
        <v>185313</v>
      </c>
      <c r="R1330" s="4" t="s">
        <v>41</v>
      </c>
      <c r="S1330" s="6">
        <v>668</v>
      </c>
      <c r="T1330">
        <v>6.75</v>
      </c>
      <c r="U1330" s="7">
        <f t="shared" si="361"/>
        <v>1279.1503406934539</v>
      </c>
      <c r="V1330" s="2">
        <f t="shared" si="365"/>
        <v>-23.600340693453973</v>
      </c>
      <c r="W1330" s="9">
        <f t="shared" si="366"/>
        <v>0</v>
      </c>
      <c r="X1330" s="3">
        <v>185314</v>
      </c>
      <c r="Y1330" s="3">
        <f t="shared" si="367"/>
        <v>0.84945812809746712</v>
      </c>
      <c r="Z1330" s="7">
        <f t="shared" si="368"/>
        <v>1279.1572433410863</v>
      </c>
      <c r="AA1330" s="2">
        <f t="shared" si="362"/>
        <v>-23.60724334108636</v>
      </c>
      <c r="AB1330" s="8">
        <f t="shared" si="369"/>
        <v>1</v>
      </c>
      <c r="AC1330" s="10">
        <v>6.125</v>
      </c>
      <c r="AD1330" s="7">
        <f t="shared" si="370"/>
        <v>1203.2015619852257</v>
      </c>
      <c r="AE1330" s="2">
        <f t="shared" si="371"/>
        <v>52.348438014774274</v>
      </c>
      <c r="AF1330" s="10">
        <v>3</v>
      </c>
      <c r="AG1330" s="3">
        <f t="shared" si="372"/>
        <v>5559.42</v>
      </c>
      <c r="AH1330" s="7">
        <v>3681</v>
      </c>
      <c r="AI1330">
        <f t="shared" si="373"/>
        <v>360</v>
      </c>
      <c r="AJ1330" t="e">
        <f>VLOOKUP(A1330,'Borrower Details'!$A$1:$H$1493,8,FALSE)</f>
        <v>#N/A</v>
      </c>
      <c r="AK1330" s="4" t="e">
        <f t="shared" si="374"/>
        <v>#N/A</v>
      </c>
      <c r="AL1330" s="10">
        <v>6.75</v>
      </c>
      <c r="AM1330" s="3">
        <f t="shared" si="375"/>
        <v>185313.13779999997</v>
      </c>
      <c r="AN1330">
        <v>6.75</v>
      </c>
      <c r="AO1330" s="7">
        <f t="shared" si="376"/>
        <v>1279.1512918782976</v>
      </c>
      <c r="AP1330" s="2">
        <f t="shared" si="377"/>
        <v>-23.601291878297616</v>
      </c>
    </row>
    <row r="1331" spans="1:42" x14ac:dyDescent="0.15">
      <c r="A1331" s="8">
        <v>1157488</v>
      </c>
      <c r="B1331" t="s">
        <v>36</v>
      </c>
      <c r="C1331" t="s">
        <v>19</v>
      </c>
      <c r="D1331" s="1">
        <v>39150</v>
      </c>
      <c r="E1331" s="2">
        <v>242000</v>
      </c>
      <c r="F1331" s="2">
        <v>180000</v>
      </c>
      <c r="G1331" t="s">
        <v>17</v>
      </c>
      <c r="H1331" s="2">
        <v>1172.75</v>
      </c>
      <c r="I1331" s="2">
        <v>177905.77</v>
      </c>
      <c r="J1331">
        <v>6.794E-2</v>
      </c>
      <c r="K1331">
        <v>13</v>
      </c>
      <c r="L1331">
        <v>347</v>
      </c>
      <c r="M1331" t="str">
        <f t="shared" si="363"/>
        <v>30 Year Fixed</v>
      </c>
      <c r="N1331" s="2">
        <v>1007.24</v>
      </c>
      <c r="O1331" t="str">
        <f t="shared" si="360"/>
        <v>Cash Out</v>
      </c>
      <c r="P1331" s="3">
        <f t="shared" si="364"/>
        <v>24754.328522167518</v>
      </c>
      <c r="Q1331" s="4">
        <v>205700</v>
      </c>
      <c r="R1331" s="4" t="s">
        <v>41</v>
      </c>
      <c r="S1331" s="6">
        <v>617</v>
      </c>
      <c r="T1331">
        <v>6.875</v>
      </c>
      <c r="U1331" s="7">
        <f t="shared" si="361"/>
        <v>1437.0109030638703</v>
      </c>
      <c r="V1331" s="2">
        <f t="shared" si="365"/>
        <v>-264.26090306387027</v>
      </c>
      <c r="W1331" s="9">
        <f t="shared" si="366"/>
        <v>1</v>
      </c>
      <c r="X1331" s="3">
        <v>180575</v>
      </c>
      <c r="Y1331" s="3">
        <f t="shared" si="367"/>
        <v>0.63394088673521765</v>
      </c>
      <c r="Z1331" s="7">
        <f t="shared" si="368"/>
        <v>1261.4887886278968</v>
      </c>
      <c r="AA1331" s="2">
        <f t="shared" si="362"/>
        <v>-88.738788627896838</v>
      </c>
      <c r="AB1331" s="8">
        <f t="shared" si="369"/>
        <v>1</v>
      </c>
      <c r="AC1331" s="10">
        <v>6.25</v>
      </c>
      <c r="AD1331" s="7">
        <f t="shared" si="370"/>
        <v>1187.0709180032934</v>
      </c>
      <c r="AE1331" s="2">
        <f t="shared" si="371"/>
        <v>-14.3209180032934</v>
      </c>
      <c r="AF1331" s="10">
        <v>2.5</v>
      </c>
      <c r="AG1331" s="3">
        <f t="shared" si="372"/>
        <v>4514.375</v>
      </c>
      <c r="AH1331" s="7">
        <v>3600</v>
      </c>
      <c r="AI1331">
        <f t="shared" si="373"/>
        <v>360</v>
      </c>
      <c r="AJ1331" t="e">
        <f>VLOOKUP(A1331,'Borrower Details'!$A$1:$H$1493,8,FALSE)</f>
        <v>#N/A</v>
      </c>
      <c r="AK1331" s="4" t="e">
        <f t="shared" si="374"/>
        <v>#N/A</v>
      </c>
      <c r="AL1331" s="10">
        <v>6.875</v>
      </c>
      <c r="AM1331" s="3">
        <f t="shared" si="375"/>
        <v>180574.35654999997</v>
      </c>
      <c r="AN1331">
        <v>6.875</v>
      </c>
      <c r="AO1331" s="7">
        <f t="shared" si="376"/>
        <v>1261.4842935152783</v>
      </c>
      <c r="AP1331" s="2">
        <f t="shared" si="377"/>
        <v>-88.734293515278296</v>
      </c>
    </row>
    <row r="1332" spans="1:42" x14ac:dyDescent="0.15">
      <c r="A1332" s="8">
        <v>1172610</v>
      </c>
      <c r="B1332" t="s">
        <v>37</v>
      </c>
      <c r="C1332" t="s">
        <v>19</v>
      </c>
      <c r="D1332" s="1">
        <v>39181</v>
      </c>
      <c r="E1332" s="2">
        <v>80000</v>
      </c>
      <c r="F1332" s="2">
        <v>71300</v>
      </c>
      <c r="G1332" t="s">
        <v>17</v>
      </c>
      <c r="H1332" s="2">
        <v>549.42999999999995</v>
      </c>
      <c r="I1332" s="2">
        <v>71227.8</v>
      </c>
      <c r="J1332">
        <v>9.1499999999999998E-2</v>
      </c>
      <c r="K1332">
        <v>12</v>
      </c>
      <c r="L1332">
        <v>348</v>
      </c>
      <c r="M1332" t="str">
        <f t="shared" si="363"/>
        <v>30 Year Fixed</v>
      </c>
      <c r="N1332" s="2">
        <v>543.11</v>
      </c>
      <c r="O1332" t="str">
        <f t="shared" si="360"/>
        <v>Refi</v>
      </c>
      <c r="P1332" s="3">
        <f t="shared" si="364"/>
        <v>0</v>
      </c>
      <c r="Q1332" s="4">
        <v>72296</v>
      </c>
      <c r="R1332" s="4" t="s">
        <v>41</v>
      </c>
      <c r="S1332" s="6">
        <v>611</v>
      </c>
      <c r="T1332">
        <v>7</v>
      </c>
      <c r="U1332" s="7">
        <f t="shared" si="361"/>
        <v>511.11042524807522</v>
      </c>
      <c r="V1332" s="2">
        <f t="shared" si="365"/>
        <v>38.319574751924733</v>
      </c>
      <c r="W1332" s="9">
        <f t="shared" si="366"/>
        <v>0</v>
      </c>
      <c r="X1332" s="3">
        <v>72296</v>
      </c>
      <c r="Y1332" s="3">
        <f t="shared" si="367"/>
        <v>-0.21379310343763791</v>
      </c>
      <c r="Z1332" s="7">
        <f t="shared" si="368"/>
        <v>511.11042524807522</v>
      </c>
      <c r="AA1332" s="2">
        <f t="shared" si="362"/>
        <v>38.319574751924733</v>
      </c>
      <c r="AB1332" s="8">
        <f t="shared" si="369"/>
        <v>1</v>
      </c>
      <c r="AC1332" s="10">
        <v>6.25</v>
      </c>
      <c r="AD1332" s="7">
        <f t="shared" si="370"/>
        <v>475.26224055359882</v>
      </c>
      <c r="AE1332" s="2">
        <f t="shared" si="371"/>
        <v>74.167759446401135</v>
      </c>
      <c r="AF1332" s="10">
        <v>2.75</v>
      </c>
      <c r="AG1332" s="3">
        <f t="shared" si="372"/>
        <v>1988.14</v>
      </c>
      <c r="AH1332" s="7">
        <v>0</v>
      </c>
      <c r="AI1332">
        <f t="shared" si="373"/>
        <v>360</v>
      </c>
      <c r="AJ1332" t="e">
        <f>VLOOKUP(A1332,'Borrower Details'!$A$1:$H$1493,8,FALSE)</f>
        <v>#N/A</v>
      </c>
      <c r="AK1332" s="4" t="e">
        <f t="shared" si="374"/>
        <v>#N/A</v>
      </c>
      <c r="AL1332" s="10">
        <v>7</v>
      </c>
      <c r="AM1332" s="3">
        <f t="shared" si="375"/>
        <v>72296.21699999999</v>
      </c>
      <c r="AN1332">
        <v>7</v>
      </c>
      <c r="AO1332" s="7">
        <f t="shared" si="376"/>
        <v>511.11195937115633</v>
      </c>
      <c r="AP1332" s="2">
        <f t="shared" si="377"/>
        <v>38.318040628843619</v>
      </c>
    </row>
    <row r="1333" spans="1:42" x14ac:dyDescent="0.15">
      <c r="A1333" s="8">
        <v>1151952</v>
      </c>
      <c r="B1333" t="s">
        <v>36</v>
      </c>
      <c r="C1333" t="s">
        <v>19</v>
      </c>
      <c r="D1333" s="1">
        <v>39140</v>
      </c>
      <c r="E1333" s="2">
        <v>210000</v>
      </c>
      <c r="F1333" s="2">
        <v>160500</v>
      </c>
      <c r="G1333" t="s">
        <v>17</v>
      </c>
      <c r="H1333" s="2">
        <v>1127.74</v>
      </c>
      <c r="I1333" s="2">
        <v>158739.73000000001</v>
      </c>
      <c r="J1333">
        <v>7.5499999999999998E-2</v>
      </c>
      <c r="K1333">
        <v>14</v>
      </c>
      <c r="L1333">
        <v>346</v>
      </c>
      <c r="M1333" t="str">
        <f t="shared" si="363"/>
        <v>30 Year Fixed</v>
      </c>
      <c r="N1333" s="2">
        <v>998.74</v>
      </c>
      <c r="O1333" t="str">
        <f t="shared" si="360"/>
        <v>Cash Out</v>
      </c>
      <c r="P1333" s="3">
        <f t="shared" si="364"/>
        <v>17122.338965517236</v>
      </c>
      <c r="Q1333" s="4">
        <v>178500</v>
      </c>
      <c r="R1333" s="4" t="s">
        <v>41</v>
      </c>
      <c r="S1333" s="6">
        <v>579</v>
      </c>
      <c r="T1333">
        <v>7.625</v>
      </c>
      <c r="U1333" s="7">
        <f t="shared" si="361"/>
        <v>1337.786837243026</v>
      </c>
      <c r="V1333" s="2">
        <f t="shared" si="365"/>
        <v>-210.04683724302595</v>
      </c>
      <c r="W1333" s="9">
        <f t="shared" si="366"/>
        <v>1</v>
      </c>
      <c r="X1333" s="3">
        <v>161121</v>
      </c>
      <c r="Y1333" s="3">
        <f t="shared" si="367"/>
        <v>0.17147783251130022</v>
      </c>
      <c r="Z1333" s="7">
        <f t="shared" si="368"/>
        <v>1207.5381120640536</v>
      </c>
      <c r="AA1333" s="2">
        <f t="shared" si="362"/>
        <v>-79.798112064053612</v>
      </c>
      <c r="AB1333" s="8">
        <f t="shared" si="369"/>
        <v>1</v>
      </c>
      <c r="AC1333" s="10">
        <v>6.875</v>
      </c>
      <c r="AD1333" s="7">
        <f t="shared" si="370"/>
        <v>1125.5840238821286</v>
      </c>
      <c r="AE1333" s="2">
        <f t="shared" si="371"/>
        <v>2.1559761178714325</v>
      </c>
      <c r="AF1333" s="10">
        <v>1</v>
      </c>
      <c r="AG1333" s="3">
        <f t="shared" si="372"/>
        <v>1611.21</v>
      </c>
      <c r="AH1333" s="7">
        <v>3210</v>
      </c>
      <c r="AI1333">
        <f t="shared" si="373"/>
        <v>360</v>
      </c>
      <c r="AJ1333" t="e">
        <f>VLOOKUP(A1333,'Borrower Details'!$A$1:$H$1493,8,FALSE)</f>
        <v>#N/A</v>
      </c>
      <c r="AK1333" s="4" t="e">
        <f t="shared" si="374"/>
        <v>#N/A</v>
      </c>
      <c r="AL1333" s="10">
        <v>7.625</v>
      </c>
      <c r="AM1333" s="3">
        <f t="shared" si="375"/>
        <v>161120.82595</v>
      </c>
      <c r="AN1333">
        <v>7.625</v>
      </c>
      <c r="AO1333" s="7">
        <f t="shared" si="376"/>
        <v>1207.5368076282048</v>
      </c>
      <c r="AP1333" s="2">
        <f t="shared" si="377"/>
        <v>-79.79680762820476</v>
      </c>
    </row>
    <row r="1334" spans="1:42" x14ac:dyDescent="0.15">
      <c r="A1334" s="8">
        <v>410755532</v>
      </c>
      <c r="B1334" t="s">
        <v>37</v>
      </c>
      <c r="C1334" t="s">
        <v>16</v>
      </c>
      <c r="D1334" s="1">
        <v>39316</v>
      </c>
      <c r="E1334" s="2">
        <v>139000</v>
      </c>
      <c r="F1334" s="2">
        <v>104250</v>
      </c>
      <c r="G1334" t="s">
        <v>17</v>
      </c>
      <c r="H1334" s="2">
        <v>790.81</v>
      </c>
      <c r="I1334" s="2">
        <v>104156.27</v>
      </c>
      <c r="J1334">
        <v>0.09</v>
      </c>
      <c r="K1334">
        <v>8</v>
      </c>
      <c r="L1334">
        <v>352</v>
      </c>
      <c r="M1334" t="str">
        <f t="shared" si="363"/>
        <v>30 Year Fixed</v>
      </c>
      <c r="N1334" s="2">
        <v>781.17</v>
      </c>
      <c r="O1334" t="str">
        <f t="shared" si="360"/>
        <v>Cash Out</v>
      </c>
      <c r="P1334" s="3">
        <f t="shared" si="364"/>
        <v>12247.670886699518</v>
      </c>
      <c r="Q1334" s="4">
        <v>118150</v>
      </c>
      <c r="R1334" s="4" t="s">
        <v>41</v>
      </c>
      <c r="S1334" s="6">
        <v>598</v>
      </c>
      <c r="T1334">
        <v>7.375</v>
      </c>
      <c r="U1334" s="7">
        <f t="shared" si="361"/>
        <v>865.26185355292125</v>
      </c>
      <c r="V1334" s="2">
        <f t="shared" si="365"/>
        <v>-74.451853552921307</v>
      </c>
      <c r="W1334" s="9">
        <f t="shared" si="366"/>
        <v>1</v>
      </c>
      <c r="X1334" s="3">
        <v>107910</v>
      </c>
      <c r="Y1334" s="3">
        <f t="shared" si="367"/>
        <v>2159.0009359605901</v>
      </c>
      <c r="Z1334" s="7">
        <f t="shared" si="368"/>
        <v>790.27005177228716</v>
      </c>
      <c r="AA1334" s="2">
        <f t="shared" si="362"/>
        <v>0.5399482277127845</v>
      </c>
      <c r="AB1334" s="8">
        <f t="shared" si="369"/>
        <v>1</v>
      </c>
      <c r="AC1334" s="10">
        <v>6.375</v>
      </c>
      <c r="AD1334" s="7">
        <f t="shared" si="370"/>
        <v>718.18050782652472</v>
      </c>
      <c r="AE1334" s="2">
        <f t="shared" si="371"/>
        <v>72.629492173475228</v>
      </c>
      <c r="AF1334" s="10">
        <v>2.625</v>
      </c>
      <c r="AG1334" s="3">
        <f t="shared" si="372"/>
        <v>2832.6374999999998</v>
      </c>
      <c r="AH1334" s="7">
        <v>0</v>
      </c>
      <c r="AI1334">
        <f t="shared" si="373"/>
        <v>360</v>
      </c>
      <c r="AJ1334" t="e">
        <f>VLOOKUP(A1334,'Borrower Details'!$A$1:$H$1493,8,FALSE)</f>
        <v>#N/A</v>
      </c>
      <c r="AK1334" s="4" t="e">
        <f t="shared" si="374"/>
        <v>#N/A</v>
      </c>
      <c r="AL1334" s="10">
        <v>7.375</v>
      </c>
      <c r="AM1334" s="3">
        <f t="shared" si="375"/>
        <v>105718.61404999999</v>
      </c>
      <c r="AN1334">
        <v>7.375</v>
      </c>
      <c r="AO1334" s="7">
        <f t="shared" si="376"/>
        <v>774.22161614853064</v>
      </c>
      <c r="AP1334" s="2">
        <f t="shared" si="377"/>
        <v>16.588383851469302</v>
      </c>
    </row>
    <row r="1335" spans="1:42" x14ac:dyDescent="0.15">
      <c r="A1335" s="8">
        <v>410785448</v>
      </c>
      <c r="B1335" t="s">
        <v>36</v>
      </c>
      <c r="C1335" t="s">
        <v>16</v>
      </c>
      <c r="D1335" s="1">
        <v>39323</v>
      </c>
      <c r="E1335" s="2">
        <v>181000</v>
      </c>
      <c r="F1335" s="2">
        <v>115000</v>
      </c>
      <c r="G1335" t="s">
        <v>17</v>
      </c>
      <c r="H1335" s="2">
        <v>761.04</v>
      </c>
      <c r="I1335" s="2">
        <v>114692.73</v>
      </c>
      <c r="J1335">
        <v>7.5499999999999998E-2</v>
      </c>
      <c r="K1335">
        <v>8</v>
      </c>
      <c r="L1335">
        <v>352</v>
      </c>
      <c r="M1335" t="str">
        <f t="shared" si="363"/>
        <v>30 Year Fixed</v>
      </c>
      <c r="N1335" s="2">
        <v>721.61</v>
      </c>
      <c r="O1335" t="str">
        <f t="shared" si="360"/>
        <v>Cash Out</v>
      </c>
      <c r="P1335" s="3">
        <f t="shared" si="364"/>
        <v>36883.624679802961</v>
      </c>
      <c r="Q1335" s="4">
        <v>153850</v>
      </c>
      <c r="R1335" s="4" t="s">
        <v>41</v>
      </c>
      <c r="S1335" s="6">
        <v>583</v>
      </c>
      <c r="T1335">
        <v>7.375</v>
      </c>
      <c r="U1335" s="7">
        <f t="shared" si="361"/>
        <v>1126.7078812451709</v>
      </c>
      <c r="V1335" s="2">
        <f t="shared" si="365"/>
        <v>-365.66788124517097</v>
      </c>
      <c r="W1335" s="9">
        <f t="shared" si="366"/>
        <v>1</v>
      </c>
      <c r="X1335" s="3">
        <v>116413</v>
      </c>
      <c r="Y1335" s="3">
        <f t="shared" si="367"/>
        <v>-0.11916256156109739</v>
      </c>
      <c r="Z1335" s="7">
        <f t="shared" si="368"/>
        <v>852.54107623915547</v>
      </c>
      <c r="AA1335" s="2">
        <f t="shared" si="362"/>
        <v>-91.501076239155509</v>
      </c>
      <c r="AB1335" s="8">
        <f t="shared" si="369"/>
        <v>1</v>
      </c>
      <c r="AC1335" s="10">
        <v>6.625</v>
      </c>
      <c r="AD1335" s="7">
        <f t="shared" si="370"/>
        <v>793.91061578304334</v>
      </c>
      <c r="AE1335" s="2">
        <f t="shared" si="371"/>
        <v>-32.870615783043377</v>
      </c>
      <c r="AF1335" s="10">
        <v>1.875</v>
      </c>
      <c r="AG1335" s="3">
        <f t="shared" si="372"/>
        <v>2182.7437500000001</v>
      </c>
      <c r="AH1335" s="7">
        <v>2300</v>
      </c>
      <c r="AI1335">
        <f t="shared" si="373"/>
        <v>360</v>
      </c>
      <c r="AJ1335" t="e">
        <f>VLOOKUP(A1335,'Borrower Details'!$A$1:$H$1493,8,FALSE)</f>
        <v>#N/A</v>
      </c>
      <c r="AK1335" s="4" t="e">
        <f t="shared" si="374"/>
        <v>#N/A</v>
      </c>
      <c r="AL1335" s="10">
        <v>7.375</v>
      </c>
      <c r="AM1335" s="3">
        <f t="shared" si="375"/>
        <v>116413.12094999998</v>
      </c>
      <c r="AN1335">
        <v>7.375</v>
      </c>
      <c r="AO1335" s="7">
        <f t="shared" si="376"/>
        <v>852.54196200657975</v>
      </c>
      <c r="AP1335" s="2">
        <f t="shared" si="377"/>
        <v>-91.501962006579788</v>
      </c>
    </row>
    <row r="1336" spans="1:42" x14ac:dyDescent="0.15">
      <c r="A1336" s="8">
        <v>410504500</v>
      </c>
      <c r="B1336" t="s">
        <v>35</v>
      </c>
      <c r="C1336" t="s">
        <v>16</v>
      </c>
      <c r="D1336" s="1">
        <v>39260</v>
      </c>
      <c r="E1336" s="2">
        <v>107000</v>
      </c>
      <c r="F1336" s="2">
        <v>101650</v>
      </c>
      <c r="G1336" t="s">
        <v>17</v>
      </c>
      <c r="H1336" s="2">
        <v>799.78</v>
      </c>
      <c r="I1336" s="2">
        <v>101435.9</v>
      </c>
      <c r="J1336">
        <v>9.1999999999999998E-2</v>
      </c>
      <c r="K1336">
        <v>10</v>
      </c>
      <c r="L1336">
        <v>350</v>
      </c>
      <c r="M1336" t="str">
        <f t="shared" si="363"/>
        <v>30 Year Fixed</v>
      </c>
      <c r="N1336" s="2">
        <v>777.68</v>
      </c>
      <c r="O1336" t="str">
        <f t="shared" si="360"/>
        <v>Refi</v>
      </c>
      <c r="P1336" s="3">
        <f t="shared" si="364"/>
        <v>0</v>
      </c>
      <c r="Q1336" s="4">
        <v>102957</v>
      </c>
      <c r="R1336" s="4" t="s">
        <v>41</v>
      </c>
      <c r="S1336" s="6">
        <v>656</v>
      </c>
      <c r="T1336">
        <v>6.75</v>
      </c>
      <c r="U1336" s="7">
        <f t="shared" si="361"/>
        <v>710.67589228373583</v>
      </c>
      <c r="V1336" s="2">
        <f t="shared" si="365"/>
        <v>89.104107716264139</v>
      </c>
      <c r="W1336" s="9">
        <f t="shared" si="366"/>
        <v>0</v>
      </c>
      <c r="X1336" s="3">
        <v>102958</v>
      </c>
      <c r="Y1336" s="3">
        <f t="shared" si="367"/>
        <v>0.55320197045512032</v>
      </c>
      <c r="Z1336" s="7">
        <f t="shared" si="368"/>
        <v>710.68279493136822</v>
      </c>
      <c r="AA1336" s="2">
        <f t="shared" si="362"/>
        <v>89.097205068631752</v>
      </c>
      <c r="AB1336" s="8">
        <f t="shared" si="369"/>
        <v>0</v>
      </c>
      <c r="AC1336" s="10">
        <v>6.75</v>
      </c>
      <c r="AD1336" s="7">
        <f t="shared" si="370"/>
        <v>710.68279493136822</v>
      </c>
      <c r="AE1336" s="2">
        <f t="shared" si="371"/>
        <v>89.097205068631752</v>
      </c>
      <c r="AF1336" s="10">
        <v>0</v>
      </c>
      <c r="AG1336" s="3">
        <f t="shared" si="372"/>
        <v>0</v>
      </c>
      <c r="AH1336" s="7">
        <v>4675.8999999999996</v>
      </c>
      <c r="AI1336">
        <f t="shared" si="373"/>
        <v>360</v>
      </c>
      <c r="AJ1336" t="e">
        <f>VLOOKUP(A1336,'Borrower Details'!$A$1:$H$1493,8,FALSE)</f>
        <v>#N/A</v>
      </c>
      <c r="AK1336" s="4" t="e">
        <f t="shared" si="374"/>
        <v>#N/A</v>
      </c>
      <c r="AL1336" s="10">
        <v>6.75</v>
      </c>
      <c r="AM1336" s="3">
        <f t="shared" si="375"/>
        <v>102957.43849999999</v>
      </c>
      <c r="AN1336">
        <v>6.75</v>
      </c>
      <c r="AO1336" s="7">
        <f t="shared" si="376"/>
        <v>710.67891909472257</v>
      </c>
      <c r="AP1336" s="2">
        <f t="shared" si="377"/>
        <v>89.101080905277399</v>
      </c>
    </row>
    <row r="1337" spans="1:42" x14ac:dyDescent="0.15">
      <c r="A1337" s="8">
        <v>411147994</v>
      </c>
      <c r="B1337" t="s">
        <v>38</v>
      </c>
      <c r="C1337" t="s">
        <v>16</v>
      </c>
      <c r="D1337" s="1">
        <v>39419</v>
      </c>
      <c r="E1337" s="2">
        <v>350000</v>
      </c>
      <c r="F1337" s="2">
        <v>280000</v>
      </c>
      <c r="G1337" t="s">
        <v>17</v>
      </c>
      <c r="H1337" s="2">
        <v>2498.69</v>
      </c>
      <c r="I1337" s="2">
        <v>279393.68</v>
      </c>
      <c r="J1337">
        <v>0.10199999999999999</v>
      </c>
      <c r="K1337">
        <v>5</v>
      </c>
      <c r="L1337">
        <v>355</v>
      </c>
      <c r="M1337" t="str">
        <f t="shared" si="363"/>
        <v>30 Year Fixed</v>
      </c>
      <c r="N1337" s="2">
        <v>2374.85</v>
      </c>
      <c r="O1337" t="str">
        <f t="shared" si="360"/>
        <v>Cash Out</v>
      </c>
      <c r="P1337" s="3">
        <f t="shared" si="364"/>
        <v>13709.768275862094</v>
      </c>
      <c r="Q1337" s="4">
        <v>297500</v>
      </c>
      <c r="R1337" s="4" t="s">
        <v>41</v>
      </c>
      <c r="S1337" s="6">
        <v>544</v>
      </c>
      <c r="T1337">
        <v>7.625</v>
      </c>
      <c r="U1337" s="7">
        <f t="shared" si="361"/>
        <v>2229.6447287383767</v>
      </c>
      <c r="V1337" s="2">
        <f t="shared" si="365"/>
        <v>269.04527126162338</v>
      </c>
      <c r="W1337" s="9">
        <f t="shared" si="366"/>
        <v>0</v>
      </c>
      <c r="X1337" s="3">
        <v>297500</v>
      </c>
      <c r="Y1337" s="3">
        <f t="shared" si="367"/>
        <v>13709.768275862094</v>
      </c>
      <c r="Z1337" s="7">
        <f t="shared" si="368"/>
        <v>2229.6447287383767</v>
      </c>
      <c r="AA1337" s="2">
        <f t="shared" si="362"/>
        <v>269.04527126162338</v>
      </c>
      <c r="AB1337" s="8">
        <f t="shared" si="369"/>
        <v>0</v>
      </c>
      <c r="AC1337" s="10">
        <v>7.625</v>
      </c>
      <c r="AD1337" s="7">
        <f t="shared" si="370"/>
        <v>2229.6447287383767</v>
      </c>
      <c r="AE1337" s="2">
        <f t="shared" si="371"/>
        <v>269.04527126162338</v>
      </c>
      <c r="AF1337" s="10">
        <v>0</v>
      </c>
      <c r="AG1337" s="3">
        <f t="shared" si="372"/>
        <v>0</v>
      </c>
      <c r="AH1337" s="7">
        <v>2800</v>
      </c>
      <c r="AI1337">
        <f t="shared" si="373"/>
        <v>360</v>
      </c>
      <c r="AJ1337" t="e">
        <f>VLOOKUP(A1337,'Borrower Details'!$A$1:$H$1493,8,FALSE)</f>
        <v>#N/A</v>
      </c>
      <c r="AK1337" s="4" t="e">
        <f t="shared" si="374"/>
        <v>#N/A</v>
      </c>
      <c r="AL1337" s="10">
        <v>7.625</v>
      </c>
      <c r="AM1337" s="3">
        <f t="shared" si="375"/>
        <v>283584.58519999997</v>
      </c>
      <c r="AN1337">
        <v>7.625</v>
      </c>
      <c r="AO1337" s="7">
        <f t="shared" si="376"/>
        <v>2125.3542035046689</v>
      </c>
      <c r="AP1337" s="2">
        <f t="shared" si="377"/>
        <v>373.33579649533112</v>
      </c>
    </row>
    <row r="1338" spans="1:42" x14ac:dyDescent="0.15">
      <c r="A1338" s="8">
        <v>1175545</v>
      </c>
      <c r="B1338" t="s">
        <v>36</v>
      </c>
      <c r="C1338" t="s">
        <v>19</v>
      </c>
      <c r="D1338" s="1">
        <v>39181</v>
      </c>
      <c r="E1338" s="2">
        <v>153000</v>
      </c>
      <c r="F1338" s="2">
        <v>126000</v>
      </c>
      <c r="G1338" t="s">
        <v>15</v>
      </c>
      <c r="H1338" s="2">
        <v>968.84</v>
      </c>
      <c r="I1338" s="2">
        <v>125211.65</v>
      </c>
      <c r="J1338">
        <v>8.5000000000000006E-2</v>
      </c>
      <c r="K1338">
        <v>12</v>
      </c>
      <c r="L1338">
        <v>350</v>
      </c>
      <c r="M1338" t="str">
        <f t="shared" si="363"/>
        <v>30 Year Fixed</v>
      </c>
      <c r="N1338" s="2">
        <v>886.92</v>
      </c>
      <c r="O1338" t="str">
        <f t="shared" si="360"/>
        <v>Cash Out</v>
      </c>
      <c r="P1338" s="3">
        <f t="shared" si="364"/>
        <v>2916.4288177340059</v>
      </c>
      <c r="Q1338" s="4">
        <v>130050</v>
      </c>
      <c r="R1338" s="4" t="s">
        <v>41</v>
      </c>
      <c r="S1338" s="6">
        <v>561</v>
      </c>
      <c r="T1338">
        <v>7.625</v>
      </c>
      <c r="U1338" s="7">
        <f t="shared" si="361"/>
        <v>974.67326713420459</v>
      </c>
      <c r="V1338" s="2">
        <f t="shared" si="365"/>
        <v>-5.8332671342045614</v>
      </c>
      <c r="W1338" s="9">
        <f t="shared" si="366"/>
        <v>1</v>
      </c>
      <c r="X1338" s="3">
        <v>129200</v>
      </c>
      <c r="Y1338" s="3">
        <f t="shared" si="367"/>
        <v>2078.990394088687</v>
      </c>
      <c r="Z1338" s="7">
        <f t="shared" si="368"/>
        <v>968.30285362352356</v>
      </c>
      <c r="AA1338" s="2">
        <f t="shared" si="362"/>
        <v>0.53714637647647123</v>
      </c>
      <c r="AB1338" s="8">
        <f t="shared" si="369"/>
        <v>1</v>
      </c>
      <c r="AC1338" s="10">
        <v>6.875</v>
      </c>
      <c r="AD1338" s="7">
        <f t="shared" si="370"/>
        <v>902.58536060210042</v>
      </c>
      <c r="AE1338" s="2">
        <f t="shared" si="371"/>
        <v>66.254639397899609</v>
      </c>
      <c r="AF1338" s="10">
        <v>1</v>
      </c>
      <c r="AG1338" s="3">
        <f t="shared" si="372"/>
        <v>1292</v>
      </c>
      <c r="AH1338" s="7">
        <v>2520</v>
      </c>
      <c r="AI1338">
        <f t="shared" si="373"/>
        <v>360</v>
      </c>
      <c r="AJ1338" t="e">
        <f>VLOOKUP(A1338,'Borrower Details'!$A$1:$H$1493,8,FALSE)</f>
        <v>#N/A</v>
      </c>
      <c r="AK1338" s="4" t="e">
        <f t="shared" si="374"/>
        <v>#N/A</v>
      </c>
      <c r="AL1338" s="10">
        <v>7.625</v>
      </c>
      <c r="AM1338" s="3">
        <f t="shared" si="375"/>
        <v>127089.82474999999</v>
      </c>
      <c r="AN1338">
        <v>7.625</v>
      </c>
      <c r="AO1338" s="7">
        <f t="shared" si="376"/>
        <v>952.48792547940002</v>
      </c>
      <c r="AP1338" s="2">
        <f t="shared" si="377"/>
        <v>16.352074520600013</v>
      </c>
    </row>
    <row r="1339" spans="1:42" x14ac:dyDescent="0.15">
      <c r="A1339" s="8">
        <v>410168520</v>
      </c>
      <c r="B1339" t="s">
        <v>35</v>
      </c>
      <c r="C1339" t="s">
        <v>16</v>
      </c>
      <c r="D1339" s="1">
        <v>39213</v>
      </c>
      <c r="E1339" s="2">
        <v>97000</v>
      </c>
      <c r="F1339" s="2">
        <v>92150</v>
      </c>
      <c r="G1339" t="s">
        <v>17</v>
      </c>
      <c r="H1339" s="2">
        <v>802.62</v>
      </c>
      <c r="I1339" s="2">
        <v>90294.41</v>
      </c>
      <c r="J1339">
        <v>8.5500000000000007E-2</v>
      </c>
      <c r="K1339">
        <v>11</v>
      </c>
      <c r="L1339">
        <v>228</v>
      </c>
      <c r="M1339" t="str">
        <f t="shared" si="363"/>
        <v>30 Year Fixed</v>
      </c>
      <c r="N1339" s="2">
        <v>643.35</v>
      </c>
      <c r="O1339" t="str">
        <f t="shared" si="360"/>
        <v>Refi</v>
      </c>
      <c r="P1339" s="3">
        <f t="shared" si="364"/>
        <v>0</v>
      </c>
      <c r="Q1339" s="4">
        <v>91649</v>
      </c>
      <c r="R1339" s="4" t="s">
        <v>41</v>
      </c>
      <c r="S1339" s="6">
        <v>623</v>
      </c>
      <c r="T1339">
        <v>6.875</v>
      </c>
      <c r="U1339" s="7">
        <f t="shared" si="361"/>
        <v>640.25577177880734</v>
      </c>
      <c r="V1339" s="2">
        <f t="shared" si="365"/>
        <v>162.36422822119266</v>
      </c>
      <c r="W1339" s="9">
        <f t="shared" si="366"/>
        <v>0</v>
      </c>
      <c r="X1339" s="3">
        <v>91649</v>
      </c>
      <c r="Y1339" s="3">
        <f t="shared" si="367"/>
        <v>0.17128078818495851</v>
      </c>
      <c r="Z1339" s="7">
        <f t="shared" si="368"/>
        <v>640.25577177880734</v>
      </c>
      <c r="AA1339" s="2">
        <f t="shared" si="362"/>
        <v>162.36422822119266</v>
      </c>
      <c r="AB1339" s="8">
        <f t="shared" si="369"/>
        <v>0</v>
      </c>
      <c r="AC1339" s="10">
        <v>6.875</v>
      </c>
      <c r="AD1339" s="7">
        <f t="shared" si="370"/>
        <v>640.25577177880734</v>
      </c>
      <c r="AE1339" s="2">
        <f t="shared" si="371"/>
        <v>162.36422822119266</v>
      </c>
      <c r="AF1339" s="10">
        <v>0</v>
      </c>
      <c r="AG1339" s="3">
        <f t="shared" si="372"/>
        <v>0</v>
      </c>
      <c r="AH1339" s="7">
        <v>3939.4125000000004</v>
      </c>
      <c r="AI1339">
        <f t="shared" si="373"/>
        <v>360</v>
      </c>
      <c r="AJ1339" t="e">
        <f>VLOOKUP(A1339,'Borrower Details'!$A$1:$H$1493,8,FALSE)</f>
        <v>#N/A</v>
      </c>
      <c r="AK1339" s="4" t="e">
        <f t="shared" si="374"/>
        <v>#N/A</v>
      </c>
      <c r="AL1339" s="10">
        <v>6.875</v>
      </c>
      <c r="AM1339" s="3">
        <f t="shared" si="375"/>
        <v>91648.826149999994</v>
      </c>
      <c r="AN1339">
        <v>6.875</v>
      </c>
      <c r="AO1339" s="7">
        <f t="shared" si="376"/>
        <v>640.25455727056465</v>
      </c>
      <c r="AP1339" s="2">
        <f t="shared" si="377"/>
        <v>162.36544272943536</v>
      </c>
    </row>
    <row r="1340" spans="1:42" x14ac:dyDescent="0.15">
      <c r="A1340" s="8">
        <v>410739338</v>
      </c>
      <c r="B1340" t="s">
        <v>35</v>
      </c>
      <c r="C1340" t="s">
        <v>16</v>
      </c>
      <c r="D1340" s="1">
        <v>39301</v>
      </c>
      <c r="E1340" s="2">
        <v>200000</v>
      </c>
      <c r="F1340" s="2">
        <v>180000</v>
      </c>
      <c r="G1340" t="s">
        <v>20</v>
      </c>
      <c r="H1340" s="2">
        <v>1653.27</v>
      </c>
      <c r="I1340" s="2">
        <v>179416.11</v>
      </c>
      <c r="J1340">
        <v>0.1055</v>
      </c>
      <c r="K1340">
        <v>8</v>
      </c>
      <c r="L1340">
        <v>352</v>
      </c>
      <c r="M1340" t="str">
        <f t="shared" si="363"/>
        <v>30 Year Fixed</v>
      </c>
      <c r="N1340" s="2">
        <v>1577.37</v>
      </c>
      <c r="O1340" t="str">
        <f t="shared" si="360"/>
        <v>Refi</v>
      </c>
      <c r="P1340" s="3">
        <f t="shared" si="364"/>
        <v>0</v>
      </c>
      <c r="Q1340" s="4">
        <v>182107</v>
      </c>
      <c r="R1340" s="4" t="s">
        <v>41</v>
      </c>
      <c r="S1340" s="6">
        <v>597</v>
      </c>
      <c r="T1340">
        <v>7.375</v>
      </c>
      <c r="U1340" s="7">
        <f t="shared" si="361"/>
        <v>1333.6457077017506</v>
      </c>
      <c r="V1340" s="2">
        <f t="shared" si="365"/>
        <v>319.62429229824943</v>
      </c>
      <c r="W1340" s="9">
        <f t="shared" si="366"/>
        <v>0</v>
      </c>
      <c r="X1340" s="3">
        <v>182107</v>
      </c>
      <c r="Y1340" s="3">
        <f t="shared" si="367"/>
        <v>-0.34645320192794316</v>
      </c>
      <c r="Z1340" s="7">
        <f t="shared" si="368"/>
        <v>1333.6457077017506</v>
      </c>
      <c r="AA1340" s="2">
        <f t="shared" si="362"/>
        <v>319.62429229824943</v>
      </c>
      <c r="AB1340" s="8">
        <f t="shared" si="369"/>
        <v>0</v>
      </c>
      <c r="AC1340" s="10">
        <v>7.375</v>
      </c>
      <c r="AD1340" s="7">
        <f t="shared" si="370"/>
        <v>1333.6457077017506</v>
      </c>
      <c r="AE1340" s="2">
        <f t="shared" si="371"/>
        <v>319.62429229824943</v>
      </c>
      <c r="AF1340" s="10">
        <v>0</v>
      </c>
      <c r="AG1340" s="3">
        <f t="shared" si="372"/>
        <v>0</v>
      </c>
      <c r="AH1340" s="7">
        <v>9495</v>
      </c>
      <c r="AI1340">
        <f t="shared" si="373"/>
        <v>360</v>
      </c>
      <c r="AJ1340" t="e">
        <f>VLOOKUP(A1340,'Borrower Details'!$A$1:$H$1493,8,FALSE)</f>
        <v>#N/A</v>
      </c>
      <c r="AK1340" s="4" t="e">
        <f t="shared" si="374"/>
        <v>#N/A</v>
      </c>
      <c r="AL1340" s="10">
        <v>7.375</v>
      </c>
      <c r="AM1340" s="3">
        <f t="shared" si="375"/>
        <v>182107.35164999997</v>
      </c>
      <c r="AN1340">
        <v>7.375</v>
      </c>
      <c r="AO1340" s="7">
        <f t="shared" si="376"/>
        <v>1333.6482829817403</v>
      </c>
      <c r="AP1340" s="2">
        <f t="shared" si="377"/>
        <v>319.62171701825969</v>
      </c>
    </row>
    <row r="1341" spans="1:42" x14ac:dyDescent="0.15">
      <c r="A1341" s="8">
        <v>410518138</v>
      </c>
      <c r="B1341" t="s">
        <v>36</v>
      </c>
      <c r="C1341" t="s">
        <v>18</v>
      </c>
      <c r="D1341" s="1">
        <v>39268</v>
      </c>
      <c r="E1341" s="2">
        <v>195000</v>
      </c>
      <c r="F1341" s="2">
        <v>145500</v>
      </c>
      <c r="G1341" t="s">
        <v>17</v>
      </c>
      <c r="H1341" s="2">
        <v>1066.6199999999999</v>
      </c>
      <c r="I1341" s="2">
        <v>144470.82999999999</v>
      </c>
      <c r="J1341">
        <v>7.9899999999999999E-2</v>
      </c>
      <c r="K1341">
        <v>9</v>
      </c>
      <c r="L1341">
        <v>351</v>
      </c>
      <c r="M1341" t="str">
        <f t="shared" si="363"/>
        <v>30 Year Fixed</v>
      </c>
      <c r="N1341" s="2">
        <v>961.93</v>
      </c>
      <c r="O1341" t="str">
        <f t="shared" si="360"/>
        <v>Cash Out</v>
      </c>
      <c r="P1341" s="3">
        <f t="shared" si="364"/>
        <v>18829.662610837462</v>
      </c>
      <c r="Q1341" s="4">
        <v>165750</v>
      </c>
      <c r="R1341" s="4" t="s">
        <v>41</v>
      </c>
      <c r="S1341" s="6">
        <v>595</v>
      </c>
      <c r="T1341">
        <v>7.375</v>
      </c>
      <c r="U1341" s="7">
        <f t="shared" si="361"/>
        <v>1213.8565571425875</v>
      </c>
      <c r="V1341" s="2">
        <f t="shared" si="365"/>
        <v>-147.23655714258757</v>
      </c>
      <c r="W1341" s="9">
        <f t="shared" si="366"/>
        <v>1</v>
      </c>
      <c r="X1341" s="3">
        <v>146638</v>
      </c>
      <c r="Y1341" s="3">
        <f t="shared" si="367"/>
        <v>0.10596059117233381</v>
      </c>
      <c r="Z1341" s="7">
        <f t="shared" si="368"/>
        <v>1073.8913896004508</v>
      </c>
      <c r="AA1341" s="2">
        <f t="shared" si="362"/>
        <v>-7.2713896004509024</v>
      </c>
      <c r="AB1341" s="8">
        <f t="shared" si="369"/>
        <v>1</v>
      </c>
      <c r="AC1341" s="10">
        <v>6.625</v>
      </c>
      <c r="AD1341" s="7">
        <f t="shared" si="370"/>
        <v>1000.0383537679977</v>
      </c>
      <c r="AE1341" s="2">
        <f t="shared" si="371"/>
        <v>66.581646232002186</v>
      </c>
      <c r="AF1341" s="10">
        <v>1.875</v>
      </c>
      <c r="AG1341" s="3">
        <f t="shared" si="372"/>
        <v>2749.4625000000001</v>
      </c>
      <c r="AH1341" s="7">
        <v>2910</v>
      </c>
      <c r="AI1341">
        <f t="shared" si="373"/>
        <v>360</v>
      </c>
      <c r="AJ1341" t="e">
        <f>VLOOKUP(A1341,'Borrower Details'!$A$1:$H$1493,8,FALSE)</f>
        <v>#N/A</v>
      </c>
      <c r="AK1341" s="4" t="e">
        <f t="shared" si="374"/>
        <v>#N/A</v>
      </c>
      <c r="AL1341" s="10">
        <v>7.375</v>
      </c>
      <c r="AM1341" s="3">
        <f t="shared" si="375"/>
        <v>146637.89244999998</v>
      </c>
      <c r="AN1341">
        <v>7.375</v>
      </c>
      <c r="AO1341" s="7">
        <f t="shared" si="376"/>
        <v>1073.8906019668295</v>
      </c>
      <c r="AP1341" s="2">
        <f t="shared" si="377"/>
        <v>-7.2706019668296449</v>
      </c>
    </row>
    <row r="1342" spans="1:42" x14ac:dyDescent="0.15">
      <c r="A1342" s="8">
        <v>410499826</v>
      </c>
      <c r="B1342" t="s">
        <v>38</v>
      </c>
      <c r="C1342" t="s">
        <v>19</v>
      </c>
      <c r="D1342" s="1">
        <v>39255</v>
      </c>
      <c r="E1342" s="2">
        <v>195000</v>
      </c>
      <c r="F1342" s="2">
        <v>173790</v>
      </c>
      <c r="G1342" t="s">
        <v>15</v>
      </c>
      <c r="H1342" s="2">
        <v>1269.1600000000001</v>
      </c>
      <c r="I1342" s="2">
        <v>172576.25</v>
      </c>
      <c r="J1342">
        <v>7.9500000000000001E-2</v>
      </c>
      <c r="K1342">
        <v>10</v>
      </c>
      <c r="L1342">
        <v>350</v>
      </c>
      <c r="M1342" t="str">
        <f t="shared" si="363"/>
        <v>30 Year Fixed</v>
      </c>
      <c r="N1342" s="2">
        <v>1143.32</v>
      </c>
      <c r="O1342" t="str">
        <f t="shared" si="360"/>
        <v>Refi</v>
      </c>
      <c r="P1342" s="3">
        <f t="shared" si="364"/>
        <v>0</v>
      </c>
      <c r="Q1342" s="4">
        <v>175165</v>
      </c>
      <c r="R1342" s="4" t="s">
        <v>41</v>
      </c>
      <c r="S1342" s="6">
        <v>589</v>
      </c>
      <c r="T1342">
        <v>7.375</v>
      </c>
      <c r="U1342" s="7">
        <f t="shared" si="361"/>
        <v>1282.8065389555434</v>
      </c>
      <c r="V1342" s="2">
        <f t="shared" si="365"/>
        <v>-13.646538955543292</v>
      </c>
      <c r="W1342" s="9">
        <f t="shared" si="366"/>
        <v>0</v>
      </c>
      <c r="X1342" s="3">
        <v>175165</v>
      </c>
      <c r="Y1342" s="3">
        <f t="shared" si="367"/>
        <v>0.10467980298562907</v>
      </c>
      <c r="Z1342" s="7">
        <f t="shared" si="368"/>
        <v>1282.8065389555434</v>
      </c>
      <c r="AA1342" s="2">
        <f t="shared" si="362"/>
        <v>-13.646538955543292</v>
      </c>
      <c r="AB1342" s="8">
        <f t="shared" si="369"/>
        <v>1</v>
      </c>
      <c r="AC1342" s="10">
        <v>6.375</v>
      </c>
      <c r="AD1342" s="7">
        <f t="shared" si="370"/>
        <v>1165.7871249507293</v>
      </c>
      <c r="AE1342" s="2">
        <f t="shared" si="371"/>
        <v>103.37287504927076</v>
      </c>
      <c r="AF1342" s="10">
        <v>2.625</v>
      </c>
      <c r="AG1342" s="3">
        <f t="shared" si="372"/>
        <v>4598.0812500000002</v>
      </c>
      <c r="AH1342" s="7">
        <v>0</v>
      </c>
      <c r="AI1342">
        <f t="shared" si="373"/>
        <v>360</v>
      </c>
      <c r="AJ1342" t="e">
        <f>VLOOKUP(A1342,'Borrower Details'!$A$1:$H$1493,8,FALSE)</f>
        <v>#N/A</v>
      </c>
      <c r="AK1342" s="4" t="e">
        <f t="shared" si="374"/>
        <v>#N/A</v>
      </c>
      <c r="AL1342" s="10">
        <v>7.375</v>
      </c>
      <c r="AM1342" s="3">
        <f t="shared" si="375"/>
        <v>175164.89374999999</v>
      </c>
      <c r="AN1342">
        <v>7.375</v>
      </c>
      <c r="AO1342" s="7">
        <f t="shared" si="376"/>
        <v>1282.8057608423658</v>
      </c>
      <c r="AP1342" s="2">
        <f t="shared" si="377"/>
        <v>-13.645760842365689</v>
      </c>
    </row>
    <row r="1343" spans="1:42" x14ac:dyDescent="0.15">
      <c r="A1343" s="8">
        <v>410637334</v>
      </c>
      <c r="B1343" t="s">
        <v>35</v>
      </c>
      <c r="C1343" t="s">
        <v>16</v>
      </c>
      <c r="D1343" s="1">
        <v>39290</v>
      </c>
      <c r="E1343" s="2">
        <v>212000</v>
      </c>
      <c r="F1343" s="2">
        <v>169600</v>
      </c>
      <c r="G1343" t="s">
        <v>17</v>
      </c>
      <c r="H1343" s="2">
        <v>1346.38</v>
      </c>
      <c r="I1343" s="2">
        <v>168705.59</v>
      </c>
      <c r="J1343">
        <v>8.8499999999999995E-2</v>
      </c>
      <c r="K1343">
        <v>9</v>
      </c>
      <c r="L1343">
        <v>351</v>
      </c>
      <c r="M1343" t="str">
        <f t="shared" si="363"/>
        <v>30 Year Fixed</v>
      </c>
      <c r="N1343" s="2">
        <v>1244.2</v>
      </c>
      <c r="O1343" t="str">
        <f t="shared" si="360"/>
        <v>Cash Out</v>
      </c>
      <c r="P1343" s="3">
        <f t="shared" si="364"/>
        <v>8831.3558128079167</v>
      </c>
      <c r="Q1343" s="4">
        <v>180200</v>
      </c>
      <c r="R1343" s="4" t="s">
        <v>41</v>
      </c>
      <c r="S1343" s="6">
        <v>582</v>
      </c>
      <c r="T1343">
        <v>7.375</v>
      </c>
      <c r="U1343" s="7">
        <f t="shared" si="361"/>
        <v>1319.6799493037361</v>
      </c>
      <c r="V1343" s="2">
        <f t="shared" si="365"/>
        <v>26.700050696264043</v>
      </c>
      <c r="W1343" s="9">
        <f t="shared" si="366"/>
        <v>0</v>
      </c>
      <c r="X1343" s="3">
        <v>180200</v>
      </c>
      <c r="Y1343" s="3">
        <f t="shared" si="367"/>
        <v>8831.3558128079167</v>
      </c>
      <c r="Z1343" s="7">
        <f t="shared" si="368"/>
        <v>1319.6799493037361</v>
      </c>
      <c r="AA1343" s="2">
        <f t="shared" si="362"/>
        <v>26.700050696264043</v>
      </c>
      <c r="AB1343" s="8">
        <f t="shared" si="369"/>
        <v>0</v>
      </c>
      <c r="AC1343" s="10">
        <v>7.375</v>
      </c>
      <c r="AD1343" s="7">
        <f t="shared" si="370"/>
        <v>1319.6799493037361</v>
      </c>
      <c r="AE1343" s="2">
        <f t="shared" si="371"/>
        <v>26.700050696264043</v>
      </c>
      <c r="AF1343" s="10">
        <v>0</v>
      </c>
      <c r="AG1343" s="3">
        <f t="shared" si="372"/>
        <v>0</v>
      </c>
      <c r="AH1343" s="7">
        <v>7504.8</v>
      </c>
      <c r="AI1343">
        <f t="shared" si="373"/>
        <v>360</v>
      </c>
      <c r="AJ1343" t="e">
        <f>VLOOKUP(A1343,'Borrower Details'!$A$1:$H$1493,8,FALSE)</f>
        <v>#N/A</v>
      </c>
      <c r="AK1343" s="4" t="e">
        <f t="shared" si="374"/>
        <v>#N/A</v>
      </c>
      <c r="AL1343" s="10">
        <v>7.375</v>
      </c>
      <c r="AM1343" s="3">
        <f t="shared" si="375"/>
        <v>171236.17384999999</v>
      </c>
      <c r="AN1343">
        <v>7.375</v>
      </c>
      <c r="AO1343" s="7">
        <f t="shared" si="376"/>
        <v>1254.0341022493546</v>
      </c>
      <c r="AP1343" s="2">
        <f t="shared" si="377"/>
        <v>92.345897750645463</v>
      </c>
    </row>
    <row r="1344" spans="1:42" x14ac:dyDescent="0.15">
      <c r="A1344" s="8">
        <v>410875942</v>
      </c>
      <c r="B1344" t="s">
        <v>35</v>
      </c>
      <c r="C1344" t="s">
        <v>16</v>
      </c>
      <c r="D1344" s="1">
        <v>39329</v>
      </c>
      <c r="E1344" s="2">
        <v>162500</v>
      </c>
      <c r="F1344" s="2">
        <v>139695</v>
      </c>
      <c r="G1344" t="s">
        <v>20</v>
      </c>
      <c r="H1344" s="2">
        <v>1383.39</v>
      </c>
      <c r="I1344" s="2">
        <v>139298.98000000001</v>
      </c>
      <c r="J1344">
        <v>0.115</v>
      </c>
      <c r="K1344">
        <v>7</v>
      </c>
      <c r="L1344">
        <v>352</v>
      </c>
      <c r="M1344" t="str">
        <f t="shared" si="363"/>
        <v>30 Year Fixed</v>
      </c>
      <c r="N1344" s="2">
        <v>1335.41</v>
      </c>
      <c r="O1344" t="str">
        <f t="shared" si="360"/>
        <v>Refi</v>
      </c>
      <c r="P1344" s="3">
        <f t="shared" si="364"/>
        <v>0</v>
      </c>
      <c r="Q1344" s="4">
        <v>141388</v>
      </c>
      <c r="R1344" s="4" t="s">
        <v>41</v>
      </c>
      <c r="S1344" s="6">
        <v>581</v>
      </c>
      <c r="T1344">
        <v>7.375</v>
      </c>
      <c r="U1344" s="7">
        <f t="shared" si="361"/>
        <v>1035.4434443515906</v>
      </c>
      <c r="V1344" s="2">
        <f t="shared" si="365"/>
        <v>347.94655564840946</v>
      </c>
      <c r="W1344" s="9">
        <f t="shared" si="366"/>
        <v>0</v>
      </c>
      <c r="X1344" s="3">
        <v>141388</v>
      </c>
      <c r="Y1344" s="3">
        <f t="shared" si="367"/>
        <v>-0.4578325123002287</v>
      </c>
      <c r="Z1344" s="7">
        <f t="shared" si="368"/>
        <v>1035.4434443515906</v>
      </c>
      <c r="AA1344" s="2">
        <f t="shared" si="362"/>
        <v>347.94655564840946</v>
      </c>
      <c r="AB1344" s="8">
        <f t="shared" si="369"/>
        <v>0</v>
      </c>
      <c r="AC1344" s="10">
        <v>7.375</v>
      </c>
      <c r="AD1344" s="7">
        <f t="shared" si="370"/>
        <v>1035.4434443515906</v>
      </c>
      <c r="AE1344" s="2">
        <f t="shared" si="371"/>
        <v>347.94655564840946</v>
      </c>
      <c r="AF1344" s="10">
        <v>0</v>
      </c>
      <c r="AG1344" s="3">
        <f t="shared" si="372"/>
        <v>0</v>
      </c>
      <c r="AH1344" s="7">
        <v>8032.4625000000015</v>
      </c>
      <c r="AI1344">
        <f t="shared" si="373"/>
        <v>360</v>
      </c>
      <c r="AJ1344" t="e">
        <f>VLOOKUP(A1344,'Borrower Details'!$A$1:$H$1493,8,FALSE)</f>
        <v>#N/A</v>
      </c>
      <c r="AK1344" s="4" t="e">
        <f t="shared" si="374"/>
        <v>#N/A</v>
      </c>
      <c r="AL1344" s="10">
        <v>7.375</v>
      </c>
      <c r="AM1344" s="3">
        <f t="shared" si="375"/>
        <v>141388.46470000001</v>
      </c>
      <c r="AN1344">
        <v>7.375</v>
      </c>
      <c r="AO1344" s="7">
        <f t="shared" si="376"/>
        <v>1035.4468475440015</v>
      </c>
      <c r="AP1344" s="2">
        <f t="shared" si="377"/>
        <v>347.94315245599864</v>
      </c>
    </row>
    <row r="1345" spans="1:42" x14ac:dyDescent="0.15">
      <c r="A1345" s="8">
        <v>410536684</v>
      </c>
      <c r="B1345" t="s">
        <v>35</v>
      </c>
      <c r="C1345" t="s">
        <v>16</v>
      </c>
      <c r="D1345" s="1">
        <v>39262</v>
      </c>
      <c r="E1345" s="2">
        <v>160000</v>
      </c>
      <c r="F1345" s="2">
        <v>136000</v>
      </c>
      <c r="G1345" t="s">
        <v>17</v>
      </c>
      <c r="H1345" s="2">
        <v>1203.56</v>
      </c>
      <c r="I1345" s="2">
        <v>135388.26</v>
      </c>
      <c r="J1345">
        <v>0.10100000000000001</v>
      </c>
      <c r="K1345">
        <v>10</v>
      </c>
      <c r="L1345">
        <v>350</v>
      </c>
      <c r="M1345" t="str">
        <f t="shared" si="363"/>
        <v>30 Year Fixed</v>
      </c>
      <c r="N1345" s="2">
        <v>1139.52</v>
      </c>
      <c r="O1345" t="str">
        <f t="shared" si="360"/>
        <v>Refi</v>
      </c>
      <c r="P1345" s="3">
        <f t="shared" si="364"/>
        <v>0</v>
      </c>
      <c r="Q1345" s="4">
        <v>137419</v>
      </c>
      <c r="R1345" s="4" t="s">
        <v>41</v>
      </c>
      <c r="S1345" s="6">
        <v>550</v>
      </c>
      <c r="T1345">
        <v>7.625</v>
      </c>
      <c r="U1345" s="7">
        <f t="shared" si="361"/>
        <v>1029.9010049697445</v>
      </c>
      <c r="V1345" s="2">
        <f t="shared" si="365"/>
        <v>173.65899503025548</v>
      </c>
      <c r="W1345" s="9">
        <f t="shared" si="366"/>
        <v>0</v>
      </c>
      <c r="X1345" s="3">
        <v>137419</v>
      </c>
      <c r="Y1345" s="3">
        <f t="shared" si="367"/>
        <v>-8.2660098531050608E-2</v>
      </c>
      <c r="Z1345" s="7">
        <f t="shared" si="368"/>
        <v>1029.9010049697445</v>
      </c>
      <c r="AA1345" s="2">
        <f t="shared" si="362"/>
        <v>173.65899503025548</v>
      </c>
      <c r="AB1345" s="8">
        <f t="shared" si="369"/>
        <v>0</v>
      </c>
      <c r="AC1345" s="10">
        <v>7.625</v>
      </c>
      <c r="AD1345" s="7">
        <f t="shared" si="370"/>
        <v>1029.9010049697445</v>
      </c>
      <c r="AE1345" s="2">
        <f t="shared" si="371"/>
        <v>173.65899503025548</v>
      </c>
      <c r="AF1345" s="10">
        <v>0</v>
      </c>
      <c r="AG1345" s="3">
        <f t="shared" si="372"/>
        <v>0</v>
      </c>
      <c r="AH1345" s="7">
        <v>0</v>
      </c>
      <c r="AI1345">
        <f t="shared" si="373"/>
        <v>360</v>
      </c>
      <c r="AJ1345" t="e">
        <f>VLOOKUP(A1345,'Borrower Details'!$A$1:$H$1493,8,FALSE)</f>
        <v>#N/A</v>
      </c>
      <c r="AK1345" s="4" t="e">
        <f t="shared" si="374"/>
        <v>#N/A</v>
      </c>
      <c r="AL1345" s="10">
        <v>7.625</v>
      </c>
      <c r="AM1345" s="3">
        <f t="shared" si="375"/>
        <v>137419.0839</v>
      </c>
      <c r="AN1345">
        <v>7.625</v>
      </c>
      <c r="AO1345" s="7">
        <f t="shared" si="376"/>
        <v>1029.9016337670309</v>
      </c>
      <c r="AP1345" s="2">
        <f t="shared" si="377"/>
        <v>173.658366232969</v>
      </c>
    </row>
    <row r="1346" spans="1:42" x14ac:dyDescent="0.15">
      <c r="A1346" s="8">
        <v>410251946</v>
      </c>
      <c r="B1346" t="s">
        <v>35</v>
      </c>
      <c r="C1346" t="s">
        <v>16</v>
      </c>
      <c r="D1346" s="1">
        <v>39217</v>
      </c>
      <c r="E1346" s="2">
        <v>110000</v>
      </c>
      <c r="F1346" s="2">
        <v>88000</v>
      </c>
      <c r="G1346" t="s">
        <v>17</v>
      </c>
      <c r="H1346" s="2">
        <v>759.29</v>
      </c>
      <c r="I1346" s="2">
        <v>87534.43</v>
      </c>
      <c r="J1346">
        <v>9.8000000000000004E-2</v>
      </c>
      <c r="K1346">
        <v>11</v>
      </c>
      <c r="L1346">
        <v>349</v>
      </c>
      <c r="M1346" t="str">
        <f t="shared" si="363"/>
        <v>30 Year Fixed</v>
      </c>
      <c r="N1346" s="2">
        <v>714.86</v>
      </c>
      <c r="O1346" t="str">
        <f t="shared" ref="O1346:O1367" si="378">IF((0.85*E1346)&gt;(I1346*1.015),"Cash Out","Refi")</f>
        <v>Cash Out</v>
      </c>
      <c r="P1346" s="3">
        <f t="shared" si="364"/>
        <v>4583.7966009852389</v>
      </c>
      <c r="Q1346" s="4">
        <v>93500</v>
      </c>
      <c r="R1346" s="4" t="s">
        <v>41</v>
      </c>
      <c r="S1346" s="6">
        <v>563</v>
      </c>
      <c r="T1346">
        <v>7.625</v>
      </c>
      <c r="U1346" s="7">
        <f t="shared" ref="U1346:U1367" si="379">(Q1346*((T1346/1200)/(1-(1+(T1346/1200))^-AI1346)))+((Q1346*0.005)/12)</f>
        <v>700.74548617491837</v>
      </c>
      <c r="V1346" s="2">
        <f t="shared" si="365"/>
        <v>58.544513825081594</v>
      </c>
      <c r="W1346" s="9">
        <f t="shared" si="366"/>
        <v>0</v>
      </c>
      <c r="X1346" s="3">
        <v>93500</v>
      </c>
      <c r="Y1346" s="3">
        <f t="shared" si="367"/>
        <v>4583.7966009852389</v>
      </c>
      <c r="Z1346" s="7">
        <f t="shared" si="368"/>
        <v>700.74548617491837</v>
      </c>
      <c r="AA1346" s="2">
        <f t="shared" ref="AA1346:AA1367" si="380">H1346-Z1346</f>
        <v>58.544513825081594</v>
      </c>
      <c r="AB1346" s="8">
        <f t="shared" si="369"/>
        <v>0</v>
      </c>
      <c r="AC1346" s="10">
        <v>7.625</v>
      </c>
      <c r="AD1346" s="7">
        <f t="shared" si="370"/>
        <v>700.74548617491837</v>
      </c>
      <c r="AE1346" s="2">
        <f t="shared" si="371"/>
        <v>58.544513825081594</v>
      </c>
      <c r="AF1346" s="10">
        <v>0</v>
      </c>
      <c r="AG1346" s="3">
        <f t="shared" si="372"/>
        <v>0</v>
      </c>
      <c r="AH1346" s="7">
        <v>4312</v>
      </c>
      <c r="AI1346">
        <f t="shared" si="373"/>
        <v>360</v>
      </c>
      <c r="AJ1346" t="e">
        <f>VLOOKUP(A1346,'Borrower Details'!$A$1:$H$1493,8,FALSE)</f>
        <v>#N/A</v>
      </c>
      <c r="AK1346" s="4" t="e">
        <f t="shared" si="374"/>
        <v>#N/A</v>
      </c>
      <c r="AL1346" s="10">
        <v>7.625</v>
      </c>
      <c r="AM1346" s="3">
        <f t="shared" si="375"/>
        <v>88847.446449999989</v>
      </c>
      <c r="AN1346">
        <v>7.625</v>
      </c>
      <c r="AO1346" s="7">
        <f t="shared" si="376"/>
        <v>665.876439123051</v>
      </c>
      <c r="AP1346" s="2">
        <f t="shared" si="377"/>
        <v>93.413560876948964</v>
      </c>
    </row>
    <row r="1347" spans="1:42" x14ac:dyDescent="0.15">
      <c r="A1347" s="8">
        <v>410191142</v>
      </c>
      <c r="B1347" t="s">
        <v>35</v>
      </c>
      <c r="C1347" t="s">
        <v>16</v>
      </c>
      <c r="D1347" s="1">
        <v>39220</v>
      </c>
      <c r="E1347" s="2">
        <v>135000</v>
      </c>
      <c r="F1347" s="2">
        <v>114750</v>
      </c>
      <c r="G1347" t="s">
        <v>17</v>
      </c>
      <c r="H1347" s="2">
        <v>989.26</v>
      </c>
      <c r="I1347" s="2">
        <v>114141.58</v>
      </c>
      <c r="J1347">
        <v>9.7900000000000001E-2</v>
      </c>
      <c r="K1347">
        <v>11</v>
      </c>
      <c r="L1347">
        <v>349</v>
      </c>
      <c r="M1347" t="str">
        <f t="shared" ref="M1347:M1367" si="381">(IF((L1347+K1347)&lt;180,"15 Year Fixed","30 Year Fixed"))</f>
        <v>30 Year Fixed</v>
      </c>
      <c r="N1347" s="2">
        <v>931.21</v>
      </c>
      <c r="O1347" t="str">
        <f t="shared" si="378"/>
        <v>Refi</v>
      </c>
      <c r="P1347" s="3">
        <f t="shared" ref="P1347:P1367" si="382">IF((0.85*E1347)&gt;(I1347*1.015),((0.85*E1347)/1.015)-(I1347),0)</f>
        <v>0</v>
      </c>
      <c r="Q1347" s="4">
        <v>115854</v>
      </c>
      <c r="R1347" s="4" t="s">
        <v>41</v>
      </c>
      <c r="S1347" s="6">
        <v>569</v>
      </c>
      <c r="T1347">
        <v>7.625</v>
      </c>
      <c r="U1347" s="7">
        <f t="shared" si="379"/>
        <v>868.27986690170053</v>
      </c>
      <c r="V1347" s="2">
        <f t="shared" ref="V1347:V1367" si="383">H1347-U1347</f>
        <v>120.98013309829946</v>
      </c>
      <c r="W1347" s="9">
        <f t="shared" ref="W1347:W1367" si="384">IF(AND(O1347="Cash Out",V1347&lt;0),1,0)</f>
        <v>0</v>
      </c>
      <c r="X1347" s="3">
        <v>115854</v>
      </c>
      <c r="Y1347" s="3">
        <f t="shared" ref="Y1347:Y1367" si="385">(X1347/1.015)-(I1347)</f>
        <v>0.29192118227365427</v>
      </c>
      <c r="Z1347" s="7">
        <f t="shared" ref="Z1347:Z1367" si="386">(X1347*((AL1347/1200)/(1-(1+(AL1347/1200))^-AI1347)))+((X1347*0.005)/12)</f>
        <v>868.27986690170053</v>
      </c>
      <c r="AA1347" s="2">
        <f t="shared" si="380"/>
        <v>120.98013309829946</v>
      </c>
      <c r="AB1347" s="8">
        <f t="shared" ref="AB1347:AB1367" si="387">IF(I1347=0,0,IF(AND(AH1347&gt;0,(AP1347/AO1347)&lt;0.07),1,IF(AND(AH1347=0,(AP1347/AO1347)&lt;0.1),1,0)))</f>
        <v>0</v>
      </c>
      <c r="AC1347" s="10">
        <v>7.625</v>
      </c>
      <c r="AD1347" s="7">
        <f t="shared" ref="AD1347:AD1367" si="388">(X1347*((AC1347/1200)/(1-(1+(AC1347/1200))^-AI1347)))+((X1347*0.005)/12)</f>
        <v>868.27986690170053</v>
      </c>
      <c r="AE1347" s="2">
        <f t="shared" ref="AE1347:AE1367" si="389">H1347-AD1347</f>
        <v>120.98013309829946</v>
      </c>
      <c r="AF1347" s="10">
        <v>0</v>
      </c>
      <c r="AG1347" s="3">
        <f t="shared" ref="AG1347:AG1367" si="390">AF1347*X1347/100</f>
        <v>0</v>
      </c>
      <c r="AH1347" s="7">
        <v>5617.0124999999998</v>
      </c>
      <c r="AI1347">
        <f t="shared" ref="AI1347:AI1367" si="391">IF(M1347="30 Year Fixed",360,180)</f>
        <v>360</v>
      </c>
      <c r="AJ1347" t="e">
        <f>VLOOKUP(A1347,'Borrower Details'!$A$1:$H$1493,8,FALSE)</f>
        <v>#N/A</v>
      </c>
      <c r="AK1347" s="4" t="e">
        <f t="shared" ref="AK1347:AK1367" si="392">IF(AJ1347&gt;360,PV((J1347/12),AJ1347-AI1347,-H1347),"NA")</f>
        <v>#N/A</v>
      </c>
      <c r="AL1347" s="10">
        <v>7.625</v>
      </c>
      <c r="AM1347" s="3">
        <f t="shared" ref="AM1347:AM1367" si="393">I1347*1.015</f>
        <v>115853.70369999998</v>
      </c>
      <c r="AN1347">
        <v>7.625</v>
      </c>
      <c r="AO1347" s="7">
        <f t="shared" ref="AO1347:AO1367" si="394">(AM1347*((AN1347/1200)/(1-(1+(AN1347/1200))^-AI1347)))+((AM1347*0.005)/12)</f>
        <v>868.27764625049656</v>
      </c>
      <c r="AP1347" s="2">
        <f t="shared" ref="AP1347:AP1367" si="395">H1347-AO1347</f>
        <v>120.98235374950343</v>
      </c>
    </row>
    <row r="1348" spans="1:42" x14ac:dyDescent="0.15">
      <c r="A1348" s="8">
        <v>1188013</v>
      </c>
      <c r="B1348" t="s">
        <v>36</v>
      </c>
      <c r="C1348" t="s">
        <v>18</v>
      </c>
      <c r="D1348" s="1">
        <v>39195</v>
      </c>
      <c r="E1348" s="2">
        <v>156000</v>
      </c>
      <c r="F1348" s="2">
        <v>127500</v>
      </c>
      <c r="G1348" t="s">
        <v>17</v>
      </c>
      <c r="H1348" s="2">
        <v>971.35</v>
      </c>
      <c r="I1348" s="2">
        <v>126437.47</v>
      </c>
      <c r="J1348">
        <v>8.4000000000000005E-2</v>
      </c>
      <c r="K1348">
        <v>12</v>
      </c>
      <c r="L1348">
        <v>348</v>
      </c>
      <c r="M1348" t="str">
        <f t="shared" si="381"/>
        <v>30 Year Fixed</v>
      </c>
      <c r="N1348" s="2">
        <v>885.06</v>
      </c>
      <c r="O1348" t="str">
        <f t="shared" si="378"/>
        <v>Cash Out</v>
      </c>
      <c r="P1348" s="3">
        <f t="shared" si="382"/>
        <v>4202.9240886699554</v>
      </c>
      <c r="Q1348" s="4">
        <v>132600</v>
      </c>
      <c r="R1348" s="4" t="s">
        <v>41</v>
      </c>
      <c r="S1348" s="6">
        <v>643</v>
      </c>
      <c r="T1348">
        <v>6.75</v>
      </c>
      <c r="U1348" s="7">
        <f t="shared" si="379"/>
        <v>915.29107604945148</v>
      </c>
      <c r="V1348" s="2">
        <f t="shared" si="383"/>
        <v>56.058923950548547</v>
      </c>
      <c r="W1348" s="9">
        <f t="shared" si="384"/>
        <v>0</v>
      </c>
      <c r="X1348" s="3">
        <v>132600</v>
      </c>
      <c r="Y1348" s="3">
        <f t="shared" si="385"/>
        <v>4202.9240886699554</v>
      </c>
      <c r="Z1348" s="7">
        <f t="shared" si="386"/>
        <v>915.29107604945148</v>
      </c>
      <c r="AA1348" s="2">
        <f t="shared" si="380"/>
        <v>56.058923950548547</v>
      </c>
      <c r="AB1348" s="8">
        <f t="shared" si="387"/>
        <v>0</v>
      </c>
      <c r="AC1348" s="10">
        <v>6.75</v>
      </c>
      <c r="AD1348" s="7">
        <f t="shared" si="388"/>
        <v>915.29107604945148</v>
      </c>
      <c r="AE1348" s="2">
        <f t="shared" si="389"/>
        <v>56.058923950548547</v>
      </c>
      <c r="AF1348" s="10">
        <v>0</v>
      </c>
      <c r="AG1348" s="3">
        <f t="shared" si="390"/>
        <v>0</v>
      </c>
      <c r="AH1348" s="7">
        <v>2550</v>
      </c>
      <c r="AI1348">
        <f t="shared" si="391"/>
        <v>360</v>
      </c>
      <c r="AJ1348" t="e">
        <f>VLOOKUP(A1348,'Borrower Details'!$A$1:$H$1493,8,FALSE)</f>
        <v>#N/A</v>
      </c>
      <c r="AK1348" s="4" t="e">
        <f t="shared" si="392"/>
        <v>#N/A</v>
      </c>
      <c r="AL1348" s="10">
        <v>6.75</v>
      </c>
      <c r="AM1348" s="3">
        <f t="shared" si="393"/>
        <v>128334.03204999999</v>
      </c>
      <c r="AN1348">
        <v>6.75</v>
      </c>
      <c r="AO1348" s="7">
        <f t="shared" si="394"/>
        <v>885.8446024797081</v>
      </c>
      <c r="AP1348" s="2">
        <f t="shared" si="395"/>
        <v>85.505397520291922</v>
      </c>
    </row>
    <row r="1349" spans="1:42" x14ac:dyDescent="0.15">
      <c r="A1349" s="8">
        <v>411255995</v>
      </c>
      <c r="B1349" t="s">
        <v>36</v>
      </c>
      <c r="C1349" t="s">
        <v>16</v>
      </c>
      <c r="D1349" s="1">
        <v>39475</v>
      </c>
      <c r="E1349" s="2">
        <v>404000</v>
      </c>
      <c r="F1349" s="2">
        <v>300000</v>
      </c>
      <c r="G1349" t="s">
        <v>17</v>
      </c>
      <c r="H1349" s="2">
        <v>2233.58</v>
      </c>
      <c r="I1349" s="2">
        <v>299785.21999999997</v>
      </c>
      <c r="J1349">
        <v>8.6499999999999994E-2</v>
      </c>
      <c r="K1349">
        <v>3</v>
      </c>
      <c r="L1349">
        <v>357</v>
      </c>
      <c r="M1349" t="str">
        <f t="shared" si="381"/>
        <v>30 Year Fixed</v>
      </c>
      <c r="N1349" s="2">
        <v>2160.9499999999998</v>
      </c>
      <c r="O1349" t="str">
        <f t="shared" si="378"/>
        <v>Cash Out</v>
      </c>
      <c r="P1349" s="3">
        <f t="shared" si="382"/>
        <v>38539.903152709419</v>
      </c>
      <c r="Q1349" s="4">
        <v>343400</v>
      </c>
      <c r="R1349" s="4" t="s">
        <v>41</v>
      </c>
      <c r="S1349" s="6">
        <v>587</v>
      </c>
      <c r="T1349">
        <v>7.375</v>
      </c>
      <c r="U1349" s="7">
        <f t="shared" si="379"/>
        <v>2514.8617901825914</v>
      </c>
      <c r="V1349" s="2">
        <f t="shared" si="383"/>
        <v>-281.28179018259152</v>
      </c>
      <c r="W1349" s="9">
        <f t="shared" si="384"/>
        <v>1</v>
      </c>
      <c r="X1349" s="3">
        <v>304920</v>
      </c>
      <c r="Y1349" s="3">
        <f t="shared" si="385"/>
        <v>628.57310344831785</v>
      </c>
      <c r="Z1349" s="7">
        <f t="shared" si="386"/>
        <v>2233.0566600538027</v>
      </c>
      <c r="AA1349" s="2">
        <f t="shared" si="380"/>
        <v>0.52333994619721125</v>
      </c>
      <c r="AB1349" s="8">
        <f t="shared" si="387"/>
        <v>1</v>
      </c>
      <c r="AC1349" s="10">
        <v>6.625</v>
      </c>
      <c r="AD1349" s="7">
        <f t="shared" si="388"/>
        <v>2079.4861825102489</v>
      </c>
      <c r="AE1349" s="2">
        <f t="shared" si="389"/>
        <v>154.09381748975102</v>
      </c>
      <c r="AF1349" s="10">
        <v>1.875</v>
      </c>
      <c r="AG1349" s="3">
        <f t="shared" si="390"/>
        <v>5717.25</v>
      </c>
      <c r="AH1349" s="7">
        <v>6000</v>
      </c>
      <c r="AI1349">
        <f t="shared" si="391"/>
        <v>360</v>
      </c>
      <c r="AJ1349" t="e">
        <f>VLOOKUP(A1349,'Borrower Details'!$A$1:$H$1493,8,FALSE)</f>
        <v>#N/A</v>
      </c>
      <c r="AK1349" s="4" t="e">
        <f t="shared" si="392"/>
        <v>#N/A</v>
      </c>
      <c r="AL1349" s="10">
        <v>7.375</v>
      </c>
      <c r="AM1349" s="3">
        <f t="shared" si="393"/>
        <v>304281.99829999992</v>
      </c>
      <c r="AN1349">
        <v>7.375</v>
      </c>
      <c r="AO1349" s="7">
        <f t="shared" si="394"/>
        <v>2228.3843068289866</v>
      </c>
      <c r="AP1349" s="2">
        <f t="shared" si="395"/>
        <v>5.1956931710133176</v>
      </c>
    </row>
    <row r="1350" spans="1:42" x14ac:dyDescent="0.15">
      <c r="A1350" s="8">
        <v>410765549</v>
      </c>
      <c r="B1350" t="s">
        <v>38</v>
      </c>
      <c r="C1350" t="s">
        <v>16</v>
      </c>
      <c r="D1350" s="1">
        <v>39311</v>
      </c>
      <c r="E1350" s="2">
        <v>215000</v>
      </c>
      <c r="F1350" s="2">
        <v>204250</v>
      </c>
      <c r="G1350" t="s">
        <v>17</v>
      </c>
      <c r="H1350" s="2">
        <v>1891.3</v>
      </c>
      <c r="I1350" s="2">
        <v>203850.06</v>
      </c>
      <c r="J1350">
        <v>0.1065</v>
      </c>
      <c r="K1350">
        <v>8</v>
      </c>
      <c r="L1350">
        <v>355</v>
      </c>
      <c r="M1350" t="str">
        <f t="shared" si="381"/>
        <v>30 Year Fixed</v>
      </c>
      <c r="N1350" s="2">
        <v>1809.17</v>
      </c>
      <c r="O1350" t="str">
        <f t="shared" si="378"/>
        <v>Refi</v>
      </c>
      <c r="P1350" s="3">
        <f t="shared" si="382"/>
        <v>0</v>
      </c>
      <c r="Q1350" s="4">
        <v>206908</v>
      </c>
      <c r="R1350" s="4" t="s">
        <v>41</v>
      </c>
      <c r="S1350" s="6">
        <v>623</v>
      </c>
      <c r="T1350">
        <v>6.75</v>
      </c>
      <c r="U1350" s="7">
        <f t="shared" si="379"/>
        <v>1428.2130163140264</v>
      </c>
      <c r="V1350" s="2">
        <f t="shared" si="383"/>
        <v>463.08698368597356</v>
      </c>
      <c r="W1350" s="9">
        <f t="shared" si="384"/>
        <v>0</v>
      </c>
      <c r="X1350" s="3">
        <v>206908</v>
      </c>
      <c r="Y1350" s="3">
        <f t="shared" si="385"/>
        <v>0.18630541872698814</v>
      </c>
      <c r="Z1350" s="7">
        <f t="shared" si="386"/>
        <v>1428.2130163140264</v>
      </c>
      <c r="AA1350" s="2">
        <f t="shared" si="380"/>
        <v>463.08698368597356</v>
      </c>
      <c r="AB1350" s="8">
        <f t="shared" si="387"/>
        <v>0</v>
      </c>
      <c r="AC1350" s="10">
        <v>6.75</v>
      </c>
      <c r="AD1350" s="7">
        <f t="shared" si="388"/>
        <v>1428.2130163140264</v>
      </c>
      <c r="AE1350" s="2">
        <f t="shared" si="389"/>
        <v>463.08698368597356</v>
      </c>
      <c r="AF1350" s="10">
        <v>0</v>
      </c>
      <c r="AG1350" s="3">
        <f t="shared" si="390"/>
        <v>0</v>
      </c>
      <c r="AH1350" s="7">
        <v>2042.5</v>
      </c>
      <c r="AI1350">
        <f t="shared" si="391"/>
        <v>360</v>
      </c>
      <c r="AJ1350" t="e">
        <f>VLOOKUP(A1350,'Borrower Details'!$A$1:$H$1493,8,FALSE)</f>
        <v>#N/A</v>
      </c>
      <c r="AK1350" s="4" t="e">
        <f t="shared" si="392"/>
        <v>#N/A</v>
      </c>
      <c r="AL1350" s="10">
        <v>6.75</v>
      </c>
      <c r="AM1350" s="3">
        <f t="shared" si="393"/>
        <v>206907.81089999998</v>
      </c>
      <c r="AN1350">
        <v>6.75</v>
      </c>
      <c r="AO1350" s="7">
        <f t="shared" si="394"/>
        <v>1428.2117110233592</v>
      </c>
      <c r="AP1350" s="2">
        <f t="shared" si="395"/>
        <v>463.0882889766408</v>
      </c>
    </row>
    <row r="1351" spans="1:42" x14ac:dyDescent="0.15">
      <c r="A1351" s="8">
        <v>1143144</v>
      </c>
      <c r="B1351" t="s">
        <v>35</v>
      </c>
      <c r="C1351" t="s">
        <v>16</v>
      </c>
      <c r="D1351" s="1">
        <v>39141</v>
      </c>
      <c r="E1351" s="2">
        <v>80000</v>
      </c>
      <c r="F1351" s="2">
        <v>68000</v>
      </c>
      <c r="G1351" t="s">
        <v>17</v>
      </c>
      <c r="H1351" s="2">
        <v>515.65</v>
      </c>
      <c r="I1351" s="2">
        <v>67375.06</v>
      </c>
      <c r="J1351">
        <v>8.3500000000000005E-2</v>
      </c>
      <c r="K1351">
        <v>14</v>
      </c>
      <c r="L1351">
        <v>346</v>
      </c>
      <c r="M1351" t="str">
        <f t="shared" si="381"/>
        <v>30 Year Fixed</v>
      </c>
      <c r="N1351" s="2">
        <v>468.82</v>
      </c>
      <c r="O1351" t="str">
        <f t="shared" si="378"/>
        <v>Refi</v>
      </c>
      <c r="P1351" s="3">
        <f t="shared" si="382"/>
        <v>0</v>
      </c>
      <c r="Q1351" s="4">
        <v>68386</v>
      </c>
      <c r="R1351" s="4" t="s">
        <v>41</v>
      </c>
      <c r="S1351" s="6">
        <v>636</v>
      </c>
      <c r="T1351">
        <v>6.875</v>
      </c>
      <c r="U1351" s="7">
        <f t="shared" si="379"/>
        <v>477.74150518680528</v>
      </c>
      <c r="V1351" s="2">
        <f t="shared" si="383"/>
        <v>37.908494813194693</v>
      </c>
      <c r="W1351" s="9">
        <f t="shared" si="384"/>
        <v>0</v>
      </c>
      <c r="X1351" s="3">
        <v>68386</v>
      </c>
      <c r="Y1351" s="3">
        <f t="shared" si="385"/>
        <v>0.30945812808931805</v>
      </c>
      <c r="Z1351" s="7">
        <f t="shared" si="386"/>
        <v>477.74150518680528</v>
      </c>
      <c r="AA1351" s="2">
        <f t="shared" si="380"/>
        <v>37.908494813194693</v>
      </c>
      <c r="AB1351" s="8">
        <f t="shared" si="387"/>
        <v>0</v>
      </c>
      <c r="AC1351" s="10">
        <v>6.875</v>
      </c>
      <c r="AD1351" s="7">
        <f t="shared" si="388"/>
        <v>477.74150518680528</v>
      </c>
      <c r="AE1351" s="2">
        <f t="shared" si="389"/>
        <v>37.908494813194693</v>
      </c>
      <c r="AF1351" s="10">
        <v>0</v>
      </c>
      <c r="AG1351" s="3">
        <f t="shared" si="390"/>
        <v>0</v>
      </c>
      <c r="AH1351" s="7">
        <v>2839</v>
      </c>
      <c r="AI1351">
        <f t="shared" si="391"/>
        <v>360</v>
      </c>
      <c r="AJ1351" t="e">
        <f>VLOOKUP(A1351,'Borrower Details'!$A$1:$H$1493,8,FALSE)</f>
        <v>#N/A</v>
      </c>
      <c r="AK1351" s="4" t="e">
        <f t="shared" si="392"/>
        <v>#N/A</v>
      </c>
      <c r="AL1351" s="10">
        <v>6.875</v>
      </c>
      <c r="AM1351" s="3">
        <f t="shared" si="393"/>
        <v>68385.685899999997</v>
      </c>
      <c r="AN1351">
        <v>6.875</v>
      </c>
      <c r="AO1351" s="7">
        <f t="shared" si="394"/>
        <v>477.73931089840147</v>
      </c>
      <c r="AP1351" s="2">
        <f t="shared" si="395"/>
        <v>37.910689101598507</v>
      </c>
    </row>
    <row r="1352" spans="1:42" x14ac:dyDescent="0.15">
      <c r="A1352" s="8">
        <v>410066369</v>
      </c>
      <c r="B1352" t="s">
        <v>35</v>
      </c>
      <c r="C1352" t="s">
        <v>16</v>
      </c>
      <c r="D1352" s="1">
        <v>39199</v>
      </c>
      <c r="E1352" s="2">
        <v>130000</v>
      </c>
      <c r="F1352" s="2">
        <v>117000</v>
      </c>
      <c r="G1352" t="s">
        <v>15</v>
      </c>
      <c r="H1352" s="2">
        <v>902.5</v>
      </c>
      <c r="I1352" s="2">
        <v>116626.51</v>
      </c>
      <c r="J1352">
        <v>8.9499999999999996E-2</v>
      </c>
      <c r="K1352">
        <v>12</v>
      </c>
      <c r="L1352">
        <v>347</v>
      </c>
      <c r="M1352" t="str">
        <f t="shared" si="381"/>
        <v>30 Year Fixed</v>
      </c>
      <c r="N1352" s="2">
        <v>870.05</v>
      </c>
      <c r="O1352" t="str">
        <f t="shared" si="378"/>
        <v>Refi</v>
      </c>
      <c r="P1352" s="3">
        <f t="shared" si="382"/>
        <v>0</v>
      </c>
      <c r="Q1352" s="4">
        <v>118376</v>
      </c>
      <c r="R1352" s="4" t="s">
        <v>41</v>
      </c>
      <c r="S1352" s="6">
        <v>587</v>
      </c>
      <c r="T1352">
        <v>7.375</v>
      </c>
      <c r="U1352" s="7">
        <f t="shared" si="379"/>
        <v>866.91694605315797</v>
      </c>
      <c r="V1352" s="2">
        <f t="shared" si="383"/>
        <v>35.583053946842028</v>
      </c>
      <c r="W1352" s="9">
        <f t="shared" si="384"/>
        <v>0</v>
      </c>
      <c r="X1352" s="3">
        <v>118376</v>
      </c>
      <c r="Y1352" s="3">
        <f t="shared" si="385"/>
        <v>9.0985221686423756E-2</v>
      </c>
      <c r="Z1352" s="7">
        <f t="shared" si="386"/>
        <v>866.91694605315797</v>
      </c>
      <c r="AA1352" s="2">
        <f t="shared" si="380"/>
        <v>35.583053946842028</v>
      </c>
      <c r="AB1352" s="8">
        <f t="shared" si="387"/>
        <v>1</v>
      </c>
      <c r="AC1352" s="10">
        <v>6.625</v>
      </c>
      <c r="AD1352" s="7">
        <f t="shared" si="388"/>
        <v>807.29783661561464</v>
      </c>
      <c r="AE1352" s="2">
        <f t="shared" si="389"/>
        <v>95.202163384385358</v>
      </c>
      <c r="AF1352" s="10">
        <v>1.875</v>
      </c>
      <c r="AG1352" s="3">
        <f t="shared" si="390"/>
        <v>2219.5500000000002</v>
      </c>
      <c r="AH1352" s="7">
        <v>5235.75</v>
      </c>
      <c r="AI1352">
        <f t="shared" si="391"/>
        <v>360</v>
      </c>
      <c r="AJ1352" t="e">
        <f>VLOOKUP(A1352,'Borrower Details'!$A$1:$H$1493,8,FALSE)</f>
        <v>#N/A</v>
      </c>
      <c r="AK1352" s="4" t="e">
        <f t="shared" si="392"/>
        <v>#N/A</v>
      </c>
      <c r="AL1352" s="10">
        <v>7.375</v>
      </c>
      <c r="AM1352" s="3">
        <f t="shared" si="393"/>
        <v>118375.90764999998</v>
      </c>
      <c r="AN1352">
        <v>7.375</v>
      </c>
      <c r="AO1352" s="7">
        <f t="shared" si="394"/>
        <v>866.91626973549228</v>
      </c>
      <c r="AP1352" s="2">
        <f t="shared" si="395"/>
        <v>35.583730264507722</v>
      </c>
    </row>
    <row r="1353" spans="1:42" x14ac:dyDescent="0.15">
      <c r="A1353" s="8">
        <v>1155256</v>
      </c>
      <c r="B1353" t="s">
        <v>37</v>
      </c>
      <c r="C1353" t="s">
        <v>19</v>
      </c>
      <c r="D1353" s="1">
        <v>39183</v>
      </c>
      <c r="E1353" s="2">
        <v>245000</v>
      </c>
      <c r="F1353" s="2">
        <v>137000</v>
      </c>
      <c r="G1353" t="s">
        <v>15</v>
      </c>
      <c r="H1353" s="2">
        <v>897.71</v>
      </c>
      <c r="I1353" s="2">
        <v>134683.84</v>
      </c>
      <c r="J1353">
        <v>6.8500000000000005E-2</v>
      </c>
      <c r="K1353">
        <v>12</v>
      </c>
      <c r="L1353">
        <v>348</v>
      </c>
      <c r="M1353" t="str">
        <f t="shared" si="381"/>
        <v>30 Year Fixed</v>
      </c>
      <c r="N1353" s="2">
        <v>773.86</v>
      </c>
      <c r="O1353" t="str">
        <f t="shared" si="378"/>
        <v>Cash Out</v>
      </c>
      <c r="P1353" s="3">
        <f t="shared" si="382"/>
        <v>70488.573793103482</v>
      </c>
      <c r="Q1353" s="4">
        <v>208250</v>
      </c>
      <c r="R1353" s="4" t="s">
        <v>41</v>
      </c>
      <c r="S1353" s="6">
        <v>598</v>
      </c>
      <c r="T1353">
        <v>7.375</v>
      </c>
      <c r="U1353" s="7">
        <f t="shared" si="379"/>
        <v>1525.1018282047892</v>
      </c>
      <c r="V1353" s="2">
        <f t="shared" si="383"/>
        <v>-627.39182820478914</v>
      </c>
      <c r="W1353" s="9">
        <f t="shared" si="384"/>
        <v>1</v>
      </c>
      <c r="X1353" s="3">
        <v>136704</v>
      </c>
      <c r="Y1353" s="3">
        <f t="shared" si="385"/>
        <v>-9.6157635445706546E-2</v>
      </c>
      <c r="Z1353" s="7">
        <f t="shared" si="386"/>
        <v>1001.1405537714647</v>
      </c>
      <c r="AA1353" s="2">
        <f t="shared" si="380"/>
        <v>-103.4305537714647</v>
      </c>
      <c r="AB1353" s="8">
        <f t="shared" si="387"/>
        <v>1</v>
      </c>
      <c r="AC1353" s="10">
        <v>6.375</v>
      </c>
      <c r="AD1353" s="7">
        <f t="shared" si="388"/>
        <v>909.81510649538723</v>
      </c>
      <c r="AE1353" s="2">
        <f t="shared" si="389"/>
        <v>-12.10510649538719</v>
      </c>
      <c r="AF1353" s="10">
        <v>2.625</v>
      </c>
      <c r="AG1353" s="3">
        <f t="shared" si="390"/>
        <v>3588.48</v>
      </c>
      <c r="AH1353" s="7">
        <v>0</v>
      </c>
      <c r="AI1353">
        <f t="shared" si="391"/>
        <v>360</v>
      </c>
      <c r="AJ1353" t="e">
        <f>VLOOKUP(A1353,'Borrower Details'!$A$1:$H$1493,8,FALSE)</f>
        <v>#N/A</v>
      </c>
      <c r="AK1353" s="4" t="e">
        <f t="shared" si="392"/>
        <v>#N/A</v>
      </c>
      <c r="AL1353" s="10">
        <v>7.375</v>
      </c>
      <c r="AM1353" s="3">
        <f t="shared" si="393"/>
        <v>136704.09759999998</v>
      </c>
      <c r="AN1353">
        <v>7.375</v>
      </c>
      <c r="AO1353" s="7">
        <f t="shared" si="394"/>
        <v>1001.1412685370751</v>
      </c>
      <c r="AP1353" s="2">
        <f t="shared" si="395"/>
        <v>-103.43126853707508</v>
      </c>
    </row>
    <row r="1354" spans="1:42" x14ac:dyDescent="0.15">
      <c r="A1354" s="8">
        <v>410034375</v>
      </c>
      <c r="B1354" t="s">
        <v>35</v>
      </c>
      <c r="C1354" t="s">
        <v>16</v>
      </c>
      <c r="D1354" s="1">
        <v>39189</v>
      </c>
      <c r="E1354" s="2">
        <v>73500</v>
      </c>
      <c r="F1354" s="2">
        <v>65745</v>
      </c>
      <c r="G1354" t="s">
        <v>15</v>
      </c>
      <c r="H1354" s="2">
        <v>587.92999999999995</v>
      </c>
      <c r="I1354" s="2">
        <v>65395.26</v>
      </c>
      <c r="J1354">
        <v>0.10224999999999999</v>
      </c>
      <c r="K1354">
        <v>12</v>
      </c>
      <c r="L1354">
        <v>348</v>
      </c>
      <c r="M1354" t="str">
        <f t="shared" si="381"/>
        <v>30 Year Fixed</v>
      </c>
      <c r="N1354" s="2">
        <v>557.22</v>
      </c>
      <c r="O1354" t="str">
        <f t="shared" si="378"/>
        <v>Refi</v>
      </c>
      <c r="P1354" s="3">
        <f t="shared" si="382"/>
        <v>0</v>
      </c>
      <c r="Q1354" s="4">
        <v>66376</v>
      </c>
      <c r="R1354" s="4" t="s">
        <v>41</v>
      </c>
      <c r="S1354" s="6">
        <v>561</v>
      </c>
      <c r="T1354">
        <v>7.625</v>
      </c>
      <c r="U1354" s="7">
        <f t="shared" si="379"/>
        <v>497.46184374702011</v>
      </c>
      <c r="V1354" s="2">
        <f t="shared" si="383"/>
        <v>90.468156252979838</v>
      </c>
      <c r="W1354" s="9">
        <f t="shared" si="384"/>
        <v>0</v>
      </c>
      <c r="X1354" s="3">
        <v>66376</v>
      </c>
      <c r="Y1354" s="3">
        <f t="shared" si="385"/>
        <v>-0.18610837437881855</v>
      </c>
      <c r="Z1354" s="7">
        <f t="shared" si="386"/>
        <v>497.46184374702011</v>
      </c>
      <c r="AA1354" s="2">
        <f t="shared" si="380"/>
        <v>90.468156252979838</v>
      </c>
      <c r="AB1354" s="8">
        <f t="shared" si="387"/>
        <v>0</v>
      </c>
      <c r="AC1354" s="10">
        <v>7.625</v>
      </c>
      <c r="AD1354" s="7">
        <f t="shared" si="388"/>
        <v>497.46184374702011</v>
      </c>
      <c r="AE1354" s="2">
        <f t="shared" si="389"/>
        <v>90.468156252979838</v>
      </c>
      <c r="AF1354" s="10">
        <v>0</v>
      </c>
      <c r="AG1354" s="3">
        <f t="shared" si="390"/>
        <v>0</v>
      </c>
      <c r="AH1354" s="7">
        <v>3361.2131250000002</v>
      </c>
      <c r="AI1354">
        <f t="shared" si="391"/>
        <v>360</v>
      </c>
      <c r="AJ1354" t="e">
        <f>VLOOKUP(A1354,'Borrower Details'!$A$1:$H$1493,8,FALSE)</f>
        <v>#N/A</v>
      </c>
      <c r="AK1354" s="4" t="e">
        <f t="shared" si="392"/>
        <v>#N/A</v>
      </c>
      <c r="AL1354" s="10">
        <v>7.625</v>
      </c>
      <c r="AM1354" s="3">
        <f t="shared" si="393"/>
        <v>66376.188899999994</v>
      </c>
      <c r="AN1354">
        <v>7.625</v>
      </c>
      <c r="AO1354" s="7">
        <f t="shared" si="394"/>
        <v>497.46325947774028</v>
      </c>
      <c r="AP1354" s="2">
        <f t="shared" si="395"/>
        <v>90.46674052225967</v>
      </c>
    </row>
    <row r="1355" spans="1:42" x14ac:dyDescent="0.15">
      <c r="A1355" s="8">
        <v>1188426</v>
      </c>
      <c r="B1355" t="s">
        <v>38</v>
      </c>
      <c r="C1355" t="s">
        <v>19</v>
      </c>
      <c r="D1355" s="1">
        <v>39188</v>
      </c>
      <c r="E1355" s="2">
        <v>213000</v>
      </c>
      <c r="F1355" s="2">
        <v>191700</v>
      </c>
      <c r="G1355" t="s">
        <v>15</v>
      </c>
      <c r="H1355" s="2">
        <v>1523.41</v>
      </c>
      <c r="I1355" s="2">
        <v>191444.54</v>
      </c>
      <c r="J1355">
        <v>9.4500000000000001E-2</v>
      </c>
      <c r="K1355">
        <v>12</v>
      </c>
      <c r="L1355">
        <v>348</v>
      </c>
      <c r="M1355" t="str">
        <f t="shared" si="381"/>
        <v>30 Year Fixed</v>
      </c>
      <c r="N1355" s="2">
        <v>1507.63</v>
      </c>
      <c r="O1355" t="str">
        <f t="shared" si="378"/>
        <v>Refi</v>
      </c>
      <c r="P1355" s="3">
        <f t="shared" si="382"/>
        <v>0</v>
      </c>
      <c r="Q1355" s="4">
        <v>194316</v>
      </c>
      <c r="R1355" s="4" t="s">
        <v>41</v>
      </c>
      <c r="S1355" s="6">
        <v>592</v>
      </c>
      <c r="T1355">
        <v>7.375</v>
      </c>
      <c r="U1355" s="7">
        <f t="shared" si="379"/>
        <v>1423.0573198052427</v>
      </c>
      <c r="V1355" s="2">
        <f t="shared" si="383"/>
        <v>100.35268019475734</v>
      </c>
      <c r="W1355" s="9">
        <f t="shared" si="384"/>
        <v>0</v>
      </c>
      <c r="X1355" s="3">
        <v>194317</v>
      </c>
      <c r="Y1355" s="3">
        <f t="shared" si="385"/>
        <v>0.78019704433972947</v>
      </c>
      <c r="Z1355" s="7">
        <f t="shared" si="386"/>
        <v>1423.0646432233855</v>
      </c>
      <c r="AA1355" s="2">
        <f t="shared" si="380"/>
        <v>100.34535677661461</v>
      </c>
      <c r="AB1355" s="8">
        <f t="shared" si="387"/>
        <v>0</v>
      </c>
      <c r="AC1355" s="10">
        <v>7.375</v>
      </c>
      <c r="AD1355" s="7">
        <f t="shared" si="388"/>
        <v>1423.0646432233855</v>
      </c>
      <c r="AE1355" s="2">
        <f t="shared" si="389"/>
        <v>100.34535677661461</v>
      </c>
      <c r="AF1355" s="10">
        <v>0</v>
      </c>
      <c r="AG1355" s="3">
        <f t="shared" si="390"/>
        <v>0</v>
      </c>
      <c r="AH1355" s="7">
        <v>1917</v>
      </c>
      <c r="AI1355">
        <f t="shared" si="391"/>
        <v>360</v>
      </c>
      <c r="AJ1355" t="e">
        <f>VLOOKUP(A1355,'Borrower Details'!$A$1:$H$1493,8,FALSE)</f>
        <v>#N/A</v>
      </c>
      <c r="AK1355" s="4" t="e">
        <f t="shared" si="392"/>
        <v>#N/A</v>
      </c>
      <c r="AL1355" s="10">
        <v>7.375</v>
      </c>
      <c r="AM1355" s="3">
        <f t="shared" si="393"/>
        <v>194316.20809999999</v>
      </c>
      <c r="AN1355">
        <v>7.375</v>
      </c>
      <c r="AO1355" s="7">
        <f t="shared" si="394"/>
        <v>1423.0588438085583</v>
      </c>
      <c r="AP1355" s="2">
        <f t="shared" si="395"/>
        <v>100.35115619144176</v>
      </c>
    </row>
    <row r="1356" spans="1:42" x14ac:dyDescent="0.15">
      <c r="A1356" s="8">
        <v>411214406</v>
      </c>
      <c r="B1356" t="s">
        <v>36</v>
      </c>
      <c r="C1356" t="s">
        <v>16</v>
      </c>
      <c r="D1356" s="1">
        <v>39465</v>
      </c>
      <c r="E1356" s="2">
        <v>161500</v>
      </c>
      <c r="F1356" s="2">
        <v>137275</v>
      </c>
      <c r="G1356" t="s">
        <v>17</v>
      </c>
      <c r="H1356" s="2">
        <v>1449.78</v>
      </c>
      <c r="I1356" s="2">
        <v>136816.53</v>
      </c>
      <c r="J1356">
        <v>0.1135</v>
      </c>
      <c r="K1356">
        <v>3</v>
      </c>
      <c r="L1356">
        <v>237</v>
      </c>
      <c r="M1356" t="str">
        <f t="shared" si="381"/>
        <v>30 Year Fixed</v>
      </c>
      <c r="N1356" s="2">
        <v>1294.06</v>
      </c>
      <c r="O1356" t="str">
        <f t="shared" si="378"/>
        <v>Refi</v>
      </c>
      <c r="P1356" s="3">
        <f t="shared" si="382"/>
        <v>0</v>
      </c>
      <c r="Q1356" s="4">
        <v>138869</v>
      </c>
      <c r="R1356" s="4" t="s">
        <v>41</v>
      </c>
      <c r="S1356" s="6">
        <v>546</v>
      </c>
      <c r="T1356">
        <v>7.625</v>
      </c>
      <c r="U1356" s="7">
        <f t="shared" si="379"/>
        <v>1040.7681809585533</v>
      </c>
      <c r="V1356" s="2">
        <f t="shared" si="383"/>
        <v>409.01181904144664</v>
      </c>
      <c r="W1356" s="9">
        <f t="shared" si="384"/>
        <v>0</v>
      </c>
      <c r="X1356" s="3">
        <v>138869</v>
      </c>
      <c r="Y1356" s="3">
        <f t="shared" si="385"/>
        <v>0.21876847292878665</v>
      </c>
      <c r="Z1356" s="7">
        <f t="shared" si="386"/>
        <v>1040.7681809585533</v>
      </c>
      <c r="AA1356" s="2">
        <f t="shared" si="380"/>
        <v>409.01181904144664</v>
      </c>
      <c r="AB1356" s="8">
        <f t="shared" si="387"/>
        <v>0</v>
      </c>
      <c r="AC1356" s="10">
        <v>7.625</v>
      </c>
      <c r="AD1356" s="7">
        <f t="shared" si="388"/>
        <v>1040.7681809585533</v>
      </c>
      <c r="AE1356" s="2">
        <f t="shared" si="389"/>
        <v>409.01181904144664</v>
      </c>
      <c r="AF1356" s="10">
        <v>0</v>
      </c>
      <c r="AG1356" s="3">
        <f t="shared" si="390"/>
        <v>0</v>
      </c>
      <c r="AH1356" s="7">
        <v>2745.5</v>
      </c>
      <c r="AI1356">
        <f t="shared" si="391"/>
        <v>360</v>
      </c>
      <c r="AJ1356" t="e">
        <f>VLOOKUP(A1356,'Borrower Details'!$A$1:$H$1493,8,FALSE)</f>
        <v>#N/A</v>
      </c>
      <c r="AK1356" s="4" t="e">
        <f t="shared" si="392"/>
        <v>#N/A</v>
      </c>
      <c r="AL1356" s="10">
        <v>7.625</v>
      </c>
      <c r="AM1356" s="3">
        <f t="shared" si="393"/>
        <v>138868.77794999999</v>
      </c>
      <c r="AN1356">
        <v>7.625</v>
      </c>
      <c r="AO1356" s="7">
        <f t="shared" si="394"/>
        <v>1040.7665167817061</v>
      </c>
      <c r="AP1356" s="2">
        <f t="shared" si="395"/>
        <v>409.01348321829391</v>
      </c>
    </row>
    <row r="1357" spans="1:42" x14ac:dyDescent="0.15">
      <c r="A1357" s="8">
        <v>411132061</v>
      </c>
      <c r="B1357" t="s">
        <v>38</v>
      </c>
      <c r="C1357" t="s">
        <v>16</v>
      </c>
      <c r="D1357" s="1">
        <v>39443</v>
      </c>
      <c r="E1357" s="2">
        <v>225000</v>
      </c>
      <c r="F1357" s="2">
        <v>140000</v>
      </c>
      <c r="G1357" t="s">
        <v>17</v>
      </c>
      <c r="H1357" s="2">
        <v>1192.55</v>
      </c>
      <c r="I1357" s="2">
        <v>139729.04</v>
      </c>
      <c r="J1357">
        <v>9.6500000000000002E-2</v>
      </c>
      <c r="K1357">
        <v>4</v>
      </c>
      <c r="L1357">
        <v>356</v>
      </c>
      <c r="M1357" t="str">
        <f t="shared" si="381"/>
        <v>30 Year Fixed</v>
      </c>
      <c r="N1357" s="2">
        <v>1123.6500000000001</v>
      </c>
      <c r="O1357" t="str">
        <f t="shared" si="378"/>
        <v>Cash Out</v>
      </c>
      <c r="P1357" s="3">
        <f t="shared" si="382"/>
        <v>48694.605320197064</v>
      </c>
      <c r="Q1357" s="4">
        <v>191250</v>
      </c>
      <c r="R1357" s="4" t="s">
        <v>41</v>
      </c>
      <c r="S1357" s="6">
        <v>544</v>
      </c>
      <c r="T1357">
        <v>7.625</v>
      </c>
      <c r="U1357" s="7">
        <f t="shared" si="379"/>
        <v>1433.343039903242</v>
      </c>
      <c r="V1357" s="2">
        <f t="shared" si="383"/>
        <v>-240.79303990324206</v>
      </c>
      <c r="W1357" s="9">
        <f t="shared" si="384"/>
        <v>1</v>
      </c>
      <c r="X1357" s="3">
        <v>159050</v>
      </c>
      <c r="Y1357" s="3">
        <f t="shared" si="385"/>
        <v>16970.467389162572</v>
      </c>
      <c r="Z1357" s="7">
        <f t="shared" si="386"/>
        <v>1192.0167869103825</v>
      </c>
      <c r="AA1357" s="2">
        <f t="shared" si="380"/>
        <v>0.53321308961744762</v>
      </c>
      <c r="AB1357" s="8">
        <f t="shared" si="387"/>
        <v>0</v>
      </c>
      <c r="AC1357" s="10">
        <v>7.625</v>
      </c>
      <c r="AD1357" s="7">
        <f t="shared" si="388"/>
        <v>1192.0167869103825</v>
      </c>
      <c r="AE1357" s="2">
        <f t="shared" si="389"/>
        <v>0.53321308961744762</v>
      </c>
      <c r="AF1357" s="10">
        <v>0</v>
      </c>
      <c r="AG1357" s="3">
        <f t="shared" si="390"/>
        <v>0</v>
      </c>
      <c r="AH1357" s="7">
        <v>0</v>
      </c>
      <c r="AI1357">
        <f t="shared" si="391"/>
        <v>360</v>
      </c>
      <c r="AJ1357" t="e">
        <f>VLOOKUP(A1357,'Borrower Details'!$A$1:$H$1493,8,FALSE)</f>
        <v>#N/A</v>
      </c>
      <c r="AK1357" s="4" t="e">
        <f t="shared" si="392"/>
        <v>#N/A</v>
      </c>
      <c r="AL1357" s="10">
        <v>7.625</v>
      </c>
      <c r="AM1357" s="3">
        <f t="shared" si="393"/>
        <v>141824.97560000001</v>
      </c>
      <c r="AN1357">
        <v>7.625</v>
      </c>
      <c r="AO1357" s="7">
        <f t="shared" si="394"/>
        <v>1062.9220478991224</v>
      </c>
      <c r="AP1357" s="2">
        <f t="shared" si="395"/>
        <v>129.62795210087756</v>
      </c>
    </row>
    <row r="1358" spans="1:42" x14ac:dyDescent="0.15">
      <c r="A1358" s="8">
        <v>411065121</v>
      </c>
      <c r="B1358" t="s">
        <v>36</v>
      </c>
      <c r="C1358" t="s">
        <v>16</v>
      </c>
      <c r="D1358" s="1">
        <v>39399</v>
      </c>
      <c r="E1358" s="2">
        <v>270000</v>
      </c>
      <c r="F1358" s="2">
        <v>229500</v>
      </c>
      <c r="G1358" t="s">
        <v>17</v>
      </c>
      <c r="H1358" s="2">
        <v>2281.48</v>
      </c>
      <c r="I1358" s="2">
        <v>229130.23</v>
      </c>
      <c r="J1358">
        <v>0.11550000000000001</v>
      </c>
      <c r="K1358">
        <v>5</v>
      </c>
      <c r="L1358">
        <v>355</v>
      </c>
      <c r="M1358" t="str">
        <f t="shared" si="381"/>
        <v>30 Year Fixed</v>
      </c>
      <c r="N1358" s="2">
        <v>2205.38</v>
      </c>
      <c r="O1358" t="str">
        <f t="shared" si="378"/>
        <v>Refi</v>
      </c>
      <c r="P1358" s="3">
        <f t="shared" si="382"/>
        <v>0</v>
      </c>
      <c r="Q1358" s="4">
        <v>232567</v>
      </c>
      <c r="R1358" s="4" t="s">
        <v>41</v>
      </c>
      <c r="S1358" s="6">
        <v>540</v>
      </c>
      <c r="T1358">
        <v>7.625</v>
      </c>
      <c r="U1358" s="7">
        <f t="shared" si="379"/>
        <v>1742.9975987512539</v>
      </c>
      <c r="V1358" s="2">
        <f t="shared" si="383"/>
        <v>538.4824012487461</v>
      </c>
      <c r="W1358" s="9">
        <f t="shared" si="384"/>
        <v>0</v>
      </c>
      <c r="X1358" s="3">
        <v>232567</v>
      </c>
      <c r="Y1358" s="3">
        <f t="shared" si="385"/>
        <v>-0.18073891624226235</v>
      </c>
      <c r="Z1358" s="7">
        <f t="shared" si="386"/>
        <v>1742.9975987512539</v>
      </c>
      <c r="AA1358" s="2">
        <f t="shared" si="380"/>
        <v>538.4824012487461</v>
      </c>
      <c r="AB1358" s="8">
        <f t="shared" si="387"/>
        <v>0</v>
      </c>
      <c r="AC1358" s="10">
        <v>7.625</v>
      </c>
      <c r="AD1358" s="7">
        <f t="shared" si="388"/>
        <v>1742.9975987512539</v>
      </c>
      <c r="AE1358" s="2">
        <f t="shared" si="389"/>
        <v>538.4824012487461</v>
      </c>
      <c r="AF1358" s="10">
        <v>0</v>
      </c>
      <c r="AG1358" s="3">
        <f t="shared" si="390"/>
        <v>0</v>
      </c>
      <c r="AH1358" s="7">
        <v>4590</v>
      </c>
      <c r="AI1358">
        <f t="shared" si="391"/>
        <v>360</v>
      </c>
      <c r="AJ1358" t="e">
        <f>VLOOKUP(A1358,'Borrower Details'!$A$1:$H$1493,8,FALSE)</f>
        <v>#N/A</v>
      </c>
      <c r="AK1358" s="4" t="e">
        <f t="shared" si="392"/>
        <v>#N/A</v>
      </c>
      <c r="AL1358" s="10">
        <v>7.625</v>
      </c>
      <c r="AM1358" s="3">
        <f t="shared" si="393"/>
        <v>232567.18344999998</v>
      </c>
      <c r="AN1358">
        <v>7.625</v>
      </c>
      <c r="AO1358" s="7">
        <f t="shared" si="394"/>
        <v>1742.9989736363814</v>
      </c>
      <c r="AP1358" s="2">
        <f t="shared" si="395"/>
        <v>538.48102636361864</v>
      </c>
    </row>
    <row r="1359" spans="1:42" x14ac:dyDescent="0.15">
      <c r="A1359" s="8">
        <v>411069941</v>
      </c>
      <c r="B1359" t="s">
        <v>36</v>
      </c>
      <c r="C1359" t="s">
        <v>16</v>
      </c>
      <c r="D1359" s="1">
        <v>39407</v>
      </c>
      <c r="E1359" s="2">
        <v>285000</v>
      </c>
      <c r="F1359" s="2">
        <v>197000</v>
      </c>
      <c r="G1359" t="s">
        <v>17</v>
      </c>
      <c r="H1359" s="2">
        <v>1809.41</v>
      </c>
      <c r="I1359" s="2">
        <v>196573.54</v>
      </c>
      <c r="J1359">
        <v>0.1055</v>
      </c>
      <c r="K1359">
        <v>5</v>
      </c>
      <c r="L1359">
        <v>355</v>
      </c>
      <c r="M1359" t="str">
        <f t="shared" si="381"/>
        <v>30 Year Fixed</v>
      </c>
      <c r="N1359" s="2">
        <v>1728.21</v>
      </c>
      <c r="O1359" t="str">
        <f t="shared" si="378"/>
        <v>Cash Out</v>
      </c>
      <c r="P1359" s="3">
        <f t="shared" si="382"/>
        <v>42096.410738916282</v>
      </c>
      <c r="Q1359" s="4">
        <v>242250</v>
      </c>
      <c r="R1359" s="4" t="s">
        <v>41</v>
      </c>
      <c r="S1359" s="6">
        <v>538</v>
      </c>
      <c r="T1359">
        <v>7.625</v>
      </c>
      <c r="U1359" s="7">
        <f t="shared" si="379"/>
        <v>1815.5678505441067</v>
      </c>
      <c r="V1359" s="2">
        <f t="shared" si="383"/>
        <v>-6.1578505441066227</v>
      </c>
      <c r="W1359" s="9">
        <f t="shared" si="384"/>
        <v>1</v>
      </c>
      <c r="X1359" s="3">
        <v>241360</v>
      </c>
      <c r="Y1359" s="3">
        <f t="shared" si="385"/>
        <v>41219.563448275876</v>
      </c>
      <c r="Z1359" s="7">
        <f t="shared" si="386"/>
        <v>1808.8976528682169</v>
      </c>
      <c r="AA1359" s="2">
        <f t="shared" si="380"/>
        <v>0.5123471317831445</v>
      </c>
      <c r="AB1359" s="8">
        <f t="shared" si="387"/>
        <v>0</v>
      </c>
      <c r="AC1359" s="10">
        <v>7.625</v>
      </c>
      <c r="AD1359" s="7">
        <f t="shared" si="388"/>
        <v>1808.8976528682169</v>
      </c>
      <c r="AE1359" s="2">
        <f t="shared" si="389"/>
        <v>0.5123471317831445</v>
      </c>
      <c r="AF1359" s="10">
        <v>0</v>
      </c>
      <c r="AG1359" s="3">
        <f t="shared" si="390"/>
        <v>0</v>
      </c>
      <c r="AH1359" s="7">
        <v>3940</v>
      </c>
      <c r="AI1359">
        <f t="shared" si="391"/>
        <v>360</v>
      </c>
      <c r="AJ1359" t="e">
        <f>VLOOKUP(A1359,'Borrower Details'!$A$1:$H$1493,8,FALSE)</f>
        <v>#N/A</v>
      </c>
      <c r="AK1359" s="4" t="e">
        <f t="shared" si="392"/>
        <v>#N/A</v>
      </c>
      <c r="AL1359" s="10">
        <v>7.625</v>
      </c>
      <c r="AM1359" s="3">
        <f t="shared" si="393"/>
        <v>199522.14309999999</v>
      </c>
      <c r="AN1359">
        <v>7.625</v>
      </c>
      <c r="AO1359" s="7">
        <f t="shared" si="394"/>
        <v>1495.3394777462152</v>
      </c>
      <c r="AP1359" s="2">
        <f t="shared" si="395"/>
        <v>314.07052225378493</v>
      </c>
    </row>
    <row r="1360" spans="1:42" x14ac:dyDescent="0.15">
      <c r="A1360" s="8">
        <v>410429195</v>
      </c>
      <c r="B1360" t="s">
        <v>35</v>
      </c>
      <c r="C1360" t="s">
        <v>16</v>
      </c>
      <c r="D1360" s="1">
        <v>39272</v>
      </c>
      <c r="E1360" s="2">
        <v>205000</v>
      </c>
      <c r="F1360" s="2">
        <v>153750</v>
      </c>
      <c r="G1360" t="s">
        <v>17</v>
      </c>
      <c r="H1360" s="2">
        <v>1122.81</v>
      </c>
      <c r="I1360" s="2">
        <v>152735.79999999999</v>
      </c>
      <c r="J1360">
        <v>7.9500000000000001E-2</v>
      </c>
      <c r="K1360">
        <v>9</v>
      </c>
      <c r="L1360">
        <v>351</v>
      </c>
      <c r="M1360" t="str">
        <f t="shared" si="381"/>
        <v>30 Year Fixed</v>
      </c>
      <c r="N1360" s="2">
        <v>1011.87</v>
      </c>
      <c r="O1360" t="str">
        <f t="shared" si="378"/>
        <v>Cash Out</v>
      </c>
      <c r="P1360" s="3">
        <f t="shared" si="382"/>
        <v>18939.076847290678</v>
      </c>
      <c r="Q1360" s="4">
        <v>174250</v>
      </c>
      <c r="R1360" s="4" t="s">
        <v>41</v>
      </c>
      <c r="S1360" s="6">
        <v>654</v>
      </c>
      <c r="T1360">
        <v>6.75</v>
      </c>
      <c r="U1360" s="7">
        <f t="shared" si="379"/>
        <v>1202.7863499367793</v>
      </c>
      <c r="V1360" s="2">
        <f t="shared" si="383"/>
        <v>-79.976349936779343</v>
      </c>
      <c r="W1360" s="9">
        <f t="shared" si="384"/>
        <v>1</v>
      </c>
      <c r="X1360" s="3">
        <v>162590</v>
      </c>
      <c r="Y1360" s="3">
        <f t="shared" si="385"/>
        <v>7451.3921182266204</v>
      </c>
      <c r="Z1360" s="7">
        <f t="shared" si="386"/>
        <v>1122.3014785435923</v>
      </c>
      <c r="AA1360" s="2">
        <f t="shared" si="380"/>
        <v>0.50852145640760682</v>
      </c>
      <c r="AB1360" s="8">
        <f t="shared" si="387"/>
        <v>1</v>
      </c>
      <c r="AC1360" s="10">
        <v>6.125</v>
      </c>
      <c r="AD1360" s="7">
        <f t="shared" si="388"/>
        <v>1055.6598096375765</v>
      </c>
      <c r="AE1360" s="2">
        <f t="shared" si="389"/>
        <v>67.150190362423473</v>
      </c>
      <c r="AF1360" s="10">
        <v>3</v>
      </c>
      <c r="AG1360" s="3">
        <f t="shared" si="390"/>
        <v>4877.7</v>
      </c>
      <c r="AH1360" s="7">
        <v>6111.5625</v>
      </c>
      <c r="AI1360">
        <f t="shared" si="391"/>
        <v>360</v>
      </c>
      <c r="AJ1360" t="e">
        <f>VLOOKUP(A1360,'Borrower Details'!$A$1:$H$1493,8,FALSE)</f>
        <v>#N/A</v>
      </c>
      <c r="AK1360" s="4" t="e">
        <f t="shared" si="392"/>
        <v>#N/A</v>
      </c>
      <c r="AL1360" s="10">
        <v>6.75</v>
      </c>
      <c r="AM1360" s="3">
        <f t="shared" si="393"/>
        <v>155026.83699999997</v>
      </c>
      <c r="AN1360">
        <v>6.75</v>
      </c>
      <c r="AO1360" s="7">
        <f t="shared" si="394"/>
        <v>1070.0956293685738</v>
      </c>
      <c r="AP1360" s="2">
        <f t="shared" si="395"/>
        <v>52.714370631426164</v>
      </c>
    </row>
    <row r="1361" spans="1:42" x14ac:dyDescent="0.15">
      <c r="A1361" s="8">
        <v>410570659</v>
      </c>
      <c r="B1361" t="s">
        <v>36</v>
      </c>
      <c r="C1361" t="s">
        <v>19</v>
      </c>
      <c r="D1361" s="1">
        <v>39287</v>
      </c>
      <c r="E1361" s="2">
        <v>285000</v>
      </c>
      <c r="F1361" s="2">
        <v>242250</v>
      </c>
      <c r="G1361" t="s">
        <v>17</v>
      </c>
      <c r="H1361" s="2">
        <v>1914.44</v>
      </c>
      <c r="I1361" s="2">
        <v>240971.48</v>
      </c>
      <c r="J1361">
        <v>8.7999999999999995E-2</v>
      </c>
      <c r="K1361">
        <v>9</v>
      </c>
      <c r="L1361">
        <v>351</v>
      </c>
      <c r="M1361" t="str">
        <f t="shared" si="381"/>
        <v>30 Year Fixed</v>
      </c>
      <c r="N1361" s="2">
        <v>1767.12</v>
      </c>
      <c r="O1361" t="str">
        <f t="shared" si="378"/>
        <v>Refi</v>
      </c>
      <c r="P1361" s="3">
        <f t="shared" si="382"/>
        <v>0</v>
      </c>
      <c r="Q1361" s="4">
        <v>244586</v>
      </c>
      <c r="R1361" s="4" t="s">
        <v>41</v>
      </c>
      <c r="S1361" s="6">
        <v>577</v>
      </c>
      <c r="T1361">
        <v>7.625</v>
      </c>
      <c r="U1361" s="7">
        <f t="shared" si="379"/>
        <v>1833.0752457922842</v>
      </c>
      <c r="V1361" s="2">
        <f t="shared" si="383"/>
        <v>81.364754207715805</v>
      </c>
      <c r="W1361" s="9">
        <f t="shared" si="384"/>
        <v>0</v>
      </c>
      <c r="X1361" s="3">
        <v>244586</v>
      </c>
      <c r="Y1361" s="3">
        <f t="shared" si="385"/>
        <v>-5.1428571401629597E-2</v>
      </c>
      <c r="Z1361" s="7">
        <f t="shared" si="386"/>
        <v>1833.0752457922842</v>
      </c>
      <c r="AA1361" s="2">
        <f t="shared" si="380"/>
        <v>81.364754207715805</v>
      </c>
      <c r="AB1361" s="8">
        <f t="shared" si="387"/>
        <v>1</v>
      </c>
      <c r="AC1361" s="10">
        <v>6.875</v>
      </c>
      <c r="AD1361" s="7">
        <f t="shared" si="388"/>
        <v>1708.6667415497318</v>
      </c>
      <c r="AE1361" s="2">
        <f t="shared" si="389"/>
        <v>205.77325845026826</v>
      </c>
      <c r="AF1361" s="10">
        <v>1</v>
      </c>
      <c r="AG1361" s="3">
        <f t="shared" si="390"/>
        <v>2445.86</v>
      </c>
      <c r="AH1361" s="7">
        <v>4845</v>
      </c>
      <c r="AI1361">
        <f t="shared" si="391"/>
        <v>360</v>
      </c>
      <c r="AJ1361" t="e">
        <f>VLOOKUP(A1361,'Borrower Details'!$A$1:$H$1493,8,FALSE)</f>
        <v>#N/A</v>
      </c>
      <c r="AK1361" s="4" t="e">
        <f t="shared" si="392"/>
        <v>#N/A</v>
      </c>
      <c r="AL1361" s="10">
        <v>7.625</v>
      </c>
      <c r="AM1361" s="3">
        <f t="shared" si="393"/>
        <v>244586.05219999998</v>
      </c>
      <c r="AN1361">
        <v>7.625</v>
      </c>
      <c r="AO1361" s="7">
        <f t="shared" si="394"/>
        <v>1833.0756370106196</v>
      </c>
      <c r="AP1361" s="2">
        <f t="shared" si="395"/>
        <v>81.364362989380425</v>
      </c>
    </row>
    <row r="1362" spans="1:42" x14ac:dyDescent="0.15">
      <c r="A1362" s="8">
        <v>1160168</v>
      </c>
      <c r="B1362" t="s">
        <v>36</v>
      </c>
      <c r="C1362" t="s">
        <v>18</v>
      </c>
      <c r="D1362" s="1">
        <v>39154</v>
      </c>
      <c r="E1362" s="2">
        <v>161000</v>
      </c>
      <c r="F1362" s="2">
        <v>136850</v>
      </c>
      <c r="G1362" t="s">
        <v>15</v>
      </c>
      <c r="H1362" s="2">
        <v>951.13</v>
      </c>
      <c r="I1362" s="2">
        <v>136577.68</v>
      </c>
      <c r="J1362">
        <v>8.2000000000000003E-2</v>
      </c>
      <c r="K1362">
        <v>13</v>
      </c>
      <c r="L1362">
        <v>347</v>
      </c>
      <c r="M1362" t="str">
        <f t="shared" si="381"/>
        <v>30 Year Fixed</v>
      </c>
      <c r="N1362" s="2">
        <v>933.28</v>
      </c>
      <c r="O1362" t="str">
        <f t="shared" si="378"/>
        <v>Refi</v>
      </c>
      <c r="P1362" s="3">
        <f t="shared" si="382"/>
        <v>0</v>
      </c>
      <c r="Q1362" s="4">
        <v>138626</v>
      </c>
      <c r="R1362" s="4" t="s">
        <v>41</v>
      </c>
      <c r="S1362" s="6">
        <v>550</v>
      </c>
      <c r="T1362">
        <v>7.625</v>
      </c>
      <c r="U1362" s="7">
        <f t="shared" si="379"/>
        <v>1038.9469921549116</v>
      </c>
      <c r="V1362" s="2">
        <f t="shared" si="383"/>
        <v>-87.816992154911645</v>
      </c>
      <c r="W1362" s="9">
        <f t="shared" si="384"/>
        <v>0</v>
      </c>
      <c r="X1362" s="3">
        <v>138627</v>
      </c>
      <c r="Y1362" s="3">
        <f t="shared" si="385"/>
        <v>0.64512315273168497</v>
      </c>
      <c r="Z1362" s="7">
        <f t="shared" si="386"/>
        <v>1038.9544867590419</v>
      </c>
      <c r="AA1362" s="2">
        <f t="shared" si="380"/>
        <v>-87.824486759041861</v>
      </c>
      <c r="AB1362" s="8">
        <f t="shared" si="387"/>
        <v>1</v>
      </c>
      <c r="AC1362" s="10">
        <v>6.875</v>
      </c>
      <c r="AD1362" s="7">
        <f t="shared" si="388"/>
        <v>968.44195653395798</v>
      </c>
      <c r="AE1362" s="2">
        <f t="shared" si="389"/>
        <v>-17.311956533957982</v>
      </c>
      <c r="AF1362" s="10">
        <v>1</v>
      </c>
      <c r="AG1362" s="3">
        <f t="shared" si="390"/>
        <v>1386.27</v>
      </c>
      <c r="AH1362" s="7">
        <v>2737</v>
      </c>
      <c r="AI1362">
        <f t="shared" si="391"/>
        <v>360</v>
      </c>
      <c r="AJ1362" t="e">
        <f>VLOOKUP(A1362,'Borrower Details'!$A$1:$H$1493,8,FALSE)</f>
        <v>#N/A</v>
      </c>
      <c r="AK1362" s="4" t="e">
        <f t="shared" si="392"/>
        <v>#N/A</v>
      </c>
      <c r="AL1362" s="10">
        <v>7.625</v>
      </c>
      <c r="AM1362" s="3">
        <f t="shared" si="393"/>
        <v>138626.34519999998</v>
      </c>
      <c r="AN1362">
        <v>7.625</v>
      </c>
      <c r="AO1362" s="7">
        <f t="shared" si="394"/>
        <v>1038.9495792922571</v>
      </c>
      <c r="AP1362" s="2">
        <f t="shared" si="395"/>
        <v>-87.819579292257117</v>
      </c>
    </row>
    <row r="1363" spans="1:42" x14ac:dyDescent="0.15">
      <c r="A1363" s="8">
        <v>411198567</v>
      </c>
      <c r="B1363" t="s">
        <v>35</v>
      </c>
      <c r="C1363" t="s">
        <v>16</v>
      </c>
      <c r="D1363" s="1">
        <v>39443</v>
      </c>
      <c r="E1363" s="2">
        <v>320000</v>
      </c>
      <c r="F1363" s="2">
        <v>145000</v>
      </c>
      <c r="G1363" t="s">
        <v>17</v>
      </c>
      <c r="H1363" s="2">
        <v>1216.5999999999999</v>
      </c>
      <c r="I1363" s="2">
        <v>144709.17000000001</v>
      </c>
      <c r="J1363">
        <v>9.4750000000000001E-2</v>
      </c>
      <c r="K1363">
        <v>4</v>
      </c>
      <c r="L1363">
        <v>356</v>
      </c>
      <c r="M1363" t="str">
        <f t="shared" si="381"/>
        <v>30 Year Fixed</v>
      </c>
      <c r="N1363" s="2">
        <v>1142.5999999999999</v>
      </c>
      <c r="O1363" t="str">
        <f t="shared" si="378"/>
        <v>Cash Out</v>
      </c>
      <c r="P1363" s="3">
        <f t="shared" si="382"/>
        <v>123271.12556650248</v>
      </c>
      <c r="Q1363" s="4">
        <v>272000</v>
      </c>
      <c r="R1363" s="4" t="s">
        <v>41</v>
      </c>
      <c r="S1363" s="6">
        <v>580</v>
      </c>
      <c r="T1363">
        <v>7.375</v>
      </c>
      <c r="U1363" s="7">
        <f t="shared" si="379"/>
        <v>1991.9697347980921</v>
      </c>
      <c r="V1363" s="2">
        <f t="shared" si="383"/>
        <v>-775.36973479809217</v>
      </c>
      <c r="W1363" s="9">
        <f t="shared" si="384"/>
        <v>1</v>
      </c>
      <c r="X1363" s="3">
        <v>166050</v>
      </c>
      <c r="Y1363" s="3">
        <f t="shared" si="385"/>
        <v>18886.889113300509</v>
      </c>
      <c r="Z1363" s="7">
        <f t="shared" si="386"/>
        <v>1216.0535825853794</v>
      </c>
      <c r="AA1363" s="2">
        <f t="shared" si="380"/>
        <v>0.54641741462046411</v>
      </c>
      <c r="AB1363" s="8">
        <f t="shared" si="387"/>
        <v>0</v>
      </c>
      <c r="AC1363" s="10">
        <v>7.375</v>
      </c>
      <c r="AD1363" s="7">
        <f t="shared" si="388"/>
        <v>1216.0535825853794</v>
      </c>
      <c r="AE1363" s="2">
        <f t="shared" si="389"/>
        <v>0.54641741462046411</v>
      </c>
      <c r="AF1363" s="10">
        <v>0</v>
      </c>
      <c r="AG1363" s="3">
        <f t="shared" si="390"/>
        <v>0</v>
      </c>
      <c r="AH1363" s="7">
        <v>6869.375</v>
      </c>
      <c r="AI1363">
        <f t="shared" si="391"/>
        <v>360</v>
      </c>
      <c r="AJ1363" t="e">
        <f>VLOOKUP(A1363,'Borrower Details'!$A$1:$H$1493,8,FALSE)</f>
        <v>#N/A</v>
      </c>
      <c r="AK1363" s="4" t="e">
        <f t="shared" si="392"/>
        <v>#N/A</v>
      </c>
      <c r="AL1363" s="10">
        <v>7.375</v>
      </c>
      <c r="AM1363" s="3">
        <f t="shared" si="393"/>
        <v>146879.80755</v>
      </c>
      <c r="AN1363">
        <v>7.375</v>
      </c>
      <c r="AO1363" s="7">
        <f t="shared" si="394"/>
        <v>1075.6622473991481</v>
      </c>
      <c r="AP1363" s="2">
        <f t="shared" si="395"/>
        <v>140.93775260085181</v>
      </c>
    </row>
    <row r="1364" spans="1:42" x14ac:dyDescent="0.15">
      <c r="A1364" s="8">
        <v>411200595</v>
      </c>
      <c r="B1364" t="s">
        <v>37</v>
      </c>
      <c r="C1364" t="s">
        <v>16</v>
      </c>
      <c r="D1364" s="1">
        <v>39463</v>
      </c>
      <c r="E1364" s="2">
        <v>194000</v>
      </c>
      <c r="F1364" s="2">
        <v>174600</v>
      </c>
      <c r="G1364" t="s">
        <v>20</v>
      </c>
      <c r="H1364" s="2">
        <v>1661.44</v>
      </c>
      <c r="I1364" s="2">
        <v>174300.49</v>
      </c>
      <c r="J1364">
        <v>0.1099</v>
      </c>
      <c r="K1364">
        <v>3</v>
      </c>
      <c r="L1364">
        <v>357</v>
      </c>
      <c r="M1364" t="str">
        <f t="shared" si="381"/>
        <v>30 Year Fixed</v>
      </c>
      <c r="N1364" s="2">
        <v>1596.3</v>
      </c>
      <c r="O1364" t="str">
        <f t="shared" si="378"/>
        <v>Refi</v>
      </c>
      <c r="P1364" s="3">
        <f t="shared" si="382"/>
        <v>0</v>
      </c>
      <c r="Q1364" s="4">
        <v>176915</v>
      </c>
      <c r="R1364" s="4" t="s">
        <v>41</v>
      </c>
      <c r="S1364" s="6">
        <v>596</v>
      </c>
      <c r="T1364">
        <v>7.375</v>
      </c>
      <c r="U1364" s="7">
        <f t="shared" si="379"/>
        <v>1295.6225207051637</v>
      </c>
      <c r="V1364" s="2">
        <f t="shared" si="383"/>
        <v>365.8174792948364</v>
      </c>
      <c r="W1364" s="9">
        <f t="shared" si="384"/>
        <v>0</v>
      </c>
      <c r="X1364" s="3">
        <v>176915</v>
      </c>
      <c r="Y1364" s="3">
        <f t="shared" si="385"/>
        <v>2.6108374586328864E-3</v>
      </c>
      <c r="Z1364" s="7">
        <f t="shared" si="386"/>
        <v>1295.6225207051637</v>
      </c>
      <c r="AA1364" s="2">
        <f t="shared" si="380"/>
        <v>365.8174792948364</v>
      </c>
      <c r="AB1364" s="8">
        <f t="shared" si="387"/>
        <v>0</v>
      </c>
      <c r="AC1364" s="10">
        <v>7.375</v>
      </c>
      <c r="AD1364" s="7">
        <f t="shared" si="388"/>
        <v>1295.6225207051637</v>
      </c>
      <c r="AE1364" s="2">
        <f t="shared" si="389"/>
        <v>365.8174792948364</v>
      </c>
      <c r="AF1364" s="10">
        <v>0</v>
      </c>
      <c r="AG1364" s="3">
        <f t="shared" si="390"/>
        <v>0</v>
      </c>
      <c r="AH1364" s="7">
        <v>0</v>
      </c>
      <c r="AI1364">
        <f t="shared" si="391"/>
        <v>360</v>
      </c>
      <c r="AJ1364" t="e">
        <f>VLOOKUP(A1364,'Borrower Details'!$A$1:$H$1493,8,FALSE)</f>
        <v>#N/A</v>
      </c>
      <c r="AK1364" s="4" t="e">
        <f t="shared" si="392"/>
        <v>#N/A</v>
      </c>
      <c r="AL1364" s="10">
        <v>7.375</v>
      </c>
      <c r="AM1364" s="3">
        <f t="shared" si="393"/>
        <v>176914.99734999996</v>
      </c>
      <c r="AN1364">
        <v>7.375</v>
      </c>
      <c r="AO1364" s="7">
        <f t="shared" si="394"/>
        <v>1295.6225012981051</v>
      </c>
      <c r="AP1364" s="2">
        <f t="shared" si="395"/>
        <v>365.81749870189492</v>
      </c>
    </row>
    <row r="1365" spans="1:42" x14ac:dyDescent="0.15">
      <c r="A1365" s="8">
        <v>1154580</v>
      </c>
      <c r="B1365" t="s">
        <v>36</v>
      </c>
      <c r="C1365" t="s">
        <v>18</v>
      </c>
      <c r="D1365" s="1">
        <v>39146</v>
      </c>
      <c r="E1365" s="2">
        <v>325000</v>
      </c>
      <c r="F1365" s="2">
        <v>292500</v>
      </c>
      <c r="G1365" t="s">
        <v>17</v>
      </c>
      <c r="H1365" s="2">
        <v>1815.57</v>
      </c>
      <c r="I1365" s="2">
        <v>290995.3</v>
      </c>
      <c r="J1365">
        <v>6.9900000000000004E-2</v>
      </c>
      <c r="K1365">
        <v>13</v>
      </c>
      <c r="L1365">
        <v>347</v>
      </c>
      <c r="M1365" t="str">
        <f t="shared" si="381"/>
        <v>30 Year Fixed</v>
      </c>
      <c r="N1365" s="2">
        <v>1695.05</v>
      </c>
      <c r="O1365" t="str">
        <f t="shared" si="378"/>
        <v>Refi</v>
      </c>
      <c r="P1365" s="3">
        <f t="shared" si="382"/>
        <v>0</v>
      </c>
      <c r="Q1365" s="4">
        <v>295360</v>
      </c>
      <c r="R1365" s="4" t="s">
        <v>41</v>
      </c>
      <c r="S1365" s="6">
        <v>672</v>
      </c>
      <c r="T1365">
        <v>6.75</v>
      </c>
      <c r="U1365" s="7">
        <f t="shared" si="379"/>
        <v>2038.766004690543</v>
      </c>
      <c r="V1365" s="2">
        <f t="shared" si="383"/>
        <v>-223.19600469054308</v>
      </c>
      <c r="W1365" s="9">
        <f t="shared" si="384"/>
        <v>0</v>
      </c>
      <c r="X1365" s="3">
        <v>295360</v>
      </c>
      <c r="Y1365" s="3">
        <f t="shared" si="385"/>
        <v>-0.22610837436513975</v>
      </c>
      <c r="Z1365" s="7">
        <f t="shared" si="386"/>
        <v>2038.766004690543</v>
      </c>
      <c r="AA1365" s="2">
        <f t="shared" si="380"/>
        <v>-223.19600469054308</v>
      </c>
      <c r="AB1365" s="8">
        <f t="shared" si="387"/>
        <v>1</v>
      </c>
      <c r="AC1365" s="10">
        <v>6.125</v>
      </c>
      <c r="AD1365" s="7">
        <f t="shared" si="388"/>
        <v>1917.7051563721914</v>
      </c>
      <c r="AE1365" s="2">
        <f t="shared" si="389"/>
        <v>-102.13515637219143</v>
      </c>
      <c r="AF1365" s="10">
        <v>3</v>
      </c>
      <c r="AG1365" s="3">
        <f t="shared" si="390"/>
        <v>8860.7999999999993</v>
      </c>
      <c r="AH1365" s="7">
        <v>5850</v>
      </c>
      <c r="AI1365">
        <f t="shared" si="391"/>
        <v>360</v>
      </c>
      <c r="AJ1365" t="e">
        <f>VLOOKUP(A1365,'Borrower Details'!$A$1:$H$1493,8,FALSE)</f>
        <v>#N/A</v>
      </c>
      <c r="AK1365" s="4" t="e">
        <f t="shared" si="392"/>
        <v>#N/A</v>
      </c>
      <c r="AL1365" s="10">
        <v>6.75</v>
      </c>
      <c r="AM1365" s="3">
        <f t="shared" si="393"/>
        <v>295360.22949999996</v>
      </c>
      <c r="AN1365">
        <v>6.75</v>
      </c>
      <c r="AO1365" s="7">
        <f t="shared" si="394"/>
        <v>2038.7675888481745</v>
      </c>
      <c r="AP1365" s="2">
        <f t="shared" si="395"/>
        <v>-223.19758884817452</v>
      </c>
    </row>
    <row r="1366" spans="1:42" x14ac:dyDescent="0.15">
      <c r="A1366" s="8">
        <v>410576003</v>
      </c>
      <c r="B1366" t="s">
        <v>35</v>
      </c>
      <c r="C1366" t="s">
        <v>16</v>
      </c>
      <c r="D1366" s="1">
        <v>39272</v>
      </c>
      <c r="E1366" s="2">
        <v>205000</v>
      </c>
      <c r="F1366" s="2">
        <v>151800</v>
      </c>
      <c r="G1366" t="s">
        <v>15</v>
      </c>
      <c r="H1366" s="2">
        <v>1048.45</v>
      </c>
      <c r="I1366" s="2">
        <v>150715.79999999999</v>
      </c>
      <c r="J1366">
        <v>7.3749999999999996E-2</v>
      </c>
      <c r="K1366">
        <v>9</v>
      </c>
      <c r="L1366">
        <v>351</v>
      </c>
      <c r="M1366" t="str">
        <f t="shared" si="381"/>
        <v>30 Year Fixed</v>
      </c>
      <c r="N1366" s="2">
        <v>926.27</v>
      </c>
      <c r="O1366" t="str">
        <f t="shared" si="378"/>
        <v>Cash Out</v>
      </c>
      <c r="P1366" s="3">
        <f t="shared" si="382"/>
        <v>20959.076847290678</v>
      </c>
      <c r="Q1366" s="4">
        <v>174250</v>
      </c>
      <c r="R1366" s="4" t="s">
        <v>41</v>
      </c>
      <c r="S1366" s="6">
        <v>647</v>
      </c>
      <c r="T1366">
        <v>6.75</v>
      </c>
      <c r="U1366" s="7">
        <f t="shared" si="379"/>
        <v>1202.7863499367793</v>
      </c>
      <c r="V1366" s="2">
        <f t="shared" si="383"/>
        <v>-154.33634993677924</v>
      </c>
      <c r="W1366" s="9">
        <f t="shared" si="384"/>
        <v>1</v>
      </c>
      <c r="X1366" s="3">
        <v>152977</v>
      </c>
      <c r="Y1366" s="3">
        <f t="shared" si="385"/>
        <v>0.45615763548994437</v>
      </c>
      <c r="Z1366" s="7">
        <f t="shared" si="386"/>
        <v>1055.9463268538232</v>
      </c>
      <c r="AA1366" s="2">
        <f t="shared" si="380"/>
        <v>-7.4963268538231205</v>
      </c>
      <c r="AB1366" s="8">
        <f t="shared" si="387"/>
        <v>1</v>
      </c>
      <c r="AC1366" s="10">
        <v>6.125</v>
      </c>
      <c r="AD1366" s="7">
        <f t="shared" si="388"/>
        <v>993.24479180101821</v>
      </c>
      <c r="AE1366" s="2">
        <f t="shared" si="389"/>
        <v>55.205208198981836</v>
      </c>
      <c r="AF1366" s="10">
        <v>3</v>
      </c>
      <c r="AG1366" s="3">
        <f t="shared" si="390"/>
        <v>4589.3100000000004</v>
      </c>
      <c r="AH1366" s="7">
        <v>5597.625</v>
      </c>
      <c r="AI1366">
        <f t="shared" si="391"/>
        <v>360</v>
      </c>
      <c r="AJ1366" t="e">
        <f>VLOOKUP(A1366,'Borrower Details'!$A$1:$H$1493,8,FALSE)</f>
        <v>#N/A</v>
      </c>
      <c r="AK1366" s="4" t="e">
        <f t="shared" si="392"/>
        <v>#N/A</v>
      </c>
      <c r="AL1366" s="10">
        <v>6.75</v>
      </c>
      <c r="AM1366" s="3">
        <f t="shared" si="393"/>
        <v>152976.53699999998</v>
      </c>
      <c r="AN1366">
        <v>6.75</v>
      </c>
      <c r="AO1366" s="7">
        <f t="shared" si="394"/>
        <v>1055.9431309279692</v>
      </c>
      <c r="AP1366" s="2">
        <f t="shared" si="395"/>
        <v>-7.493130927969105</v>
      </c>
    </row>
    <row r="1367" spans="1:42" x14ac:dyDescent="0.15">
      <c r="A1367" s="8">
        <v>410952527</v>
      </c>
      <c r="B1367" t="s">
        <v>37</v>
      </c>
      <c r="C1367" t="s">
        <v>16</v>
      </c>
      <c r="D1367" s="1">
        <v>39349</v>
      </c>
      <c r="E1367" s="2">
        <v>237000</v>
      </c>
      <c r="F1367" s="2">
        <v>189500</v>
      </c>
      <c r="G1367" t="s">
        <v>17</v>
      </c>
      <c r="H1367" s="2">
        <v>1425.37</v>
      </c>
      <c r="I1367" s="2">
        <v>189188.05</v>
      </c>
      <c r="J1367">
        <v>8.7499999999999994E-2</v>
      </c>
      <c r="K1367">
        <v>7</v>
      </c>
      <c r="L1367">
        <v>353</v>
      </c>
      <c r="M1367" t="str">
        <f t="shared" si="381"/>
        <v>30 Year Fixed</v>
      </c>
      <c r="N1367" s="2">
        <v>1379.5</v>
      </c>
      <c r="O1367" t="str">
        <f t="shared" si="378"/>
        <v>Cash Out</v>
      </c>
      <c r="P1367" s="3">
        <f t="shared" si="382"/>
        <v>9284.8564039409102</v>
      </c>
      <c r="Q1367" s="4">
        <v>201450</v>
      </c>
      <c r="R1367" s="4" t="s">
        <v>41</v>
      </c>
      <c r="S1367" s="6">
        <v>681</v>
      </c>
      <c r="T1367">
        <v>6.75</v>
      </c>
      <c r="U1367" s="7">
        <f t="shared" si="379"/>
        <v>1390.5383655366668</v>
      </c>
      <c r="V1367" s="2">
        <f t="shared" si="383"/>
        <v>34.831634463333103</v>
      </c>
      <c r="W1367" s="9">
        <f t="shared" si="384"/>
        <v>0</v>
      </c>
      <c r="X1367" s="3">
        <v>201450</v>
      </c>
      <c r="Y1367" s="3">
        <f t="shared" si="385"/>
        <v>9284.8564039409102</v>
      </c>
      <c r="Z1367" s="7">
        <f t="shared" si="386"/>
        <v>1390.5383655366668</v>
      </c>
      <c r="AA1367" s="2">
        <f t="shared" si="380"/>
        <v>34.831634463333103</v>
      </c>
      <c r="AB1367" s="8">
        <f t="shared" si="387"/>
        <v>0</v>
      </c>
      <c r="AC1367" s="10">
        <v>6.75</v>
      </c>
      <c r="AD1367" s="7">
        <f t="shared" si="388"/>
        <v>1390.5383655366668</v>
      </c>
      <c r="AE1367" s="2">
        <f t="shared" si="389"/>
        <v>34.831634463333103</v>
      </c>
      <c r="AF1367" s="10">
        <v>0</v>
      </c>
      <c r="AG1367" s="3">
        <f t="shared" si="390"/>
        <v>0</v>
      </c>
      <c r="AH1367" s="7">
        <v>1895</v>
      </c>
      <c r="AI1367">
        <f t="shared" si="391"/>
        <v>360</v>
      </c>
      <c r="AJ1367" t="e">
        <f>VLOOKUP(A1367,'Borrower Details'!$A$1:$H$1493,8,FALSE)</f>
        <v>#N/A</v>
      </c>
      <c r="AK1367" s="4" t="e">
        <f t="shared" si="392"/>
        <v>#N/A</v>
      </c>
      <c r="AL1367" s="10">
        <v>6.75</v>
      </c>
      <c r="AM1367" s="3">
        <f t="shared" si="393"/>
        <v>192025.87074999997</v>
      </c>
      <c r="AN1367">
        <v>6.75</v>
      </c>
      <c r="AO1367" s="7">
        <f t="shared" si="394"/>
        <v>1325.4869220822047</v>
      </c>
      <c r="AP1367" s="2">
        <f t="shared" si="395"/>
        <v>99.883077917795163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B4335-BD09-7D4C-B5BD-75C0FBBE628B}">
  <sheetPr codeName="Sheet3"/>
  <dimension ref="E2"/>
  <sheetViews>
    <sheetView workbookViewId="0">
      <selection activeCell="A2" sqref="A2"/>
    </sheetView>
  </sheetViews>
  <sheetFormatPr baseColWidth="10" defaultRowHeight="13" x14ac:dyDescent="0.15"/>
  <cols>
    <col min="1" max="1" width="10" bestFit="1" customWidth="1"/>
    <col min="2" max="7" width="8.83203125" customWidth="1"/>
    <col min="8" max="8" width="12.5" bestFit="1" customWidth="1"/>
    <col min="9" max="256" width="8.83203125" customWidth="1"/>
  </cols>
  <sheetData>
    <row r="2" spans="5:5" x14ac:dyDescent="0.15">
      <c r="E2" s="11"/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A54B6-0F3C-AF4B-8CFF-867508129C20}">
  <sheetPr codeName="Sheet6"/>
  <dimension ref="A1:AP2"/>
  <sheetViews>
    <sheetView workbookViewId="0">
      <selection activeCell="C13" sqref="C13"/>
    </sheetView>
  </sheetViews>
  <sheetFormatPr baseColWidth="10" defaultRowHeight="13" x14ac:dyDescent="0.15"/>
  <cols>
    <col min="1" max="256" width="8.83203125" customWidth="1"/>
  </cols>
  <sheetData>
    <row r="1" spans="1:42" x14ac:dyDescent="0.15">
      <c r="A1" t="s">
        <v>3</v>
      </c>
      <c r="B1" t="s">
        <v>34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39</v>
      </c>
      <c r="N1" t="s">
        <v>14</v>
      </c>
      <c r="O1" t="s">
        <v>23</v>
      </c>
      <c r="P1" t="s">
        <v>24</v>
      </c>
      <c r="Q1" t="s">
        <v>25</v>
      </c>
      <c r="R1" t="s">
        <v>40</v>
      </c>
      <c r="S1" t="s">
        <v>33</v>
      </c>
      <c r="T1" t="s">
        <v>26</v>
      </c>
      <c r="U1" t="s">
        <v>27</v>
      </c>
      <c r="V1" t="s">
        <v>28</v>
      </c>
      <c r="W1" t="s">
        <v>44</v>
      </c>
      <c r="X1" t="s">
        <v>42</v>
      </c>
      <c r="Y1" t="s">
        <v>45</v>
      </c>
      <c r="Z1" t="s">
        <v>47</v>
      </c>
      <c r="AA1" s="7" t="s">
        <v>48</v>
      </c>
      <c r="AB1" t="s">
        <v>49</v>
      </c>
      <c r="AC1" t="s">
        <v>50</v>
      </c>
      <c r="AD1" t="s">
        <v>29</v>
      </c>
      <c r="AE1" t="s">
        <v>30</v>
      </c>
      <c r="AF1" t="s">
        <v>31</v>
      </c>
      <c r="AG1" t="s">
        <v>32</v>
      </c>
      <c r="AH1" t="s">
        <v>43</v>
      </c>
      <c r="AI1" t="s">
        <v>46</v>
      </c>
      <c r="AJ1" t="s">
        <v>88</v>
      </c>
      <c r="AK1" t="s">
        <v>89</v>
      </c>
      <c r="AL1" t="s">
        <v>80</v>
      </c>
      <c r="AM1" t="s">
        <v>82</v>
      </c>
      <c r="AN1" t="s">
        <v>83</v>
      </c>
      <c r="AO1" t="s">
        <v>84</v>
      </c>
      <c r="AP1" t="s">
        <v>85</v>
      </c>
    </row>
    <row r="2" spans="1:42" x14ac:dyDescent="0.15">
      <c r="A2">
        <v>410513436</v>
      </c>
      <c r="B2" t="s">
        <v>35</v>
      </c>
      <c r="C2" t="s">
        <v>16</v>
      </c>
      <c r="D2">
        <v>39287</v>
      </c>
      <c r="E2">
        <v>155000</v>
      </c>
      <c r="F2">
        <v>131750</v>
      </c>
      <c r="G2" t="s">
        <v>15</v>
      </c>
      <c r="H2">
        <v>1127.1099999999999</v>
      </c>
      <c r="I2">
        <v>131172.41</v>
      </c>
      <c r="J2">
        <v>9.7000000000000003E-2</v>
      </c>
      <c r="K2">
        <v>9</v>
      </c>
      <c r="L2">
        <v>351</v>
      </c>
      <c r="M2" t="s">
        <v>87</v>
      </c>
      <c r="N2">
        <v>1060.31</v>
      </c>
      <c r="O2" t="s">
        <v>93</v>
      </c>
      <c r="P2">
        <v>0</v>
      </c>
      <c r="Q2">
        <v>133140</v>
      </c>
      <c r="R2" t="s">
        <v>41</v>
      </c>
      <c r="S2">
        <v>529</v>
      </c>
      <c r="T2">
        <v>7.625</v>
      </c>
      <c r="U2">
        <v>997.83159389656294</v>
      </c>
      <c r="V2">
        <v>129.27840610343696</v>
      </c>
      <c r="W2">
        <v>0</v>
      </c>
      <c r="X2">
        <v>133140</v>
      </c>
      <c r="Y2">
        <v>3.7931034457869828E-3</v>
      </c>
      <c r="Z2">
        <v>997.83159389656294</v>
      </c>
      <c r="AA2">
        <v>129.27840610343696</v>
      </c>
      <c r="AB2">
        <v>0</v>
      </c>
      <c r="AC2">
        <v>7.625</v>
      </c>
      <c r="AD2">
        <v>997.83159389656294</v>
      </c>
      <c r="AE2">
        <v>129.27840610343696</v>
      </c>
      <c r="AF2">
        <v>0</v>
      </c>
      <c r="AG2">
        <v>0</v>
      </c>
      <c r="AH2">
        <v>6389.875</v>
      </c>
      <c r="AI2">
        <v>360</v>
      </c>
      <c r="AJ2">
        <v>360</v>
      </c>
      <c r="AK2" t="s">
        <v>65</v>
      </c>
      <c r="AL2">
        <v>7.625</v>
      </c>
      <c r="AM2">
        <v>133139.99614999999</v>
      </c>
      <c r="AN2">
        <v>7.625</v>
      </c>
      <c r="AO2">
        <v>997.83156504233693</v>
      </c>
      <c r="AP2">
        <v>129.27843495766297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10CD7-4456-7049-B846-B34364C6FF92}">
  <sheetPr codeName="Sheet4"/>
  <dimension ref="A1:I1357"/>
  <sheetViews>
    <sheetView workbookViewId="0">
      <selection activeCell="F15" sqref="F15"/>
    </sheetView>
  </sheetViews>
  <sheetFormatPr baseColWidth="10" defaultRowHeight="13" x14ac:dyDescent="0.15"/>
  <cols>
    <col min="1" max="256" width="8.83203125" customWidth="1"/>
  </cols>
  <sheetData>
    <row r="1" spans="1:9" x14ac:dyDescent="0.15">
      <c r="A1" t="s">
        <v>3</v>
      </c>
      <c r="B1" t="s">
        <v>34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</row>
    <row r="2" spans="1:9" x14ac:dyDescent="0.15">
      <c r="A2">
        <v>1018918</v>
      </c>
      <c r="B2" t="s">
        <v>35</v>
      </c>
      <c r="C2" t="s">
        <v>16</v>
      </c>
      <c r="D2">
        <v>39022</v>
      </c>
      <c r="E2">
        <v>81000</v>
      </c>
      <c r="F2">
        <v>68500</v>
      </c>
      <c r="G2" t="s">
        <v>17</v>
      </c>
      <c r="H2">
        <v>573.49</v>
      </c>
      <c r="I2">
        <v>67921.8</v>
      </c>
    </row>
    <row r="3" spans="1:9" x14ac:dyDescent="0.15">
      <c r="A3">
        <v>1068357</v>
      </c>
      <c r="B3" t="s">
        <v>35</v>
      </c>
      <c r="C3" t="s">
        <v>16</v>
      </c>
      <c r="D3">
        <v>39003</v>
      </c>
      <c r="E3">
        <v>141000</v>
      </c>
      <c r="F3">
        <v>133000</v>
      </c>
      <c r="G3" t="s">
        <v>17</v>
      </c>
      <c r="H3">
        <v>1162.26</v>
      </c>
      <c r="I3">
        <v>131850.66</v>
      </c>
    </row>
    <row r="4" spans="1:9" x14ac:dyDescent="0.15">
      <c r="A4">
        <v>1091570</v>
      </c>
      <c r="B4" t="s">
        <v>35</v>
      </c>
      <c r="C4" t="s">
        <v>16</v>
      </c>
      <c r="D4">
        <v>39052</v>
      </c>
      <c r="E4">
        <v>285000</v>
      </c>
      <c r="F4">
        <v>228000</v>
      </c>
      <c r="G4" t="s">
        <v>17</v>
      </c>
      <c r="H4">
        <v>1661.08</v>
      </c>
      <c r="I4">
        <v>225559.19</v>
      </c>
    </row>
    <row r="5" spans="1:9" x14ac:dyDescent="0.15">
      <c r="A5">
        <v>1102678</v>
      </c>
      <c r="B5" t="s">
        <v>35</v>
      </c>
      <c r="C5" t="s">
        <v>16</v>
      </c>
      <c r="D5">
        <v>39167</v>
      </c>
      <c r="E5">
        <v>130000</v>
      </c>
      <c r="F5">
        <v>117000</v>
      </c>
      <c r="G5" t="s">
        <v>15</v>
      </c>
      <c r="H5">
        <v>880.04</v>
      </c>
      <c r="I5">
        <v>116634.39</v>
      </c>
    </row>
    <row r="6" spans="1:9" x14ac:dyDescent="0.15">
      <c r="A6">
        <v>1107880</v>
      </c>
      <c r="B6" t="s">
        <v>36</v>
      </c>
      <c r="C6" t="s">
        <v>19</v>
      </c>
      <c r="D6">
        <v>39146</v>
      </c>
      <c r="E6">
        <v>245000</v>
      </c>
      <c r="F6">
        <v>117500</v>
      </c>
      <c r="G6" t="s">
        <v>15</v>
      </c>
      <c r="H6">
        <v>833.68</v>
      </c>
      <c r="I6">
        <v>116356.88</v>
      </c>
    </row>
    <row r="7" spans="1:9" x14ac:dyDescent="0.15">
      <c r="A7">
        <v>1120487</v>
      </c>
      <c r="B7" t="s">
        <v>37</v>
      </c>
      <c r="C7" t="s">
        <v>19</v>
      </c>
      <c r="D7">
        <v>39141</v>
      </c>
      <c r="E7">
        <v>119000</v>
      </c>
      <c r="F7">
        <v>113050</v>
      </c>
      <c r="G7" t="s">
        <v>15</v>
      </c>
      <c r="H7">
        <v>932.6</v>
      </c>
      <c r="I7">
        <v>112941.46</v>
      </c>
    </row>
    <row r="8" spans="1:9" x14ac:dyDescent="0.15">
      <c r="A8">
        <v>1122597</v>
      </c>
      <c r="B8" t="s">
        <v>36</v>
      </c>
      <c r="C8" t="s">
        <v>19</v>
      </c>
      <c r="D8">
        <v>39141</v>
      </c>
      <c r="E8">
        <v>280000</v>
      </c>
      <c r="F8">
        <v>224000</v>
      </c>
      <c r="G8" t="s">
        <v>15</v>
      </c>
      <c r="H8">
        <v>1566.25</v>
      </c>
      <c r="I8">
        <v>221575.53</v>
      </c>
    </row>
    <row r="9" spans="1:9" x14ac:dyDescent="0.15">
      <c r="A9">
        <v>1123703</v>
      </c>
      <c r="B9" t="s">
        <v>36</v>
      </c>
      <c r="C9" t="s">
        <v>19</v>
      </c>
      <c r="D9">
        <v>39146</v>
      </c>
      <c r="E9">
        <v>280000</v>
      </c>
      <c r="F9">
        <v>165000</v>
      </c>
      <c r="G9" t="s">
        <v>17</v>
      </c>
      <c r="H9">
        <v>1042.92</v>
      </c>
      <c r="I9">
        <v>162828.06</v>
      </c>
    </row>
    <row r="10" spans="1:9" x14ac:dyDescent="0.15">
      <c r="A10">
        <v>1126133</v>
      </c>
      <c r="B10" t="s">
        <v>37</v>
      </c>
      <c r="C10" t="s">
        <v>19</v>
      </c>
      <c r="D10">
        <v>39146</v>
      </c>
      <c r="E10">
        <v>78000</v>
      </c>
      <c r="F10">
        <v>62400</v>
      </c>
      <c r="G10" t="s">
        <v>17</v>
      </c>
      <c r="H10">
        <v>479.81</v>
      </c>
      <c r="I10">
        <v>61887.01</v>
      </c>
    </row>
    <row r="11" spans="1:9" x14ac:dyDescent="0.15">
      <c r="A11">
        <v>1127173</v>
      </c>
      <c r="B11" t="s">
        <v>35</v>
      </c>
      <c r="C11" t="s">
        <v>16</v>
      </c>
      <c r="D11">
        <v>39141</v>
      </c>
      <c r="E11">
        <v>91000</v>
      </c>
      <c r="F11">
        <v>86450</v>
      </c>
      <c r="G11" t="s">
        <v>15</v>
      </c>
      <c r="H11">
        <v>699.2</v>
      </c>
      <c r="I11">
        <v>86057.04</v>
      </c>
    </row>
    <row r="12" spans="1:9" x14ac:dyDescent="0.15">
      <c r="A12">
        <v>1127714</v>
      </c>
      <c r="B12" t="s">
        <v>35</v>
      </c>
      <c r="C12" t="s">
        <v>16</v>
      </c>
      <c r="D12">
        <v>39148</v>
      </c>
      <c r="E12">
        <v>142500</v>
      </c>
      <c r="F12">
        <v>111200</v>
      </c>
      <c r="G12" t="s">
        <v>15</v>
      </c>
      <c r="H12">
        <v>740.01</v>
      </c>
      <c r="I12">
        <v>110755.82</v>
      </c>
    </row>
    <row r="13" spans="1:9" x14ac:dyDescent="0.15">
      <c r="A13">
        <v>1129733</v>
      </c>
      <c r="B13" t="s">
        <v>37</v>
      </c>
      <c r="C13" t="s">
        <v>18</v>
      </c>
      <c r="D13">
        <v>39133</v>
      </c>
      <c r="E13">
        <v>93000</v>
      </c>
      <c r="F13">
        <v>82800</v>
      </c>
      <c r="G13" t="s">
        <v>15</v>
      </c>
      <c r="H13">
        <v>601.70000000000005</v>
      </c>
      <c r="I13">
        <v>82659.820000000007</v>
      </c>
    </row>
    <row r="14" spans="1:9" x14ac:dyDescent="0.15">
      <c r="A14">
        <v>1129929</v>
      </c>
      <c r="B14" t="s">
        <v>36</v>
      </c>
      <c r="C14" t="s">
        <v>19</v>
      </c>
      <c r="D14">
        <v>39141</v>
      </c>
      <c r="E14">
        <v>220000</v>
      </c>
      <c r="F14">
        <v>155000</v>
      </c>
      <c r="G14" t="s">
        <v>17</v>
      </c>
      <c r="H14">
        <v>1099.75</v>
      </c>
      <c r="I14">
        <v>152104.10999999999</v>
      </c>
    </row>
    <row r="15" spans="1:9" x14ac:dyDescent="0.15">
      <c r="A15">
        <v>1130705</v>
      </c>
      <c r="B15" t="s">
        <v>35</v>
      </c>
      <c r="C15" t="s">
        <v>16</v>
      </c>
      <c r="D15">
        <v>39133</v>
      </c>
      <c r="E15">
        <v>135000</v>
      </c>
      <c r="F15">
        <v>121500</v>
      </c>
      <c r="G15" t="s">
        <v>17</v>
      </c>
      <c r="H15">
        <v>900.01</v>
      </c>
      <c r="I15">
        <v>120331.2</v>
      </c>
    </row>
    <row r="16" spans="1:9" x14ac:dyDescent="0.15">
      <c r="A16">
        <v>1130930</v>
      </c>
      <c r="B16" t="s">
        <v>36</v>
      </c>
      <c r="C16" t="s">
        <v>18</v>
      </c>
      <c r="D16">
        <v>39147</v>
      </c>
      <c r="E16">
        <v>188000</v>
      </c>
      <c r="F16">
        <v>120000</v>
      </c>
      <c r="G16" t="s">
        <v>17</v>
      </c>
      <c r="H16">
        <v>826.77</v>
      </c>
      <c r="I16">
        <v>118547.32</v>
      </c>
    </row>
    <row r="17" spans="1:9" x14ac:dyDescent="0.15">
      <c r="A17">
        <v>1131169</v>
      </c>
      <c r="B17" t="s">
        <v>37</v>
      </c>
      <c r="C17" t="s">
        <v>18</v>
      </c>
      <c r="D17">
        <v>39150</v>
      </c>
      <c r="E17">
        <v>148000</v>
      </c>
      <c r="F17">
        <v>130625</v>
      </c>
      <c r="G17" t="s">
        <v>15</v>
      </c>
      <c r="H17">
        <v>1186.43</v>
      </c>
      <c r="I17">
        <v>130551.39</v>
      </c>
    </row>
    <row r="18" spans="1:9" x14ac:dyDescent="0.15">
      <c r="A18">
        <v>1132471</v>
      </c>
      <c r="B18" t="s">
        <v>35</v>
      </c>
      <c r="C18" t="s">
        <v>16</v>
      </c>
      <c r="D18">
        <v>39139</v>
      </c>
      <c r="E18">
        <v>113000</v>
      </c>
      <c r="F18">
        <v>94500</v>
      </c>
      <c r="G18" t="s">
        <v>17</v>
      </c>
      <c r="H18">
        <v>726.63</v>
      </c>
      <c r="I18">
        <v>93519.9</v>
      </c>
    </row>
    <row r="19" spans="1:9" x14ac:dyDescent="0.15">
      <c r="A19">
        <v>1134118</v>
      </c>
      <c r="B19" t="s">
        <v>37</v>
      </c>
      <c r="C19" t="s">
        <v>19</v>
      </c>
      <c r="D19">
        <v>39141</v>
      </c>
      <c r="E19">
        <v>92500</v>
      </c>
      <c r="F19">
        <v>83250</v>
      </c>
      <c r="G19" t="s">
        <v>17</v>
      </c>
      <c r="H19">
        <v>767.13</v>
      </c>
      <c r="I19">
        <v>82783.45</v>
      </c>
    </row>
    <row r="20" spans="1:9" x14ac:dyDescent="0.15">
      <c r="A20">
        <v>1134223</v>
      </c>
      <c r="B20" t="s">
        <v>38</v>
      </c>
      <c r="C20" t="s">
        <v>19</v>
      </c>
      <c r="D20">
        <v>39139</v>
      </c>
      <c r="E20">
        <v>120000</v>
      </c>
      <c r="F20">
        <v>93000</v>
      </c>
      <c r="G20" t="s">
        <v>17</v>
      </c>
      <c r="H20">
        <v>744.96</v>
      </c>
      <c r="I20">
        <v>92036.59</v>
      </c>
    </row>
    <row r="21" spans="1:9" x14ac:dyDescent="0.15">
      <c r="A21">
        <v>1134598</v>
      </c>
      <c r="B21" t="s">
        <v>36</v>
      </c>
      <c r="C21" t="s">
        <v>19</v>
      </c>
      <c r="D21">
        <v>39141</v>
      </c>
      <c r="E21">
        <v>315000</v>
      </c>
      <c r="F21">
        <v>228000</v>
      </c>
      <c r="G21" t="s">
        <v>15</v>
      </c>
      <c r="H21">
        <v>1555.37</v>
      </c>
      <c r="I21">
        <v>225375.01</v>
      </c>
    </row>
    <row r="22" spans="1:9" x14ac:dyDescent="0.15">
      <c r="A22">
        <v>1135726</v>
      </c>
      <c r="B22" t="s">
        <v>37</v>
      </c>
      <c r="C22" t="s">
        <v>18</v>
      </c>
      <c r="D22">
        <v>39148</v>
      </c>
      <c r="E22">
        <v>100000</v>
      </c>
      <c r="F22">
        <v>90000</v>
      </c>
      <c r="G22" t="s">
        <v>15</v>
      </c>
      <c r="H22">
        <v>645.45000000000005</v>
      </c>
      <c r="I22">
        <v>89678.82</v>
      </c>
    </row>
    <row r="23" spans="1:9" x14ac:dyDescent="0.15">
      <c r="A23">
        <v>1136009</v>
      </c>
      <c r="B23" t="s">
        <v>38</v>
      </c>
      <c r="C23" t="s">
        <v>19</v>
      </c>
      <c r="D23">
        <v>39141</v>
      </c>
      <c r="E23">
        <v>172000</v>
      </c>
      <c r="F23">
        <v>154800</v>
      </c>
      <c r="G23" t="s">
        <v>17</v>
      </c>
      <c r="H23">
        <v>1329.98</v>
      </c>
      <c r="I23">
        <v>153733.6</v>
      </c>
    </row>
    <row r="24" spans="1:9" x14ac:dyDescent="0.15">
      <c r="A24">
        <v>1137229</v>
      </c>
      <c r="B24" t="s">
        <v>35</v>
      </c>
      <c r="C24" t="s">
        <v>16</v>
      </c>
      <c r="D24">
        <v>39133</v>
      </c>
      <c r="E24">
        <v>120000</v>
      </c>
      <c r="F24">
        <v>108000</v>
      </c>
      <c r="G24" t="s">
        <v>15</v>
      </c>
      <c r="H24">
        <v>861.24</v>
      </c>
      <c r="I24">
        <v>107179.43</v>
      </c>
    </row>
    <row r="25" spans="1:9" x14ac:dyDescent="0.15">
      <c r="A25">
        <v>1138664</v>
      </c>
      <c r="B25" t="s">
        <v>37</v>
      </c>
      <c r="C25" t="s">
        <v>19</v>
      </c>
      <c r="D25">
        <v>39140</v>
      </c>
      <c r="E25">
        <v>347000</v>
      </c>
      <c r="F25">
        <v>301000</v>
      </c>
      <c r="G25" t="s">
        <v>15</v>
      </c>
      <c r="H25">
        <v>2166.8200000000002</v>
      </c>
      <c r="I25">
        <v>297877.53999999998</v>
      </c>
    </row>
    <row r="26" spans="1:9" x14ac:dyDescent="0.15">
      <c r="A26">
        <v>1138671</v>
      </c>
      <c r="B26" t="s">
        <v>36</v>
      </c>
      <c r="C26" t="s">
        <v>19</v>
      </c>
      <c r="D26">
        <v>39139</v>
      </c>
      <c r="E26">
        <v>350000</v>
      </c>
      <c r="F26">
        <v>312000</v>
      </c>
      <c r="G26" t="s">
        <v>17</v>
      </c>
      <c r="H26">
        <v>2527.4</v>
      </c>
      <c r="I26">
        <v>311153.71000000002</v>
      </c>
    </row>
    <row r="27" spans="1:9" x14ac:dyDescent="0.15">
      <c r="A27">
        <v>1139649</v>
      </c>
      <c r="B27" t="s">
        <v>35</v>
      </c>
      <c r="C27" t="s">
        <v>16</v>
      </c>
      <c r="D27">
        <v>39136</v>
      </c>
      <c r="E27">
        <v>162000</v>
      </c>
      <c r="F27">
        <v>59900</v>
      </c>
      <c r="G27" t="s">
        <v>17</v>
      </c>
      <c r="H27">
        <v>566.41</v>
      </c>
      <c r="I27">
        <v>57331.55</v>
      </c>
    </row>
    <row r="28" spans="1:9" x14ac:dyDescent="0.15">
      <c r="A28">
        <v>1139714</v>
      </c>
      <c r="B28" t="s">
        <v>35</v>
      </c>
      <c r="C28" t="s">
        <v>16</v>
      </c>
      <c r="D28">
        <v>39164</v>
      </c>
      <c r="E28">
        <v>158000</v>
      </c>
      <c r="F28">
        <v>142200</v>
      </c>
      <c r="G28" t="s">
        <v>17</v>
      </c>
      <c r="H28">
        <v>1274.26</v>
      </c>
      <c r="I28">
        <v>140867.64000000001</v>
      </c>
    </row>
    <row r="29" spans="1:9" x14ac:dyDescent="0.15">
      <c r="A29">
        <v>1139791</v>
      </c>
      <c r="B29" t="s">
        <v>36</v>
      </c>
      <c r="C29" t="s">
        <v>19</v>
      </c>
      <c r="D29">
        <v>39136</v>
      </c>
      <c r="E29">
        <v>180000</v>
      </c>
      <c r="F29">
        <v>162000</v>
      </c>
      <c r="G29" t="s">
        <v>17</v>
      </c>
      <c r="H29">
        <v>1187.57</v>
      </c>
      <c r="I29">
        <v>160384.71</v>
      </c>
    </row>
    <row r="30" spans="1:9" x14ac:dyDescent="0.15">
      <c r="A30">
        <v>1141222</v>
      </c>
      <c r="B30" t="s">
        <v>36</v>
      </c>
      <c r="C30" t="s">
        <v>19</v>
      </c>
      <c r="D30">
        <v>39140</v>
      </c>
      <c r="E30">
        <v>145000</v>
      </c>
      <c r="F30">
        <v>108750</v>
      </c>
      <c r="G30" t="s">
        <v>15</v>
      </c>
      <c r="H30">
        <v>780.74</v>
      </c>
      <c r="I30">
        <v>108331.8</v>
      </c>
    </row>
    <row r="31" spans="1:9" x14ac:dyDescent="0.15">
      <c r="A31">
        <v>1141750</v>
      </c>
      <c r="B31" t="s">
        <v>36</v>
      </c>
      <c r="C31" t="s">
        <v>18</v>
      </c>
      <c r="D31">
        <v>39140</v>
      </c>
      <c r="E31">
        <v>258000</v>
      </c>
      <c r="F31">
        <v>160000</v>
      </c>
      <c r="G31" t="s">
        <v>15</v>
      </c>
      <c r="H31">
        <v>1063.4100000000001</v>
      </c>
      <c r="I31">
        <v>158010.57</v>
      </c>
    </row>
    <row r="32" spans="1:9" x14ac:dyDescent="0.15">
      <c r="A32">
        <v>1141917</v>
      </c>
      <c r="B32" t="s">
        <v>37</v>
      </c>
      <c r="C32" t="s">
        <v>19</v>
      </c>
      <c r="D32">
        <v>39148</v>
      </c>
      <c r="E32">
        <v>136000</v>
      </c>
      <c r="F32">
        <v>122400</v>
      </c>
      <c r="G32" t="s">
        <v>15</v>
      </c>
      <c r="H32">
        <v>1046.93</v>
      </c>
      <c r="I32">
        <v>122310.63</v>
      </c>
    </row>
    <row r="33" spans="1:9" x14ac:dyDescent="0.15">
      <c r="A33">
        <v>1141947</v>
      </c>
      <c r="B33" t="s">
        <v>36</v>
      </c>
      <c r="C33" t="s">
        <v>19</v>
      </c>
      <c r="D33">
        <v>39141</v>
      </c>
      <c r="E33">
        <v>245000</v>
      </c>
      <c r="F33">
        <v>208250</v>
      </c>
      <c r="G33" t="s">
        <v>17</v>
      </c>
      <c r="H33">
        <v>1381.96</v>
      </c>
      <c r="I33">
        <v>207854.91</v>
      </c>
    </row>
    <row r="34" spans="1:9" x14ac:dyDescent="0.15">
      <c r="A34">
        <v>1142570</v>
      </c>
      <c r="B34" t="s">
        <v>38</v>
      </c>
      <c r="C34" t="s">
        <v>18</v>
      </c>
      <c r="D34">
        <v>39142</v>
      </c>
      <c r="E34">
        <v>110000</v>
      </c>
      <c r="F34">
        <v>82400</v>
      </c>
      <c r="G34" t="s">
        <v>17</v>
      </c>
      <c r="H34">
        <v>648.25</v>
      </c>
      <c r="I34">
        <v>81703.78</v>
      </c>
    </row>
    <row r="35" spans="1:9" x14ac:dyDescent="0.15">
      <c r="A35">
        <v>1142674</v>
      </c>
      <c r="B35" t="s">
        <v>36</v>
      </c>
      <c r="C35" t="s">
        <v>19</v>
      </c>
      <c r="D35">
        <v>39196</v>
      </c>
      <c r="E35">
        <v>175000</v>
      </c>
      <c r="F35">
        <v>157500</v>
      </c>
      <c r="G35" t="s">
        <v>15</v>
      </c>
      <c r="H35">
        <v>1154.6300000000001</v>
      </c>
      <c r="I35">
        <v>157013.26999999999</v>
      </c>
    </row>
    <row r="36" spans="1:9" x14ac:dyDescent="0.15">
      <c r="A36">
        <v>1142723</v>
      </c>
      <c r="B36" t="s">
        <v>37</v>
      </c>
      <c r="C36" t="s">
        <v>19</v>
      </c>
      <c r="D36">
        <v>39162</v>
      </c>
      <c r="E36">
        <v>132500</v>
      </c>
      <c r="F36">
        <v>112625</v>
      </c>
      <c r="G36" t="s">
        <v>15</v>
      </c>
      <c r="H36">
        <v>890.49</v>
      </c>
      <c r="I36">
        <v>112195.61</v>
      </c>
    </row>
    <row r="37" spans="1:9" x14ac:dyDescent="0.15">
      <c r="A37">
        <v>1142807</v>
      </c>
      <c r="B37" t="s">
        <v>36</v>
      </c>
      <c r="C37" t="s">
        <v>19</v>
      </c>
      <c r="D37">
        <v>39175</v>
      </c>
      <c r="E37">
        <v>585000</v>
      </c>
      <c r="F37">
        <v>351000</v>
      </c>
      <c r="G37" t="s">
        <v>17</v>
      </c>
      <c r="H37">
        <v>2332.86</v>
      </c>
      <c r="I37">
        <v>346361.59</v>
      </c>
    </row>
    <row r="38" spans="1:9" x14ac:dyDescent="0.15">
      <c r="A38">
        <v>1142873</v>
      </c>
      <c r="B38" t="s">
        <v>37</v>
      </c>
      <c r="C38" t="s">
        <v>18</v>
      </c>
      <c r="D38">
        <v>39143</v>
      </c>
      <c r="E38">
        <v>122000</v>
      </c>
      <c r="F38">
        <v>115900</v>
      </c>
      <c r="G38" t="s">
        <v>15</v>
      </c>
      <c r="H38">
        <v>925.71</v>
      </c>
      <c r="I38">
        <v>115788.62</v>
      </c>
    </row>
    <row r="39" spans="1:9" x14ac:dyDescent="0.15">
      <c r="A39">
        <v>1142989</v>
      </c>
      <c r="B39" t="s">
        <v>36</v>
      </c>
      <c r="C39" t="s">
        <v>19</v>
      </c>
      <c r="D39">
        <v>39146</v>
      </c>
      <c r="E39">
        <v>349000</v>
      </c>
      <c r="F39">
        <v>314100</v>
      </c>
      <c r="G39" t="s">
        <v>15</v>
      </c>
      <c r="H39">
        <v>2432.9899999999998</v>
      </c>
      <c r="I39">
        <v>313733.62</v>
      </c>
    </row>
    <row r="40" spans="1:9" x14ac:dyDescent="0.15">
      <c r="A40">
        <v>1143107</v>
      </c>
      <c r="B40" t="s">
        <v>36</v>
      </c>
      <c r="C40" t="s">
        <v>19</v>
      </c>
      <c r="D40">
        <v>39174</v>
      </c>
      <c r="E40">
        <v>188000</v>
      </c>
      <c r="F40">
        <v>169200</v>
      </c>
      <c r="G40" t="s">
        <v>17</v>
      </c>
      <c r="H40">
        <v>1099.72</v>
      </c>
      <c r="I40">
        <v>168894.32</v>
      </c>
    </row>
    <row r="41" spans="1:9" x14ac:dyDescent="0.15">
      <c r="A41">
        <v>1143144</v>
      </c>
      <c r="B41" t="s">
        <v>35</v>
      </c>
      <c r="C41" t="s">
        <v>16</v>
      </c>
      <c r="D41">
        <v>39141</v>
      </c>
      <c r="E41">
        <v>80000</v>
      </c>
      <c r="F41">
        <v>68000</v>
      </c>
      <c r="G41" t="s">
        <v>17</v>
      </c>
      <c r="H41">
        <v>515.65</v>
      </c>
      <c r="I41">
        <v>67375.06</v>
      </c>
    </row>
    <row r="42" spans="1:9" x14ac:dyDescent="0.15">
      <c r="A42">
        <v>1143747</v>
      </c>
      <c r="B42" t="s">
        <v>36</v>
      </c>
      <c r="C42" t="s">
        <v>18</v>
      </c>
      <c r="D42">
        <v>39139</v>
      </c>
      <c r="E42">
        <v>266000</v>
      </c>
      <c r="F42">
        <v>199500</v>
      </c>
      <c r="G42" t="s">
        <v>15</v>
      </c>
      <c r="H42">
        <v>1634.02</v>
      </c>
      <c r="I42">
        <v>197961.51</v>
      </c>
    </row>
    <row r="43" spans="1:9" x14ac:dyDescent="0.15">
      <c r="A43">
        <v>1144182</v>
      </c>
      <c r="B43" t="s">
        <v>37</v>
      </c>
      <c r="C43" t="s">
        <v>18</v>
      </c>
      <c r="D43">
        <v>39147</v>
      </c>
      <c r="E43">
        <v>210000</v>
      </c>
      <c r="F43">
        <v>189000</v>
      </c>
      <c r="G43" t="s">
        <v>15</v>
      </c>
      <c r="H43">
        <v>1603.03</v>
      </c>
      <c r="I43">
        <v>187758.11</v>
      </c>
    </row>
    <row r="44" spans="1:9" x14ac:dyDescent="0.15">
      <c r="A44">
        <v>1144594</v>
      </c>
      <c r="B44" t="s">
        <v>37</v>
      </c>
      <c r="C44" t="s">
        <v>19</v>
      </c>
      <c r="D44">
        <v>39139</v>
      </c>
      <c r="E44">
        <v>320000</v>
      </c>
      <c r="F44">
        <v>268280</v>
      </c>
      <c r="G44" t="s">
        <v>15</v>
      </c>
      <c r="H44">
        <v>2158.65</v>
      </c>
      <c r="I44">
        <v>266125.21000000002</v>
      </c>
    </row>
    <row r="45" spans="1:9" x14ac:dyDescent="0.15">
      <c r="A45">
        <v>1144614</v>
      </c>
      <c r="B45" t="s">
        <v>36</v>
      </c>
      <c r="C45" t="s">
        <v>18</v>
      </c>
      <c r="D45">
        <v>39139</v>
      </c>
      <c r="E45">
        <v>190000</v>
      </c>
      <c r="F45">
        <v>171000</v>
      </c>
      <c r="G45" t="s">
        <v>15</v>
      </c>
      <c r="H45">
        <v>1374.68</v>
      </c>
      <c r="I45">
        <v>169623.48</v>
      </c>
    </row>
    <row r="46" spans="1:9" x14ac:dyDescent="0.15">
      <c r="A46">
        <v>1144831</v>
      </c>
      <c r="B46" t="s">
        <v>36</v>
      </c>
      <c r="C46" t="s">
        <v>19</v>
      </c>
      <c r="D46">
        <v>39143</v>
      </c>
      <c r="E46">
        <v>210000</v>
      </c>
      <c r="F46">
        <v>199500</v>
      </c>
      <c r="G46" t="s">
        <v>17</v>
      </c>
      <c r="H46">
        <v>1626.81</v>
      </c>
      <c r="I46">
        <v>198062.29</v>
      </c>
    </row>
    <row r="47" spans="1:9" x14ac:dyDescent="0.15">
      <c r="A47">
        <v>1144982</v>
      </c>
      <c r="B47" t="s">
        <v>36</v>
      </c>
      <c r="C47" t="s">
        <v>18</v>
      </c>
      <c r="D47">
        <v>39136</v>
      </c>
      <c r="E47">
        <v>155000</v>
      </c>
      <c r="F47">
        <v>124000</v>
      </c>
      <c r="G47" t="s">
        <v>17</v>
      </c>
      <c r="H47">
        <v>892.64</v>
      </c>
      <c r="I47">
        <v>122630.11</v>
      </c>
    </row>
    <row r="48" spans="1:9" x14ac:dyDescent="0.15">
      <c r="A48">
        <v>1145497</v>
      </c>
      <c r="B48" t="s">
        <v>35</v>
      </c>
      <c r="C48" t="s">
        <v>16</v>
      </c>
      <c r="D48">
        <v>39146</v>
      </c>
      <c r="E48">
        <v>142600</v>
      </c>
      <c r="F48">
        <v>135470</v>
      </c>
      <c r="G48" t="s">
        <v>17</v>
      </c>
      <c r="H48">
        <v>1008.24</v>
      </c>
      <c r="I48">
        <v>134179.59</v>
      </c>
    </row>
    <row r="49" spans="1:9" x14ac:dyDescent="0.15">
      <c r="A49">
        <v>1145648</v>
      </c>
      <c r="B49" t="s">
        <v>36</v>
      </c>
      <c r="C49" t="s">
        <v>19</v>
      </c>
      <c r="D49">
        <v>39149</v>
      </c>
      <c r="E49">
        <v>94500</v>
      </c>
      <c r="F49">
        <v>89775</v>
      </c>
      <c r="G49" t="s">
        <v>15</v>
      </c>
      <c r="H49">
        <v>851.56</v>
      </c>
      <c r="I49">
        <v>89359.67</v>
      </c>
    </row>
    <row r="50" spans="1:9" x14ac:dyDescent="0.15">
      <c r="A50">
        <v>1145650</v>
      </c>
      <c r="B50" t="s">
        <v>37</v>
      </c>
      <c r="C50" t="s">
        <v>18</v>
      </c>
      <c r="D50">
        <v>39150</v>
      </c>
      <c r="E50">
        <v>204000</v>
      </c>
      <c r="F50">
        <v>163200</v>
      </c>
      <c r="G50" t="s">
        <v>17</v>
      </c>
      <c r="H50">
        <v>1231.24</v>
      </c>
      <c r="I50">
        <v>158455.71</v>
      </c>
    </row>
    <row r="51" spans="1:9" x14ac:dyDescent="0.15">
      <c r="A51">
        <v>1146876</v>
      </c>
      <c r="B51" t="s">
        <v>35</v>
      </c>
      <c r="C51" t="s">
        <v>16</v>
      </c>
      <c r="D51">
        <v>39139</v>
      </c>
      <c r="E51">
        <v>81900</v>
      </c>
      <c r="F51">
        <v>65520</v>
      </c>
      <c r="G51" t="s">
        <v>15</v>
      </c>
      <c r="H51">
        <v>565.33000000000004</v>
      </c>
      <c r="I51">
        <v>65073.27</v>
      </c>
    </row>
    <row r="52" spans="1:9" x14ac:dyDescent="0.15">
      <c r="A52">
        <v>1146979</v>
      </c>
      <c r="B52" t="s">
        <v>36</v>
      </c>
      <c r="C52" t="s">
        <v>19</v>
      </c>
      <c r="D52">
        <v>39141</v>
      </c>
      <c r="E52">
        <v>180000</v>
      </c>
      <c r="F52">
        <v>149000</v>
      </c>
      <c r="G52" t="s">
        <v>17</v>
      </c>
      <c r="H52">
        <v>1108.93</v>
      </c>
      <c r="I52">
        <v>147579.16</v>
      </c>
    </row>
    <row r="53" spans="1:9" x14ac:dyDescent="0.15">
      <c r="A53">
        <v>1147079</v>
      </c>
      <c r="B53" t="s">
        <v>38</v>
      </c>
      <c r="C53" t="s">
        <v>19</v>
      </c>
      <c r="D53">
        <v>39141</v>
      </c>
      <c r="E53">
        <v>140000</v>
      </c>
      <c r="F53">
        <v>133000</v>
      </c>
      <c r="G53" t="s">
        <v>17</v>
      </c>
      <c r="H53">
        <v>1015.69</v>
      </c>
      <c r="I53">
        <v>132492.78</v>
      </c>
    </row>
    <row r="54" spans="1:9" x14ac:dyDescent="0.15">
      <c r="A54">
        <v>1147154</v>
      </c>
      <c r="B54" t="s">
        <v>36</v>
      </c>
      <c r="C54" t="s">
        <v>18</v>
      </c>
      <c r="D54">
        <v>39168</v>
      </c>
      <c r="E54">
        <v>161000</v>
      </c>
      <c r="F54">
        <v>128800</v>
      </c>
      <c r="G54" t="s">
        <v>17</v>
      </c>
      <c r="H54">
        <v>918.3</v>
      </c>
      <c r="I54">
        <v>127559.11</v>
      </c>
    </row>
    <row r="55" spans="1:9" x14ac:dyDescent="0.15">
      <c r="A55">
        <v>1147346</v>
      </c>
      <c r="B55" t="s">
        <v>37</v>
      </c>
      <c r="C55" t="s">
        <v>19</v>
      </c>
      <c r="D55">
        <v>39139</v>
      </c>
      <c r="E55">
        <v>228000</v>
      </c>
      <c r="F55">
        <v>171000</v>
      </c>
      <c r="G55" t="s">
        <v>15</v>
      </c>
      <c r="H55">
        <v>1302.75</v>
      </c>
      <c r="I55">
        <v>169566.01</v>
      </c>
    </row>
    <row r="56" spans="1:9" x14ac:dyDescent="0.15">
      <c r="A56">
        <v>1147587</v>
      </c>
      <c r="B56" t="s">
        <v>36</v>
      </c>
      <c r="C56" t="s">
        <v>18</v>
      </c>
      <c r="D56">
        <v>39141</v>
      </c>
      <c r="E56">
        <v>277500</v>
      </c>
      <c r="F56">
        <v>249500</v>
      </c>
      <c r="G56" t="s">
        <v>15</v>
      </c>
      <c r="H56">
        <v>1907.61</v>
      </c>
      <c r="I56">
        <v>249194.55</v>
      </c>
    </row>
    <row r="57" spans="1:9" x14ac:dyDescent="0.15">
      <c r="A57">
        <v>1148007</v>
      </c>
      <c r="B57" t="s">
        <v>35</v>
      </c>
      <c r="C57" t="s">
        <v>16</v>
      </c>
      <c r="D57">
        <v>39153</v>
      </c>
      <c r="E57">
        <v>210000</v>
      </c>
      <c r="F57">
        <v>189000</v>
      </c>
      <c r="G57" t="s">
        <v>17</v>
      </c>
      <c r="H57">
        <v>1367.11</v>
      </c>
      <c r="I57">
        <v>187373.48</v>
      </c>
    </row>
    <row r="58" spans="1:9" x14ac:dyDescent="0.15">
      <c r="A58">
        <v>1148022</v>
      </c>
      <c r="B58" t="s">
        <v>35</v>
      </c>
      <c r="C58" t="s">
        <v>16</v>
      </c>
      <c r="D58">
        <v>39141</v>
      </c>
      <c r="E58">
        <v>90000</v>
      </c>
      <c r="F58">
        <v>81000</v>
      </c>
      <c r="G58" t="s">
        <v>15</v>
      </c>
      <c r="H58">
        <v>604.74</v>
      </c>
      <c r="I58">
        <v>80891.820000000007</v>
      </c>
    </row>
    <row r="59" spans="1:9" x14ac:dyDescent="0.15">
      <c r="A59">
        <v>1148178</v>
      </c>
      <c r="B59" t="s">
        <v>35</v>
      </c>
      <c r="C59" t="s">
        <v>16</v>
      </c>
      <c r="D59">
        <v>39143</v>
      </c>
      <c r="E59">
        <v>360000</v>
      </c>
      <c r="F59">
        <v>324000</v>
      </c>
      <c r="G59" t="s">
        <v>15</v>
      </c>
      <c r="H59">
        <v>2630.33</v>
      </c>
      <c r="I59">
        <v>321831.06</v>
      </c>
    </row>
    <row r="60" spans="1:9" x14ac:dyDescent="0.15">
      <c r="A60">
        <v>1148378</v>
      </c>
      <c r="B60" t="s">
        <v>36</v>
      </c>
      <c r="C60" t="s">
        <v>19</v>
      </c>
      <c r="D60">
        <v>39146</v>
      </c>
      <c r="E60">
        <v>425000</v>
      </c>
      <c r="F60">
        <v>403750</v>
      </c>
      <c r="G60" t="s">
        <v>15</v>
      </c>
      <c r="H60">
        <v>2739.4</v>
      </c>
      <c r="I60">
        <v>403002.84</v>
      </c>
    </row>
    <row r="61" spans="1:9" x14ac:dyDescent="0.15">
      <c r="A61">
        <v>1148425</v>
      </c>
      <c r="B61" t="s">
        <v>37</v>
      </c>
      <c r="C61" t="s">
        <v>19</v>
      </c>
      <c r="D61">
        <v>39148</v>
      </c>
      <c r="E61">
        <v>115000</v>
      </c>
      <c r="F61">
        <v>103500</v>
      </c>
      <c r="G61" t="s">
        <v>17</v>
      </c>
      <c r="H61">
        <v>954.51</v>
      </c>
      <c r="I61">
        <v>102941.87</v>
      </c>
    </row>
    <row r="62" spans="1:9" x14ac:dyDescent="0.15">
      <c r="A62">
        <v>1148615</v>
      </c>
      <c r="B62" t="s">
        <v>38</v>
      </c>
      <c r="C62" t="s">
        <v>19</v>
      </c>
      <c r="D62">
        <v>39147</v>
      </c>
      <c r="E62">
        <v>87500</v>
      </c>
      <c r="F62">
        <v>73950</v>
      </c>
      <c r="G62" t="s">
        <v>15</v>
      </c>
      <c r="H62">
        <v>590.42999999999995</v>
      </c>
      <c r="I62">
        <v>73756</v>
      </c>
    </row>
    <row r="63" spans="1:9" x14ac:dyDescent="0.15">
      <c r="A63">
        <v>1148754</v>
      </c>
      <c r="B63" t="s">
        <v>37</v>
      </c>
      <c r="C63" t="s">
        <v>18</v>
      </c>
      <c r="D63">
        <v>39139</v>
      </c>
      <c r="E63">
        <v>214500</v>
      </c>
      <c r="F63">
        <v>203775</v>
      </c>
      <c r="G63" t="s">
        <v>15</v>
      </c>
      <c r="H63">
        <v>1325.95</v>
      </c>
      <c r="I63">
        <v>202688.81</v>
      </c>
    </row>
    <row r="64" spans="1:9" x14ac:dyDescent="0.15">
      <c r="A64">
        <v>1148893</v>
      </c>
      <c r="B64" t="s">
        <v>37</v>
      </c>
      <c r="C64" t="s">
        <v>18</v>
      </c>
      <c r="D64">
        <v>39150</v>
      </c>
      <c r="E64">
        <v>136000</v>
      </c>
      <c r="F64">
        <v>108800</v>
      </c>
      <c r="G64" t="s">
        <v>17</v>
      </c>
      <c r="H64">
        <v>797.58</v>
      </c>
      <c r="I64">
        <v>107794.72</v>
      </c>
    </row>
    <row r="65" spans="1:9" x14ac:dyDescent="0.15">
      <c r="A65">
        <v>1149002</v>
      </c>
      <c r="B65" t="s">
        <v>35</v>
      </c>
      <c r="C65" t="s">
        <v>16</v>
      </c>
      <c r="D65">
        <v>39140</v>
      </c>
      <c r="E65">
        <v>75000</v>
      </c>
      <c r="F65">
        <v>60000</v>
      </c>
      <c r="G65" t="s">
        <v>15</v>
      </c>
      <c r="H65">
        <v>517.70000000000005</v>
      </c>
      <c r="I65">
        <v>59559.89</v>
      </c>
    </row>
    <row r="66" spans="1:9" x14ac:dyDescent="0.15">
      <c r="A66">
        <v>1149020</v>
      </c>
      <c r="B66" t="s">
        <v>36</v>
      </c>
      <c r="C66" t="s">
        <v>19</v>
      </c>
      <c r="D66">
        <v>39171</v>
      </c>
      <c r="E66">
        <v>550000</v>
      </c>
      <c r="F66">
        <v>495000</v>
      </c>
      <c r="G66" t="s">
        <v>15</v>
      </c>
      <c r="H66">
        <v>3243.54</v>
      </c>
      <c r="I66">
        <v>488733.26</v>
      </c>
    </row>
    <row r="67" spans="1:9" x14ac:dyDescent="0.15">
      <c r="A67">
        <v>1149072</v>
      </c>
      <c r="B67" t="s">
        <v>38</v>
      </c>
      <c r="C67" t="s">
        <v>19</v>
      </c>
      <c r="D67">
        <v>39140</v>
      </c>
      <c r="E67">
        <v>165000</v>
      </c>
      <c r="F67">
        <v>154000</v>
      </c>
      <c r="G67" t="s">
        <v>15</v>
      </c>
      <c r="H67">
        <v>1178.68</v>
      </c>
      <c r="I67">
        <v>152618.15</v>
      </c>
    </row>
    <row r="68" spans="1:9" x14ac:dyDescent="0.15">
      <c r="A68">
        <v>1149804</v>
      </c>
      <c r="B68" t="s">
        <v>35</v>
      </c>
      <c r="C68" t="s">
        <v>16</v>
      </c>
      <c r="D68">
        <v>39139</v>
      </c>
      <c r="E68">
        <v>145000</v>
      </c>
      <c r="F68">
        <v>134900</v>
      </c>
      <c r="G68" t="s">
        <v>15</v>
      </c>
      <c r="H68">
        <v>1168.92</v>
      </c>
      <c r="I68">
        <v>133988.57</v>
      </c>
    </row>
    <row r="69" spans="1:9" x14ac:dyDescent="0.15">
      <c r="A69">
        <v>1149825</v>
      </c>
      <c r="B69" t="s">
        <v>35</v>
      </c>
      <c r="C69" t="s">
        <v>16</v>
      </c>
      <c r="D69">
        <v>39139</v>
      </c>
      <c r="E69">
        <v>167000</v>
      </c>
      <c r="F69">
        <v>150300</v>
      </c>
      <c r="G69" t="s">
        <v>17</v>
      </c>
      <c r="H69">
        <v>1087.18</v>
      </c>
      <c r="I69">
        <v>148545.74</v>
      </c>
    </row>
    <row r="70" spans="1:9" x14ac:dyDescent="0.15">
      <c r="A70">
        <v>1149883</v>
      </c>
      <c r="B70" t="s">
        <v>36</v>
      </c>
      <c r="C70" t="s">
        <v>19</v>
      </c>
      <c r="D70">
        <v>39147</v>
      </c>
      <c r="E70">
        <v>255300</v>
      </c>
      <c r="F70">
        <v>142000</v>
      </c>
      <c r="G70" t="s">
        <v>17</v>
      </c>
      <c r="H70">
        <v>1040.96</v>
      </c>
      <c r="I70">
        <v>140707.97</v>
      </c>
    </row>
    <row r="71" spans="1:9" x14ac:dyDescent="0.15">
      <c r="A71">
        <v>1149977</v>
      </c>
      <c r="B71" t="s">
        <v>36</v>
      </c>
      <c r="C71" t="s">
        <v>19</v>
      </c>
      <c r="D71">
        <v>39139</v>
      </c>
      <c r="E71">
        <v>205000</v>
      </c>
      <c r="F71">
        <v>155000</v>
      </c>
      <c r="G71" t="s">
        <v>17</v>
      </c>
      <c r="H71">
        <v>1020.84</v>
      </c>
      <c r="I71">
        <v>153116.32999999999</v>
      </c>
    </row>
    <row r="72" spans="1:9" x14ac:dyDescent="0.15">
      <c r="A72">
        <v>1150033</v>
      </c>
      <c r="B72" t="s">
        <v>38</v>
      </c>
      <c r="C72" t="s">
        <v>19</v>
      </c>
      <c r="D72">
        <v>39141</v>
      </c>
      <c r="E72">
        <v>155000</v>
      </c>
      <c r="F72">
        <v>147250</v>
      </c>
      <c r="G72" t="s">
        <v>15</v>
      </c>
      <c r="H72">
        <v>1079.45</v>
      </c>
      <c r="I72">
        <v>145688.69</v>
      </c>
    </row>
    <row r="73" spans="1:9" x14ac:dyDescent="0.15">
      <c r="A73">
        <v>1150064</v>
      </c>
      <c r="B73" t="s">
        <v>35</v>
      </c>
      <c r="C73" t="s">
        <v>16</v>
      </c>
      <c r="D73">
        <v>39139</v>
      </c>
      <c r="E73">
        <v>230000</v>
      </c>
      <c r="F73">
        <v>184000</v>
      </c>
      <c r="G73" t="s">
        <v>17</v>
      </c>
      <c r="H73">
        <v>1169.07</v>
      </c>
      <c r="I73">
        <v>181610.03</v>
      </c>
    </row>
    <row r="74" spans="1:9" x14ac:dyDescent="0.15">
      <c r="A74">
        <v>1150177</v>
      </c>
      <c r="B74" t="s">
        <v>36</v>
      </c>
      <c r="C74" t="s">
        <v>18</v>
      </c>
      <c r="D74">
        <v>39143</v>
      </c>
      <c r="E74">
        <v>93000</v>
      </c>
      <c r="F74">
        <v>83700</v>
      </c>
      <c r="G74" t="s">
        <v>15</v>
      </c>
      <c r="H74">
        <v>672.87</v>
      </c>
      <c r="I74">
        <v>82972.66</v>
      </c>
    </row>
    <row r="75" spans="1:9" x14ac:dyDescent="0.15">
      <c r="A75">
        <v>1150295</v>
      </c>
      <c r="B75" t="s">
        <v>36</v>
      </c>
      <c r="C75" t="s">
        <v>19</v>
      </c>
      <c r="D75">
        <v>39141</v>
      </c>
      <c r="E75">
        <v>339000</v>
      </c>
      <c r="F75">
        <v>288150</v>
      </c>
      <c r="G75" t="s">
        <v>15</v>
      </c>
      <c r="H75">
        <v>2197.35</v>
      </c>
      <c r="I75">
        <v>287785.61</v>
      </c>
    </row>
    <row r="76" spans="1:9" x14ac:dyDescent="0.15">
      <c r="A76">
        <v>1150340</v>
      </c>
      <c r="B76" t="s">
        <v>35</v>
      </c>
      <c r="C76" t="s">
        <v>16</v>
      </c>
      <c r="D76">
        <v>39161</v>
      </c>
      <c r="E76">
        <v>108000</v>
      </c>
      <c r="F76">
        <v>80000</v>
      </c>
      <c r="G76" t="s">
        <v>17</v>
      </c>
      <c r="H76">
        <v>553.91</v>
      </c>
      <c r="I76">
        <v>79182.710000000006</v>
      </c>
    </row>
    <row r="77" spans="1:9" x14ac:dyDescent="0.15">
      <c r="A77">
        <v>1150345</v>
      </c>
      <c r="B77" t="s">
        <v>36</v>
      </c>
      <c r="C77" t="s">
        <v>19</v>
      </c>
      <c r="D77">
        <v>39140</v>
      </c>
      <c r="E77">
        <v>220000</v>
      </c>
      <c r="F77">
        <v>198000</v>
      </c>
      <c r="G77" t="s">
        <v>15</v>
      </c>
      <c r="H77">
        <v>1173.3399999999999</v>
      </c>
      <c r="I77">
        <v>196685.02</v>
      </c>
    </row>
    <row r="78" spans="1:9" x14ac:dyDescent="0.15">
      <c r="A78">
        <v>1150385</v>
      </c>
      <c r="B78" t="s">
        <v>36</v>
      </c>
      <c r="C78" t="s">
        <v>19</v>
      </c>
      <c r="D78">
        <v>39141</v>
      </c>
      <c r="E78">
        <v>184000</v>
      </c>
      <c r="F78">
        <v>165600</v>
      </c>
      <c r="G78" t="s">
        <v>17</v>
      </c>
      <c r="H78">
        <v>999.16</v>
      </c>
      <c r="I78">
        <v>164607.28</v>
      </c>
    </row>
    <row r="79" spans="1:9" x14ac:dyDescent="0.15">
      <c r="A79">
        <v>1150433</v>
      </c>
      <c r="B79" t="s">
        <v>36</v>
      </c>
      <c r="C79" t="s">
        <v>19</v>
      </c>
      <c r="D79">
        <v>39140</v>
      </c>
      <c r="E79">
        <v>305000</v>
      </c>
      <c r="F79">
        <v>259250</v>
      </c>
      <c r="G79" t="s">
        <v>15</v>
      </c>
      <c r="H79">
        <v>1669.88</v>
      </c>
      <c r="I79">
        <v>258507.09</v>
      </c>
    </row>
    <row r="80" spans="1:9" x14ac:dyDescent="0.15">
      <c r="A80">
        <v>1150799</v>
      </c>
      <c r="B80" t="s">
        <v>37</v>
      </c>
      <c r="C80" t="s">
        <v>19</v>
      </c>
      <c r="D80">
        <v>39146</v>
      </c>
      <c r="E80">
        <v>60000</v>
      </c>
      <c r="F80">
        <v>51000</v>
      </c>
      <c r="G80" t="s">
        <v>15</v>
      </c>
      <c r="H80">
        <v>417.63</v>
      </c>
      <c r="I80">
        <v>50945.38</v>
      </c>
    </row>
    <row r="81" spans="1:9" x14ac:dyDescent="0.15">
      <c r="A81">
        <v>1150915</v>
      </c>
      <c r="B81" t="s">
        <v>38</v>
      </c>
      <c r="C81" t="s">
        <v>19</v>
      </c>
      <c r="D81">
        <v>39156</v>
      </c>
      <c r="E81">
        <v>69000</v>
      </c>
      <c r="F81">
        <v>62000</v>
      </c>
      <c r="G81" t="s">
        <v>15</v>
      </c>
      <c r="H81">
        <v>510.06</v>
      </c>
      <c r="I81">
        <v>61562.19</v>
      </c>
    </row>
    <row r="82" spans="1:9" x14ac:dyDescent="0.15">
      <c r="A82">
        <v>1151240</v>
      </c>
      <c r="B82" t="s">
        <v>37</v>
      </c>
      <c r="C82" t="s">
        <v>18</v>
      </c>
      <c r="D82">
        <v>39181</v>
      </c>
      <c r="E82">
        <v>85000</v>
      </c>
      <c r="F82">
        <v>72000</v>
      </c>
      <c r="G82" t="s">
        <v>15</v>
      </c>
      <c r="H82">
        <v>639.85</v>
      </c>
      <c r="I82">
        <v>71645.929999999993</v>
      </c>
    </row>
    <row r="83" spans="1:9" x14ac:dyDescent="0.15">
      <c r="A83">
        <v>1151424</v>
      </c>
      <c r="B83" t="s">
        <v>37</v>
      </c>
      <c r="C83" t="s">
        <v>19</v>
      </c>
      <c r="D83">
        <v>39148</v>
      </c>
      <c r="E83">
        <v>230000</v>
      </c>
      <c r="F83">
        <v>154000</v>
      </c>
      <c r="G83" t="s">
        <v>17</v>
      </c>
      <c r="H83">
        <v>1156.96</v>
      </c>
      <c r="I83">
        <v>152669.24</v>
      </c>
    </row>
    <row r="84" spans="1:9" x14ac:dyDescent="0.15">
      <c r="A84">
        <v>1151437</v>
      </c>
      <c r="B84" t="s">
        <v>38</v>
      </c>
      <c r="C84" t="s">
        <v>19</v>
      </c>
      <c r="D84">
        <v>39139</v>
      </c>
      <c r="E84">
        <v>125000</v>
      </c>
      <c r="F84">
        <v>87500</v>
      </c>
      <c r="G84" t="s">
        <v>17</v>
      </c>
      <c r="H84">
        <v>719.85</v>
      </c>
      <c r="I84">
        <v>86060.65</v>
      </c>
    </row>
    <row r="85" spans="1:9" x14ac:dyDescent="0.15">
      <c r="A85">
        <v>1151528</v>
      </c>
      <c r="B85" t="s">
        <v>36</v>
      </c>
      <c r="C85" t="s">
        <v>18</v>
      </c>
      <c r="D85">
        <v>39140</v>
      </c>
      <c r="E85">
        <v>276000</v>
      </c>
      <c r="F85">
        <v>168000</v>
      </c>
      <c r="G85" t="s">
        <v>17</v>
      </c>
      <c r="H85">
        <v>1150.6199999999999</v>
      </c>
      <c r="I85">
        <v>166104.68</v>
      </c>
    </row>
    <row r="86" spans="1:9" x14ac:dyDescent="0.15">
      <c r="A86">
        <v>1151756</v>
      </c>
      <c r="B86" t="s">
        <v>37</v>
      </c>
      <c r="C86" t="s">
        <v>19</v>
      </c>
      <c r="D86">
        <v>39150</v>
      </c>
      <c r="E86">
        <v>85000</v>
      </c>
      <c r="F86">
        <v>72250</v>
      </c>
      <c r="G86" t="s">
        <v>15</v>
      </c>
      <c r="H86">
        <v>589.16</v>
      </c>
      <c r="I86">
        <v>71729.31</v>
      </c>
    </row>
    <row r="87" spans="1:9" x14ac:dyDescent="0.15">
      <c r="A87">
        <v>1151952</v>
      </c>
      <c r="B87" t="s">
        <v>36</v>
      </c>
      <c r="C87" t="s">
        <v>19</v>
      </c>
      <c r="D87">
        <v>39140</v>
      </c>
      <c r="E87">
        <v>210000</v>
      </c>
      <c r="F87">
        <v>160500</v>
      </c>
      <c r="G87" t="s">
        <v>17</v>
      </c>
      <c r="H87">
        <v>1127.74</v>
      </c>
      <c r="I87">
        <v>158739.73000000001</v>
      </c>
    </row>
    <row r="88" spans="1:9" x14ac:dyDescent="0.15">
      <c r="A88">
        <v>1152149</v>
      </c>
      <c r="B88" t="s">
        <v>36</v>
      </c>
      <c r="C88" t="s">
        <v>18</v>
      </c>
      <c r="D88">
        <v>39146</v>
      </c>
      <c r="E88">
        <v>159500</v>
      </c>
      <c r="F88">
        <v>119625</v>
      </c>
      <c r="G88" t="s">
        <v>17</v>
      </c>
      <c r="H88">
        <v>812.01</v>
      </c>
      <c r="I88">
        <v>118354.53</v>
      </c>
    </row>
    <row r="89" spans="1:9" x14ac:dyDescent="0.15">
      <c r="A89">
        <v>1152167</v>
      </c>
      <c r="B89" t="s">
        <v>35</v>
      </c>
      <c r="C89" t="s">
        <v>16</v>
      </c>
      <c r="D89">
        <v>39141</v>
      </c>
      <c r="E89">
        <v>116000</v>
      </c>
      <c r="F89">
        <v>110200</v>
      </c>
      <c r="G89" t="s">
        <v>15</v>
      </c>
      <c r="H89">
        <v>869.09</v>
      </c>
      <c r="I89">
        <v>110088.9</v>
      </c>
    </row>
    <row r="90" spans="1:9" x14ac:dyDescent="0.15">
      <c r="A90">
        <v>1152323</v>
      </c>
      <c r="B90" t="s">
        <v>36</v>
      </c>
      <c r="C90" t="s">
        <v>19</v>
      </c>
      <c r="D90">
        <v>39146</v>
      </c>
      <c r="E90">
        <v>130000</v>
      </c>
      <c r="F90">
        <v>80000</v>
      </c>
      <c r="G90" t="s">
        <v>17</v>
      </c>
      <c r="H90">
        <v>573.13</v>
      </c>
      <c r="I90">
        <v>79234.87</v>
      </c>
    </row>
    <row r="91" spans="1:9" x14ac:dyDescent="0.15">
      <c r="A91">
        <v>1152363</v>
      </c>
      <c r="B91" t="s">
        <v>36</v>
      </c>
      <c r="C91" t="s">
        <v>19</v>
      </c>
      <c r="D91">
        <v>39141</v>
      </c>
      <c r="E91">
        <v>160000</v>
      </c>
      <c r="F91">
        <v>118000</v>
      </c>
      <c r="G91" t="s">
        <v>17</v>
      </c>
      <c r="H91">
        <v>808.98</v>
      </c>
      <c r="I91">
        <v>116672.25</v>
      </c>
    </row>
    <row r="92" spans="1:9" x14ac:dyDescent="0.15">
      <c r="A92">
        <v>1152421</v>
      </c>
      <c r="B92" t="s">
        <v>37</v>
      </c>
      <c r="C92" t="s">
        <v>19</v>
      </c>
      <c r="D92">
        <v>39143</v>
      </c>
      <c r="E92">
        <v>216500</v>
      </c>
      <c r="F92">
        <v>177520</v>
      </c>
      <c r="G92" t="s">
        <v>15</v>
      </c>
      <c r="H92">
        <v>1427.09</v>
      </c>
      <c r="I92">
        <v>176291.08</v>
      </c>
    </row>
    <row r="93" spans="1:9" x14ac:dyDescent="0.15">
      <c r="A93">
        <v>1152430</v>
      </c>
      <c r="B93" t="s">
        <v>36</v>
      </c>
      <c r="C93" t="s">
        <v>19</v>
      </c>
      <c r="D93">
        <v>39139</v>
      </c>
      <c r="E93">
        <v>167000</v>
      </c>
      <c r="F93">
        <v>80000</v>
      </c>
      <c r="G93" t="s">
        <v>17</v>
      </c>
      <c r="H93">
        <v>601.02</v>
      </c>
      <c r="I93">
        <v>79220.87</v>
      </c>
    </row>
    <row r="94" spans="1:9" x14ac:dyDescent="0.15">
      <c r="A94">
        <v>1152442</v>
      </c>
      <c r="B94" t="s">
        <v>35</v>
      </c>
      <c r="C94" t="s">
        <v>16</v>
      </c>
      <c r="D94">
        <v>39141</v>
      </c>
      <c r="E94">
        <v>189000</v>
      </c>
      <c r="F94">
        <v>170100</v>
      </c>
      <c r="G94" t="s">
        <v>15</v>
      </c>
      <c r="H94">
        <v>1246.95</v>
      </c>
      <c r="I94">
        <v>168427.67</v>
      </c>
    </row>
    <row r="95" spans="1:9" x14ac:dyDescent="0.15">
      <c r="A95">
        <v>1152458</v>
      </c>
      <c r="B95" t="s">
        <v>36</v>
      </c>
      <c r="C95" t="s">
        <v>18</v>
      </c>
      <c r="D95">
        <v>39139</v>
      </c>
      <c r="E95">
        <v>360000</v>
      </c>
      <c r="F95">
        <v>270000</v>
      </c>
      <c r="G95" t="s">
        <v>17</v>
      </c>
      <c r="H95">
        <v>1794.51</v>
      </c>
      <c r="I95">
        <v>266534.49</v>
      </c>
    </row>
    <row r="96" spans="1:9" x14ac:dyDescent="0.15">
      <c r="A96">
        <v>1152613</v>
      </c>
      <c r="B96" t="s">
        <v>35</v>
      </c>
      <c r="C96" t="s">
        <v>16</v>
      </c>
      <c r="D96">
        <v>39141</v>
      </c>
      <c r="E96">
        <v>115000</v>
      </c>
      <c r="F96">
        <v>86250</v>
      </c>
      <c r="G96" t="s">
        <v>17</v>
      </c>
      <c r="H96">
        <v>565.16999999999996</v>
      </c>
      <c r="I96">
        <v>85191.73</v>
      </c>
    </row>
    <row r="97" spans="1:9" x14ac:dyDescent="0.15">
      <c r="A97">
        <v>1152655</v>
      </c>
      <c r="B97" t="s">
        <v>35</v>
      </c>
      <c r="C97" t="s">
        <v>16</v>
      </c>
      <c r="D97">
        <v>39141</v>
      </c>
      <c r="E97">
        <v>118000</v>
      </c>
      <c r="F97">
        <v>80000</v>
      </c>
      <c r="G97" t="s">
        <v>15</v>
      </c>
      <c r="H97">
        <v>564.86</v>
      </c>
      <c r="I97">
        <v>79087.320000000007</v>
      </c>
    </row>
    <row r="98" spans="1:9" x14ac:dyDescent="0.15">
      <c r="A98">
        <v>1152775</v>
      </c>
      <c r="B98" t="s">
        <v>35</v>
      </c>
      <c r="C98" t="s">
        <v>16</v>
      </c>
      <c r="D98">
        <v>39154</v>
      </c>
      <c r="E98">
        <v>173000</v>
      </c>
      <c r="F98">
        <v>147050</v>
      </c>
      <c r="G98" t="s">
        <v>17</v>
      </c>
      <c r="H98">
        <v>1156.8499999999999</v>
      </c>
      <c r="I98">
        <v>145900.63</v>
      </c>
    </row>
    <row r="99" spans="1:9" x14ac:dyDescent="0.15">
      <c r="A99">
        <v>1152886</v>
      </c>
      <c r="B99" t="s">
        <v>37</v>
      </c>
      <c r="C99" t="s">
        <v>19</v>
      </c>
      <c r="D99">
        <v>39141</v>
      </c>
      <c r="E99">
        <v>128000</v>
      </c>
      <c r="F99">
        <v>121600</v>
      </c>
      <c r="G99" t="s">
        <v>15</v>
      </c>
      <c r="H99">
        <v>1130.55</v>
      </c>
      <c r="I99">
        <v>120631.28</v>
      </c>
    </row>
    <row r="100" spans="1:9" x14ac:dyDescent="0.15">
      <c r="A100">
        <v>1153081</v>
      </c>
      <c r="B100" t="s">
        <v>37</v>
      </c>
      <c r="C100" t="s">
        <v>19</v>
      </c>
      <c r="D100">
        <v>39154</v>
      </c>
      <c r="E100">
        <v>122000</v>
      </c>
      <c r="F100">
        <v>115615</v>
      </c>
      <c r="G100" t="s">
        <v>15</v>
      </c>
      <c r="H100">
        <v>914.12</v>
      </c>
      <c r="I100">
        <v>115449.73</v>
      </c>
    </row>
    <row r="101" spans="1:9" x14ac:dyDescent="0.15">
      <c r="A101">
        <v>1153411</v>
      </c>
      <c r="B101" t="s">
        <v>36</v>
      </c>
      <c r="C101" t="s">
        <v>19</v>
      </c>
      <c r="D101">
        <v>39140</v>
      </c>
      <c r="E101">
        <v>430000</v>
      </c>
      <c r="F101">
        <v>300000</v>
      </c>
      <c r="G101" t="s">
        <v>15</v>
      </c>
      <c r="H101">
        <v>2199.21</v>
      </c>
      <c r="I101">
        <v>297037.3</v>
      </c>
    </row>
    <row r="102" spans="1:9" x14ac:dyDescent="0.15">
      <c r="A102">
        <v>1153519</v>
      </c>
      <c r="B102" t="s">
        <v>36</v>
      </c>
      <c r="C102" t="s">
        <v>19</v>
      </c>
      <c r="D102">
        <v>39141</v>
      </c>
      <c r="E102">
        <v>178000</v>
      </c>
      <c r="F102">
        <v>160200</v>
      </c>
      <c r="G102" t="s">
        <v>17</v>
      </c>
      <c r="H102">
        <v>1308.95</v>
      </c>
      <c r="I102">
        <v>159671.53</v>
      </c>
    </row>
    <row r="103" spans="1:9" x14ac:dyDescent="0.15">
      <c r="A103">
        <v>1153607</v>
      </c>
      <c r="B103" t="s">
        <v>35</v>
      </c>
      <c r="C103" t="s">
        <v>16</v>
      </c>
      <c r="D103">
        <v>39148</v>
      </c>
      <c r="E103">
        <v>124000</v>
      </c>
      <c r="F103">
        <v>117800</v>
      </c>
      <c r="G103" t="s">
        <v>15</v>
      </c>
      <c r="H103">
        <v>994.83</v>
      </c>
      <c r="I103">
        <v>117017.95</v>
      </c>
    </row>
    <row r="104" spans="1:9" x14ac:dyDescent="0.15">
      <c r="A104">
        <v>1153835</v>
      </c>
      <c r="B104" t="s">
        <v>36</v>
      </c>
      <c r="C104" t="s">
        <v>19</v>
      </c>
      <c r="D104">
        <v>39141</v>
      </c>
      <c r="E104">
        <v>465000</v>
      </c>
      <c r="F104">
        <v>441750</v>
      </c>
      <c r="G104" t="s">
        <v>15</v>
      </c>
      <c r="H104">
        <v>3347.45</v>
      </c>
      <c r="I104">
        <v>441092.2</v>
      </c>
    </row>
    <row r="105" spans="1:9" x14ac:dyDescent="0.15">
      <c r="A105">
        <v>1153880</v>
      </c>
      <c r="B105" t="s">
        <v>35</v>
      </c>
      <c r="C105" t="s">
        <v>16</v>
      </c>
      <c r="D105">
        <v>39141</v>
      </c>
      <c r="E105">
        <v>125000</v>
      </c>
      <c r="F105">
        <v>100000</v>
      </c>
      <c r="G105" t="s">
        <v>15</v>
      </c>
      <c r="H105">
        <v>822.68</v>
      </c>
      <c r="I105">
        <v>99236.45</v>
      </c>
    </row>
    <row r="106" spans="1:9" x14ac:dyDescent="0.15">
      <c r="A106">
        <v>1153893</v>
      </c>
      <c r="B106" t="s">
        <v>36</v>
      </c>
      <c r="C106" t="s">
        <v>19</v>
      </c>
      <c r="D106">
        <v>39183</v>
      </c>
      <c r="E106">
        <v>190000</v>
      </c>
      <c r="F106">
        <v>122000</v>
      </c>
      <c r="G106" t="s">
        <v>15</v>
      </c>
      <c r="H106">
        <v>791.29</v>
      </c>
      <c r="I106">
        <v>120699.77</v>
      </c>
    </row>
    <row r="107" spans="1:9" x14ac:dyDescent="0.15">
      <c r="A107">
        <v>1153947</v>
      </c>
      <c r="B107" t="s">
        <v>35</v>
      </c>
      <c r="C107" t="s">
        <v>16</v>
      </c>
      <c r="D107">
        <v>39153</v>
      </c>
      <c r="E107">
        <v>138000</v>
      </c>
      <c r="F107">
        <v>124200</v>
      </c>
      <c r="G107" t="s">
        <v>17</v>
      </c>
      <c r="H107">
        <v>776.88</v>
      </c>
      <c r="I107">
        <v>122540.52</v>
      </c>
    </row>
    <row r="108" spans="1:9" x14ac:dyDescent="0.15">
      <c r="A108">
        <v>1154036</v>
      </c>
      <c r="B108" t="s">
        <v>37</v>
      </c>
      <c r="C108" t="s">
        <v>19</v>
      </c>
      <c r="D108">
        <v>39157</v>
      </c>
      <c r="E108">
        <v>100000</v>
      </c>
      <c r="F108">
        <v>68000</v>
      </c>
      <c r="G108" t="s">
        <v>15</v>
      </c>
      <c r="H108">
        <v>507.68</v>
      </c>
      <c r="I108">
        <v>67916.009999999995</v>
      </c>
    </row>
    <row r="109" spans="1:9" x14ac:dyDescent="0.15">
      <c r="A109">
        <v>1154078</v>
      </c>
      <c r="B109" t="s">
        <v>36</v>
      </c>
      <c r="C109" t="s">
        <v>19</v>
      </c>
      <c r="D109">
        <v>39155</v>
      </c>
      <c r="E109">
        <v>296500</v>
      </c>
      <c r="F109">
        <v>265500</v>
      </c>
      <c r="G109" t="s">
        <v>17</v>
      </c>
      <c r="H109">
        <v>1938.9</v>
      </c>
      <c r="I109">
        <v>263260.01</v>
      </c>
    </row>
    <row r="110" spans="1:9" x14ac:dyDescent="0.15">
      <c r="A110">
        <v>1154415</v>
      </c>
      <c r="B110" t="s">
        <v>36</v>
      </c>
      <c r="C110" t="s">
        <v>19</v>
      </c>
      <c r="D110">
        <v>39181</v>
      </c>
      <c r="E110">
        <v>530000</v>
      </c>
      <c r="F110">
        <v>450500</v>
      </c>
      <c r="G110" t="s">
        <v>15</v>
      </c>
      <c r="H110">
        <v>3077.83</v>
      </c>
      <c r="I110">
        <v>446199.71</v>
      </c>
    </row>
    <row r="111" spans="1:9" x14ac:dyDescent="0.15">
      <c r="A111">
        <v>1154580</v>
      </c>
      <c r="B111" t="s">
        <v>36</v>
      </c>
      <c r="C111" t="s">
        <v>18</v>
      </c>
      <c r="D111">
        <v>39146</v>
      </c>
      <c r="E111">
        <v>325000</v>
      </c>
      <c r="F111">
        <v>292500</v>
      </c>
      <c r="G111" t="s">
        <v>17</v>
      </c>
      <c r="H111">
        <v>1815.57</v>
      </c>
      <c r="I111">
        <v>290995.3</v>
      </c>
    </row>
    <row r="112" spans="1:9" x14ac:dyDescent="0.15">
      <c r="A112">
        <v>1154604</v>
      </c>
      <c r="B112" t="s">
        <v>38</v>
      </c>
      <c r="C112" t="s">
        <v>19</v>
      </c>
      <c r="D112">
        <v>39140</v>
      </c>
      <c r="E112">
        <v>77000</v>
      </c>
      <c r="F112">
        <v>73150</v>
      </c>
      <c r="G112" t="s">
        <v>15</v>
      </c>
      <c r="H112">
        <v>607.89</v>
      </c>
      <c r="I112">
        <v>73087.509999999995</v>
      </c>
    </row>
    <row r="113" spans="1:9" x14ac:dyDescent="0.15">
      <c r="A113">
        <v>1154664</v>
      </c>
      <c r="B113" t="s">
        <v>36</v>
      </c>
      <c r="C113" t="s">
        <v>19</v>
      </c>
      <c r="D113">
        <v>39155</v>
      </c>
      <c r="E113">
        <v>145000</v>
      </c>
      <c r="F113">
        <v>101500</v>
      </c>
      <c r="G113" t="s">
        <v>15</v>
      </c>
      <c r="H113">
        <v>658.33</v>
      </c>
      <c r="I113">
        <v>100324.76</v>
      </c>
    </row>
    <row r="114" spans="1:9" x14ac:dyDescent="0.15">
      <c r="A114">
        <v>1154686</v>
      </c>
      <c r="B114" t="s">
        <v>36</v>
      </c>
      <c r="C114" t="s">
        <v>18</v>
      </c>
      <c r="D114">
        <v>39182</v>
      </c>
      <c r="E114">
        <v>219000</v>
      </c>
      <c r="F114">
        <v>175200</v>
      </c>
      <c r="G114" t="s">
        <v>17</v>
      </c>
      <c r="H114">
        <v>1340.94</v>
      </c>
      <c r="I114">
        <v>173862.08</v>
      </c>
    </row>
    <row r="115" spans="1:9" x14ac:dyDescent="0.15">
      <c r="A115">
        <v>1154720</v>
      </c>
      <c r="B115" t="s">
        <v>36</v>
      </c>
      <c r="C115" t="s">
        <v>19</v>
      </c>
      <c r="D115">
        <v>39153</v>
      </c>
      <c r="E115">
        <v>275000</v>
      </c>
      <c r="F115">
        <v>182000</v>
      </c>
      <c r="G115" t="s">
        <v>17</v>
      </c>
      <c r="H115">
        <v>1150.3699999999999</v>
      </c>
      <c r="I115">
        <v>179737.09</v>
      </c>
    </row>
    <row r="116" spans="1:9" x14ac:dyDescent="0.15">
      <c r="A116">
        <v>1155065</v>
      </c>
      <c r="B116" t="s">
        <v>38</v>
      </c>
      <c r="C116" t="s">
        <v>18</v>
      </c>
      <c r="D116">
        <v>39162</v>
      </c>
      <c r="E116">
        <v>420000</v>
      </c>
      <c r="F116">
        <v>327000</v>
      </c>
      <c r="G116" t="s">
        <v>17</v>
      </c>
      <c r="H116">
        <v>2549.1999999999998</v>
      </c>
      <c r="I116">
        <v>324392.13</v>
      </c>
    </row>
    <row r="117" spans="1:9" x14ac:dyDescent="0.15">
      <c r="A117">
        <v>1155113</v>
      </c>
      <c r="B117" t="s">
        <v>36</v>
      </c>
      <c r="C117" t="s">
        <v>19</v>
      </c>
      <c r="D117">
        <v>39148</v>
      </c>
      <c r="E117">
        <v>367000</v>
      </c>
      <c r="F117">
        <v>330300</v>
      </c>
      <c r="G117" t="s">
        <v>15</v>
      </c>
      <c r="H117">
        <v>2275.6799999999998</v>
      </c>
      <c r="I117">
        <v>326817.52</v>
      </c>
    </row>
    <row r="118" spans="1:9" x14ac:dyDescent="0.15">
      <c r="A118">
        <v>1155167</v>
      </c>
      <c r="B118" t="s">
        <v>35</v>
      </c>
      <c r="C118" t="s">
        <v>16</v>
      </c>
      <c r="D118">
        <v>39149</v>
      </c>
      <c r="E118">
        <v>120000</v>
      </c>
      <c r="F118">
        <v>85025</v>
      </c>
      <c r="G118" t="s">
        <v>15</v>
      </c>
      <c r="H118">
        <v>711.84</v>
      </c>
      <c r="I118">
        <v>84494.87</v>
      </c>
    </row>
    <row r="119" spans="1:9" x14ac:dyDescent="0.15">
      <c r="A119">
        <v>1155229</v>
      </c>
      <c r="B119" t="s">
        <v>35</v>
      </c>
      <c r="C119" t="s">
        <v>16</v>
      </c>
      <c r="D119">
        <v>39192</v>
      </c>
      <c r="E119">
        <v>71500</v>
      </c>
      <c r="F119">
        <v>64350</v>
      </c>
      <c r="G119" t="s">
        <v>17</v>
      </c>
      <c r="H119">
        <v>576.65</v>
      </c>
      <c r="I119">
        <v>64010.42</v>
      </c>
    </row>
    <row r="120" spans="1:9" x14ac:dyDescent="0.15">
      <c r="A120">
        <v>1155241</v>
      </c>
      <c r="B120" t="s">
        <v>36</v>
      </c>
      <c r="C120" t="s">
        <v>18</v>
      </c>
      <c r="D120">
        <v>39141</v>
      </c>
      <c r="E120">
        <v>408000</v>
      </c>
      <c r="F120">
        <v>325000</v>
      </c>
      <c r="G120" t="s">
        <v>17</v>
      </c>
      <c r="H120">
        <v>2140.46</v>
      </c>
      <c r="I120">
        <v>321050.58</v>
      </c>
    </row>
    <row r="121" spans="1:9" x14ac:dyDescent="0.15">
      <c r="A121">
        <v>1155256</v>
      </c>
      <c r="B121" t="s">
        <v>37</v>
      </c>
      <c r="C121" t="s">
        <v>19</v>
      </c>
      <c r="D121">
        <v>39183</v>
      </c>
      <c r="E121">
        <v>245000</v>
      </c>
      <c r="F121">
        <v>137000</v>
      </c>
      <c r="G121" t="s">
        <v>15</v>
      </c>
      <c r="H121">
        <v>897.71</v>
      </c>
      <c r="I121">
        <v>134683.84</v>
      </c>
    </row>
    <row r="122" spans="1:9" x14ac:dyDescent="0.15">
      <c r="A122">
        <v>1155346</v>
      </c>
      <c r="B122" t="s">
        <v>35</v>
      </c>
      <c r="C122" t="s">
        <v>16</v>
      </c>
      <c r="D122">
        <v>39160</v>
      </c>
      <c r="E122">
        <v>135000</v>
      </c>
      <c r="F122">
        <v>120000</v>
      </c>
      <c r="G122" t="s">
        <v>17</v>
      </c>
      <c r="H122">
        <v>959.39</v>
      </c>
      <c r="I122">
        <v>117031.74</v>
      </c>
    </row>
    <row r="123" spans="1:9" x14ac:dyDescent="0.15">
      <c r="A123">
        <v>1155366</v>
      </c>
      <c r="B123" t="s">
        <v>35</v>
      </c>
      <c r="C123" t="s">
        <v>16</v>
      </c>
      <c r="D123">
        <v>39141</v>
      </c>
      <c r="E123">
        <v>101000</v>
      </c>
      <c r="F123">
        <v>85000</v>
      </c>
      <c r="G123" t="s">
        <v>17</v>
      </c>
      <c r="H123">
        <v>659.61</v>
      </c>
      <c r="I123">
        <v>84204.18</v>
      </c>
    </row>
    <row r="124" spans="1:9" x14ac:dyDescent="0.15">
      <c r="A124">
        <v>1155611</v>
      </c>
      <c r="B124" t="s">
        <v>37</v>
      </c>
      <c r="C124" t="s">
        <v>19</v>
      </c>
      <c r="D124">
        <v>39143</v>
      </c>
      <c r="E124">
        <v>88000</v>
      </c>
      <c r="F124">
        <v>56550</v>
      </c>
      <c r="G124" t="s">
        <v>15</v>
      </c>
      <c r="H124">
        <v>463.18</v>
      </c>
      <c r="I124">
        <v>56146.57</v>
      </c>
    </row>
    <row r="125" spans="1:9" x14ac:dyDescent="0.15">
      <c r="A125">
        <v>1155636</v>
      </c>
      <c r="B125" t="s">
        <v>38</v>
      </c>
      <c r="C125" t="s">
        <v>18</v>
      </c>
      <c r="D125">
        <v>39141</v>
      </c>
      <c r="E125">
        <v>156000</v>
      </c>
      <c r="F125">
        <v>148200</v>
      </c>
      <c r="G125" t="s">
        <v>15</v>
      </c>
      <c r="H125">
        <v>1206.28</v>
      </c>
      <c r="I125">
        <v>147803.97</v>
      </c>
    </row>
    <row r="126" spans="1:9" x14ac:dyDescent="0.15">
      <c r="A126">
        <v>1155782</v>
      </c>
      <c r="B126" t="s">
        <v>35</v>
      </c>
      <c r="C126" t="s">
        <v>16</v>
      </c>
      <c r="D126">
        <v>39148</v>
      </c>
      <c r="E126">
        <v>73000</v>
      </c>
      <c r="F126">
        <v>57600</v>
      </c>
      <c r="G126" t="s">
        <v>15</v>
      </c>
      <c r="H126">
        <v>514.88</v>
      </c>
      <c r="I126">
        <v>57319.78</v>
      </c>
    </row>
    <row r="127" spans="1:9" x14ac:dyDescent="0.15">
      <c r="A127">
        <v>1156141</v>
      </c>
      <c r="B127" t="s">
        <v>37</v>
      </c>
      <c r="C127" t="s">
        <v>18</v>
      </c>
      <c r="D127">
        <v>39167</v>
      </c>
      <c r="E127">
        <v>170000</v>
      </c>
      <c r="F127">
        <v>144500</v>
      </c>
      <c r="G127" t="s">
        <v>15</v>
      </c>
      <c r="H127">
        <v>1136.79</v>
      </c>
      <c r="I127">
        <v>143038.31</v>
      </c>
    </row>
    <row r="128" spans="1:9" x14ac:dyDescent="0.15">
      <c r="A128">
        <v>1156193</v>
      </c>
      <c r="B128" t="s">
        <v>36</v>
      </c>
      <c r="C128" t="s">
        <v>19</v>
      </c>
      <c r="D128">
        <v>39146</v>
      </c>
      <c r="E128">
        <v>153000</v>
      </c>
      <c r="F128">
        <v>125000</v>
      </c>
      <c r="G128" t="s">
        <v>17</v>
      </c>
      <c r="H128">
        <v>848.49</v>
      </c>
      <c r="I128">
        <v>123770.84</v>
      </c>
    </row>
    <row r="129" spans="1:9" x14ac:dyDescent="0.15">
      <c r="A129">
        <v>1156265</v>
      </c>
      <c r="B129" t="s">
        <v>36</v>
      </c>
      <c r="C129" t="s">
        <v>18</v>
      </c>
      <c r="D129">
        <v>39171</v>
      </c>
      <c r="E129">
        <v>115000</v>
      </c>
      <c r="F129">
        <v>97750</v>
      </c>
      <c r="G129" t="s">
        <v>17</v>
      </c>
      <c r="H129">
        <v>835.52</v>
      </c>
      <c r="I129">
        <v>97119.57</v>
      </c>
    </row>
    <row r="130" spans="1:9" x14ac:dyDescent="0.15">
      <c r="A130">
        <v>1156362</v>
      </c>
      <c r="B130" t="s">
        <v>35</v>
      </c>
      <c r="C130" t="s">
        <v>16</v>
      </c>
      <c r="D130">
        <v>39147</v>
      </c>
      <c r="E130">
        <v>118000</v>
      </c>
      <c r="F130">
        <v>100300</v>
      </c>
      <c r="G130" t="s">
        <v>15</v>
      </c>
      <c r="H130">
        <v>722.04</v>
      </c>
      <c r="I130">
        <v>99257.56</v>
      </c>
    </row>
    <row r="131" spans="1:9" x14ac:dyDescent="0.15">
      <c r="A131">
        <v>1156365</v>
      </c>
      <c r="B131" t="s">
        <v>35</v>
      </c>
      <c r="C131" t="s">
        <v>16</v>
      </c>
      <c r="D131">
        <v>39154</v>
      </c>
      <c r="E131">
        <v>52500</v>
      </c>
      <c r="F131">
        <v>51000</v>
      </c>
      <c r="G131" t="s">
        <v>17</v>
      </c>
      <c r="H131">
        <v>543.38</v>
      </c>
      <c r="I131">
        <v>44561.26</v>
      </c>
    </row>
    <row r="132" spans="1:9" x14ac:dyDescent="0.15">
      <c r="A132">
        <v>1156385</v>
      </c>
      <c r="B132" t="s">
        <v>36</v>
      </c>
      <c r="C132" t="s">
        <v>19</v>
      </c>
      <c r="D132">
        <v>39157</v>
      </c>
      <c r="E132">
        <v>135000</v>
      </c>
      <c r="F132">
        <v>108000</v>
      </c>
      <c r="G132" t="s">
        <v>17</v>
      </c>
      <c r="H132">
        <v>700.49</v>
      </c>
      <c r="I132">
        <v>106649.46</v>
      </c>
    </row>
    <row r="133" spans="1:9" x14ac:dyDescent="0.15">
      <c r="A133">
        <v>1156422</v>
      </c>
      <c r="B133" t="s">
        <v>38</v>
      </c>
      <c r="C133" t="s">
        <v>19</v>
      </c>
      <c r="D133">
        <v>39160</v>
      </c>
      <c r="E133">
        <v>110000</v>
      </c>
      <c r="F133">
        <v>93500</v>
      </c>
      <c r="G133" t="s">
        <v>15</v>
      </c>
      <c r="H133">
        <v>796.46</v>
      </c>
      <c r="I133">
        <v>92790.19</v>
      </c>
    </row>
    <row r="134" spans="1:9" x14ac:dyDescent="0.15">
      <c r="A134">
        <v>1156439</v>
      </c>
      <c r="B134" t="s">
        <v>37</v>
      </c>
      <c r="C134" t="s">
        <v>18</v>
      </c>
      <c r="D134">
        <v>39163</v>
      </c>
      <c r="E134">
        <v>92000</v>
      </c>
      <c r="F134">
        <v>82800</v>
      </c>
      <c r="G134" t="s">
        <v>15</v>
      </c>
      <c r="H134">
        <v>681.18</v>
      </c>
      <c r="I134">
        <v>81928.59</v>
      </c>
    </row>
    <row r="135" spans="1:9" x14ac:dyDescent="0.15">
      <c r="A135">
        <v>1156464</v>
      </c>
      <c r="B135" t="s">
        <v>36</v>
      </c>
      <c r="C135" t="s">
        <v>19</v>
      </c>
      <c r="D135">
        <v>39146</v>
      </c>
      <c r="E135">
        <v>200000</v>
      </c>
      <c r="F135">
        <v>148000</v>
      </c>
      <c r="G135" t="s">
        <v>15</v>
      </c>
      <c r="H135">
        <v>935.89</v>
      </c>
      <c r="I135">
        <v>147258.76</v>
      </c>
    </row>
    <row r="136" spans="1:9" x14ac:dyDescent="0.15">
      <c r="A136">
        <v>1156476</v>
      </c>
      <c r="B136" t="s">
        <v>36</v>
      </c>
      <c r="C136" t="s">
        <v>19</v>
      </c>
      <c r="D136">
        <v>39141</v>
      </c>
      <c r="E136">
        <v>102000</v>
      </c>
      <c r="F136">
        <v>73000</v>
      </c>
      <c r="G136" t="s">
        <v>17</v>
      </c>
      <c r="H136">
        <v>586.07000000000005</v>
      </c>
      <c r="I136">
        <v>72403.08</v>
      </c>
    </row>
    <row r="137" spans="1:9" x14ac:dyDescent="0.15">
      <c r="A137">
        <v>1156495</v>
      </c>
      <c r="B137" t="s">
        <v>35</v>
      </c>
      <c r="C137" t="s">
        <v>16</v>
      </c>
      <c r="D137">
        <v>39146</v>
      </c>
      <c r="E137">
        <v>70000</v>
      </c>
      <c r="F137">
        <v>59500</v>
      </c>
      <c r="G137" t="s">
        <v>15</v>
      </c>
      <c r="H137">
        <v>521.05999999999995</v>
      </c>
      <c r="I137">
        <v>59120.89</v>
      </c>
    </row>
    <row r="138" spans="1:9" x14ac:dyDescent="0.15">
      <c r="A138">
        <v>1156680</v>
      </c>
      <c r="B138" t="s">
        <v>36</v>
      </c>
      <c r="C138" t="s">
        <v>19</v>
      </c>
      <c r="D138">
        <v>39174</v>
      </c>
      <c r="E138">
        <v>139000</v>
      </c>
      <c r="F138">
        <v>125100</v>
      </c>
      <c r="G138" t="s">
        <v>15</v>
      </c>
      <c r="H138">
        <v>1044.6600000000001</v>
      </c>
      <c r="I138">
        <v>125023.46</v>
      </c>
    </row>
    <row r="139" spans="1:9" x14ac:dyDescent="0.15">
      <c r="A139">
        <v>1156769</v>
      </c>
      <c r="B139" t="s">
        <v>37</v>
      </c>
      <c r="C139" t="s">
        <v>19</v>
      </c>
      <c r="D139">
        <v>39153</v>
      </c>
      <c r="E139">
        <v>88000</v>
      </c>
      <c r="F139">
        <v>88000</v>
      </c>
      <c r="G139" t="s">
        <v>15</v>
      </c>
      <c r="H139">
        <v>739.96</v>
      </c>
      <c r="I139">
        <v>87354.15</v>
      </c>
    </row>
    <row r="140" spans="1:9" x14ac:dyDescent="0.15">
      <c r="A140">
        <v>1156827</v>
      </c>
      <c r="B140" t="s">
        <v>37</v>
      </c>
      <c r="C140" t="s">
        <v>18</v>
      </c>
      <c r="D140">
        <v>39160</v>
      </c>
      <c r="E140">
        <v>138000</v>
      </c>
      <c r="F140">
        <v>106400</v>
      </c>
      <c r="G140" t="s">
        <v>17</v>
      </c>
      <c r="H140">
        <v>779.99</v>
      </c>
      <c r="I140">
        <v>105343.43</v>
      </c>
    </row>
    <row r="141" spans="1:9" x14ac:dyDescent="0.15">
      <c r="A141">
        <v>1156935</v>
      </c>
      <c r="B141" t="s">
        <v>37</v>
      </c>
      <c r="C141" t="s">
        <v>19</v>
      </c>
      <c r="D141">
        <v>39150</v>
      </c>
      <c r="E141">
        <v>64500</v>
      </c>
      <c r="F141">
        <v>52700</v>
      </c>
      <c r="G141" t="s">
        <v>15</v>
      </c>
      <c r="H141">
        <v>405.22</v>
      </c>
      <c r="I141">
        <v>52231.83</v>
      </c>
    </row>
    <row r="142" spans="1:9" x14ac:dyDescent="0.15">
      <c r="A142">
        <v>1157165</v>
      </c>
      <c r="B142" t="s">
        <v>35</v>
      </c>
      <c r="C142" t="s">
        <v>16</v>
      </c>
      <c r="D142">
        <v>39140</v>
      </c>
      <c r="E142">
        <v>136000</v>
      </c>
      <c r="F142">
        <v>129200</v>
      </c>
      <c r="G142" t="s">
        <v>17</v>
      </c>
      <c r="H142">
        <v>1132.8699999999999</v>
      </c>
      <c r="I142">
        <v>128022.66</v>
      </c>
    </row>
    <row r="143" spans="1:9" x14ac:dyDescent="0.15">
      <c r="A143">
        <v>1157399</v>
      </c>
      <c r="B143" t="s">
        <v>35</v>
      </c>
      <c r="C143" t="s">
        <v>16</v>
      </c>
      <c r="D143">
        <v>39146</v>
      </c>
      <c r="E143">
        <v>78000</v>
      </c>
      <c r="F143">
        <v>70200</v>
      </c>
      <c r="G143" t="s">
        <v>17</v>
      </c>
      <c r="H143">
        <v>610.88</v>
      </c>
      <c r="I143">
        <v>69766.45</v>
      </c>
    </row>
    <row r="144" spans="1:9" x14ac:dyDescent="0.15">
      <c r="A144">
        <v>1157403</v>
      </c>
      <c r="B144" t="s">
        <v>35</v>
      </c>
      <c r="C144" t="s">
        <v>16</v>
      </c>
      <c r="D144">
        <v>39154</v>
      </c>
      <c r="E144">
        <v>150000</v>
      </c>
      <c r="F144">
        <v>92000</v>
      </c>
      <c r="G144" t="s">
        <v>17</v>
      </c>
      <c r="H144">
        <v>611.47</v>
      </c>
      <c r="I144">
        <v>90581.59</v>
      </c>
    </row>
    <row r="145" spans="1:9" x14ac:dyDescent="0.15">
      <c r="A145">
        <v>1157476</v>
      </c>
      <c r="B145" t="s">
        <v>36</v>
      </c>
      <c r="C145" t="s">
        <v>18</v>
      </c>
      <c r="D145">
        <v>39150</v>
      </c>
      <c r="E145">
        <v>140000</v>
      </c>
      <c r="F145">
        <v>101500</v>
      </c>
      <c r="G145" t="s">
        <v>17</v>
      </c>
      <c r="H145">
        <v>730.67</v>
      </c>
      <c r="I145">
        <v>100541.23</v>
      </c>
    </row>
    <row r="146" spans="1:9" x14ac:dyDescent="0.15">
      <c r="A146">
        <v>1157488</v>
      </c>
      <c r="B146" t="s">
        <v>36</v>
      </c>
      <c r="C146" t="s">
        <v>19</v>
      </c>
      <c r="D146">
        <v>39150</v>
      </c>
      <c r="E146">
        <v>242000</v>
      </c>
      <c r="F146">
        <v>180000</v>
      </c>
      <c r="G146" t="s">
        <v>17</v>
      </c>
      <c r="H146">
        <v>1172.75</v>
      </c>
      <c r="I146">
        <v>177905.77</v>
      </c>
    </row>
    <row r="147" spans="1:9" x14ac:dyDescent="0.15">
      <c r="A147">
        <v>1157523</v>
      </c>
      <c r="B147" t="s">
        <v>37</v>
      </c>
      <c r="C147" t="s">
        <v>19</v>
      </c>
      <c r="D147">
        <v>39147</v>
      </c>
      <c r="E147">
        <v>63000</v>
      </c>
      <c r="F147">
        <v>50400</v>
      </c>
      <c r="G147" t="s">
        <v>15</v>
      </c>
      <c r="H147">
        <v>442.3</v>
      </c>
      <c r="I147">
        <v>50082.48</v>
      </c>
    </row>
    <row r="148" spans="1:9" x14ac:dyDescent="0.15">
      <c r="A148">
        <v>1157605</v>
      </c>
      <c r="B148" t="s">
        <v>36</v>
      </c>
      <c r="C148" t="s">
        <v>18</v>
      </c>
      <c r="D148">
        <v>39148</v>
      </c>
      <c r="E148">
        <v>256000</v>
      </c>
      <c r="F148">
        <v>179000</v>
      </c>
      <c r="G148" t="s">
        <v>17</v>
      </c>
      <c r="H148">
        <v>1251.5999999999999</v>
      </c>
      <c r="I148">
        <v>176473.98</v>
      </c>
    </row>
    <row r="149" spans="1:9" x14ac:dyDescent="0.15">
      <c r="A149">
        <v>1157637</v>
      </c>
      <c r="B149" t="s">
        <v>37</v>
      </c>
      <c r="C149" t="s">
        <v>19</v>
      </c>
      <c r="D149">
        <v>39153</v>
      </c>
      <c r="E149">
        <v>129000</v>
      </c>
      <c r="F149">
        <v>122550</v>
      </c>
      <c r="G149" t="s">
        <v>15</v>
      </c>
      <c r="H149">
        <v>959.48</v>
      </c>
      <c r="I149">
        <v>122139.77</v>
      </c>
    </row>
    <row r="150" spans="1:9" x14ac:dyDescent="0.15">
      <c r="A150">
        <v>1157651</v>
      </c>
      <c r="B150" t="s">
        <v>36</v>
      </c>
      <c r="C150" t="s">
        <v>19</v>
      </c>
      <c r="D150">
        <v>39154</v>
      </c>
      <c r="E150">
        <v>202000</v>
      </c>
      <c r="F150">
        <v>164400</v>
      </c>
      <c r="G150" t="s">
        <v>17</v>
      </c>
      <c r="H150">
        <v>1200.5899999999999</v>
      </c>
      <c r="I150">
        <v>162880.15</v>
      </c>
    </row>
    <row r="151" spans="1:9" x14ac:dyDescent="0.15">
      <c r="A151">
        <v>1157671</v>
      </c>
      <c r="B151" t="s">
        <v>37</v>
      </c>
      <c r="C151" t="s">
        <v>19</v>
      </c>
      <c r="D151">
        <v>39149</v>
      </c>
      <c r="E151">
        <v>134000</v>
      </c>
      <c r="F151">
        <v>127300</v>
      </c>
      <c r="G151" t="s">
        <v>15</v>
      </c>
      <c r="H151">
        <v>1150.22</v>
      </c>
      <c r="I151">
        <v>126384.35</v>
      </c>
    </row>
    <row r="152" spans="1:9" x14ac:dyDescent="0.15">
      <c r="A152">
        <v>1157712</v>
      </c>
      <c r="B152" t="s">
        <v>38</v>
      </c>
      <c r="C152" t="s">
        <v>18</v>
      </c>
      <c r="D152">
        <v>39160</v>
      </c>
      <c r="E152">
        <v>124000</v>
      </c>
      <c r="F152">
        <v>117800</v>
      </c>
      <c r="G152" t="s">
        <v>17</v>
      </c>
      <c r="H152">
        <v>969.12</v>
      </c>
      <c r="I152">
        <v>117035.18</v>
      </c>
    </row>
    <row r="153" spans="1:9" x14ac:dyDescent="0.15">
      <c r="A153">
        <v>1157861</v>
      </c>
      <c r="B153" t="s">
        <v>35</v>
      </c>
      <c r="C153" t="s">
        <v>16</v>
      </c>
      <c r="D153">
        <v>39141</v>
      </c>
      <c r="E153">
        <v>320000</v>
      </c>
      <c r="F153">
        <v>304000</v>
      </c>
      <c r="G153" t="s">
        <v>15</v>
      </c>
      <c r="H153">
        <v>2443.4299999999998</v>
      </c>
      <c r="I153">
        <v>301250.38</v>
      </c>
    </row>
    <row r="154" spans="1:9" x14ac:dyDescent="0.15">
      <c r="A154">
        <v>1157938</v>
      </c>
      <c r="B154" t="s">
        <v>37</v>
      </c>
      <c r="C154" t="s">
        <v>19</v>
      </c>
      <c r="D154">
        <v>39175</v>
      </c>
      <c r="E154">
        <v>106000</v>
      </c>
      <c r="F154">
        <v>100700</v>
      </c>
      <c r="G154" t="s">
        <v>17</v>
      </c>
      <c r="H154">
        <v>882.98</v>
      </c>
      <c r="I154">
        <v>100169.8</v>
      </c>
    </row>
    <row r="155" spans="1:9" x14ac:dyDescent="0.15">
      <c r="A155">
        <v>1158076</v>
      </c>
      <c r="B155" t="s">
        <v>35</v>
      </c>
      <c r="C155" t="s">
        <v>16</v>
      </c>
      <c r="D155">
        <v>39146</v>
      </c>
      <c r="E155">
        <v>122000</v>
      </c>
      <c r="F155">
        <v>108500</v>
      </c>
      <c r="G155" t="s">
        <v>15</v>
      </c>
      <c r="H155">
        <v>799.92</v>
      </c>
      <c r="I155">
        <v>107524.45</v>
      </c>
    </row>
    <row r="156" spans="1:9" x14ac:dyDescent="0.15">
      <c r="A156">
        <v>1158130</v>
      </c>
      <c r="B156" t="s">
        <v>37</v>
      </c>
      <c r="C156" t="s">
        <v>18</v>
      </c>
      <c r="D156">
        <v>39157</v>
      </c>
      <c r="E156">
        <v>200000</v>
      </c>
      <c r="F156">
        <v>180000</v>
      </c>
      <c r="G156" t="s">
        <v>15</v>
      </c>
      <c r="H156">
        <v>1506.98</v>
      </c>
      <c r="I156">
        <v>178633.64</v>
      </c>
    </row>
    <row r="157" spans="1:9" x14ac:dyDescent="0.15">
      <c r="A157">
        <v>1158222</v>
      </c>
      <c r="B157" t="s">
        <v>36</v>
      </c>
      <c r="C157" t="s">
        <v>18</v>
      </c>
      <c r="D157">
        <v>39148</v>
      </c>
      <c r="E157">
        <v>230000</v>
      </c>
      <c r="F157">
        <v>195500</v>
      </c>
      <c r="G157" t="s">
        <v>17</v>
      </c>
      <c r="H157">
        <v>1165.8499999999999</v>
      </c>
      <c r="I157">
        <v>192658.57</v>
      </c>
    </row>
    <row r="158" spans="1:9" x14ac:dyDescent="0.15">
      <c r="A158">
        <v>1158646</v>
      </c>
      <c r="B158" t="s">
        <v>36</v>
      </c>
      <c r="C158" t="s">
        <v>19</v>
      </c>
      <c r="D158">
        <v>39150</v>
      </c>
      <c r="E158">
        <v>182000</v>
      </c>
      <c r="F158">
        <v>161000</v>
      </c>
      <c r="G158" t="s">
        <v>15</v>
      </c>
      <c r="H158">
        <v>1347.91</v>
      </c>
      <c r="I158">
        <v>159908.93</v>
      </c>
    </row>
    <row r="159" spans="1:9" x14ac:dyDescent="0.15">
      <c r="A159">
        <v>1158783</v>
      </c>
      <c r="B159" t="s">
        <v>35</v>
      </c>
      <c r="C159" t="s">
        <v>16</v>
      </c>
      <c r="D159">
        <v>39168</v>
      </c>
      <c r="E159">
        <v>155000</v>
      </c>
      <c r="F159">
        <v>139500</v>
      </c>
      <c r="G159" t="s">
        <v>15</v>
      </c>
      <c r="H159">
        <v>1208.78</v>
      </c>
      <c r="I159">
        <v>138625.38</v>
      </c>
    </row>
    <row r="160" spans="1:9" x14ac:dyDescent="0.15">
      <c r="A160">
        <v>1158904</v>
      </c>
      <c r="B160" t="s">
        <v>36</v>
      </c>
      <c r="C160" t="s">
        <v>19</v>
      </c>
      <c r="D160">
        <v>39153</v>
      </c>
      <c r="E160">
        <v>123000</v>
      </c>
      <c r="F160">
        <v>110700</v>
      </c>
      <c r="G160" t="s">
        <v>15</v>
      </c>
      <c r="H160">
        <v>857.48</v>
      </c>
      <c r="I160">
        <v>110531.94</v>
      </c>
    </row>
    <row r="161" spans="1:9" x14ac:dyDescent="0.15">
      <c r="A161">
        <v>1159188</v>
      </c>
      <c r="B161" t="s">
        <v>36</v>
      </c>
      <c r="C161" t="s">
        <v>19</v>
      </c>
      <c r="D161">
        <v>39155</v>
      </c>
      <c r="E161">
        <v>264000</v>
      </c>
      <c r="F161">
        <v>236000</v>
      </c>
      <c r="G161" t="s">
        <v>17</v>
      </c>
      <c r="H161">
        <v>1823.01</v>
      </c>
      <c r="I161">
        <v>233703.01</v>
      </c>
    </row>
    <row r="162" spans="1:9" x14ac:dyDescent="0.15">
      <c r="A162">
        <v>1159373</v>
      </c>
      <c r="B162" t="s">
        <v>38</v>
      </c>
      <c r="C162" t="s">
        <v>19</v>
      </c>
      <c r="D162">
        <v>39155</v>
      </c>
      <c r="E162">
        <v>118000</v>
      </c>
      <c r="F162">
        <v>100300</v>
      </c>
      <c r="G162" t="s">
        <v>17</v>
      </c>
      <c r="H162">
        <v>684.23</v>
      </c>
      <c r="I162">
        <v>98195.39</v>
      </c>
    </row>
    <row r="163" spans="1:9" x14ac:dyDescent="0.15">
      <c r="A163">
        <v>1159476</v>
      </c>
      <c r="B163" t="s">
        <v>35</v>
      </c>
      <c r="C163" t="s">
        <v>16</v>
      </c>
      <c r="D163">
        <v>39146</v>
      </c>
      <c r="E163">
        <v>215000</v>
      </c>
      <c r="F163">
        <v>155000</v>
      </c>
      <c r="G163" t="s">
        <v>17</v>
      </c>
      <c r="H163">
        <v>1059.48</v>
      </c>
      <c r="I163">
        <v>153093.82</v>
      </c>
    </row>
    <row r="164" spans="1:9" x14ac:dyDescent="0.15">
      <c r="A164">
        <v>1159608</v>
      </c>
      <c r="B164" t="s">
        <v>36</v>
      </c>
      <c r="C164" t="s">
        <v>18</v>
      </c>
      <c r="D164">
        <v>39146</v>
      </c>
      <c r="E164">
        <v>150000</v>
      </c>
      <c r="F164">
        <v>119000</v>
      </c>
      <c r="G164" t="s">
        <v>15</v>
      </c>
      <c r="H164">
        <v>893.19</v>
      </c>
      <c r="I164">
        <v>118855.81</v>
      </c>
    </row>
    <row r="165" spans="1:9" x14ac:dyDescent="0.15">
      <c r="A165">
        <v>1159624</v>
      </c>
      <c r="B165" t="s">
        <v>37</v>
      </c>
      <c r="C165" t="s">
        <v>18</v>
      </c>
      <c r="D165">
        <v>39169</v>
      </c>
      <c r="E165">
        <v>170000</v>
      </c>
      <c r="F165">
        <v>152500</v>
      </c>
      <c r="G165" t="s">
        <v>17</v>
      </c>
      <c r="H165">
        <v>1164.5999999999999</v>
      </c>
      <c r="I165">
        <v>152043.78</v>
      </c>
    </row>
    <row r="166" spans="1:9" x14ac:dyDescent="0.15">
      <c r="A166">
        <v>1159968</v>
      </c>
      <c r="B166" t="s">
        <v>36</v>
      </c>
      <c r="C166" t="s">
        <v>19</v>
      </c>
      <c r="D166">
        <v>39160</v>
      </c>
      <c r="E166">
        <v>180000</v>
      </c>
      <c r="F166">
        <v>135000</v>
      </c>
      <c r="G166" t="s">
        <v>17</v>
      </c>
      <c r="H166">
        <v>1204.73</v>
      </c>
      <c r="I166">
        <v>134216.87</v>
      </c>
    </row>
    <row r="167" spans="1:9" x14ac:dyDescent="0.15">
      <c r="A167">
        <v>1160064</v>
      </c>
      <c r="B167" t="s">
        <v>35</v>
      </c>
      <c r="C167" t="s">
        <v>16</v>
      </c>
      <c r="D167">
        <v>39153</v>
      </c>
      <c r="E167">
        <v>198000</v>
      </c>
      <c r="F167">
        <v>158400</v>
      </c>
      <c r="G167" t="s">
        <v>15</v>
      </c>
      <c r="H167">
        <v>1201.58</v>
      </c>
      <c r="I167">
        <v>158244.9</v>
      </c>
    </row>
    <row r="168" spans="1:9" x14ac:dyDescent="0.15">
      <c r="A168">
        <v>1160168</v>
      </c>
      <c r="B168" t="s">
        <v>36</v>
      </c>
      <c r="C168" t="s">
        <v>18</v>
      </c>
      <c r="D168">
        <v>39154</v>
      </c>
      <c r="E168">
        <v>161000</v>
      </c>
      <c r="F168">
        <v>136850</v>
      </c>
      <c r="G168" t="s">
        <v>15</v>
      </c>
      <c r="H168">
        <v>951.13</v>
      </c>
      <c r="I168">
        <v>136577.68</v>
      </c>
    </row>
    <row r="169" spans="1:9" x14ac:dyDescent="0.15">
      <c r="A169">
        <v>1160432</v>
      </c>
      <c r="B169" t="s">
        <v>37</v>
      </c>
      <c r="C169" t="s">
        <v>19</v>
      </c>
      <c r="D169">
        <v>39150</v>
      </c>
      <c r="E169">
        <v>78000</v>
      </c>
      <c r="F169">
        <v>76500</v>
      </c>
      <c r="G169" t="s">
        <v>15</v>
      </c>
      <c r="H169">
        <v>569.35</v>
      </c>
      <c r="I169">
        <v>75771.350000000006</v>
      </c>
    </row>
    <row r="170" spans="1:9" x14ac:dyDescent="0.15">
      <c r="A170">
        <v>1160600</v>
      </c>
      <c r="B170" t="s">
        <v>38</v>
      </c>
      <c r="C170" t="s">
        <v>19</v>
      </c>
      <c r="D170">
        <v>39160</v>
      </c>
      <c r="E170">
        <v>209500</v>
      </c>
      <c r="F170">
        <v>199025</v>
      </c>
      <c r="G170" t="s">
        <v>15</v>
      </c>
      <c r="H170">
        <v>1724.57</v>
      </c>
      <c r="I170">
        <v>197783.21</v>
      </c>
    </row>
    <row r="171" spans="1:9" x14ac:dyDescent="0.15">
      <c r="A171">
        <v>1161172</v>
      </c>
      <c r="B171" t="s">
        <v>37</v>
      </c>
      <c r="C171" t="s">
        <v>18</v>
      </c>
      <c r="D171">
        <v>39171</v>
      </c>
      <c r="E171">
        <v>248000</v>
      </c>
      <c r="F171">
        <v>235600</v>
      </c>
      <c r="G171" t="s">
        <v>15</v>
      </c>
      <c r="H171">
        <v>1861.89</v>
      </c>
      <c r="I171">
        <v>233777.11</v>
      </c>
    </row>
    <row r="172" spans="1:9" x14ac:dyDescent="0.15">
      <c r="A172">
        <v>1161396</v>
      </c>
      <c r="B172" t="s">
        <v>37</v>
      </c>
      <c r="C172" t="s">
        <v>18</v>
      </c>
      <c r="D172">
        <v>39150</v>
      </c>
      <c r="E172">
        <v>138500</v>
      </c>
      <c r="F172">
        <v>110800</v>
      </c>
      <c r="G172" t="s">
        <v>15</v>
      </c>
      <c r="H172">
        <v>770.94</v>
      </c>
      <c r="I172">
        <v>109679.12</v>
      </c>
    </row>
    <row r="173" spans="1:9" x14ac:dyDescent="0.15">
      <c r="A173">
        <v>1161403</v>
      </c>
      <c r="B173" t="s">
        <v>38</v>
      </c>
      <c r="C173" t="s">
        <v>19</v>
      </c>
      <c r="D173">
        <v>39162</v>
      </c>
      <c r="E173">
        <v>131000</v>
      </c>
      <c r="F173">
        <v>117500</v>
      </c>
      <c r="G173" t="s">
        <v>17</v>
      </c>
      <c r="H173">
        <v>882.74</v>
      </c>
      <c r="I173">
        <v>116402.83</v>
      </c>
    </row>
    <row r="174" spans="1:9" x14ac:dyDescent="0.15">
      <c r="A174">
        <v>1161416</v>
      </c>
      <c r="B174" t="s">
        <v>35</v>
      </c>
      <c r="C174" t="s">
        <v>16</v>
      </c>
      <c r="D174">
        <v>39157</v>
      </c>
      <c r="E174">
        <v>145000</v>
      </c>
      <c r="F174">
        <v>136800</v>
      </c>
      <c r="G174" t="s">
        <v>15</v>
      </c>
      <c r="H174">
        <v>1210.6400000000001</v>
      </c>
      <c r="I174">
        <v>136054.9</v>
      </c>
    </row>
    <row r="175" spans="1:9" x14ac:dyDescent="0.15">
      <c r="A175">
        <v>1161428</v>
      </c>
      <c r="B175" t="s">
        <v>37</v>
      </c>
      <c r="C175" t="s">
        <v>18</v>
      </c>
      <c r="D175">
        <v>39153</v>
      </c>
      <c r="E175">
        <v>118000</v>
      </c>
      <c r="F175">
        <v>106200</v>
      </c>
      <c r="G175" t="s">
        <v>17</v>
      </c>
      <c r="H175">
        <v>777.41</v>
      </c>
      <c r="I175">
        <v>105230.85</v>
      </c>
    </row>
    <row r="176" spans="1:9" x14ac:dyDescent="0.15">
      <c r="A176">
        <v>1161849</v>
      </c>
      <c r="B176" t="s">
        <v>38</v>
      </c>
      <c r="C176" t="s">
        <v>19</v>
      </c>
      <c r="D176">
        <v>39161</v>
      </c>
      <c r="E176">
        <v>135000</v>
      </c>
      <c r="F176">
        <v>114750</v>
      </c>
      <c r="G176" t="s">
        <v>17</v>
      </c>
      <c r="H176">
        <v>964.05</v>
      </c>
      <c r="I176">
        <v>114040.84</v>
      </c>
    </row>
    <row r="177" spans="1:9" x14ac:dyDescent="0.15">
      <c r="A177">
        <v>1161876</v>
      </c>
      <c r="B177" t="s">
        <v>37</v>
      </c>
      <c r="C177" t="s">
        <v>19</v>
      </c>
      <c r="D177">
        <v>39150</v>
      </c>
      <c r="E177">
        <v>120000</v>
      </c>
      <c r="F177">
        <v>95600</v>
      </c>
      <c r="G177" t="s">
        <v>15</v>
      </c>
      <c r="H177">
        <v>652.16999999999996</v>
      </c>
      <c r="I177">
        <v>94594.41</v>
      </c>
    </row>
    <row r="178" spans="1:9" x14ac:dyDescent="0.15">
      <c r="A178">
        <v>1162059</v>
      </c>
      <c r="B178" t="s">
        <v>36</v>
      </c>
      <c r="C178" t="s">
        <v>19</v>
      </c>
      <c r="D178">
        <v>39160</v>
      </c>
      <c r="E178">
        <v>244300</v>
      </c>
      <c r="F178">
        <v>169800</v>
      </c>
      <c r="G178" t="s">
        <v>15</v>
      </c>
      <c r="H178">
        <v>1234.1199999999999</v>
      </c>
      <c r="I178">
        <v>168100.68</v>
      </c>
    </row>
    <row r="179" spans="1:9" x14ac:dyDescent="0.15">
      <c r="A179">
        <v>1162089</v>
      </c>
      <c r="B179" t="s">
        <v>37</v>
      </c>
      <c r="C179" t="s">
        <v>18</v>
      </c>
      <c r="D179">
        <v>39167</v>
      </c>
      <c r="E179">
        <v>117000</v>
      </c>
      <c r="F179">
        <v>93600</v>
      </c>
      <c r="G179" t="s">
        <v>17</v>
      </c>
      <c r="H179">
        <v>629.03</v>
      </c>
      <c r="I179">
        <v>92191.82</v>
      </c>
    </row>
    <row r="180" spans="1:9" x14ac:dyDescent="0.15">
      <c r="A180">
        <v>1162097</v>
      </c>
      <c r="B180" t="s">
        <v>36</v>
      </c>
      <c r="C180" t="s">
        <v>19</v>
      </c>
      <c r="D180">
        <v>39157</v>
      </c>
      <c r="E180">
        <v>249900</v>
      </c>
      <c r="F180">
        <v>237400</v>
      </c>
      <c r="G180" t="s">
        <v>15</v>
      </c>
      <c r="H180">
        <v>1908.47</v>
      </c>
      <c r="I180">
        <v>235614.87</v>
      </c>
    </row>
    <row r="181" spans="1:9" x14ac:dyDescent="0.15">
      <c r="A181">
        <v>1162316</v>
      </c>
      <c r="B181" t="s">
        <v>38</v>
      </c>
      <c r="C181" t="s">
        <v>18</v>
      </c>
      <c r="D181">
        <v>39157</v>
      </c>
      <c r="E181">
        <v>177000</v>
      </c>
      <c r="F181">
        <v>159300</v>
      </c>
      <c r="G181" t="s">
        <v>17</v>
      </c>
      <c r="H181">
        <v>1163.3399999999999</v>
      </c>
      <c r="I181">
        <v>157839.12</v>
      </c>
    </row>
    <row r="182" spans="1:9" x14ac:dyDescent="0.15">
      <c r="A182">
        <v>1162482</v>
      </c>
      <c r="B182" t="s">
        <v>35</v>
      </c>
      <c r="C182" t="s">
        <v>16</v>
      </c>
      <c r="D182">
        <v>39175</v>
      </c>
      <c r="E182">
        <v>175000</v>
      </c>
      <c r="F182">
        <v>127000</v>
      </c>
      <c r="G182" t="s">
        <v>17</v>
      </c>
      <c r="H182">
        <v>798.56</v>
      </c>
      <c r="I182">
        <v>125443.28</v>
      </c>
    </row>
    <row r="183" spans="1:9" x14ac:dyDescent="0.15">
      <c r="A183">
        <v>1162932</v>
      </c>
      <c r="B183" t="s">
        <v>35</v>
      </c>
      <c r="C183" t="s">
        <v>16</v>
      </c>
      <c r="D183">
        <v>39160</v>
      </c>
      <c r="E183">
        <v>102000</v>
      </c>
      <c r="F183">
        <v>71000</v>
      </c>
      <c r="G183" t="s">
        <v>17</v>
      </c>
      <c r="H183">
        <v>612.61</v>
      </c>
      <c r="I183">
        <v>70624.36</v>
      </c>
    </row>
    <row r="184" spans="1:9" x14ac:dyDescent="0.15">
      <c r="A184">
        <v>1162967</v>
      </c>
      <c r="B184" t="s">
        <v>37</v>
      </c>
      <c r="C184" t="s">
        <v>18</v>
      </c>
      <c r="D184">
        <v>39195</v>
      </c>
      <c r="E184">
        <v>110000</v>
      </c>
      <c r="F184">
        <v>93500</v>
      </c>
      <c r="G184" t="s">
        <v>17</v>
      </c>
      <c r="H184">
        <v>762.44</v>
      </c>
      <c r="I184">
        <v>92826.18</v>
      </c>
    </row>
    <row r="185" spans="1:9" x14ac:dyDescent="0.15">
      <c r="A185">
        <v>1163080</v>
      </c>
      <c r="B185" t="s">
        <v>36</v>
      </c>
      <c r="C185" t="s">
        <v>18</v>
      </c>
      <c r="D185">
        <v>39161</v>
      </c>
      <c r="E185">
        <v>85000</v>
      </c>
      <c r="F185">
        <v>71750</v>
      </c>
      <c r="G185" t="s">
        <v>15</v>
      </c>
      <c r="H185">
        <v>532.82000000000005</v>
      </c>
      <c r="I185">
        <v>71666.87</v>
      </c>
    </row>
    <row r="186" spans="1:9" x14ac:dyDescent="0.15">
      <c r="A186">
        <v>1163431</v>
      </c>
      <c r="B186" t="s">
        <v>35</v>
      </c>
      <c r="C186" t="s">
        <v>16</v>
      </c>
      <c r="D186">
        <v>39171</v>
      </c>
      <c r="E186">
        <v>100000</v>
      </c>
      <c r="F186">
        <v>90000</v>
      </c>
      <c r="G186" t="s">
        <v>15</v>
      </c>
      <c r="H186">
        <v>692.03</v>
      </c>
      <c r="I186">
        <v>89187.26</v>
      </c>
    </row>
    <row r="187" spans="1:9" x14ac:dyDescent="0.15">
      <c r="A187">
        <v>1163476</v>
      </c>
      <c r="B187" t="s">
        <v>36</v>
      </c>
      <c r="C187" t="s">
        <v>19</v>
      </c>
      <c r="D187">
        <v>39167</v>
      </c>
      <c r="E187">
        <v>189000</v>
      </c>
      <c r="F187">
        <v>150200</v>
      </c>
      <c r="G187" t="s">
        <v>17</v>
      </c>
      <c r="H187">
        <v>1004.34</v>
      </c>
      <c r="I187">
        <v>147298.38</v>
      </c>
    </row>
    <row r="188" spans="1:9" x14ac:dyDescent="0.15">
      <c r="A188">
        <v>1163609</v>
      </c>
      <c r="B188" t="s">
        <v>36</v>
      </c>
      <c r="C188" t="s">
        <v>19</v>
      </c>
      <c r="D188">
        <v>39153</v>
      </c>
      <c r="E188">
        <v>185000</v>
      </c>
      <c r="F188">
        <v>160000</v>
      </c>
      <c r="G188" t="s">
        <v>17</v>
      </c>
      <c r="H188">
        <v>1063.4100000000001</v>
      </c>
      <c r="I188">
        <v>158230.66</v>
      </c>
    </row>
    <row r="189" spans="1:9" x14ac:dyDescent="0.15">
      <c r="A189">
        <v>1164590</v>
      </c>
      <c r="B189" t="s">
        <v>36</v>
      </c>
      <c r="C189" t="s">
        <v>19</v>
      </c>
      <c r="D189">
        <v>39174</v>
      </c>
      <c r="E189">
        <v>185000</v>
      </c>
      <c r="F189">
        <v>105000</v>
      </c>
      <c r="G189" t="s">
        <v>17</v>
      </c>
      <c r="H189">
        <v>818.55</v>
      </c>
      <c r="I189">
        <v>104229.83</v>
      </c>
    </row>
    <row r="190" spans="1:9" x14ac:dyDescent="0.15">
      <c r="A190">
        <v>1164646</v>
      </c>
      <c r="B190" t="s">
        <v>37</v>
      </c>
      <c r="C190" t="s">
        <v>19</v>
      </c>
      <c r="D190">
        <v>39175</v>
      </c>
      <c r="E190">
        <v>150000</v>
      </c>
      <c r="F190">
        <v>86000</v>
      </c>
      <c r="G190" t="s">
        <v>17</v>
      </c>
      <c r="H190">
        <v>707.51</v>
      </c>
      <c r="I190">
        <v>85392.71</v>
      </c>
    </row>
    <row r="191" spans="1:9" x14ac:dyDescent="0.15">
      <c r="A191">
        <v>1164707</v>
      </c>
      <c r="B191" t="s">
        <v>36</v>
      </c>
      <c r="C191" t="s">
        <v>19</v>
      </c>
      <c r="D191">
        <v>39160</v>
      </c>
      <c r="E191">
        <v>182000</v>
      </c>
      <c r="F191">
        <v>154700</v>
      </c>
      <c r="G191" t="s">
        <v>17</v>
      </c>
      <c r="H191">
        <v>1038.71</v>
      </c>
      <c r="I191">
        <v>154403.47</v>
      </c>
    </row>
    <row r="192" spans="1:9" x14ac:dyDescent="0.15">
      <c r="A192">
        <v>1164738</v>
      </c>
      <c r="B192" t="s">
        <v>36</v>
      </c>
      <c r="C192" t="s">
        <v>19</v>
      </c>
      <c r="D192">
        <v>39154</v>
      </c>
      <c r="E192">
        <v>208000</v>
      </c>
      <c r="F192">
        <v>187200</v>
      </c>
      <c r="G192" t="s">
        <v>17</v>
      </c>
      <c r="H192">
        <v>1164.83</v>
      </c>
      <c r="I192">
        <v>184861.62</v>
      </c>
    </row>
    <row r="193" spans="1:9" x14ac:dyDescent="0.15">
      <c r="A193">
        <v>1164742</v>
      </c>
      <c r="B193" t="s">
        <v>36</v>
      </c>
      <c r="C193" t="s">
        <v>19</v>
      </c>
      <c r="D193">
        <v>39155</v>
      </c>
      <c r="E193">
        <v>135000</v>
      </c>
      <c r="F193">
        <v>70000</v>
      </c>
      <c r="G193" t="s">
        <v>15</v>
      </c>
      <c r="H193">
        <v>575.88</v>
      </c>
      <c r="I193">
        <v>69545.48</v>
      </c>
    </row>
    <row r="194" spans="1:9" x14ac:dyDescent="0.15">
      <c r="A194">
        <v>1164764</v>
      </c>
      <c r="B194" t="s">
        <v>36</v>
      </c>
      <c r="C194" t="s">
        <v>19</v>
      </c>
      <c r="D194">
        <v>39154</v>
      </c>
      <c r="E194">
        <v>161000</v>
      </c>
      <c r="F194">
        <v>143000</v>
      </c>
      <c r="G194" t="s">
        <v>15</v>
      </c>
      <c r="H194">
        <v>975.52</v>
      </c>
      <c r="I194">
        <v>141495.15</v>
      </c>
    </row>
    <row r="195" spans="1:9" x14ac:dyDescent="0.15">
      <c r="A195">
        <v>1164777</v>
      </c>
      <c r="B195" t="s">
        <v>36</v>
      </c>
      <c r="C195" t="s">
        <v>19</v>
      </c>
      <c r="D195">
        <v>39174</v>
      </c>
      <c r="E195">
        <v>185000</v>
      </c>
      <c r="F195">
        <v>175750</v>
      </c>
      <c r="G195" t="s">
        <v>15</v>
      </c>
      <c r="H195">
        <v>1220.7</v>
      </c>
      <c r="I195">
        <v>175121.34</v>
      </c>
    </row>
    <row r="196" spans="1:9" x14ac:dyDescent="0.15">
      <c r="A196">
        <v>1164818</v>
      </c>
      <c r="B196" t="s">
        <v>36</v>
      </c>
      <c r="C196" t="s">
        <v>19</v>
      </c>
      <c r="D196">
        <v>39167</v>
      </c>
      <c r="E196">
        <v>154500</v>
      </c>
      <c r="F196">
        <v>146775</v>
      </c>
      <c r="G196" t="s">
        <v>15</v>
      </c>
      <c r="H196">
        <v>1119.27</v>
      </c>
      <c r="I196">
        <v>145254.44</v>
      </c>
    </row>
    <row r="197" spans="1:9" x14ac:dyDescent="0.15">
      <c r="A197">
        <v>1164831</v>
      </c>
      <c r="B197" t="s">
        <v>36</v>
      </c>
      <c r="C197" t="s">
        <v>19</v>
      </c>
      <c r="D197">
        <v>39202</v>
      </c>
      <c r="E197">
        <v>452000</v>
      </c>
      <c r="F197">
        <v>229500</v>
      </c>
      <c r="G197" t="s">
        <v>15</v>
      </c>
      <c r="H197">
        <v>1292.3</v>
      </c>
      <c r="I197">
        <v>226365.6</v>
      </c>
    </row>
    <row r="198" spans="1:9" x14ac:dyDescent="0.15">
      <c r="A198">
        <v>1164981</v>
      </c>
      <c r="B198" t="s">
        <v>36</v>
      </c>
      <c r="C198" t="s">
        <v>18</v>
      </c>
      <c r="D198">
        <v>39176</v>
      </c>
      <c r="E198">
        <v>200000</v>
      </c>
      <c r="F198">
        <v>160000</v>
      </c>
      <c r="G198" t="s">
        <v>17</v>
      </c>
      <c r="H198">
        <v>1107.81</v>
      </c>
      <c r="I198">
        <v>158428.59</v>
      </c>
    </row>
    <row r="199" spans="1:9" x14ac:dyDescent="0.15">
      <c r="A199">
        <v>1165167</v>
      </c>
      <c r="B199" t="s">
        <v>38</v>
      </c>
      <c r="C199" t="s">
        <v>19</v>
      </c>
      <c r="D199">
        <v>39171</v>
      </c>
      <c r="E199">
        <v>116500</v>
      </c>
      <c r="F199">
        <v>104850</v>
      </c>
      <c r="G199" t="s">
        <v>17</v>
      </c>
      <c r="H199">
        <v>879.73</v>
      </c>
      <c r="I199">
        <v>104143.05</v>
      </c>
    </row>
    <row r="200" spans="1:9" x14ac:dyDescent="0.15">
      <c r="A200">
        <v>1165180</v>
      </c>
      <c r="B200" t="s">
        <v>36</v>
      </c>
      <c r="C200" t="s">
        <v>19</v>
      </c>
      <c r="D200">
        <v>39160</v>
      </c>
      <c r="E200">
        <v>150000</v>
      </c>
      <c r="F200">
        <v>105000</v>
      </c>
      <c r="G200" t="s">
        <v>17</v>
      </c>
      <c r="H200">
        <v>588.75</v>
      </c>
      <c r="I200">
        <v>104256.94</v>
      </c>
    </row>
    <row r="201" spans="1:9" x14ac:dyDescent="0.15">
      <c r="A201">
        <v>1165342</v>
      </c>
      <c r="B201" t="s">
        <v>38</v>
      </c>
      <c r="C201" t="s">
        <v>19</v>
      </c>
      <c r="D201">
        <v>39161</v>
      </c>
      <c r="E201">
        <v>120000</v>
      </c>
      <c r="F201">
        <v>90000</v>
      </c>
      <c r="G201" t="s">
        <v>17</v>
      </c>
      <c r="H201">
        <v>679.12</v>
      </c>
      <c r="I201">
        <v>89458.39</v>
      </c>
    </row>
    <row r="202" spans="1:9" x14ac:dyDescent="0.15">
      <c r="A202">
        <v>1165722</v>
      </c>
      <c r="B202" t="s">
        <v>36</v>
      </c>
      <c r="C202" t="s">
        <v>18</v>
      </c>
      <c r="D202">
        <v>39160</v>
      </c>
      <c r="E202">
        <v>220000</v>
      </c>
      <c r="F202">
        <v>165000</v>
      </c>
      <c r="G202" t="s">
        <v>15</v>
      </c>
      <c r="H202">
        <v>1315.78</v>
      </c>
      <c r="I202">
        <v>163748.91</v>
      </c>
    </row>
    <row r="203" spans="1:9" x14ac:dyDescent="0.15">
      <c r="A203">
        <v>1165798</v>
      </c>
      <c r="B203" t="s">
        <v>37</v>
      </c>
      <c r="C203" t="s">
        <v>19</v>
      </c>
      <c r="D203">
        <v>39157</v>
      </c>
      <c r="E203">
        <v>206000</v>
      </c>
      <c r="F203">
        <v>175100</v>
      </c>
      <c r="G203" t="s">
        <v>15</v>
      </c>
      <c r="H203">
        <v>1377.52</v>
      </c>
      <c r="I203">
        <v>173620.66</v>
      </c>
    </row>
    <row r="204" spans="1:9" x14ac:dyDescent="0.15">
      <c r="A204">
        <v>1165828</v>
      </c>
      <c r="B204" t="s">
        <v>35</v>
      </c>
      <c r="C204" t="s">
        <v>16</v>
      </c>
      <c r="D204">
        <v>39176</v>
      </c>
      <c r="E204">
        <v>103000</v>
      </c>
      <c r="F204">
        <v>92700</v>
      </c>
      <c r="G204" t="s">
        <v>17</v>
      </c>
      <c r="H204">
        <v>794.45</v>
      </c>
      <c r="I204">
        <v>92536.78</v>
      </c>
    </row>
    <row r="205" spans="1:9" x14ac:dyDescent="0.15">
      <c r="A205">
        <v>1165829</v>
      </c>
      <c r="B205" t="s">
        <v>35</v>
      </c>
      <c r="C205" t="s">
        <v>16</v>
      </c>
      <c r="D205">
        <v>39174</v>
      </c>
      <c r="E205">
        <v>142000</v>
      </c>
      <c r="F205">
        <v>115000</v>
      </c>
      <c r="G205" t="s">
        <v>17</v>
      </c>
      <c r="H205">
        <v>742.07</v>
      </c>
      <c r="I205">
        <v>113645.68</v>
      </c>
    </row>
    <row r="206" spans="1:9" x14ac:dyDescent="0.15">
      <c r="A206">
        <v>1166170</v>
      </c>
      <c r="B206" t="s">
        <v>36</v>
      </c>
      <c r="C206" t="s">
        <v>18</v>
      </c>
      <c r="D206">
        <v>39162</v>
      </c>
      <c r="E206">
        <v>154000</v>
      </c>
      <c r="F206">
        <v>113600</v>
      </c>
      <c r="G206" t="s">
        <v>20</v>
      </c>
      <c r="H206">
        <v>825.51</v>
      </c>
      <c r="I206">
        <v>113445.57</v>
      </c>
    </row>
    <row r="207" spans="1:9" x14ac:dyDescent="0.15">
      <c r="A207">
        <v>1166191</v>
      </c>
      <c r="B207" t="s">
        <v>35</v>
      </c>
      <c r="C207" t="s">
        <v>16</v>
      </c>
      <c r="D207">
        <v>39150</v>
      </c>
      <c r="E207">
        <v>144000</v>
      </c>
      <c r="F207">
        <v>111200</v>
      </c>
      <c r="G207" t="s">
        <v>15</v>
      </c>
      <c r="H207">
        <v>796.66</v>
      </c>
      <c r="I207">
        <v>110053.7</v>
      </c>
    </row>
    <row r="208" spans="1:9" x14ac:dyDescent="0.15">
      <c r="A208">
        <v>1166355</v>
      </c>
      <c r="B208" t="s">
        <v>36</v>
      </c>
      <c r="C208" t="s">
        <v>19</v>
      </c>
      <c r="D208">
        <v>39162</v>
      </c>
      <c r="E208">
        <v>170000</v>
      </c>
      <c r="F208">
        <v>125000</v>
      </c>
      <c r="G208" t="s">
        <v>17</v>
      </c>
      <c r="H208">
        <v>1151.68</v>
      </c>
      <c r="I208">
        <v>119449.05</v>
      </c>
    </row>
    <row r="209" spans="1:9" x14ac:dyDescent="0.15">
      <c r="A209">
        <v>1166432</v>
      </c>
      <c r="B209" t="s">
        <v>35</v>
      </c>
      <c r="C209" t="s">
        <v>16</v>
      </c>
      <c r="D209">
        <v>39174</v>
      </c>
      <c r="E209">
        <v>107000</v>
      </c>
      <c r="F209">
        <v>89880</v>
      </c>
      <c r="G209" t="s">
        <v>17</v>
      </c>
      <c r="H209">
        <v>759.05</v>
      </c>
      <c r="I209">
        <v>89331.35</v>
      </c>
    </row>
    <row r="210" spans="1:9" x14ac:dyDescent="0.15">
      <c r="A210">
        <v>1166667</v>
      </c>
      <c r="B210" t="s">
        <v>35</v>
      </c>
      <c r="C210" t="s">
        <v>16</v>
      </c>
      <c r="D210">
        <v>39169</v>
      </c>
      <c r="E210">
        <v>215000</v>
      </c>
      <c r="F210">
        <v>191610</v>
      </c>
      <c r="G210" t="s">
        <v>15</v>
      </c>
      <c r="H210">
        <v>1438.19</v>
      </c>
      <c r="I210">
        <v>191377.76</v>
      </c>
    </row>
    <row r="211" spans="1:9" x14ac:dyDescent="0.15">
      <c r="A211">
        <v>1166700</v>
      </c>
      <c r="B211" t="s">
        <v>36</v>
      </c>
      <c r="C211" t="s">
        <v>18</v>
      </c>
      <c r="D211">
        <v>39164</v>
      </c>
      <c r="E211">
        <v>165000</v>
      </c>
      <c r="F211">
        <v>123750</v>
      </c>
      <c r="G211" t="s">
        <v>15</v>
      </c>
      <c r="H211">
        <v>819.17</v>
      </c>
      <c r="I211">
        <v>122260.42</v>
      </c>
    </row>
    <row r="212" spans="1:9" x14ac:dyDescent="0.15">
      <c r="A212">
        <v>1167007</v>
      </c>
      <c r="B212" t="s">
        <v>37</v>
      </c>
      <c r="C212" t="s">
        <v>18</v>
      </c>
      <c r="D212">
        <v>39161</v>
      </c>
      <c r="E212">
        <v>166000</v>
      </c>
      <c r="F212">
        <v>125150</v>
      </c>
      <c r="G212" t="s">
        <v>15</v>
      </c>
      <c r="H212">
        <v>1002.49</v>
      </c>
      <c r="I212">
        <v>124210.67</v>
      </c>
    </row>
    <row r="213" spans="1:9" x14ac:dyDescent="0.15">
      <c r="A213">
        <v>1167342</v>
      </c>
      <c r="B213" t="s">
        <v>36</v>
      </c>
      <c r="C213" t="s">
        <v>19</v>
      </c>
      <c r="D213">
        <v>39188</v>
      </c>
      <c r="E213">
        <v>120000</v>
      </c>
      <c r="F213">
        <v>108000</v>
      </c>
      <c r="G213" t="s">
        <v>15</v>
      </c>
      <c r="H213">
        <v>788.71</v>
      </c>
      <c r="I213">
        <v>107088.75</v>
      </c>
    </row>
    <row r="214" spans="1:9" x14ac:dyDescent="0.15">
      <c r="A214">
        <v>1167376</v>
      </c>
      <c r="B214" t="s">
        <v>36</v>
      </c>
      <c r="C214" t="s">
        <v>18</v>
      </c>
      <c r="D214">
        <v>39169</v>
      </c>
      <c r="E214">
        <v>430000</v>
      </c>
      <c r="F214">
        <v>355000</v>
      </c>
      <c r="G214" t="s">
        <v>15</v>
      </c>
      <c r="H214">
        <v>1782.4</v>
      </c>
      <c r="I214">
        <v>354987.64</v>
      </c>
    </row>
    <row r="215" spans="1:9" x14ac:dyDescent="0.15">
      <c r="A215">
        <v>1167399</v>
      </c>
      <c r="B215" t="s">
        <v>37</v>
      </c>
      <c r="C215" t="s">
        <v>18</v>
      </c>
      <c r="D215">
        <v>39160</v>
      </c>
      <c r="E215">
        <v>147000</v>
      </c>
      <c r="F215">
        <v>102900</v>
      </c>
      <c r="G215" t="s">
        <v>17</v>
      </c>
      <c r="H215">
        <v>827.96</v>
      </c>
      <c r="I215">
        <v>102135.46</v>
      </c>
    </row>
    <row r="216" spans="1:9" x14ac:dyDescent="0.15">
      <c r="A216">
        <v>1167454</v>
      </c>
      <c r="B216" t="s">
        <v>36</v>
      </c>
      <c r="C216" t="s">
        <v>19</v>
      </c>
      <c r="D216">
        <v>39170</v>
      </c>
      <c r="E216">
        <v>125000</v>
      </c>
      <c r="F216">
        <v>113950</v>
      </c>
      <c r="G216" t="s">
        <v>17</v>
      </c>
      <c r="H216">
        <v>970.03</v>
      </c>
      <c r="I216">
        <v>113865.13</v>
      </c>
    </row>
    <row r="217" spans="1:9" x14ac:dyDescent="0.15">
      <c r="A217">
        <v>1167463</v>
      </c>
      <c r="B217" t="s">
        <v>37</v>
      </c>
      <c r="C217" t="s">
        <v>19</v>
      </c>
      <c r="D217">
        <v>39160</v>
      </c>
      <c r="E217">
        <v>132000</v>
      </c>
      <c r="F217">
        <v>99000</v>
      </c>
      <c r="G217" t="s">
        <v>15</v>
      </c>
      <c r="H217">
        <v>709.25</v>
      </c>
      <c r="I217">
        <v>98034.22</v>
      </c>
    </row>
    <row r="218" spans="1:9" x14ac:dyDescent="0.15">
      <c r="A218">
        <v>1167653</v>
      </c>
      <c r="B218" t="s">
        <v>37</v>
      </c>
      <c r="C218" t="s">
        <v>18</v>
      </c>
      <c r="D218">
        <v>39169</v>
      </c>
      <c r="E218">
        <v>107500</v>
      </c>
      <c r="F218">
        <v>102125</v>
      </c>
      <c r="G218" t="s">
        <v>17</v>
      </c>
      <c r="H218">
        <v>895.47</v>
      </c>
      <c r="I218">
        <v>101454.63</v>
      </c>
    </row>
    <row r="219" spans="1:9" x14ac:dyDescent="0.15">
      <c r="A219">
        <v>1167685</v>
      </c>
      <c r="B219" t="s">
        <v>36</v>
      </c>
      <c r="C219" t="s">
        <v>19</v>
      </c>
      <c r="D219">
        <v>39167</v>
      </c>
      <c r="E219">
        <v>326000</v>
      </c>
      <c r="F219">
        <v>293400</v>
      </c>
      <c r="G219" t="s">
        <v>15</v>
      </c>
      <c r="H219">
        <v>1676.09</v>
      </c>
      <c r="I219">
        <v>292560.65000000002</v>
      </c>
    </row>
    <row r="220" spans="1:9" x14ac:dyDescent="0.15">
      <c r="A220">
        <v>1167710</v>
      </c>
      <c r="B220" t="s">
        <v>37</v>
      </c>
      <c r="C220" t="s">
        <v>18</v>
      </c>
      <c r="D220">
        <v>39157</v>
      </c>
      <c r="E220">
        <v>260000</v>
      </c>
      <c r="F220">
        <v>247000</v>
      </c>
      <c r="G220" t="s">
        <v>15</v>
      </c>
      <c r="H220">
        <v>1913.24</v>
      </c>
      <c r="I220">
        <v>246733.5</v>
      </c>
    </row>
    <row r="221" spans="1:9" x14ac:dyDescent="0.15">
      <c r="A221">
        <v>1167713</v>
      </c>
      <c r="B221" t="s">
        <v>36</v>
      </c>
      <c r="C221" t="s">
        <v>19</v>
      </c>
      <c r="D221">
        <v>39169</v>
      </c>
      <c r="E221">
        <v>182000</v>
      </c>
      <c r="F221">
        <v>163800</v>
      </c>
      <c r="G221" t="s">
        <v>15</v>
      </c>
      <c r="H221">
        <v>1395.29</v>
      </c>
      <c r="I221">
        <v>162734.73000000001</v>
      </c>
    </row>
    <row r="222" spans="1:9" x14ac:dyDescent="0.15">
      <c r="A222">
        <v>1167725</v>
      </c>
      <c r="B222" t="s">
        <v>37</v>
      </c>
      <c r="C222" t="s">
        <v>19</v>
      </c>
      <c r="D222">
        <v>39161</v>
      </c>
      <c r="E222">
        <v>215000</v>
      </c>
      <c r="F222">
        <v>157500</v>
      </c>
      <c r="G222" t="s">
        <v>17</v>
      </c>
      <c r="H222">
        <v>1255.97</v>
      </c>
      <c r="I222">
        <v>156302.04999999999</v>
      </c>
    </row>
    <row r="223" spans="1:9" x14ac:dyDescent="0.15">
      <c r="A223">
        <v>1167805</v>
      </c>
      <c r="B223" t="s">
        <v>37</v>
      </c>
      <c r="C223" t="s">
        <v>19</v>
      </c>
      <c r="D223">
        <v>39190</v>
      </c>
      <c r="E223">
        <v>154000</v>
      </c>
      <c r="F223">
        <v>138600</v>
      </c>
      <c r="G223" t="s">
        <v>17</v>
      </c>
      <c r="H223">
        <v>926.77</v>
      </c>
      <c r="I223">
        <v>136230.54999999999</v>
      </c>
    </row>
    <row r="224" spans="1:9" x14ac:dyDescent="0.15">
      <c r="A224">
        <v>1167924</v>
      </c>
      <c r="B224" t="s">
        <v>36</v>
      </c>
      <c r="C224" t="s">
        <v>19</v>
      </c>
      <c r="D224">
        <v>39174</v>
      </c>
      <c r="E224">
        <v>229000</v>
      </c>
      <c r="F224">
        <v>182000</v>
      </c>
      <c r="G224" t="s">
        <v>17</v>
      </c>
      <c r="H224">
        <v>1156.3599999999999</v>
      </c>
      <c r="I224">
        <v>178748.21</v>
      </c>
    </row>
    <row r="225" spans="1:9" x14ac:dyDescent="0.15">
      <c r="A225">
        <v>1167930</v>
      </c>
      <c r="B225" t="s">
        <v>36</v>
      </c>
      <c r="C225" t="s">
        <v>18</v>
      </c>
      <c r="D225">
        <v>39174</v>
      </c>
      <c r="E225">
        <v>144000</v>
      </c>
      <c r="F225">
        <v>129600</v>
      </c>
      <c r="G225" t="s">
        <v>15</v>
      </c>
      <c r="H225">
        <v>982.07</v>
      </c>
      <c r="I225">
        <v>129460.56</v>
      </c>
    </row>
    <row r="226" spans="1:9" x14ac:dyDescent="0.15">
      <c r="A226">
        <v>1168003</v>
      </c>
      <c r="B226" t="s">
        <v>36</v>
      </c>
      <c r="C226" t="s">
        <v>19</v>
      </c>
      <c r="D226">
        <v>39174</v>
      </c>
      <c r="E226">
        <v>312000</v>
      </c>
      <c r="F226">
        <v>241200</v>
      </c>
      <c r="G226" t="s">
        <v>17</v>
      </c>
      <c r="H226">
        <v>1736.33</v>
      </c>
      <c r="I226">
        <v>238921.58</v>
      </c>
    </row>
    <row r="227" spans="1:9" x14ac:dyDescent="0.15">
      <c r="A227">
        <v>1168398</v>
      </c>
      <c r="B227" t="s">
        <v>35</v>
      </c>
      <c r="C227" t="s">
        <v>16</v>
      </c>
      <c r="D227">
        <v>39171</v>
      </c>
      <c r="E227">
        <v>132000</v>
      </c>
      <c r="F227">
        <v>117000</v>
      </c>
      <c r="G227" t="s">
        <v>15</v>
      </c>
      <c r="H227">
        <v>949.84</v>
      </c>
      <c r="I227">
        <v>116148.28</v>
      </c>
    </row>
    <row r="228" spans="1:9" x14ac:dyDescent="0.15">
      <c r="A228">
        <v>1168535</v>
      </c>
      <c r="B228" t="s">
        <v>35</v>
      </c>
      <c r="C228" t="s">
        <v>16</v>
      </c>
      <c r="D228">
        <v>39181</v>
      </c>
      <c r="E228">
        <v>90000</v>
      </c>
      <c r="F228">
        <v>76500</v>
      </c>
      <c r="G228" t="s">
        <v>15</v>
      </c>
      <c r="H228">
        <v>598.71</v>
      </c>
      <c r="I228">
        <v>76426.929999999993</v>
      </c>
    </row>
    <row r="229" spans="1:9" x14ac:dyDescent="0.15">
      <c r="A229">
        <v>1168889</v>
      </c>
      <c r="B229" t="s">
        <v>36</v>
      </c>
      <c r="C229" t="s">
        <v>19</v>
      </c>
      <c r="D229">
        <v>39160</v>
      </c>
      <c r="E229">
        <v>176000</v>
      </c>
      <c r="F229">
        <v>100000</v>
      </c>
      <c r="G229" t="s">
        <v>15</v>
      </c>
      <c r="H229">
        <v>698.96</v>
      </c>
      <c r="I229">
        <v>99809.279999999999</v>
      </c>
    </row>
    <row r="230" spans="1:9" x14ac:dyDescent="0.15">
      <c r="A230">
        <v>1168913</v>
      </c>
      <c r="B230" t="s">
        <v>36</v>
      </c>
      <c r="C230" t="s">
        <v>19</v>
      </c>
      <c r="D230">
        <v>39167</v>
      </c>
      <c r="E230">
        <v>228000</v>
      </c>
      <c r="F230">
        <v>170050</v>
      </c>
      <c r="G230" t="s">
        <v>15</v>
      </c>
      <c r="H230">
        <v>1282.33</v>
      </c>
      <c r="I230">
        <v>169522.34</v>
      </c>
    </row>
    <row r="231" spans="1:9" x14ac:dyDescent="0.15">
      <c r="A231">
        <v>1168961</v>
      </c>
      <c r="B231" t="s">
        <v>35</v>
      </c>
      <c r="C231" t="s">
        <v>16</v>
      </c>
      <c r="D231">
        <v>39150</v>
      </c>
      <c r="E231">
        <v>100000</v>
      </c>
      <c r="F231">
        <v>93100</v>
      </c>
      <c r="G231" t="s">
        <v>17</v>
      </c>
      <c r="H231">
        <v>876.08</v>
      </c>
      <c r="I231">
        <v>92629.09</v>
      </c>
    </row>
    <row r="232" spans="1:9" x14ac:dyDescent="0.15">
      <c r="A232">
        <v>1169034</v>
      </c>
      <c r="B232" t="s">
        <v>35</v>
      </c>
      <c r="C232" t="s">
        <v>16</v>
      </c>
      <c r="D232">
        <v>39161</v>
      </c>
      <c r="E232">
        <v>115000</v>
      </c>
      <c r="F232">
        <v>92000</v>
      </c>
      <c r="G232" t="s">
        <v>17</v>
      </c>
      <c r="H232">
        <v>783.68</v>
      </c>
      <c r="I232">
        <v>91401.18</v>
      </c>
    </row>
    <row r="233" spans="1:9" x14ac:dyDescent="0.15">
      <c r="A233">
        <v>1169294</v>
      </c>
      <c r="B233" t="s">
        <v>37</v>
      </c>
      <c r="C233" t="s">
        <v>19</v>
      </c>
      <c r="D233">
        <v>39171</v>
      </c>
      <c r="E233">
        <v>150000</v>
      </c>
      <c r="F233">
        <v>120000</v>
      </c>
      <c r="G233" t="s">
        <v>17</v>
      </c>
      <c r="H233">
        <v>1022.19</v>
      </c>
      <c r="I233">
        <v>119156.11</v>
      </c>
    </row>
    <row r="234" spans="1:9" x14ac:dyDescent="0.15">
      <c r="A234">
        <v>1169518</v>
      </c>
      <c r="B234" t="s">
        <v>35</v>
      </c>
      <c r="C234" t="s">
        <v>16</v>
      </c>
      <c r="D234">
        <v>39183</v>
      </c>
      <c r="E234">
        <v>99000</v>
      </c>
      <c r="F234">
        <v>79200</v>
      </c>
      <c r="G234" t="s">
        <v>17</v>
      </c>
      <c r="H234">
        <v>611.79</v>
      </c>
      <c r="I234">
        <v>78607.240000000005</v>
      </c>
    </row>
    <row r="235" spans="1:9" x14ac:dyDescent="0.15">
      <c r="A235">
        <v>1169963</v>
      </c>
      <c r="B235" t="s">
        <v>35</v>
      </c>
      <c r="C235" t="s">
        <v>16</v>
      </c>
      <c r="D235">
        <v>39160</v>
      </c>
      <c r="E235">
        <v>365000</v>
      </c>
      <c r="F235">
        <v>250000</v>
      </c>
      <c r="G235" t="s">
        <v>17</v>
      </c>
      <c r="H235">
        <v>2002.57</v>
      </c>
      <c r="I235">
        <v>248123.65</v>
      </c>
    </row>
    <row r="236" spans="1:9" x14ac:dyDescent="0.15">
      <c r="A236">
        <v>1170059</v>
      </c>
      <c r="B236" t="s">
        <v>37</v>
      </c>
      <c r="C236" t="s">
        <v>18</v>
      </c>
      <c r="D236">
        <v>39169</v>
      </c>
      <c r="E236">
        <v>200000</v>
      </c>
      <c r="F236">
        <v>170000</v>
      </c>
      <c r="G236" t="s">
        <v>20</v>
      </c>
      <c r="H236">
        <v>1404.72</v>
      </c>
      <c r="I236">
        <v>168760.03</v>
      </c>
    </row>
    <row r="237" spans="1:9" x14ac:dyDescent="0.15">
      <c r="A237">
        <v>1170062</v>
      </c>
      <c r="B237" t="s">
        <v>38</v>
      </c>
      <c r="C237" t="s">
        <v>19</v>
      </c>
      <c r="D237">
        <v>39161</v>
      </c>
      <c r="E237">
        <v>142900</v>
      </c>
      <c r="F237">
        <v>128610</v>
      </c>
      <c r="G237" t="s">
        <v>15</v>
      </c>
      <c r="H237">
        <v>1003.52</v>
      </c>
      <c r="I237">
        <v>127446.84</v>
      </c>
    </row>
    <row r="238" spans="1:9" x14ac:dyDescent="0.15">
      <c r="A238">
        <v>1170209</v>
      </c>
      <c r="B238" t="s">
        <v>36</v>
      </c>
      <c r="C238" t="s">
        <v>18</v>
      </c>
      <c r="D238">
        <v>39160</v>
      </c>
      <c r="E238">
        <v>240000</v>
      </c>
      <c r="F238">
        <v>192000</v>
      </c>
      <c r="G238" t="s">
        <v>17</v>
      </c>
      <c r="H238">
        <v>1388.81</v>
      </c>
      <c r="I238">
        <v>188336.43</v>
      </c>
    </row>
    <row r="239" spans="1:9" x14ac:dyDescent="0.15">
      <c r="A239">
        <v>1170236</v>
      </c>
      <c r="B239" t="s">
        <v>38</v>
      </c>
      <c r="C239" t="s">
        <v>19</v>
      </c>
      <c r="D239">
        <v>39171</v>
      </c>
      <c r="E239">
        <v>108000</v>
      </c>
      <c r="F239">
        <v>81000</v>
      </c>
      <c r="G239" t="s">
        <v>17</v>
      </c>
      <c r="H239">
        <v>619.96</v>
      </c>
      <c r="I239">
        <v>80273.08</v>
      </c>
    </row>
    <row r="240" spans="1:9" x14ac:dyDescent="0.15">
      <c r="A240">
        <v>1170373</v>
      </c>
      <c r="B240" t="s">
        <v>38</v>
      </c>
      <c r="C240" t="s">
        <v>19</v>
      </c>
      <c r="D240">
        <v>39162</v>
      </c>
      <c r="E240">
        <v>150000</v>
      </c>
      <c r="F240">
        <v>142500</v>
      </c>
      <c r="G240" t="s">
        <v>15</v>
      </c>
      <c r="H240">
        <v>1146.5899999999999</v>
      </c>
      <c r="I240">
        <v>141441.29</v>
      </c>
    </row>
    <row r="241" spans="1:9" x14ac:dyDescent="0.15">
      <c r="A241">
        <v>1170391</v>
      </c>
      <c r="B241" t="s">
        <v>36</v>
      </c>
      <c r="C241" t="s">
        <v>18</v>
      </c>
      <c r="D241">
        <v>39185</v>
      </c>
      <c r="E241">
        <v>216000</v>
      </c>
      <c r="F241">
        <v>140000</v>
      </c>
      <c r="G241" t="s">
        <v>17</v>
      </c>
      <c r="H241">
        <v>930.49</v>
      </c>
      <c r="I241">
        <v>138575.04000000001</v>
      </c>
    </row>
    <row r="242" spans="1:9" x14ac:dyDescent="0.15">
      <c r="A242">
        <v>1170575</v>
      </c>
      <c r="B242" t="s">
        <v>37</v>
      </c>
      <c r="C242" t="s">
        <v>18</v>
      </c>
      <c r="D242">
        <v>39174</v>
      </c>
      <c r="E242">
        <v>135000</v>
      </c>
      <c r="F242">
        <v>87750</v>
      </c>
      <c r="G242" t="s">
        <v>17</v>
      </c>
      <c r="H242">
        <v>628.66</v>
      </c>
      <c r="I242">
        <v>86912.42</v>
      </c>
    </row>
    <row r="243" spans="1:9" x14ac:dyDescent="0.15">
      <c r="A243">
        <v>1170671</v>
      </c>
      <c r="B243" t="s">
        <v>36</v>
      </c>
      <c r="C243" t="s">
        <v>19</v>
      </c>
      <c r="D243">
        <v>39206</v>
      </c>
      <c r="E243">
        <v>162000</v>
      </c>
      <c r="F243">
        <v>137700</v>
      </c>
      <c r="G243" t="s">
        <v>15</v>
      </c>
      <c r="H243">
        <v>1172.96</v>
      </c>
      <c r="I243">
        <v>137016.35</v>
      </c>
    </row>
    <row r="244" spans="1:9" x14ac:dyDescent="0.15">
      <c r="A244">
        <v>1170789</v>
      </c>
      <c r="B244" t="s">
        <v>36</v>
      </c>
      <c r="C244" t="s">
        <v>19</v>
      </c>
      <c r="D244">
        <v>39175</v>
      </c>
      <c r="E244">
        <v>155000</v>
      </c>
      <c r="F244">
        <v>131750</v>
      </c>
      <c r="G244" t="s">
        <v>17</v>
      </c>
      <c r="H244">
        <v>934.79</v>
      </c>
      <c r="I244">
        <v>130449.92</v>
      </c>
    </row>
    <row r="245" spans="1:9" x14ac:dyDescent="0.15">
      <c r="A245">
        <v>1170937</v>
      </c>
      <c r="B245" t="s">
        <v>36</v>
      </c>
      <c r="C245" t="s">
        <v>19</v>
      </c>
      <c r="D245">
        <v>39175</v>
      </c>
      <c r="E245">
        <v>340000</v>
      </c>
      <c r="F245">
        <v>306000</v>
      </c>
      <c r="G245" t="s">
        <v>17</v>
      </c>
      <c r="H245">
        <v>1984.72</v>
      </c>
      <c r="I245">
        <v>302456.89</v>
      </c>
    </row>
    <row r="246" spans="1:9" x14ac:dyDescent="0.15">
      <c r="A246">
        <v>1171489</v>
      </c>
      <c r="B246" t="s">
        <v>36</v>
      </c>
      <c r="C246" t="s">
        <v>19</v>
      </c>
      <c r="D246">
        <v>39169</v>
      </c>
      <c r="E246">
        <v>215000</v>
      </c>
      <c r="F246">
        <v>175000</v>
      </c>
      <c r="G246" t="s">
        <v>17</v>
      </c>
      <c r="H246">
        <v>1253.06</v>
      </c>
      <c r="I246">
        <v>174372.7</v>
      </c>
    </row>
    <row r="247" spans="1:9" x14ac:dyDescent="0.15">
      <c r="A247">
        <v>1171543</v>
      </c>
      <c r="B247" t="s">
        <v>35</v>
      </c>
      <c r="C247" t="s">
        <v>16</v>
      </c>
      <c r="D247">
        <v>39188</v>
      </c>
      <c r="E247">
        <v>162000</v>
      </c>
      <c r="F247">
        <v>121500</v>
      </c>
      <c r="G247" t="s">
        <v>15</v>
      </c>
      <c r="H247">
        <v>938.54</v>
      </c>
      <c r="I247">
        <v>120590.7</v>
      </c>
    </row>
    <row r="248" spans="1:9" x14ac:dyDescent="0.15">
      <c r="A248">
        <v>1171567</v>
      </c>
      <c r="B248" t="s">
        <v>36</v>
      </c>
      <c r="C248" t="s">
        <v>19</v>
      </c>
      <c r="D248">
        <v>39164</v>
      </c>
      <c r="E248">
        <v>413000</v>
      </c>
      <c r="F248">
        <v>351000</v>
      </c>
      <c r="G248" t="s">
        <v>17</v>
      </c>
      <c r="H248">
        <v>2490.4</v>
      </c>
      <c r="I248">
        <v>347585.25</v>
      </c>
    </row>
    <row r="249" spans="1:9" x14ac:dyDescent="0.15">
      <c r="A249">
        <v>1171603</v>
      </c>
      <c r="B249" t="s">
        <v>37</v>
      </c>
      <c r="C249" t="s">
        <v>19</v>
      </c>
      <c r="D249">
        <v>39171</v>
      </c>
      <c r="E249">
        <v>173000</v>
      </c>
      <c r="F249">
        <v>129750</v>
      </c>
      <c r="G249" t="s">
        <v>15</v>
      </c>
      <c r="H249">
        <v>1138.6500000000001</v>
      </c>
      <c r="I249">
        <v>129028.73</v>
      </c>
    </row>
    <row r="250" spans="1:9" x14ac:dyDescent="0.15">
      <c r="A250">
        <v>1172003</v>
      </c>
      <c r="B250" t="s">
        <v>36</v>
      </c>
      <c r="C250" t="s">
        <v>19</v>
      </c>
      <c r="D250">
        <v>39171</v>
      </c>
      <c r="E250">
        <v>260000</v>
      </c>
      <c r="F250">
        <v>224010</v>
      </c>
      <c r="G250" t="s">
        <v>17</v>
      </c>
      <c r="H250">
        <v>1532.41</v>
      </c>
      <c r="I250">
        <v>223103.85</v>
      </c>
    </row>
    <row r="251" spans="1:9" x14ac:dyDescent="0.15">
      <c r="A251">
        <v>1172013</v>
      </c>
      <c r="B251" t="s">
        <v>35</v>
      </c>
      <c r="C251" t="s">
        <v>16</v>
      </c>
      <c r="D251">
        <v>39156</v>
      </c>
      <c r="E251">
        <v>172000</v>
      </c>
      <c r="F251">
        <v>137600</v>
      </c>
      <c r="G251" t="s">
        <v>17</v>
      </c>
      <c r="H251">
        <v>943.35</v>
      </c>
      <c r="I251">
        <v>136166.74</v>
      </c>
    </row>
    <row r="252" spans="1:9" x14ac:dyDescent="0.15">
      <c r="A252">
        <v>1172088</v>
      </c>
      <c r="B252" t="s">
        <v>37</v>
      </c>
      <c r="C252" t="s">
        <v>19</v>
      </c>
      <c r="D252">
        <v>39168</v>
      </c>
      <c r="E252">
        <v>130000</v>
      </c>
      <c r="F252">
        <v>110500</v>
      </c>
      <c r="G252" t="s">
        <v>15</v>
      </c>
      <c r="H252">
        <v>941.27</v>
      </c>
      <c r="I252">
        <v>109781.3</v>
      </c>
    </row>
    <row r="253" spans="1:9" x14ac:dyDescent="0.15">
      <c r="A253">
        <v>1172115</v>
      </c>
      <c r="B253" t="s">
        <v>38</v>
      </c>
      <c r="C253" t="s">
        <v>19</v>
      </c>
      <c r="D253">
        <v>39182</v>
      </c>
      <c r="E253">
        <v>185000</v>
      </c>
      <c r="F253">
        <v>175750</v>
      </c>
      <c r="G253" t="s">
        <v>15</v>
      </c>
      <c r="H253">
        <v>1328.67</v>
      </c>
      <c r="I253">
        <v>174333.79</v>
      </c>
    </row>
    <row r="254" spans="1:9" x14ac:dyDescent="0.15">
      <c r="A254">
        <v>1172467</v>
      </c>
      <c r="B254" t="s">
        <v>38</v>
      </c>
      <c r="C254" t="s">
        <v>19</v>
      </c>
      <c r="D254">
        <v>39162</v>
      </c>
      <c r="E254">
        <v>139000</v>
      </c>
      <c r="F254">
        <v>132050</v>
      </c>
      <c r="G254" t="s">
        <v>15</v>
      </c>
      <c r="H254">
        <v>1053.02</v>
      </c>
      <c r="I254">
        <v>131048.76</v>
      </c>
    </row>
    <row r="255" spans="1:9" x14ac:dyDescent="0.15">
      <c r="A255">
        <v>1172610</v>
      </c>
      <c r="B255" t="s">
        <v>37</v>
      </c>
      <c r="C255" t="s">
        <v>19</v>
      </c>
      <c r="D255">
        <v>39181</v>
      </c>
      <c r="E255">
        <v>80000</v>
      </c>
      <c r="F255">
        <v>71300</v>
      </c>
      <c r="G255" t="s">
        <v>17</v>
      </c>
      <c r="H255">
        <v>549.42999999999995</v>
      </c>
      <c r="I255">
        <v>71227.8</v>
      </c>
    </row>
    <row r="256" spans="1:9" x14ac:dyDescent="0.15">
      <c r="A256">
        <v>1172725</v>
      </c>
      <c r="B256" t="s">
        <v>38</v>
      </c>
      <c r="C256" t="s">
        <v>19</v>
      </c>
      <c r="D256">
        <v>39167</v>
      </c>
      <c r="E256">
        <v>193000</v>
      </c>
      <c r="F256">
        <v>154400</v>
      </c>
      <c r="G256" t="s">
        <v>15</v>
      </c>
      <c r="H256">
        <v>1036.0899999999999</v>
      </c>
      <c r="I256">
        <v>153743.73000000001</v>
      </c>
    </row>
    <row r="257" spans="1:9" x14ac:dyDescent="0.15">
      <c r="A257">
        <v>1172778</v>
      </c>
      <c r="B257" t="s">
        <v>36</v>
      </c>
      <c r="C257" t="s">
        <v>19</v>
      </c>
      <c r="D257">
        <v>39176</v>
      </c>
      <c r="E257">
        <v>93500</v>
      </c>
      <c r="F257">
        <v>65000</v>
      </c>
      <c r="G257" t="s">
        <v>15</v>
      </c>
      <c r="H257">
        <v>492.45</v>
      </c>
      <c r="I257">
        <v>64536.42</v>
      </c>
    </row>
    <row r="258" spans="1:9" x14ac:dyDescent="0.15">
      <c r="A258">
        <v>1172833</v>
      </c>
      <c r="B258" t="s">
        <v>36</v>
      </c>
      <c r="C258" t="s">
        <v>19</v>
      </c>
      <c r="D258">
        <v>39169</v>
      </c>
      <c r="E258">
        <v>285000</v>
      </c>
      <c r="F258">
        <v>256500</v>
      </c>
      <c r="G258" t="s">
        <v>17</v>
      </c>
      <c r="H258">
        <v>1793.49</v>
      </c>
      <c r="I258">
        <v>253332.9</v>
      </c>
    </row>
    <row r="259" spans="1:9" x14ac:dyDescent="0.15">
      <c r="A259">
        <v>1172929</v>
      </c>
      <c r="B259" t="s">
        <v>35</v>
      </c>
      <c r="C259" t="s">
        <v>16</v>
      </c>
      <c r="D259">
        <v>39162</v>
      </c>
      <c r="E259">
        <v>140000</v>
      </c>
      <c r="F259">
        <v>126000</v>
      </c>
      <c r="G259" t="s">
        <v>15</v>
      </c>
      <c r="H259">
        <v>986.75</v>
      </c>
      <c r="I259">
        <v>124730.23</v>
      </c>
    </row>
    <row r="260" spans="1:9" x14ac:dyDescent="0.15">
      <c r="A260">
        <v>1173315</v>
      </c>
      <c r="B260" t="s">
        <v>37</v>
      </c>
      <c r="C260" t="s">
        <v>19</v>
      </c>
      <c r="D260">
        <v>39182</v>
      </c>
      <c r="E260">
        <v>260000</v>
      </c>
      <c r="F260">
        <v>234000</v>
      </c>
      <c r="G260" t="s">
        <v>15</v>
      </c>
      <c r="H260">
        <v>1530</v>
      </c>
      <c r="I260">
        <v>233585.09</v>
      </c>
    </row>
    <row r="261" spans="1:9" x14ac:dyDescent="0.15">
      <c r="A261">
        <v>1173484</v>
      </c>
      <c r="B261" t="s">
        <v>37</v>
      </c>
      <c r="C261" t="s">
        <v>18</v>
      </c>
      <c r="D261">
        <v>39169</v>
      </c>
      <c r="E261">
        <v>210000</v>
      </c>
      <c r="F261">
        <v>178500</v>
      </c>
      <c r="G261" t="s">
        <v>17</v>
      </c>
      <c r="H261">
        <v>1449.12</v>
      </c>
      <c r="I261">
        <v>177200.49</v>
      </c>
    </row>
    <row r="262" spans="1:9" x14ac:dyDescent="0.15">
      <c r="A262">
        <v>1173486</v>
      </c>
      <c r="B262" t="s">
        <v>36</v>
      </c>
      <c r="C262" t="s">
        <v>19</v>
      </c>
      <c r="D262">
        <v>39168</v>
      </c>
      <c r="E262">
        <v>163500</v>
      </c>
      <c r="F262">
        <v>138000</v>
      </c>
      <c r="G262" t="s">
        <v>15</v>
      </c>
      <c r="H262">
        <v>1061.1099999999999</v>
      </c>
      <c r="I262">
        <v>136865.64000000001</v>
      </c>
    </row>
    <row r="263" spans="1:9" x14ac:dyDescent="0.15">
      <c r="A263">
        <v>1173604</v>
      </c>
      <c r="B263" t="s">
        <v>38</v>
      </c>
      <c r="C263" t="s">
        <v>19</v>
      </c>
      <c r="D263">
        <v>39182</v>
      </c>
      <c r="E263">
        <v>93000</v>
      </c>
      <c r="F263">
        <v>84550</v>
      </c>
      <c r="G263" t="s">
        <v>15</v>
      </c>
      <c r="H263">
        <v>711.32</v>
      </c>
      <c r="I263">
        <v>84346.68</v>
      </c>
    </row>
    <row r="264" spans="1:9" x14ac:dyDescent="0.15">
      <c r="A264">
        <v>1173714</v>
      </c>
      <c r="B264" t="s">
        <v>38</v>
      </c>
      <c r="C264" t="s">
        <v>19</v>
      </c>
      <c r="D264">
        <v>39175</v>
      </c>
      <c r="E264">
        <v>76000</v>
      </c>
      <c r="F264">
        <v>55000</v>
      </c>
      <c r="G264" t="s">
        <v>17</v>
      </c>
      <c r="H264">
        <v>470.52</v>
      </c>
      <c r="I264">
        <v>54674.53</v>
      </c>
    </row>
    <row r="265" spans="1:9" x14ac:dyDescent="0.15">
      <c r="A265">
        <v>1174381</v>
      </c>
      <c r="B265" t="s">
        <v>35</v>
      </c>
      <c r="C265" t="s">
        <v>16</v>
      </c>
      <c r="D265">
        <v>39168</v>
      </c>
      <c r="E265">
        <v>95000</v>
      </c>
      <c r="F265">
        <v>80750</v>
      </c>
      <c r="G265" t="s">
        <v>17</v>
      </c>
      <c r="H265">
        <v>671.64</v>
      </c>
      <c r="I265">
        <v>80194.28</v>
      </c>
    </row>
    <row r="266" spans="1:9" x14ac:dyDescent="0.15">
      <c r="A266">
        <v>1174416</v>
      </c>
      <c r="B266" t="s">
        <v>38</v>
      </c>
      <c r="C266" t="s">
        <v>19</v>
      </c>
      <c r="D266">
        <v>39167</v>
      </c>
      <c r="E266">
        <v>93000</v>
      </c>
      <c r="F266">
        <v>65100</v>
      </c>
      <c r="G266" t="s">
        <v>17</v>
      </c>
      <c r="H266">
        <v>593.07000000000005</v>
      </c>
      <c r="I266">
        <v>64370.66</v>
      </c>
    </row>
    <row r="267" spans="1:9" x14ac:dyDescent="0.15">
      <c r="A267">
        <v>1174773</v>
      </c>
      <c r="B267" t="s">
        <v>35</v>
      </c>
      <c r="C267" t="s">
        <v>16</v>
      </c>
      <c r="D267">
        <v>39183</v>
      </c>
      <c r="E267">
        <v>93000</v>
      </c>
      <c r="F267">
        <v>83700</v>
      </c>
      <c r="G267" t="s">
        <v>17</v>
      </c>
      <c r="H267">
        <v>672.87</v>
      </c>
      <c r="I267">
        <v>83126.95</v>
      </c>
    </row>
    <row r="268" spans="1:9" x14ac:dyDescent="0.15">
      <c r="A268">
        <v>1175099</v>
      </c>
      <c r="B268" t="s">
        <v>38</v>
      </c>
      <c r="C268" t="s">
        <v>19</v>
      </c>
      <c r="D268">
        <v>39178</v>
      </c>
      <c r="E268">
        <v>216000</v>
      </c>
      <c r="F268">
        <v>194400</v>
      </c>
      <c r="G268" t="s">
        <v>15</v>
      </c>
      <c r="H268">
        <v>1440.02</v>
      </c>
      <c r="I268">
        <v>193082.27</v>
      </c>
    </row>
    <row r="269" spans="1:9" x14ac:dyDescent="0.15">
      <c r="A269">
        <v>1175134</v>
      </c>
      <c r="B269" t="s">
        <v>35</v>
      </c>
      <c r="C269" t="s">
        <v>16</v>
      </c>
      <c r="D269">
        <v>39192</v>
      </c>
      <c r="E269">
        <v>132000</v>
      </c>
      <c r="F269">
        <v>117000</v>
      </c>
      <c r="G269" t="s">
        <v>17</v>
      </c>
      <c r="H269">
        <v>937.21</v>
      </c>
      <c r="I269">
        <v>116192.38</v>
      </c>
    </row>
    <row r="270" spans="1:9" x14ac:dyDescent="0.15">
      <c r="A270">
        <v>1175164</v>
      </c>
      <c r="B270" t="s">
        <v>36</v>
      </c>
      <c r="C270" t="s">
        <v>19</v>
      </c>
      <c r="D270">
        <v>39188</v>
      </c>
      <c r="E270">
        <v>175000</v>
      </c>
      <c r="F270">
        <v>120000</v>
      </c>
      <c r="G270" t="s">
        <v>17</v>
      </c>
      <c r="H270">
        <v>919.89</v>
      </c>
      <c r="I270">
        <v>119811.05</v>
      </c>
    </row>
    <row r="271" spans="1:9" x14ac:dyDescent="0.15">
      <c r="A271">
        <v>1175227</v>
      </c>
      <c r="B271" t="s">
        <v>36</v>
      </c>
      <c r="C271" t="s">
        <v>18</v>
      </c>
      <c r="D271">
        <v>39176</v>
      </c>
      <c r="E271">
        <v>164000</v>
      </c>
      <c r="F271">
        <v>131200</v>
      </c>
      <c r="G271" t="s">
        <v>15</v>
      </c>
      <c r="H271">
        <v>970.82</v>
      </c>
      <c r="I271">
        <v>130769.54</v>
      </c>
    </row>
    <row r="272" spans="1:9" x14ac:dyDescent="0.15">
      <c r="A272">
        <v>1175228</v>
      </c>
      <c r="B272" t="s">
        <v>37</v>
      </c>
      <c r="C272" t="s">
        <v>18</v>
      </c>
      <c r="D272">
        <v>39176</v>
      </c>
      <c r="E272">
        <v>233000</v>
      </c>
      <c r="F272">
        <v>209700</v>
      </c>
      <c r="G272" t="s">
        <v>15</v>
      </c>
      <c r="H272">
        <v>1418.88</v>
      </c>
      <c r="I272">
        <v>208808.32000000001</v>
      </c>
    </row>
    <row r="273" spans="1:9" x14ac:dyDescent="0.15">
      <c r="A273">
        <v>1175371</v>
      </c>
      <c r="B273" t="s">
        <v>36</v>
      </c>
      <c r="C273" t="s">
        <v>19</v>
      </c>
      <c r="D273">
        <v>39169</v>
      </c>
      <c r="E273">
        <v>215000</v>
      </c>
      <c r="F273">
        <v>183000</v>
      </c>
      <c r="G273" t="s">
        <v>17</v>
      </c>
      <c r="H273">
        <v>1267.06</v>
      </c>
      <c r="I273">
        <v>179409.3</v>
      </c>
    </row>
    <row r="274" spans="1:9" x14ac:dyDescent="0.15">
      <c r="A274">
        <v>1175399</v>
      </c>
      <c r="B274" t="s">
        <v>36</v>
      </c>
      <c r="C274" t="s">
        <v>18</v>
      </c>
      <c r="D274">
        <v>39197</v>
      </c>
      <c r="E274">
        <v>170000</v>
      </c>
      <c r="F274">
        <v>127500</v>
      </c>
      <c r="G274" t="s">
        <v>15</v>
      </c>
      <c r="H274">
        <v>1062.8</v>
      </c>
      <c r="I274">
        <v>126567.8</v>
      </c>
    </row>
    <row r="275" spans="1:9" x14ac:dyDescent="0.15">
      <c r="A275">
        <v>1175545</v>
      </c>
      <c r="B275" t="s">
        <v>36</v>
      </c>
      <c r="C275" t="s">
        <v>19</v>
      </c>
      <c r="D275">
        <v>39181</v>
      </c>
      <c r="E275">
        <v>153000</v>
      </c>
      <c r="F275">
        <v>126000</v>
      </c>
      <c r="G275" t="s">
        <v>15</v>
      </c>
      <c r="H275">
        <v>968.84</v>
      </c>
      <c r="I275">
        <v>125211.65</v>
      </c>
    </row>
    <row r="276" spans="1:9" x14ac:dyDescent="0.15">
      <c r="A276">
        <v>1175727</v>
      </c>
      <c r="B276" t="s">
        <v>35</v>
      </c>
      <c r="C276" t="s">
        <v>16</v>
      </c>
      <c r="D276">
        <v>39168</v>
      </c>
      <c r="E276">
        <v>145000</v>
      </c>
      <c r="F276">
        <v>130500</v>
      </c>
      <c r="G276" t="s">
        <v>17</v>
      </c>
      <c r="H276">
        <v>976.6</v>
      </c>
      <c r="I276">
        <v>130086.12</v>
      </c>
    </row>
    <row r="277" spans="1:9" x14ac:dyDescent="0.15">
      <c r="A277">
        <v>1175832</v>
      </c>
      <c r="B277" t="s">
        <v>35</v>
      </c>
      <c r="C277" t="s">
        <v>16</v>
      </c>
      <c r="D277">
        <v>39175</v>
      </c>
      <c r="E277">
        <v>160000</v>
      </c>
      <c r="F277">
        <v>128000</v>
      </c>
      <c r="G277" t="s">
        <v>17</v>
      </c>
      <c r="H277">
        <v>821.72</v>
      </c>
      <c r="I277">
        <v>126609.46</v>
      </c>
    </row>
    <row r="278" spans="1:9" x14ac:dyDescent="0.15">
      <c r="A278">
        <v>1176257</v>
      </c>
      <c r="B278" t="s">
        <v>37</v>
      </c>
      <c r="C278" t="s">
        <v>18</v>
      </c>
      <c r="D278">
        <v>39171</v>
      </c>
      <c r="E278">
        <v>230000</v>
      </c>
      <c r="F278">
        <v>218500</v>
      </c>
      <c r="G278" t="s">
        <v>15</v>
      </c>
      <c r="H278">
        <v>1732.67</v>
      </c>
      <c r="I278">
        <v>217867.7</v>
      </c>
    </row>
    <row r="279" spans="1:9" x14ac:dyDescent="0.15">
      <c r="A279">
        <v>1176798</v>
      </c>
      <c r="B279" t="s">
        <v>35</v>
      </c>
      <c r="C279" t="s">
        <v>16</v>
      </c>
      <c r="D279">
        <v>39188</v>
      </c>
      <c r="E279">
        <v>125000</v>
      </c>
      <c r="F279">
        <v>112500</v>
      </c>
      <c r="G279" t="s">
        <v>17</v>
      </c>
      <c r="H279">
        <v>841.23</v>
      </c>
      <c r="I279">
        <v>111069.38</v>
      </c>
    </row>
    <row r="280" spans="1:9" x14ac:dyDescent="0.15">
      <c r="A280">
        <v>1176986</v>
      </c>
      <c r="B280" t="s">
        <v>36</v>
      </c>
      <c r="C280" t="s">
        <v>19</v>
      </c>
      <c r="D280">
        <v>39162</v>
      </c>
      <c r="E280">
        <v>77000</v>
      </c>
      <c r="F280">
        <v>69300</v>
      </c>
      <c r="G280" t="s">
        <v>15</v>
      </c>
      <c r="H280">
        <v>667.83</v>
      </c>
      <c r="I280">
        <v>68970.95</v>
      </c>
    </row>
    <row r="281" spans="1:9" x14ac:dyDescent="0.15">
      <c r="A281">
        <v>1176993</v>
      </c>
      <c r="B281" t="s">
        <v>35</v>
      </c>
      <c r="C281" t="s">
        <v>16</v>
      </c>
      <c r="D281">
        <v>39183</v>
      </c>
      <c r="E281">
        <v>128000</v>
      </c>
      <c r="F281">
        <v>121600</v>
      </c>
      <c r="G281" t="s">
        <v>17</v>
      </c>
      <c r="H281">
        <v>1066.23</v>
      </c>
      <c r="I281">
        <v>120877.58</v>
      </c>
    </row>
    <row r="282" spans="1:9" x14ac:dyDescent="0.15">
      <c r="A282">
        <v>1177077</v>
      </c>
      <c r="B282" t="s">
        <v>37</v>
      </c>
      <c r="C282" t="s">
        <v>19</v>
      </c>
      <c r="D282">
        <v>39174</v>
      </c>
      <c r="E282">
        <v>345000</v>
      </c>
      <c r="F282">
        <v>227500</v>
      </c>
      <c r="G282" t="s">
        <v>15</v>
      </c>
      <c r="H282">
        <v>1527.51</v>
      </c>
      <c r="I282">
        <v>225992.21</v>
      </c>
    </row>
    <row r="283" spans="1:9" x14ac:dyDescent="0.15">
      <c r="A283">
        <v>1177125</v>
      </c>
      <c r="B283" t="s">
        <v>37</v>
      </c>
      <c r="C283" t="s">
        <v>19</v>
      </c>
      <c r="D283">
        <v>39181</v>
      </c>
      <c r="E283">
        <v>110000</v>
      </c>
      <c r="F283">
        <v>99000</v>
      </c>
      <c r="G283" t="s">
        <v>17</v>
      </c>
      <c r="H283">
        <v>892.67</v>
      </c>
      <c r="I283">
        <v>98529.96</v>
      </c>
    </row>
    <row r="284" spans="1:9" x14ac:dyDescent="0.15">
      <c r="A284">
        <v>1177188</v>
      </c>
      <c r="B284" t="s">
        <v>37</v>
      </c>
      <c r="C284" t="s">
        <v>19</v>
      </c>
      <c r="D284">
        <v>39190</v>
      </c>
      <c r="E284">
        <v>235000</v>
      </c>
      <c r="F284">
        <v>211500</v>
      </c>
      <c r="G284" t="s">
        <v>15</v>
      </c>
      <c r="H284">
        <v>1435.01</v>
      </c>
      <c r="I284">
        <v>211166.7</v>
      </c>
    </row>
    <row r="285" spans="1:9" x14ac:dyDescent="0.15">
      <c r="A285">
        <v>1177297</v>
      </c>
      <c r="B285" t="s">
        <v>38</v>
      </c>
      <c r="C285" t="s">
        <v>19</v>
      </c>
      <c r="D285">
        <v>39202</v>
      </c>
      <c r="E285">
        <v>105000</v>
      </c>
      <c r="F285">
        <v>89250</v>
      </c>
      <c r="G285" t="s">
        <v>17</v>
      </c>
      <c r="H285">
        <v>833.14</v>
      </c>
      <c r="I285">
        <v>88826.23</v>
      </c>
    </row>
    <row r="286" spans="1:9" x14ac:dyDescent="0.15">
      <c r="A286">
        <v>1177309</v>
      </c>
      <c r="B286" t="s">
        <v>36</v>
      </c>
      <c r="C286" t="s">
        <v>19</v>
      </c>
      <c r="D286">
        <v>39169</v>
      </c>
      <c r="E286">
        <v>171000</v>
      </c>
      <c r="F286">
        <v>136800</v>
      </c>
      <c r="G286" t="s">
        <v>17</v>
      </c>
      <c r="H286">
        <v>909.22</v>
      </c>
      <c r="I286">
        <v>135407.66</v>
      </c>
    </row>
    <row r="287" spans="1:9" x14ac:dyDescent="0.15">
      <c r="A287">
        <v>1177310</v>
      </c>
      <c r="B287" t="s">
        <v>35</v>
      </c>
      <c r="C287" t="s">
        <v>16</v>
      </c>
      <c r="D287">
        <v>39178</v>
      </c>
      <c r="E287">
        <v>67500</v>
      </c>
      <c r="F287">
        <v>60750</v>
      </c>
      <c r="G287" t="s">
        <v>17</v>
      </c>
      <c r="H287">
        <v>488.38</v>
      </c>
      <c r="I287">
        <v>60334</v>
      </c>
    </row>
    <row r="288" spans="1:9" x14ac:dyDescent="0.15">
      <c r="A288">
        <v>1177846</v>
      </c>
      <c r="B288" t="s">
        <v>37</v>
      </c>
      <c r="C288" t="s">
        <v>19</v>
      </c>
      <c r="D288">
        <v>39171</v>
      </c>
      <c r="E288">
        <v>164540</v>
      </c>
      <c r="F288">
        <v>145500</v>
      </c>
      <c r="G288" t="s">
        <v>15</v>
      </c>
      <c r="H288">
        <v>987.21</v>
      </c>
      <c r="I288">
        <v>145230.60999999999</v>
      </c>
    </row>
    <row r="289" spans="1:9" x14ac:dyDescent="0.15">
      <c r="A289">
        <v>1178015</v>
      </c>
      <c r="B289" t="s">
        <v>36</v>
      </c>
      <c r="C289" t="s">
        <v>18</v>
      </c>
      <c r="D289">
        <v>39174</v>
      </c>
      <c r="E289">
        <v>139000</v>
      </c>
      <c r="F289">
        <v>132050</v>
      </c>
      <c r="G289" t="s">
        <v>15</v>
      </c>
      <c r="H289">
        <v>1044.07</v>
      </c>
      <c r="I289">
        <v>131928.73000000001</v>
      </c>
    </row>
    <row r="290" spans="1:9" x14ac:dyDescent="0.15">
      <c r="A290">
        <v>1178270</v>
      </c>
      <c r="B290" t="s">
        <v>37</v>
      </c>
      <c r="C290" t="s">
        <v>19</v>
      </c>
      <c r="D290">
        <v>39167</v>
      </c>
      <c r="E290">
        <v>153200</v>
      </c>
      <c r="F290">
        <v>130220</v>
      </c>
      <c r="G290" t="s">
        <v>15</v>
      </c>
      <c r="H290">
        <v>1046.8499999999999</v>
      </c>
      <c r="I290">
        <v>128961.61</v>
      </c>
    </row>
    <row r="291" spans="1:9" x14ac:dyDescent="0.15">
      <c r="A291">
        <v>1178368</v>
      </c>
      <c r="B291" t="s">
        <v>37</v>
      </c>
      <c r="C291" t="s">
        <v>18</v>
      </c>
      <c r="D291">
        <v>39203</v>
      </c>
      <c r="E291">
        <v>160000</v>
      </c>
      <c r="F291">
        <v>150000</v>
      </c>
      <c r="G291" t="s">
        <v>15</v>
      </c>
      <c r="H291">
        <v>1095.43</v>
      </c>
      <c r="I291">
        <v>148541.19</v>
      </c>
    </row>
    <row r="292" spans="1:9" x14ac:dyDescent="0.15">
      <c r="A292">
        <v>1178846</v>
      </c>
      <c r="B292" t="s">
        <v>37</v>
      </c>
      <c r="C292" t="s">
        <v>19</v>
      </c>
      <c r="D292">
        <v>39177</v>
      </c>
      <c r="E292">
        <v>156500</v>
      </c>
      <c r="F292">
        <v>148200</v>
      </c>
      <c r="G292" t="s">
        <v>20</v>
      </c>
      <c r="H292">
        <v>1291.69</v>
      </c>
      <c r="I292">
        <v>148063.91</v>
      </c>
    </row>
    <row r="293" spans="1:9" x14ac:dyDescent="0.15">
      <c r="A293">
        <v>1178985</v>
      </c>
      <c r="B293" t="s">
        <v>36</v>
      </c>
      <c r="C293" t="s">
        <v>18</v>
      </c>
      <c r="D293">
        <v>39167</v>
      </c>
      <c r="E293">
        <v>213000</v>
      </c>
      <c r="F293">
        <v>191700</v>
      </c>
      <c r="G293" t="s">
        <v>15</v>
      </c>
      <c r="H293">
        <v>1360.14</v>
      </c>
      <c r="I293">
        <v>189768.65</v>
      </c>
    </row>
    <row r="294" spans="1:9" x14ac:dyDescent="0.15">
      <c r="A294">
        <v>1179245</v>
      </c>
      <c r="B294" t="s">
        <v>35</v>
      </c>
      <c r="C294" t="s">
        <v>16</v>
      </c>
      <c r="D294">
        <v>39182</v>
      </c>
      <c r="E294">
        <v>131000</v>
      </c>
      <c r="F294">
        <v>117900</v>
      </c>
      <c r="G294" t="s">
        <v>17</v>
      </c>
      <c r="H294">
        <v>1139.75</v>
      </c>
      <c r="I294">
        <v>117435.06</v>
      </c>
    </row>
    <row r="295" spans="1:9" x14ac:dyDescent="0.15">
      <c r="A295">
        <v>1179260</v>
      </c>
      <c r="B295" t="s">
        <v>38</v>
      </c>
      <c r="C295" t="s">
        <v>19</v>
      </c>
      <c r="D295">
        <v>39175</v>
      </c>
      <c r="E295">
        <v>157000</v>
      </c>
      <c r="F295">
        <v>141300</v>
      </c>
      <c r="G295" t="s">
        <v>17</v>
      </c>
      <c r="H295">
        <v>958.18</v>
      </c>
      <c r="I295">
        <v>139675.88</v>
      </c>
    </row>
    <row r="296" spans="1:9" x14ac:dyDescent="0.15">
      <c r="A296">
        <v>1179316</v>
      </c>
      <c r="B296" t="s">
        <v>36</v>
      </c>
      <c r="C296" t="s">
        <v>18</v>
      </c>
      <c r="D296">
        <v>39168</v>
      </c>
      <c r="E296">
        <v>195000</v>
      </c>
      <c r="F296">
        <v>165750</v>
      </c>
      <c r="G296" t="s">
        <v>17</v>
      </c>
      <c r="H296">
        <v>1091.6300000000001</v>
      </c>
      <c r="I296">
        <v>163784.67000000001</v>
      </c>
    </row>
    <row r="297" spans="1:9" x14ac:dyDescent="0.15">
      <c r="A297">
        <v>1179368</v>
      </c>
      <c r="B297" t="s">
        <v>36</v>
      </c>
      <c r="C297" t="s">
        <v>19</v>
      </c>
      <c r="D297">
        <v>39171</v>
      </c>
      <c r="E297">
        <v>157430</v>
      </c>
      <c r="F297">
        <v>133800</v>
      </c>
      <c r="G297" t="s">
        <v>17</v>
      </c>
      <c r="H297">
        <v>949.34</v>
      </c>
      <c r="I297">
        <v>132498.19</v>
      </c>
    </row>
    <row r="298" spans="1:9" x14ac:dyDescent="0.15">
      <c r="A298">
        <v>1179577</v>
      </c>
      <c r="B298" t="s">
        <v>36</v>
      </c>
      <c r="C298" t="s">
        <v>19</v>
      </c>
      <c r="D298">
        <v>39181</v>
      </c>
      <c r="E298">
        <v>129000</v>
      </c>
      <c r="F298">
        <v>90300</v>
      </c>
      <c r="G298" t="s">
        <v>17</v>
      </c>
      <c r="H298">
        <v>681.26</v>
      </c>
      <c r="I298">
        <v>87617.3</v>
      </c>
    </row>
    <row r="299" spans="1:9" x14ac:dyDescent="0.15">
      <c r="A299">
        <v>1179584</v>
      </c>
      <c r="B299" t="s">
        <v>36</v>
      </c>
      <c r="C299" t="s">
        <v>19</v>
      </c>
      <c r="D299">
        <v>39195</v>
      </c>
      <c r="E299">
        <v>300000</v>
      </c>
      <c r="F299">
        <v>255000</v>
      </c>
      <c r="G299" t="s">
        <v>15</v>
      </c>
      <c r="H299">
        <v>2172.15</v>
      </c>
      <c r="I299">
        <v>253454.35</v>
      </c>
    </row>
    <row r="300" spans="1:9" x14ac:dyDescent="0.15">
      <c r="A300">
        <v>1179737</v>
      </c>
      <c r="B300" t="s">
        <v>36</v>
      </c>
      <c r="C300" t="s">
        <v>19</v>
      </c>
      <c r="D300">
        <v>39182</v>
      </c>
      <c r="E300">
        <v>245000</v>
      </c>
      <c r="F300">
        <v>220000</v>
      </c>
      <c r="G300" t="s">
        <v>15</v>
      </c>
      <c r="H300">
        <v>1447.45</v>
      </c>
      <c r="I300">
        <v>217654.18</v>
      </c>
    </row>
    <row r="301" spans="1:9" x14ac:dyDescent="0.15">
      <c r="A301">
        <v>1179904</v>
      </c>
      <c r="B301" t="s">
        <v>35</v>
      </c>
      <c r="C301" t="s">
        <v>16</v>
      </c>
      <c r="D301">
        <v>39182</v>
      </c>
      <c r="E301">
        <v>145000</v>
      </c>
      <c r="F301">
        <v>123250</v>
      </c>
      <c r="G301" t="s">
        <v>17</v>
      </c>
      <c r="H301">
        <v>1080.7</v>
      </c>
      <c r="I301">
        <v>122563.39</v>
      </c>
    </row>
    <row r="302" spans="1:9" x14ac:dyDescent="0.15">
      <c r="A302">
        <v>1179931</v>
      </c>
      <c r="B302" t="s">
        <v>35</v>
      </c>
      <c r="C302" t="s">
        <v>16</v>
      </c>
      <c r="D302">
        <v>39176</v>
      </c>
      <c r="E302">
        <v>85000</v>
      </c>
      <c r="F302">
        <v>72250</v>
      </c>
      <c r="G302" t="s">
        <v>15</v>
      </c>
      <c r="H302">
        <v>602.19000000000005</v>
      </c>
      <c r="I302">
        <v>70773.31</v>
      </c>
    </row>
    <row r="303" spans="1:9" x14ac:dyDescent="0.15">
      <c r="A303">
        <v>1180143</v>
      </c>
      <c r="B303" t="s">
        <v>37</v>
      </c>
      <c r="C303" t="s">
        <v>18</v>
      </c>
      <c r="D303">
        <v>39171</v>
      </c>
      <c r="E303">
        <v>226000</v>
      </c>
      <c r="F303">
        <v>192100</v>
      </c>
      <c r="G303" t="s">
        <v>15</v>
      </c>
      <c r="H303">
        <v>1297.3499999999999</v>
      </c>
      <c r="I303">
        <v>191765.97</v>
      </c>
    </row>
    <row r="304" spans="1:9" x14ac:dyDescent="0.15">
      <c r="A304">
        <v>1180308</v>
      </c>
      <c r="B304" t="s">
        <v>37</v>
      </c>
      <c r="C304" t="s">
        <v>19</v>
      </c>
      <c r="D304">
        <v>39210</v>
      </c>
      <c r="E304">
        <v>142000</v>
      </c>
      <c r="F304">
        <v>127800</v>
      </c>
      <c r="G304" t="s">
        <v>17</v>
      </c>
      <c r="H304">
        <v>937.76</v>
      </c>
      <c r="I304">
        <v>126824.56</v>
      </c>
    </row>
    <row r="305" spans="1:9" x14ac:dyDescent="0.15">
      <c r="A305">
        <v>1180313</v>
      </c>
      <c r="B305" t="s">
        <v>36</v>
      </c>
      <c r="C305" t="s">
        <v>19</v>
      </c>
      <c r="D305">
        <v>39181</v>
      </c>
      <c r="E305">
        <v>245000</v>
      </c>
      <c r="F305">
        <v>219600</v>
      </c>
      <c r="G305" t="s">
        <v>15</v>
      </c>
      <c r="H305">
        <v>1649.79</v>
      </c>
      <c r="I305">
        <v>217712.08</v>
      </c>
    </row>
    <row r="306" spans="1:9" x14ac:dyDescent="0.15">
      <c r="A306">
        <v>1180424</v>
      </c>
      <c r="B306" t="s">
        <v>36</v>
      </c>
      <c r="C306" t="s">
        <v>19</v>
      </c>
      <c r="D306">
        <v>39199</v>
      </c>
      <c r="E306">
        <v>125000</v>
      </c>
      <c r="F306">
        <v>118750</v>
      </c>
      <c r="G306" t="s">
        <v>15</v>
      </c>
      <c r="H306">
        <v>994.4</v>
      </c>
      <c r="I306">
        <v>118502.82</v>
      </c>
    </row>
    <row r="307" spans="1:9" x14ac:dyDescent="0.15">
      <c r="A307">
        <v>1180555</v>
      </c>
      <c r="B307" t="s">
        <v>35</v>
      </c>
      <c r="C307" t="s">
        <v>16</v>
      </c>
      <c r="D307">
        <v>39183</v>
      </c>
      <c r="E307">
        <v>129000</v>
      </c>
      <c r="F307">
        <v>122550</v>
      </c>
      <c r="G307" t="s">
        <v>17</v>
      </c>
      <c r="H307">
        <v>1157.83</v>
      </c>
      <c r="I307">
        <v>122082.61</v>
      </c>
    </row>
    <row r="308" spans="1:9" x14ac:dyDescent="0.15">
      <c r="A308">
        <v>1180655</v>
      </c>
      <c r="B308" t="s">
        <v>36</v>
      </c>
      <c r="C308" t="s">
        <v>19</v>
      </c>
      <c r="D308">
        <v>39171</v>
      </c>
      <c r="E308">
        <v>370000</v>
      </c>
      <c r="F308">
        <v>314500</v>
      </c>
      <c r="G308" t="s">
        <v>15</v>
      </c>
      <c r="H308">
        <v>2547.65</v>
      </c>
      <c r="I308">
        <v>313774.53999999998</v>
      </c>
    </row>
    <row r="309" spans="1:9" x14ac:dyDescent="0.15">
      <c r="A309">
        <v>1180661</v>
      </c>
      <c r="B309" t="s">
        <v>36</v>
      </c>
      <c r="C309" t="s">
        <v>19</v>
      </c>
      <c r="D309">
        <v>39168</v>
      </c>
      <c r="E309">
        <v>260000</v>
      </c>
      <c r="F309">
        <v>221000</v>
      </c>
      <c r="G309" t="s">
        <v>15</v>
      </c>
      <c r="H309">
        <v>1371.76</v>
      </c>
      <c r="I309">
        <v>219863.15</v>
      </c>
    </row>
    <row r="310" spans="1:9" x14ac:dyDescent="0.15">
      <c r="A310">
        <v>1180925</v>
      </c>
      <c r="B310" t="s">
        <v>37</v>
      </c>
      <c r="C310" t="s">
        <v>19</v>
      </c>
      <c r="D310">
        <v>39169</v>
      </c>
      <c r="E310">
        <v>126000</v>
      </c>
      <c r="F310">
        <v>107100</v>
      </c>
      <c r="G310" t="s">
        <v>17</v>
      </c>
      <c r="H310">
        <v>991.72</v>
      </c>
      <c r="I310">
        <v>106430.62</v>
      </c>
    </row>
    <row r="311" spans="1:9" x14ac:dyDescent="0.15">
      <c r="A311">
        <v>1180979</v>
      </c>
      <c r="B311" t="s">
        <v>36</v>
      </c>
      <c r="C311" t="s">
        <v>19</v>
      </c>
      <c r="D311">
        <v>39175</v>
      </c>
      <c r="E311">
        <v>168900</v>
      </c>
      <c r="F311">
        <v>126675</v>
      </c>
      <c r="G311" t="s">
        <v>15</v>
      </c>
      <c r="H311">
        <v>1000.18</v>
      </c>
      <c r="I311">
        <v>125641.37</v>
      </c>
    </row>
    <row r="312" spans="1:9" x14ac:dyDescent="0.15">
      <c r="A312">
        <v>1181318</v>
      </c>
      <c r="B312" t="s">
        <v>35</v>
      </c>
      <c r="C312" t="s">
        <v>16</v>
      </c>
      <c r="D312">
        <v>39174</v>
      </c>
      <c r="E312">
        <v>71000</v>
      </c>
      <c r="F312">
        <v>60350</v>
      </c>
      <c r="G312" t="s">
        <v>17</v>
      </c>
      <c r="H312">
        <v>618.45000000000005</v>
      </c>
      <c r="I312">
        <v>60148.05</v>
      </c>
    </row>
    <row r="313" spans="1:9" x14ac:dyDescent="0.15">
      <c r="A313">
        <v>1181576</v>
      </c>
      <c r="B313" t="s">
        <v>37</v>
      </c>
      <c r="C313" t="s">
        <v>19</v>
      </c>
      <c r="D313">
        <v>39206</v>
      </c>
      <c r="E313">
        <v>270000</v>
      </c>
      <c r="F313">
        <v>191500</v>
      </c>
      <c r="G313" t="s">
        <v>15</v>
      </c>
      <c r="H313">
        <v>1302.8699999999999</v>
      </c>
      <c r="I313">
        <v>190711.99</v>
      </c>
    </row>
    <row r="314" spans="1:9" x14ac:dyDescent="0.15">
      <c r="A314">
        <v>1181584</v>
      </c>
      <c r="B314" t="s">
        <v>36</v>
      </c>
      <c r="C314" t="s">
        <v>18</v>
      </c>
      <c r="D314">
        <v>39171</v>
      </c>
      <c r="E314">
        <v>192500</v>
      </c>
      <c r="F314">
        <v>163625</v>
      </c>
      <c r="G314" t="s">
        <v>17</v>
      </c>
      <c r="H314">
        <v>1199.49</v>
      </c>
      <c r="I314">
        <v>162136.19</v>
      </c>
    </row>
    <row r="315" spans="1:9" x14ac:dyDescent="0.15">
      <c r="A315">
        <v>1181608</v>
      </c>
      <c r="B315" t="s">
        <v>36</v>
      </c>
      <c r="C315" t="s">
        <v>19</v>
      </c>
      <c r="D315">
        <v>39181</v>
      </c>
      <c r="E315">
        <v>150000</v>
      </c>
      <c r="F315">
        <v>110000</v>
      </c>
      <c r="G315" t="s">
        <v>17</v>
      </c>
      <c r="H315">
        <v>701.8</v>
      </c>
      <c r="I315">
        <v>108791.33</v>
      </c>
    </row>
    <row r="316" spans="1:9" x14ac:dyDescent="0.15">
      <c r="A316">
        <v>1181714</v>
      </c>
      <c r="B316" t="s">
        <v>37</v>
      </c>
      <c r="C316" t="s">
        <v>19</v>
      </c>
      <c r="D316">
        <v>39181</v>
      </c>
      <c r="E316">
        <v>126000</v>
      </c>
      <c r="F316">
        <v>113400</v>
      </c>
      <c r="G316" t="s">
        <v>15</v>
      </c>
      <c r="H316">
        <v>970.12</v>
      </c>
      <c r="I316">
        <v>112729.04</v>
      </c>
    </row>
    <row r="317" spans="1:9" x14ac:dyDescent="0.15">
      <c r="A317">
        <v>1181733</v>
      </c>
      <c r="B317" t="s">
        <v>36</v>
      </c>
      <c r="C317" t="s">
        <v>18</v>
      </c>
      <c r="D317">
        <v>39192</v>
      </c>
      <c r="E317">
        <v>185000</v>
      </c>
      <c r="F317">
        <v>157250</v>
      </c>
      <c r="G317" t="s">
        <v>17</v>
      </c>
      <c r="H317">
        <v>1088.77</v>
      </c>
      <c r="I317">
        <v>155568.48000000001</v>
      </c>
    </row>
    <row r="318" spans="1:9" x14ac:dyDescent="0.15">
      <c r="A318">
        <v>1181759</v>
      </c>
      <c r="B318" t="s">
        <v>35</v>
      </c>
      <c r="C318" t="s">
        <v>16</v>
      </c>
      <c r="D318">
        <v>39169</v>
      </c>
      <c r="E318">
        <v>155000</v>
      </c>
      <c r="F318">
        <v>139500</v>
      </c>
      <c r="G318" t="s">
        <v>15</v>
      </c>
      <c r="H318">
        <v>900.94</v>
      </c>
      <c r="I318">
        <v>139500</v>
      </c>
    </row>
    <row r="319" spans="1:9" x14ac:dyDescent="0.15">
      <c r="A319">
        <v>1181785</v>
      </c>
      <c r="B319" t="s">
        <v>38</v>
      </c>
      <c r="C319" t="s">
        <v>18</v>
      </c>
      <c r="D319">
        <v>39169</v>
      </c>
      <c r="E319">
        <v>147000</v>
      </c>
      <c r="F319">
        <v>139650</v>
      </c>
      <c r="G319" t="s">
        <v>15</v>
      </c>
      <c r="H319">
        <v>1123.6600000000001</v>
      </c>
      <c r="I319">
        <v>138516.01</v>
      </c>
    </row>
    <row r="320" spans="1:9" x14ac:dyDescent="0.15">
      <c r="A320">
        <v>1182226</v>
      </c>
      <c r="B320" t="s">
        <v>37</v>
      </c>
      <c r="C320" t="s">
        <v>19</v>
      </c>
      <c r="D320">
        <v>39217</v>
      </c>
      <c r="E320">
        <v>73000</v>
      </c>
      <c r="F320">
        <v>61625</v>
      </c>
      <c r="G320" t="s">
        <v>17</v>
      </c>
      <c r="H320">
        <v>515.92999999999995</v>
      </c>
      <c r="I320">
        <v>61072.91</v>
      </c>
    </row>
    <row r="321" spans="1:9" x14ac:dyDescent="0.15">
      <c r="A321">
        <v>1182482</v>
      </c>
      <c r="B321" t="s">
        <v>36</v>
      </c>
      <c r="C321" t="s">
        <v>18</v>
      </c>
      <c r="D321">
        <v>39181</v>
      </c>
      <c r="E321">
        <v>202000</v>
      </c>
      <c r="F321">
        <v>169980</v>
      </c>
      <c r="G321" t="s">
        <v>15</v>
      </c>
      <c r="H321">
        <v>1108.0999999999999</v>
      </c>
      <c r="I321">
        <v>169672.24</v>
      </c>
    </row>
    <row r="322" spans="1:9" x14ac:dyDescent="0.15">
      <c r="A322">
        <v>1182488</v>
      </c>
      <c r="B322" t="s">
        <v>37</v>
      </c>
      <c r="C322" t="s">
        <v>19</v>
      </c>
      <c r="D322">
        <v>39198</v>
      </c>
      <c r="E322">
        <v>115000</v>
      </c>
      <c r="F322">
        <v>94500</v>
      </c>
      <c r="G322" t="s">
        <v>17</v>
      </c>
      <c r="H322">
        <v>729.98</v>
      </c>
      <c r="I322">
        <v>93688.44</v>
      </c>
    </row>
    <row r="323" spans="1:9" x14ac:dyDescent="0.15">
      <c r="A323">
        <v>1182522</v>
      </c>
      <c r="B323" t="s">
        <v>38</v>
      </c>
      <c r="C323" t="s">
        <v>19</v>
      </c>
      <c r="D323">
        <v>39168</v>
      </c>
      <c r="E323">
        <v>140000</v>
      </c>
      <c r="F323">
        <v>129200</v>
      </c>
      <c r="G323" t="s">
        <v>17</v>
      </c>
      <c r="H323">
        <v>1210.92</v>
      </c>
      <c r="I323">
        <v>128539.53</v>
      </c>
    </row>
    <row r="324" spans="1:9" x14ac:dyDescent="0.15">
      <c r="A324">
        <v>1182597</v>
      </c>
      <c r="B324" t="s">
        <v>36</v>
      </c>
      <c r="C324" t="s">
        <v>19</v>
      </c>
      <c r="D324">
        <v>39176</v>
      </c>
      <c r="E324">
        <v>163500</v>
      </c>
      <c r="F324">
        <v>155325</v>
      </c>
      <c r="G324" t="s">
        <v>15</v>
      </c>
      <c r="H324">
        <v>1252.19</v>
      </c>
      <c r="I324">
        <v>154897.39000000001</v>
      </c>
    </row>
    <row r="325" spans="1:9" x14ac:dyDescent="0.15">
      <c r="A325">
        <v>1182599</v>
      </c>
      <c r="B325" t="s">
        <v>37</v>
      </c>
      <c r="C325" t="s">
        <v>19</v>
      </c>
      <c r="D325">
        <v>39190</v>
      </c>
      <c r="E325">
        <v>110000</v>
      </c>
      <c r="F325">
        <v>93500</v>
      </c>
      <c r="G325" t="s">
        <v>17</v>
      </c>
      <c r="H325">
        <v>779.39</v>
      </c>
      <c r="I325">
        <v>92866.66</v>
      </c>
    </row>
    <row r="326" spans="1:9" x14ac:dyDescent="0.15">
      <c r="A326">
        <v>1182731</v>
      </c>
      <c r="B326" t="s">
        <v>36</v>
      </c>
      <c r="C326" t="s">
        <v>18</v>
      </c>
      <c r="D326">
        <v>39183</v>
      </c>
      <c r="E326">
        <v>232900</v>
      </c>
      <c r="F326">
        <v>186320</v>
      </c>
      <c r="G326" t="s">
        <v>17</v>
      </c>
      <c r="H326">
        <v>1156.5</v>
      </c>
      <c r="I326">
        <v>185437.86</v>
      </c>
    </row>
    <row r="327" spans="1:9" x14ac:dyDescent="0.15">
      <c r="A327">
        <v>1182890</v>
      </c>
      <c r="B327" t="s">
        <v>36</v>
      </c>
      <c r="C327" t="s">
        <v>19</v>
      </c>
      <c r="D327">
        <v>39183</v>
      </c>
      <c r="E327">
        <v>161000</v>
      </c>
      <c r="F327">
        <v>133500</v>
      </c>
      <c r="G327" t="s">
        <v>17</v>
      </c>
      <c r="H327">
        <v>947.21</v>
      </c>
      <c r="I327">
        <v>132183.82</v>
      </c>
    </row>
    <row r="328" spans="1:9" x14ac:dyDescent="0.15">
      <c r="A328">
        <v>1182988</v>
      </c>
      <c r="B328" t="s">
        <v>35</v>
      </c>
      <c r="C328" t="s">
        <v>16</v>
      </c>
      <c r="D328">
        <v>39171</v>
      </c>
      <c r="E328">
        <v>166000</v>
      </c>
      <c r="F328">
        <v>148500</v>
      </c>
      <c r="G328" t="s">
        <v>17</v>
      </c>
      <c r="H328">
        <v>1152.3800000000001</v>
      </c>
      <c r="I328">
        <v>147303.73000000001</v>
      </c>
    </row>
    <row r="329" spans="1:9" x14ac:dyDescent="0.15">
      <c r="A329">
        <v>1183257</v>
      </c>
      <c r="B329" t="s">
        <v>37</v>
      </c>
      <c r="C329" t="s">
        <v>19</v>
      </c>
      <c r="D329">
        <v>39202</v>
      </c>
      <c r="E329">
        <v>274000</v>
      </c>
      <c r="F329">
        <v>182000</v>
      </c>
      <c r="G329" t="s">
        <v>17</v>
      </c>
      <c r="H329">
        <v>1344.98</v>
      </c>
      <c r="I329">
        <v>180371.77</v>
      </c>
    </row>
    <row r="330" spans="1:9" x14ac:dyDescent="0.15">
      <c r="A330">
        <v>1183375</v>
      </c>
      <c r="B330" t="s">
        <v>37</v>
      </c>
      <c r="C330" t="s">
        <v>18</v>
      </c>
      <c r="D330">
        <v>39174</v>
      </c>
      <c r="E330">
        <v>239500</v>
      </c>
      <c r="F330">
        <v>191600</v>
      </c>
      <c r="G330" t="s">
        <v>21</v>
      </c>
      <c r="H330">
        <v>1339.7</v>
      </c>
      <c r="I330">
        <v>189831.97</v>
      </c>
    </row>
    <row r="331" spans="1:9" x14ac:dyDescent="0.15">
      <c r="A331">
        <v>1183423</v>
      </c>
      <c r="B331" t="s">
        <v>37</v>
      </c>
      <c r="C331" t="s">
        <v>18</v>
      </c>
      <c r="D331">
        <v>39174</v>
      </c>
      <c r="E331">
        <v>147000</v>
      </c>
      <c r="F331">
        <v>124950</v>
      </c>
      <c r="G331" t="s">
        <v>17</v>
      </c>
      <c r="H331">
        <v>1110.4100000000001</v>
      </c>
      <c r="I331">
        <v>124335.5</v>
      </c>
    </row>
    <row r="332" spans="1:9" x14ac:dyDescent="0.15">
      <c r="A332">
        <v>1183607</v>
      </c>
      <c r="B332" t="s">
        <v>37</v>
      </c>
      <c r="C332" t="s">
        <v>19</v>
      </c>
      <c r="D332">
        <v>39176</v>
      </c>
      <c r="E332">
        <v>152000</v>
      </c>
      <c r="F332">
        <v>129200</v>
      </c>
      <c r="G332" t="s">
        <v>15</v>
      </c>
      <c r="H332">
        <v>1081.68</v>
      </c>
      <c r="I332">
        <v>128349.95</v>
      </c>
    </row>
    <row r="333" spans="1:9" x14ac:dyDescent="0.15">
      <c r="A333">
        <v>1183627</v>
      </c>
      <c r="B333" t="s">
        <v>38</v>
      </c>
      <c r="C333" t="s">
        <v>19</v>
      </c>
      <c r="D333">
        <v>39182</v>
      </c>
      <c r="E333">
        <v>168000</v>
      </c>
      <c r="F333">
        <v>142800</v>
      </c>
      <c r="G333" t="s">
        <v>15</v>
      </c>
      <c r="H333">
        <v>880.6</v>
      </c>
      <c r="I333">
        <v>142800</v>
      </c>
    </row>
    <row r="334" spans="1:9" x14ac:dyDescent="0.15">
      <c r="A334">
        <v>1183723</v>
      </c>
      <c r="B334" t="s">
        <v>37</v>
      </c>
      <c r="C334" t="s">
        <v>19</v>
      </c>
      <c r="D334">
        <v>39181</v>
      </c>
      <c r="E334">
        <v>122000</v>
      </c>
      <c r="F334">
        <v>83500</v>
      </c>
      <c r="G334" t="s">
        <v>17</v>
      </c>
      <c r="H334">
        <v>636.14</v>
      </c>
      <c r="I334">
        <v>82911.66</v>
      </c>
    </row>
    <row r="335" spans="1:9" x14ac:dyDescent="0.15">
      <c r="A335">
        <v>1183751</v>
      </c>
      <c r="B335" t="s">
        <v>36</v>
      </c>
      <c r="C335" t="s">
        <v>19</v>
      </c>
      <c r="D335">
        <v>39181</v>
      </c>
      <c r="E335">
        <v>123500</v>
      </c>
      <c r="F335">
        <v>104975</v>
      </c>
      <c r="G335" t="s">
        <v>17</v>
      </c>
      <c r="H335">
        <v>748.43</v>
      </c>
      <c r="I335">
        <v>104044.53</v>
      </c>
    </row>
    <row r="336" spans="1:9" x14ac:dyDescent="0.15">
      <c r="A336">
        <v>1183785</v>
      </c>
      <c r="B336" t="s">
        <v>36</v>
      </c>
      <c r="C336" t="s">
        <v>18</v>
      </c>
      <c r="D336">
        <v>39171</v>
      </c>
      <c r="E336">
        <v>180200</v>
      </c>
      <c r="F336">
        <v>162180</v>
      </c>
      <c r="G336" t="s">
        <v>15</v>
      </c>
      <c r="H336">
        <v>1025.77</v>
      </c>
      <c r="I336">
        <v>161861.41</v>
      </c>
    </row>
    <row r="337" spans="1:9" x14ac:dyDescent="0.15">
      <c r="A337">
        <v>1183795</v>
      </c>
      <c r="B337" t="s">
        <v>36</v>
      </c>
      <c r="C337" t="s">
        <v>18</v>
      </c>
      <c r="D337">
        <v>39176</v>
      </c>
      <c r="E337">
        <v>103100</v>
      </c>
      <c r="F337">
        <v>92000</v>
      </c>
      <c r="G337" t="s">
        <v>17</v>
      </c>
      <c r="H337">
        <v>774</v>
      </c>
      <c r="I337">
        <v>91795.06</v>
      </c>
    </row>
    <row r="338" spans="1:9" x14ac:dyDescent="0.15">
      <c r="A338">
        <v>1183952</v>
      </c>
      <c r="B338" t="s">
        <v>36</v>
      </c>
      <c r="C338" t="s">
        <v>19</v>
      </c>
      <c r="D338">
        <v>39195</v>
      </c>
      <c r="E338">
        <v>159000</v>
      </c>
      <c r="F338">
        <v>103000</v>
      </c>
      <c r="G338" t="s">
        <v>15</v>
      </c>
      <c r="H338">
        <v>723.92</v>
      </c>
      <c r="I338">
        <v>102642.9</v>
      </c>
    </row>
    <row r="339" spans="1:9" x14ac:dyDescent="0.15">
      <c r="A339">
        <v>1184000</v>
      </c>
      <c r="B339" t="s">
        <v>36</v>
      </c>
      <c r="C339" t="s">
        <v>19</v>
      </c>
      <c r="D339">
        <v>39181</v>
      </c>
      <c r="E339">
        <v>135000</v>
      </c>
      <c r="F339">
        <v>100000</v>
      </c>
      <c r="G339" t="s">
        <v>15</v>
      </c>
      <c r="H339">
        <v>699.22</v>
      </c>
      <c r="I339">
        <v>99078.1</v>
      </c>
    </row>
    <row r="340" spans="1:9" x14ac:dyDescent="0.15">
      <c r="A340">
        <v>1184001</v>
      </c>
      <c r="B340" t="s">
        <v>36</v>
      </c>
      <c r="C340" t="s">
        <v>18</v>
      </c>
      <c r="D340">
        <v>39182</v>
      </c>
      <c r="E340">
        <v>260000</v>
      </c>
      <c r="F340">
        <v>242000</v>
      </c>
      <c r="G340" t="s">
        <v>15</v>
      </c>
      <c r="H340">
        <v>1885.35</v>
      </c>
      <c r="I340">
        <v>241317.1</v>
      </c>
    </row>
    <row r="341" spans="1:9" x14ac:dyDescent="0.15">
      <c r="A341">
        <v>1184018</v>
      </c>
      <c r="B341" t="s">
        <v>36</v>
      </c>
      <c r="C341" t="s">
        <v>18</v>
      </c>
      <c r="D341">
        <v>39209</v>
      </c>
      <c r="E341">
        <v>240000</v>
      </c>
      <c r="F341">
        <v>168000</v>
      </c>
      <c r="G341" t="s">
        <v>17</v>
      </c>
      <c r="H341">
        <v>1301.5</v>
      </c>
      <c r="I341">
        <v>164342.82</v>
      </c>
    </row>
    <row r="342" spans="1:9" x14ac:dyDescent="0.15">
      <c r="A342">
        <v>1184589</v>
      </c>
      <c r="B342" t="s">
        <v>36</v>
      </c>
      <c r="C342" t="s">
        <v>18</v>
      </c>
      <c r="D342">
        <v>39176</v>
      </c>
      <c r="E342">
        <v>160000</v>
      </c>
      <c r="F342">
        <v>152000</v>
      </c>
      <c r="G342" t="s">
        <v>15</v>
      </c>
      <c r="H342">
        <v>1068.02</v>
      </c>
      <c r="I342">
        <v>150398.79</v>
      </c>
    </row>
    <row r="343" spans="1:9" x14ac:dyDescent="0.15">
      <c r="A343">
        <v>1184605</v>
      </c>
      <c r="B343" t="s">
        <v>37</v>
      </c>
      <c r="C343" t="s">
        <v>19</v>
      </c>
      <c r="D343">
        <v>39188</v>
      </c>
      <c r="E343">
        <v>208000</v>
      </c>
      <c r="F343">
        <v>168000</v>
      </c>
      <c r="G343" t="s">
        <v>15</v>
      </c>
      <c r="H343">
        <v>1086.99</v>
      </c>
      <c r="I343">
        <v>167280.20000000001</v>
      </c>
    </row>
    <row r="344" spans="1:9" x14ac:dyDescent="0.15">
      <c r="A344">
        <v>1184694</v>
      </c>
      <c r="B344" t="s">
        <v>36</v>
      </c>
      <c r="C344" t="s">
        <v>19</v>
      </c>
      <c r="D344">
        <v>39181</v>
      </c>
      <c r="E344">
        <v>485000</v>
      </c>
      <c r="F344">
        <v>436500</v>
      </c>
      <c r="G344" t="s">
        <v>15</v>
      </c>
      <c r="H344">
        <v>2999.35</v>
      </c>
      <c r="I344">
        <v>435952.49</v>
      </c>
    </row>
    <row r="345" spans="1:9" x14ac:dyDescent="0.15">
      <c r="A345">
        <v>1184708</v>
      </c>
      <c r="B345" t="s">
        <v>36</v>
      </c>
      <c r="C345" t="s">
        <v>19</v>
      </c>
      <c r="D345">
        <v>39181</v>
      </c>
      <c r="E345">
        <v>165000</v>
      </c>
      <c r="F345">
        <v>100000</v>
      </c>
      <c r="G345" t="s">
        <v>17</v>
      </c>
      <c r="H345">
        <v>570.51</v>
      </c>
      <c r="I345">
        <v>99734.85</v>
      </c>
    </row>
    <row r="346" spans="1:9" x14ac:dyDescent="0.15">
      <c r="A346">
        <v>1184710</v>
      </c>
      <c r="B346" t="s">
        <v>35</v>
      </c>
      <c r="C346" t="s">
        <v>16</v>
      </c>
      <c r="D346">
        <v>39195</v>
      </c>
      <c r="E346">
        <v>59000</v>
      </c>
      <c r="F346">
        <v>50150</v>
      </c>
      <c r="G346" t="s">
        <v>15</v>
      </c>
      <c r="H346">
        <v>403.52</v>
      </c>
      <c r="I346">
        <v>49807.35</v>
      </c>
    </row>
    <row r="347" spans="1:9" x14ac:dyDescent="0.15">
      <c r="A347">
        <v>1184800</v>
      </c>
      <c r="B347" t="s">
        <v>37</v>
      </c>
      <c r="C347" t="s">
        <v>19</v>
      </c>
      <c r="D347">
        <v>39181</v>
      </c>
      <c r="E347">
        <v>95000</v>
      </c>
      <c r="F347">
        <v>90250</v>
      </c>
      <c r="G347" t="s">
        <v>17</v>
      </c>
      <c r="H347">
        <v>862.89</v>
      </c>
      <c r="I347">
        <v>89847.97</v>
      </c>
    </row>
    <row r="348" spans="1:9" x14ac:dyDescent="0.15">
      <c r="A348">
        <v>1184817</v>
      </c>
      <c r="B348" t="s">
        <v>37</v>
      </c>
      <c r="C348" t="s">
        <v>19</v>
      </c>
      <c r="D348">
        <v>39182</v>
      </c>
      <c r="E348">
        <v>139000</v>
      </c>
      <c r="F348">
        <v>83400</v>
      </c>
      <c r="G348" t="s">
        <v>17</v>
      </c>
      <c r="H348">
        <v>870.89</v>
      </c>
      <c r="I348">
        <v>80759.3</v>
      </c>
    </row>
    <row r="349" spans="1:9" x14ac:dyDescent="0.15">
      <c r="A349">
        <v>1184825</v>
      </c>
      <c r="B349" t="s">
        <v>35</v>
      </c>
      <c r="C349" t="s">
        <v>16</v>
      </c>
      <c r="D349">
        <v>39182</v>
      </c>
      <c r="E349">
        <v>107000</v>
      </c>
      <c r="F349">
        <v>96300</v>
      </c>
      <c r="G349" t="s">
        <v>15</v>
      </c>
      <c r="H349">
        <v>774.86</v>
      </c>
      <c r="I349">
        <v>95584.44</v>
      </c>
    </row>
    <row r="350" spans="1:9" x14ac:dyDescent="0.15">
      <c r="A350">
        <v>1185326</v>
      </c>
      <c r="B350" t="s">
        <v>36</v>
      </c>
      <c r="C350" t="s">
        <v>19</v>
      </c>
      <c r="D350">
        <v>39202</v>
      </c>
      <c r="E350">
        <v>170000</v>
      </c>
      <c r="F350">
        <v>119000</v>
      </c>
      <c r="G350" t="s">
        <v>17</v>
      </c>
      <c r="H350">
        <v>872.36</v>
      </c>
      <c r="I350">
        <v>118003.82</v>
      </c>
    </row>
    <row r="351" spans="1:9" x14ac:dyDescent="0.15">
      <c r="A351">
        <v>1185438</v>
      </c>
      <c r="B351" t="s">
        <v>35</v>
      </c>
      <c r="C351" t="s">
        <v>16</v>
      </c>
      <c r="D351">
        <v>39195</v>
      </c>
      <c r="E351">
        <v>200000</v>
      </c>
      <c r="F351">
        <v>154700</v>
      </c>
      <c r="G351" t="s">
        <v>17</v>
      </c>
      <c r="H351">
        <v>1178.57</v>
      </c>
      <c r="I351">
        <v>153412.68</v>
      </c>
    </row>
    <row r="352" spans="1:9" x14ac:dyDescent="0.15">
      <c r="A352">
        <v>1185439</v>
      </c>
      <c r="B352" t="s">
        <v>36</v>
      </c>
      <c r="C352" t="s">
        <v>19</v>
      </c>
      <c r="D352">
        <v>39181</v>
      </c>
      <c r="E352">
        <v>141000</v>
      </c>
      <c r="F352">
        <v>80000</v>
      </c>
      <c r="G352" t="s">
        <v>17</v>
      </c>
      <c r="H352">
        <v>581.35</v>
      </c>
      <c r="I352">
        <v>79899.88</v>
      </c>
    </row>
    <row r="353" spans="1:9" x14ac:dyDescent="0.15">
      <c r="A353">
        <v>1185786</v>
      </c>
      <c r="B353" t="s">
        <v>37</v>
      </c>
      <c r="C353" t="s">
        <v>18</v>
      </c>
      <c r="D353">
        <v>39185</v>
      </c>
      <c r="E353">
        <v>70000</v>
      </c>
      <c r="F353">
        <v>59500</v>
      </c>
      <c r="G353" t="s">
        <v>17</v>
      </c>
      <c r="H353">
        <v>500.31</v>
      </c>
      <c r="I353">
        <v>59100.9</v>
      </c>
    </row>
    <row r="354" spans="1:9" x14ac:dyDescent="0.15">
      <c r="A354">
        <v>1186175</v>
      </c>
      <c r="B354" t="s">
        <v>36</v>
      </c>
      <c r="C354" t="s">
        <v>19</v>
      </c>
      <c r="D354">
        <v>39176</v>
      </c>
      <c r="E354">
        <v>535000</v>
      </c>
      <c r="F354">
        <v>425000</v>
      </c>
      <c r="G354" t="s">
        <v>17</v>
      </c>
      <c r="H354">
        <v>2870.48</v>
      </c>
      <c r="I354">
        <v>420806.07</v>
      </c>
    </row>
    <row r="355" spans="1:9" x14ac:dyDescent="0.15">
      <c r="A355">
        <v>1186211</v>
      </c>
      <c r="B355" t="s">
        <v>36</v>
      </c>
      <c r="C355" t="s">
        <v>19</v>
      </c>
      <c r="D355">
        <v>39231</v>
      </c>
      <c r="E355">
        <v>185000</v>
      </c>
      <c r="F355">
        <v>165000</v>
      </c>
      <c r="G355" t="s">
        <v>15</v>
      </c>
      <c r="H355">
        <v>1241.0899999999999</v>
      </c>
      <c r="I355">
        <v>164566.82</v>
      </c>
    </row>
    <row r="356" spans="1:9" x14ac:dyDescent="0.15">
      <c r="A356">
        <v>1186276</v>
      </c>
      <c r="B356" t="s">
        <v>36</v>
      </c>
      <c r="C356" t="s">
        <v>19</v>
      </c>
      <c r="D356">
        <v>39185</v>
      </c>
      <c r="E356">
        <v>235000</v>
      </c>
      <c r="F356">
        <v>223250</v>
      </c>
      <c r="G356" t="s">
        <v>15</v>
      </c>
      <c r="H356">
        <v>1783.12</v>
      </c>
      <c r="I356">
        <v>223052.87</v>
      </c>
    </row>
    <row r="357" spans="1:9" x14ac:dyDescent="0.15">
      <c r="A357">
        <v>1186404</v>
      </c>
      <c r="B357" t="s">
        <v>37</v>
      </c>
      <c r="C357" t="s">
        <v>19</v>
      </c>
      <c r="D357">
        <v>39185</v>
      </c>
      <c r="E357">
        <v>150000</v>
      </c>
      <c r="F357">
        <v>127500</v>
      </c>
      <c r="G357" t="s">
        <v>20</v>
      </c>
      <c r="H357">
        <v>1008.1</v>
      </c>
      <c r="I357">
        <v>127183.33</v>
      </c>
    </row>
    <row r="358" spans="1:9" x14ac:dyDescent="0.15">
      <c r="A358">
        <v>1186596</v>
      </c>
      <c r="B358" t="s">
        <v>37</v>
      </c>
      <c r="C358" t="s">
        <v>18</v>
      </c>
      <c r="D358">
        <v>39202</v>
      </c>
      <c r="E358">
        <v>121000</v>
      </c>
      <c r="F358">
        <v>102850</v>
      </c>
      <c r="G358" t="s">
        <v>15</v>
      </c>
      <c r="H358">
        <v>905.76</v>
      </c>
      <c r="I358">
        <v>102668.8</v>
      </c>
    </row>
    <row r="359" spans="1:9" x14ac:dyDescent="0.15">
      <c r="A359">
        <v>1186792</v>
      </c>
      <c r="B359" t="s">
        <v>38</v>
      </c>
      <c r="C359" t="s">
        <v>19</v>
      </c>
      <c r="D359">
        <v>39181</v>
      </c>
      <c r="E359">
        <v>149000</v>
      </c>
      <c r="F359">
        <v>126650</v>
      </c>
      <c r="G359" t="s">
        <v>17</v>
      </c>
      <c r="H359">
        <v>1116.1300000000001</v>
      </c>
      <c r="I359">
        <v>125598.74</v>
      </c>
    </row>
    <row r="360" spans="1:9" x14ac:dyDescent="0.15">
      <c r="A360">
        <v>1186811</v>
      </c>
      <c r="B360" t="s">
        <v>36</v>
      </c>
      <c r="C360" t="s">
        <v>19</v>
      </c>
      <c r="D360">
        <v>39185</v>
      </c>
      <c r="E360">
        <v>116000</v>
      </c>
      <c r="F360">
        <v>91000</v>
      </c>
      <c r="G360" t="s">
        <v>15</v>
      </c>
      <c r="H360">
        <v>677.52</v>
      </c>
      <c r="I360">
        <v>90730.76</v>
      </c>
    </row>
    <row r="361" spans="1:9" x14ac:dyDescent="0.15">
      <c r="A361">
        <v>1186832</v>
      </c>
      <c r="B361" t="s">
        <v>36</v>
      </c>
      <c r="C361" t="s">
        <v>19</v>
      </c>
      <c r="D361">
        <v>39181</v>
      </c>
      <c r="E361">
        <v>236000</v>
      </c>
      <c r="F361">
        <v>212400</v>
      </c>
      <c r="G361" t="s">
        <v>15</v>
      </c>
      <c r="H361">
        <v>1514.33</v>
      </c>
      <c r="I361">
        <v>210469.1</v>
      </c>
    </row>
    <row r="362" spans="1:9" x14ac:dyDescent="0.15">
      <c r="A362">
        <v>1186859</v>
      </c>
      <c r="B362" t="s">
        <v>36</v>
      </c>
      <c r="C362" t="s">
        <v>19</v>
      </c>
      <c r="D362">
        <v>39185</v>
      </c>
      <c r="E362">
        <v>165000</v>
      </c>
      <c r="F362">
        <v>107000</v>
      </c>
      <c r="G362" t="s">
        <v>17</v>
      </c>
      <c r="H362">
        <v>706.86</v>
      </c>
      <c r="I362">
        <v>105797.62</v>
      </c>
    </row>
    <row r="363" spans="1:9" x14ac:dyDescent="0.15">
      <c r="A363">
        <v>1186887</v>
      </c>
      <c r="B363" t="s">
        <v>36</v>
      </c>
      <c r="C363" t="s">
        <v>19</v>
      </c>
      <c r="D363">
        <v>39182</v>
      </c>
      <c r="E363">
        <v>540000</v>
      </c>
      <c r="F363">
        <v>375000</v>
      </c>
      <c r="G363" t="s">
        <v>20</v>
      </c>
      <c r="H363">
        <v>2495.85</v>
      </c>
      <c r="I363">
        <v>374316.67</v>
      </c>
    </row>
    <row r="364" spans="1:9" x14ac:dyDescent="0.15">
      <c r="A364">
        <v>1186953</v>
      </c>
      <c r="B364" t="s">
        <v>36</v>
      </c>
      <c r="C364" t="s">
        <v>19</v>
      </c>
      <c r="D364">
        <v>39223</v>
      </c>
      <c r="E364">
        <v>125000</v>
      </c>
      <c r="F364">
        <v>98000</v>
      </c>
      <c r="G364" t="s">
        <v>17</v>
      </c>
      <c r="H364">
        <v>608.29999999999995</v>
      </c>
      <c r="I364">
        <v>97575.84</v>
      </c>
    </row>
    <row r="365" spans="1:9" x14ac:dyDescent="0.15">
      <c r="A365">
        <v>1187002</v>
      </c>
      <c r="B365" t="s">
        <v>36</v>
      </c>
      <c r="C365" t="s">
        <v>18</v>
      </c>
      <c r="D365">
        <v>39189</v>
      </c>
      <c r="E365">
        <v>195000</v>
      </c>
      <c r="F365">
        <v>146250</v>
      </c>
      <c r="G365" t="s">
        <v>15</v>
      </c>
      <c r="H365">
        <v>1093.5999999999999</v>
      </c>
      <c r="I365">
        <v>145075.81</v>
      </c>
    </row>
    <row r="366" spans="1:9" x14ac:dyDescent="0.15">
      <c r="A366">
        <v>1187179</v>
      </c>
      <c r="B366" t="s">
        <v>36</v>
      </c>
      <c r="C366" t="s">
        <v>19</v>
      </c>
      <c r="D366">
        <v>39181</v>
      </c>
      <c r="E366">
        <v>165500</v>
      </c>
      <c r="F366">
        <v>132400</v>
      </c>
      <c r="G366" t="s">
        <v>17</v>
      </c>
      <c r="H366">
        <v>948.53</v>
      </c>
      <c r="I366">
        <v>131136.99</v>
      </c>
    </row>
    <row r="367" spans="1:9" x14ac:dyDescent="0.15">
      <c r="A367">
        <v>1187209</v>
      </c>
      <c r="B367" t="s">
        <v>35</v>
      </c>
      <c r="C367" t="s">
        <v>16</v>
      </c>
      <c r="D367">
        <v>39196</v>
      </c>
      <c r="E367">
        <v>130000</v>
      </c>
      <c r="F367">
        <v>110500</v>
      </c>
      <c r="G367" t="s">
        <v>17</v>
      </c>
      <c r="H367">
        <v>845.74</v>
      </c>
      <c r="I367">
        <v>109612.71</v>
      </c>
    </row>
    <row r="368" spans="1:9" x14ac:dyDescent="0.15">
      <c r="A368">
        <v>1187337</v>
      </c>
      <c r="B368" t="s">
        <v>36</v>
      </c>
      <c r="C368" t="s">
        <v>18</v>
      </c>
      <c r="D368">
        <v>39211</v>
      </c>
      <c r="E368">
        <v>208000</v>
      </c>
      <c r="F368">
        <v>140000</v>
      </c>
      <c r="G368" t="s">
        <v>15</v>
      </c>
      <c r="H368">
        <v>1061.6400000000001</v>
      </c>
      <c r="I368">
        <v>138909.22</v>
      </c>
    </row>
    <row r="369" spans="1:9" x14ac:dyDescent="0.15">
      <c r="A369">
        <v>1187482</v>
      </c>
      <c r="B369" t="s">
        <v>36</v>
      </c>
      <c r="C369" t="s">
        <v>19</v>
      </c>
      <c r="D369">
        <v>39202</v>
      </c>
      <c r="E369">
        <v>445000</v>
      </c>
      <c r="F369">
        <v>231000</v>
      </c>
      <c r="G369" t="s">
        <v>15</v>
      </c>
      <c r="H369">
        <v>1560.19</v>
      </c>
      <c r="I369">
        <v>228720.46</v>
      </c>
    </row>
    <row r="370" spans="1:9" x14ac:dyDescent="0.15">
      <c r="A370">
        <v>1187674</v>
      </c>
      <c r="B370" t="s">
        <v>36</v>
      </c>
      <c r="C370" t="s">
        <v>19</v>
      </c>
      <c r="D370">
        <v>39178</v>
      </c>
      <c r="E370">
        <v>285000</v>
      </c>
      <c r="F370">
        <v>237000</v>
      </c>
      <c r="G370" t="s">
        <v>17</v>
      </c>
      <c r="H370">
        <v>1575.18</v>
      </c>
      <c r="I370">
        <v>234587.83</v>
      </c>
    </row>
    <row r="371" spans="1:9" x14ac:dyDescent="0.15">
      <c r="A371">
        <v>1187685</v>
      </c>
      <c r="B371" t="s">
        <v>36</v>
      </c>
      <c r="C371" t="s">
        <v>19</v>
      </c>
      <c r="D371">
        <v>39181</v>
      </c>
      <c r="E371">
        <v>265000</v>
      </c>
      <c r="F371">
        <v>225250</v>
      </c>
      <c r="G371" t="s">
        <v>20</v>
      </c>
      <c r="H371">
        <v>1312.37</v>
      </c>
      <c r="I371">
        <v>224688.79</v>
      </c>
    </row>
    <row r="372" spans="1:9" x14ac:dyDescent="0.15">
      <c r="A372">
        <v>1187796</v>
      </c>
      <c r="B372" t="s">
        <v>38</v>
      </c>
      <c r="C372" t="s">
        <v>19</v>
      </c>
      <c r="D372">
        <v>39181</v>
      </c>
      <c r="E372">
        <v>185000</v>
      </c>
      <c r="F372">
        <v>160965</v>
      </c>
      <c r="G372" t="s">
        <v>15</v>
      </c>
      <c r="H372">
        <v>1220.6199999999999</v>
      </c>
      <c r="I372">
        <v>159701.44</v>
      </c>
    </row>
    <row r="373" spans="1:9" x14ac:dyDescent="0.15">
      <c r="A373">
        <v>1188013</v>
      </c>
      <c r="B373" t="s">
        <v>36</v>
      </c>
      <c r="C373" t="s">
        <v>18</v>
      </c>
      <c r="D373">
        <v>39195</v>
      </c>
      <c r="E373">
        <v>156000</v>
      </c>
      <c r="F373">
        <v>127500</v>
      </c>
      <c r="G373" t="s">
        <v>17</v>
      </c>
      <c r="H373">
        <v>971.35</v>
      </c>
      <c r="I373">
        <v>126437.47</v>
      </c>
    </row>
    <row r="374" spans="1:9" x14ac:dyDescent="0.15">
      <c r="A374">
        <v>1188352</v>
      </c>
      <c r="B374" t="s">
        <v>37</v>
      </c>
      <c r="C374" t="s">
        <v>19</v>
      </c>
      <c r="D374">
        <v>39189</v>
      </c>
      <c r="E374">
        <v>210000</v>
      </c>
      <c r="F374">
        <v>199500</v>
      </c>
      <c r="G374" t="s">
        <v>15</v>
      </c>
      <c r="H374">
        <v>1639.39</v>
      </c>
      <c r="I374">
        <v>199021.33</v>
      </c>
    </row>
    <row r="375" spans="1:9" x14ac:dyDescent="0.15">
      <c r="A375">
        <v>1188360</v>
      </c>
      <c r="B375" t="s">
        <v>37</v>
      </c>
      <c r="C375" t="s">
        <v>19</v>
      </c>
      <c r="D375">
        <v>39189</v>
      </c>
      <c r="E375">
        <v>299000</v>
      </c>
      <c r="F375">
        <v>254150</v>
      </c>
      <c r="G375" t="s">
        <v>15</v>
      </c>
      <c r="H375">
        <v>2088.48</v>
      </c>
      <c r="I375">
        <v>253540.13</v>
      </c>
    </row>
    <row r="376" spans="1:9" x14ac:dyDescent="0.15">
      <c r="A376">
        <v>1188381</v>
      </c>
      <c r="B376" t="s">
        <v>38</v>
      </c>
      <c r="C376" t="s">
        <v>19</v>
      </c>
      <c r="D376">
        <v>39190</v>
      </c>
      <c r="E376">
        <v>193000</v>
      </c>
      <c r="F376">
        <v>164050</v>
      </c>
      <c r="G376" t="s">
        <v>17</v>
      </c>
      <c r="H376">
        <v>1308.2</v>
      </c>
      <c r="I376">
        <v>162904.85</v>
      </c>
    </row>
    <row r="377" spans="1:9" x14ac:dyDescent="0.15">
      <c r="A377">
        <v>1188411</v>
      </c>
      <c r="B377" t="s">
        <v>36</v>
      </c>
      <c r="C377" t="s">
        <v>18</v>
      </c>
      <c r="D377">
        <v>39245</v>
      </c>
      <c r="E377">
        <v>122000</v>
      </c>
      <c r="F377">
        <v>83000</v>
      </c>
      <c r="G377" t="s">
        <v>17</v>
      </c>
      <c r="H377">
        <v>730.84</v>
      </c>
      <c r="I377">
        <v>81468.179999999993</v>
      </c>
    </row>
    <row r="378" spans="1:9" x14ac:dyDescent="0.15">
      <c r="A378">
        <v>1188426</v>
      </c>
      <c r="B378" t="s">
        <v>38</v>
      </c>
      <c r="C378" t="s">
        <v>19</v>
      </c>
      <c r="D378">
        <v>39188</v>
      </c>
      <c r="E378">
        <v>213000</v>
      </c>
      <c r="F378">
        <v>191700</v>
      </c>
      <c r="G378" t="s">
        <v>15</v>
      </c>
      <c r="H378">
        <v>1523.41</v>
      </c>
      <c r="I378">
        <v>191444.54</v>
      </c>
    </row>
    <row r="379" spans="1:9" x14ac:dyDescent="0.15">
      <c r="A379">
        <v>1188595</v>
      </c>
      <c r="B379" t="s">
        <v>36</v>
      </c>
      <c r="C379" t="s">
        <v>18</v>
      </c>
      <c r="D379">
        <v>39190</v>
      </c>
      <c r="E379">
        <v>220000</v>
      </c>
      <c r="F379">
        <v>145000</v>
      </c>
      <c r="G379" t="s">
        <v>15</v>
      </c>
      <c r="H379">
        <v>963.72</v>
      </c>
      <c r="I379">
        <v>143517.13</v>
      </c>
    </row>
    <row r="380" spans="1:9" x14ac:dyDescent="0.15">
      <c r="A380">
        <v>1188661</v>
      </c>
      <c r="B380" t="s">
        <v>36</v>
      </c>
      <c r="C380" t="s">
        <v>19</v>
      </c>
      <c r="D380">
        <v>39185</v>
      </c>
      <c r="E380">
        <v>197000</v>
      </c>
      <c r="F380">
        <v>128400</v>
      </c>
      <c r="G380" t="s">
        <v>17</v>
      </c>
      <c r="H380">
        <v>897.47</v>
      </c>
      <c r="I380">
        <v>128216.53</v>
      </c>
    </row>
    <row r="381" spans="1:9" x14ac:dyDescent="0.15">
      <c r="A381">
        <v>1189050</v>
      </c>
      <c r="B381" t="s">
        <v>37</v>
      </c>
      <c r="C381" t="s">
        <v>19</v>
      </c>
      <c r="D381">
        <v>39202</v>
      </c>
      <c r="E381">
        <v>142000</v>
      </c>
      <c r="F381">
        <v>113600</v>
      </c>
      <c r="G381" t="s">
        <v>15</v>
      </c>
      <c r="H381">
        <v>918.15</v>
      </c>
      <c r="I381">
        <v>112830.76</v>
      </c>
    </row>
    <row r="382" spans="1:9" x14ac:dyDescent="0.15">
      <c r="A382">
        <v>410000848</v>
      </c>
      <c r="B382" t="s">
        <v>38</v>
      </c>
      <c r="C382" t="s">
        <v>19</v>
      </c>
      <c r="D382">
        <v>39196</v>
      </c>
      <c r="E382">
        <v>171300</v>
      </c>
      <c r="F382">
        <v>154170</v>
      </c>
      <c r="G382" t="s">
        <v>17</v>
      </c>
      <c r="H382">
        <v>1136.08</v>
      </c>
      <c r="I382">
        <v>153659.48000000001</v>
      </c>
    </row>
    <row r="383" spans="1:9" x14ac:dyDescent="0.15">
      <c r="A383">
        <v>410001051</v>
      </c>
      <c r="B383" t="s">
        <v>36</v>
      </c>
      <c r="C383" t="s">
        <v>18</v>
      </c>
      <c r="D383">
        <v>39192</v>
      </c>
      <c r="E383">
        <v>113500</v>
      </c>
      <c r="F383">
        <v>96475</v>
      </c>
      <c r="G383" t="s">
        <v>17</v>
      </c>
      <c r="H383">
        <v>852.65</v>
      </c>
      <c r="I383">
        <v>96417.89</v>
      </c>
    </row>
    <row r="384" spans="1:9" x14ac:dyDescent="0.15">
      <c r="A384">
        <v>410001168</v>
      </c>
      <c r="B384" t="s">
        <v>36</v>
      </c>
      <c r="C384" t="s">
        <v>18</v>
      </c>
      <c r="D384">
        <v>39237</v>
      </c>
      <c r="E384">
        <v>123000</v>
      </c>
      <c r="F384">
        <v>98400</v>
      </c>
      <c r="G384" t="s">
        <v>15</v>
      </c>
      <c r="H384">
        <v>789.9</v>
      </c>
      <c r="I384">
        <v>98322.16</v>
      </c>
    </row>
    <row r="385" spans="1:9" x14ac:dyDescent="0.15">
      <c r="A385">
        <v>410002133</v>
      </c>
      <c r="B385" t="s">
        <v>37</v>
      </c>
      <c r="C385" t="s">
        <v>19</v>
      </c>
      <c r="D385">
        <v>39185</v>
      </c>
      <c r="E385">
        <v>193500</v>
      </c>
      <c r="F385">
        <v>174150</v>
      </c>
      <c r="G385" t="s">
        <v>17</v>
      </c>
      <c r="H385">
        <v>1259.69</v>
      </c>
      <c r="I385">
        <v>172651.34</v>
      </c>
    </row>
    <row r="386" spans="1:9" x14ac:dyDescent="0.15">
      <c r="A386">
        <v>410003669</v>
      </c>
      <c r="B386" t="s">
        <v>36</v>
      </c>
      <c r="C386" t="s">
        <v>18</v>
      </c>
      <c r="D386">
        <v>39195</v>
      </c>
      <c r="E386">
        <v>236200</v>
      </c>
      <c r="F386">
        <v>188960</v>
      </c>
      <c r="G386" t="s">
        <v>17</v>
      </c>
      <c r="H386">
        <v>1530.7</v>
      </c>
      <c r="I386">
        <v>188562.07</v>
      </c>
    </row>
    <row r="387" spans="1:9" x14ac:dyDescent="0.15">
      <c r="A387">
        <v>410003974</v>
      </c>
      <c r="B387" t="s">
        <v>36</v>
      </c>
      <c r="C387" t="s">
        <v>19</v>
      </c>
      <c r="D387">
        <v>39197</v>
      </c>
      <c r="E387">
        <v>374000</v>
      </c>
      <c r="F387">
        <v>325000</v>
      </c>
      <c r="G387" t="s">
        <v>15</v>
      </c>
      <c r="H387">
        <v>2305.9299999999998</v>
      </c>
      <c r="I387">
        <v>322090.74</v>
      </c>
    </row>
    <row r="388" spans="1:9" x14ac:dyDescent="0.15">
      <c r="A388">
        <v>410004022</v>
      </c>
      <c r="B388" t="s">
        <v>36</v>
      </c>
      <c r="C388" t="s">
        <v>19</v>
      </c>
      <c r="D388">
        <v>39189</v>
      </c>
      <c r="E388">
        <v>216000</v>
      </c>
      <c r="F388">
        <v>160000</v>
      </c>
      <c r="G388" t="s">
        <v>15</v>
      </c>
      <c r="H388">
        <v>1099.42</v>
      </c>
      <c r="I388">
        <v>159758.12</v>
      </c>
    </row>
    <row r="389" spans="1:9" x14ac:dyDescent="0.15">
      <c r="A389">
        <v>410005276</v>
      </c>
      <c r="B389" t="s">
        <v>36</v>
      </c>
      <c r="C389" t="s">
        <v>19</v>
      </c>
      <c r="D389">
        <v>39199</v>
      </c>
      <c r="E389">
        <v>230000</v>
      </c>
      <c r="F389">
        <v>207000</v>
      </c>
      <c r="G389" t="s">
        <v>15</v>
      </c>
      <c r="H389">
        <v>1544.23</v>
      </c>
      <c r="I389">
        <v>205321.13</v>
      </c>
    </row>
    <row r="390" spans="1:9" x14ac:dyDescent="0.15">
      <c r="A390">
        <v>410009344</v>
      </c>
      <c r="B390" t="s">
        <v>37</v>
      </c>
      <c r="C390" t="s">
        <v>19</v>
      </c>
      <c r="D390">
        <v>39206</v>
      </c>
      <c r="E390">
        <v>260000</v>
      </c>
      <c r="F390">
        <v>247000</v>
      </c>
      <c r="G390" t="s">
        <v>21</v>
      </c>
      <c r="H390">
        <v>1982.76</v>
      </c>
      <c r="I390">
        <v>246761.1</v>
      </c>
    </row>
    <row r="391" spans="1:9" x14ac:dyDescent="0.15">
      <c r="A391">
        <v>410011712</v>
      </c>
      <c r="B391" t="s">
        <v>36</v>
      </c>
      <c r="C391" t="s">
        <v>19</v>
      </c>
      <c r="D391">
        <v>39188</v>
      </c>
      <c r="E391">
        <v>360000</v>
      </c>
      <c r="F391">
        <v>261000</v>
      </c>
      <c r="G391" t="s">
        <v>17</v>
      </c>
      <c r="H391">
        <v>1789.35</v>
      </c>
      <c r="I391">
        <v>258713.01</v>
      </c>
    </row>
    <row r="392" spans="1:9" x14ac:dyDescent="0.15">
      <c r="A392">
        <v>410012058</v>
      </c>
      <c r="B392" t="s">
        <v>36</v>
      </c>
      <c r="C392" t="s">
        <v>19</v>
      </c>
      <c r="D392">
        <v>39181</v>
      </c>
      <c r="E392">
        <v>245000</v>
      </c>
      <c r="F392">
        <v>168750</v>
      </c>
      <c r="G392" t="s">
        <v>17</v>
      </c>
      <c r="H392">
        <v>1139.75</v>
      </c>
      <c r="I392">
        <v>167084.75</v>
      </c>
    </row>
    <row r="393" spans="1:9" x14ac:dyDescent="0.15">
      <c r="A393">
        <v>410012066</v>
      </c>
      <c r="B393" t="s">
        <v>35</v>
      </c>
      <c r="C393" t="s">
        <v>16</v>
      </c>
      <c r="D393">
        <v>39192</v>
      </c>
      <c r="E393">
        <v>165000</v>
      </c>
      <c r="F393">
        <v>143000</v>
      </c>
      <c r="G393" t="s">
        <v>17</v>
      </c>
      <c r="H393">
        <v>1044.31</v>
      </c>
      <c r="I393">
        <v>141791.26999999999</v>
      </c>
    </row>
    <row r="394" spans="1:9" x14ac:dyDescent="0.15">
      <c r="A394">
        <v>410012389</v>
      </c>
      <c r="B394" t="s">
        <v>36</v>
      </c>
      <c r="C394" t="s">
        <v>19</v>
      </c>
      <c r="D394">
        <v>39195</v>
      </c>
      <c r="E394">
        <v>185000</v>
      </c>
      <c r="F394">
        <v>175750</v>
      </c>
      <c r="G394" t="s">
        <v>15</v>
      </c>
      <c r="H394">
        <v>1412.86</v>
      </c>
      <c r="I394">
        <v>174546.83</v>
      </c>
    </row>
    <row r="395" spans="1:9" x14ac:dyDescent="0.15">
      <c r="A395">
        <v>410012918</v>
      </c>
      <c r="B395" t="s">
        <v>35</v>
      </c>
      <c r="C395" t="s">
        <v>16</v>
      </c>
      <c r="D395">
        <v>39185</v>
      </c>
      <c r="E395">
        <v>102000</v>
      </c>
      <c r="F395">
        <v>91800</v>
      </c>
      <c r="G395" t="s">
        <v>15</v>
      </c>
      <c r="H395">
        <v>700.04</v>
      </c>
      <c r="I395">
        <v>91703.5</v>
      </c>
    </row>
    <row r="396" spans="1:9" x14ac:dyDescent="0.15">
      <c r="A396">
        <v>410014260</v>
      </c>
      <c r="B396" t="s">
        <v>36</v>
      </c>
      <c r="C396" t="s">
        <v>19</v>
      </c>
      <c r="D396">
        <v>39183</v>
      </c>
      <c r="E396">
        <v>310000</v>
      </c>
      <c r="F396">
        <v>225000</v>
      </c>
      <c r="G396" t="s">
        <v>15</v>
      </c>
      <c r="H396">
        <v>1522.4</v>
      </c>
      <c r="I396">
        <v>224138.52</v>
      </c>
    </row>
    <row r="397" spans="1:9" x14ac:dyDescent="0.15">
      <c r="A397">
        <v>410017495</v>
      </c>
      <c r="B397" t="s">
        <v>36</v>
      </c>
      <c r="C397" t="s">
        <v>19</v>
      </c>
      <c r="D397">
        <v>39196</v>
      </c>
      <c r="E397">
        <v>305000</v>
      </c>
      <c r="F397">
        <v>227000</v>
      </c>
      <c r="G397" t="s">
        <v>17</v>
      </c>
      <c r="H397">
        <v>1742.26</v>
      </c>
      <c r="I397">
        <v>226374.12</v>
      </c>
    </row>
    <row r="398" spans="1:9" x14ac:dyDescent="0.15">
      <c r="A398">
        <v>410019004</v>
      </c>
      <c r="B398" t="s">
        <v>35</v>
      </c>
      <c r="C398" t="s">
        <v>16</v>
      </c>
      <c r="D398">
        <v>39199</v>
      </c>
      <c r="E398">
        <v>173000</v>
      </c>
      <c r="F398">
        <v>155700</v>
      </c>
      <c r="G398" t="s">
        <v>15</v>
      </c>
      <c r="H398">
        <v>1292.21</v>
      </c>
      <c r="I398">
        <v>154709.70000000001</v>
      </c>
    </row>
    <row r="399" spans="1:9" x14ac:dyDescent="0.15">
      <c r="A399">
        <v>410020457</v>
      </c>
      <c r="B399" t="s">
        <v>35</v>
      </c>
      <c r="C399" t="s">
        <v>16</v>
      </c>
      <c r="D399">
        <v>39209</v>
      </c>
      <c r="E399">
        <v>180000</v>
      </c>
      <c r="F399">
        <v>142000</v>
      </c>
      <c r="G399" t="s">
        <v>17</v>
      </c>
      <c r="H399">
        <v>988.03</v>
      </c>
      <c r="I399">
        <v>140792.07</v>
      </c>
    </row>
    <row r="400" spans="1:9" x14ac:dyDescent="0.15">
      <c r="A400">
        <v>410021042</v>
      </c>
      <c r="B400" t="s">
        <v>36</v>
      </c>
      <c r="C400" t="s">
        <v>18</v>
      </c>
      <c r="D400">
        <v>39204</v>
      </c>
      <c r="E400">
        <v>212000</v>
      </c>
      <c r="F400">
        <v>190800</v>
      </c>
      <c r="G400" t="s">
        <v>15</v>
      </c>
      <c r="H400">
        <v>1521.52</v>
      </c>
      <c r="I400">
        <v>189584.99</v>
      </c>
    </row>
    <row r="401" spans="1:9" x14ac:dyDescent="0.15">
      <c r="A401">
        <v>410024715</v>
      </c>
      <c r="B401" t="s">
        <v>36</v>
      </c>
      <c r="C401" t="s">
        <v>19</v>
      </c>
      <c r="D401">
        <v>39199</v>
      </c>
      <c r="E401">
        <v>232000</v>
      </c>
      <c r="F401">
        <v>125050</v>
      </c>
      <c r="G401" t="s">
        <v>17</v>
      </c>
      <c r="H401">
        <v>722.89</v>
      </c>
      <c r="I401">
        <v>124730.74</v>
      </c>
    </row>
    <row r="402" spans="1:9" x14ac:dyDescent="0.15">
      <c r="A402">
        <v>410025126</v>
      </c>
      <c r="B402" t="s">
        <v>35</v>
      </c>
      <c r="C402" t="s">
        <v>16</v>
      </c>
      <c r="D402">
        <v>39195</v>
      </c>
      <c r="E402">
        <v>90000</v>
      </c>
      <c r="F402">
        <v>81000</v>
      </c>
      <c r="G402" t="s">
        <v>17</v>
      </c>
      <c r="H402">
        <v>694.43</v>
      </c>
      <c r="I402">
        <v>80467.009999999995</v>
      </c>
    </row>
    <row r="403" spans="1:9" x14ac:dyDescent="0.15">
      <c r="A403">
        <v>410026850</v>
      </c>
      <c r="B403" t="s">
        <v>37</v>
      </c>
      <c r="C403" t="s">
        <v>19</v>
      </c>
      <c r="D403">
        <v>39204</v>
      </c>
      <c r="E403">
        <v>108000</v>
      </c>
      <c r="F403">
        <v>63500</v>
      </c>
      <c r="G403" t="s">
        <v>17</v>
      </c>
      <c r="H403">
        <v>547.9</v>
      </c>
      <c r="I403">
        <v>62981.09</v>
      </c>
    </row>
    <row r="404" spans="1:9" x14ac:dyDescent="0.15">
      <c r="A404">
        <v>410027601</v>
      </c>
      <c r="B404" t="s">
        <v>37</v>
      </c>
      <c r="C404" t="s">
        <v>19</v>
      </c>
      <c r="D404">
        <v>39209</v>
      </c>
      <c r="E404">
        <v>131500</v>
      </c>
      <c r="F404">
        <v>107000</v>
      </c>
      <c r="G404" t="s">
        <v>17</v>
      </c>
      <c r="H404">
        <v>860.18</v>
      </c>
      <c r="I404">
        <v>106331.03</v>
      </c>
    </row>
    <row r="405" spans="1:9" x14ac:dyDescent="0.15">
      <c r="A405">
        <v>410028625</v>
      </c>
      <c r="B405" t="s">
        <v>36</v>
      </c>
      <c r="C405" t="s">
        <v>18</v>
      </c>
      <c r="D405">
        <v>39182</v>
      </c>
      <c r="E405">
        <v>171000</v>
      </c>
      <c r="F405">
        <v>161500</v>
      </c>
      <c r="G405" t="s">
        <v>15</v>
      </c>
      <c r="H405">
        <v>1116.0899999999999</v>
      </c>
      <c r="I405">
        <v>161260.35</v>
      </c>
    </row>
    <row r="406" spans="1:9" x14ac:dyDescent="0.15">
      <c r="A406">
        <v>410029847</v>
      </c>
      <c r="B406" t="s">
        <v>36</v>
      </c>
      <c r="C406" t="s">
        <v>19</v>
      </c>
      <c r="D406">
        <v>39202</v>
      </c>
      <c r="E406">
        <v>316000</v>
      </c>
      <c r="F406">
        <v>195000</v>
      </c>
      <c r="G406" t="s">
        <v>15</v>
      </c>
      <c r="H406">
        <v>1312.16</v>
      </c>
      <c r="I406">
        <v>194308.08</v>
      </c>
    </row>
    <row r="407" spans="1:9" x14ac:dyDescent="0.15">
      <c r="A407">
        <v>410033898</v>
      </c>
      <c r="B407" t="s">
        <v>36</v>
      </c>
      <c r="C407" t="s">
        <v>18</v>
      </c>
      <c r="D407">
        <v>39204</v>
      </c>
      <c r="E407">
        <v>360000</v>
      </c>
      <c r="F407">
        <v>311700</v>
      </c>
      <c r="G407" t="s">
        <v>15</v>
      </c>
      <c r="H407">
        <v>1983.53</v>
      </c>
      <c r="I407">
        <v>310833.81</v>
      </c>
    </row>
    <row r="408" spans="1:9" x14ac:dyDescent="0.15">
      <c r="A408">
        <v>410034094</v>
      </c>
      <c r="B408" t="s">
        <v>36</v>
      </c>
      <c r="C408" t="s">
        <v>19</v>
      </c>
      <c r="D408">
        <v>39202</v>
      </c>
      <c r="E408">
        <v>411000</v>
      </c>
      <c r="F408">
        <v>369900</v>
      </c>
      <c r="G408" t="s">
        <v>15</v>
      </c>
      <c r="H408">
        <v>2530.08</v>
      </c>
      <c r="I408">
        <v>368911.64</v>
      </c>
    </row>
    <row r="409" spans="1:9" x14ac:dyDescent="0.15">
      <c r="A409">
        <v>410034128</v>
      </c>
      <c r="B409" t="s">
        <v>35</v>
      </c>
      <c r="C409" t="s">
        <v>16</v>
      </c>
      <c r="D409">
        <v>39192</v>
      </c>
      <c r="E409">
        <v>205000</v>
      </c>
      <c r="F409">
        <v>184500</v>
      </c>
      <c r="G409" t="s">
        <v>15</v>
      </c>
      <c r="H409">
        <v>1373.66</v>
      </c>
      <c r="I409">
        <v>183954.01</v>
      </c>
    </row>
    <row r="410" spans="1:9" x14ac:dyDescent="0.15">
      <c r="A410">
        <v>410034375</v>
      </c>
      <c r="B410" t="s">
        <v>35</v>
      </c>
      <c r="C410" t="s">
        <v>16</v>
      </c>
      <c r="D410">
        <v>39189</v>
      </c>
      <c r="E410">
        <v>73500</v>
      </c>
      <c r="F410">
        <v>65745</v>
      </c>
      <c r="G410" t="s">
        <v>15</v>
      </c>
      <c r="H410">
        <v>587.92999999999995</v>
      </c>
      <c r="I410">
        <v>65395.26</v>
      </c>
    </row>
    <row r="411" spans="1:9" x14ac:dyDescent="0.15">
      <c r="A411">
        <v>410037741</v>
      </c>
      <c r="B411" t="s">
        <v>36</v>
      </c>
      <c r="C411" t="s">
        <v>19</v>
      </c>
      <c r="D411">
        <v>39202</v>
      </c>
      <c r="E411">
        <v>237500</v>
      </c>
      <c r="F411">
        <v>201875</v>
      </c>
      <c r="G411" t="s">
        <v>15</v>
      </c>
      <c r="H411">
        <v>1563.71</v>
      </c>
      <c r="I411">
        <v>201589.59</v>
      </c>
    </row>
    <row r="412" spans="1:9" x14ac:dyDescent="0.15">
      <c r="A412">
        <v>410041149</v>
      </c>
      <c r="B412" t="s">
        <v>37</v>
      </c>
      <c r="C412" t="s">
        <v>19</v>
      </c>
      <c r="D412">
        <v>39189</v>
      </c>
      <c r="E412">
        <v>175000</v>
      </c>
      <c r="F412">
        <v>147030</v>
      </c>
      <c r="G412" t="s">
        <v>17</v>
      </c>
      <c r="H412">
        <v>1094.27</v>
      </c>
      <c r="I412">
        <v>145734.03</v>
      </c>
    </row>
    <row r="413" spans="1:9" x14ac:dyDescent="0.15">
      <c r="A413">
        <v>410041685</v>
      </c>
      <c r="B413" t="s">
        <v>35</v>
      </c>
      <c r="C413" t="s">
        <v>16</v>
      </c>
      <c r="D413">
        <v>39205</v>
      </c>
      <c r="E413">
        <v>116000</v>
      </c>
      <c r="F413">
        <v>92800</v>
      </c>
      <c r="G413" t="s">
        <v>15</v>
      </c>
      <c r="H413">
        <v>639.37</v>
      </c>
      <c r="I413">
        <v>91994.99</v>
      </c>
    </row>
    <row r="414" spans="1:9" x14ac:dyDescent="0.15">
      <c r="A414">
        <v>410041800</v>
      </c>
      <c r="B414" t="s">
        <v>37</v>
      </c>
      <c r="C414" t="s">
        <v>19</v>
      </c>
      <c r="D414">
        <v>39202</v>
      </c>
      <c r="E414">
        <v>95000</v>
      </c>
      <c r="F414">
        <v>66500</v>
      </c>
      <c r="G414" t="s">
        <v>17</v>
      </c>
      <c r="H414">
        <v>527.91999999999996</v>
      </c>
      <c r="I414">
        <v>65962.66</v>
      </c>
    </row>
    <row r="415" spans="1:9" x14ac:dyDescent="0.15">
      <c r="A415">
        <v>410042329</v>
      </c>
      <c r="B415" t="s">
        <v>38</v>
      </c>
      <c r="C415" t="s">
        <v>19</v>
      </c>
      <c r="D415">
        <v>39204</v>
      </c>
      <c r="E415">
        <v>275000</v>
      </c>
      <c r="F415">
        <v>260000</v>
      </c>
      <c r="G415" t="s">
        <v>17</v>
      </c>
      <c r="H415">
        <v>2272.09</v>
      </c>
      <c r="I415">
        <v>258477.44</v>
      </c>
    </row>
    <row r="416" spans="1:9" x14ac:dyDescent="0.15">
      <c r="A416">
        <v>410042618</v>
      </c>
      <c r="B416" t="s">
        <v>37</v>
      </c>
      <c r="C416" t="s">
        <v>19</v>
      </c>
      <c r="D416">
        <v>39202</v>
      </c>
      <c r="E416">
        <v>197500</v>
      </c>
      <c r="F416">
        <v>175500</v>
      </c>
      <c r="G416" t="s">
        <v>17</v>
      </c>
      <c r="H416">
        <v>1412.12</v>
      </c>
      <c r="I416">
        <v>174300.89</v>
      </c>
    </row>
    <row r="417" spans="1:9" x14ac:dyDescent="0.15">
      <c r="A417">
        <v>410043178</v>
      </c>
      <c r="B417" t="s">
        <v>36</v>
      </c>
      <c r="C417" t="s">
        <v>18</v>
      </c>
      <c r="D417">
        <v>39195</v>
      </c>
      <c r="E417">
        <v>120700</v>
      </c>
      <c r="F417">
        <v>80000</v>
      </c>
      <c r="G417" t="s">
        <v>17</v>
      </c>
      <c r="H417">
        <v>640.83000000000004</v>
      </c>
      <c r="I417">
        <v>79435.509999999995</v>
      </c>
    </row>
    <row r="418" spans="1:9" x14ac:dyDescent="0.15">
      <c r="A418">
        <v>410045108</v>
      </c>
      <c r="B418" t="s">
        <v>38</v>
      </c>
      <c r="C418" t="s">
        <v>19</v>
      </c>
      <c r="D418">
        <v>39210</v>
      </c>
      <c r="E418">
        <v>115000</v>
      </c>
      <c r="F418">
        <v>97750</v>
      </c>
      <c r="G418" t="s">
        <v>17</v>
      </c>
      <c r="H418">
        <v>807.71</v>
      </c>
      <c r="I418">
        <v>96786.21</v>
      </c>
    </row>
    <row r="419" spans="1:9" x14ac:dyDescent="0.15">
      <c r="A419">
        <v>410045371</v>
      </c>
      <c r="B419" t="s">
        <v>35</v>
      </c>
      <c r="C419" t="s">
        <v>16</v>
      </c>
      <c r="D419">
        <v>39211</v>
      </c>
      <c r="E419">
        <v>290000</v>
      </c>
      <c r="F419">
        <v>261000</v>
      </c>
      <c r="G419" t="s">
        <v>17</v>
      </c>
      <c r="H419">
        <v>1933.36</v>
      </c>
      <c r="I419">
        <v>259044.03</v>
      </c>
    </row>
    <row r="420" spans="1:9" x14ac:dyDescent="0.15">
      <c r="A420">
        <v>410045975</v>
      </c>
      <c r="B420" t="s">
        <v>37</v>
      </c>
      <c r="C420" t="s">
        <v>19</v>
      </c>
      <c r="D420">
        <v>39202</v>
      </c>
      <c r="E420">
        <v>225000</v>
      </c>
      <c r="F420">
        <v>202500</v>
      </c>
      <c r="G420" t="s">
        <v>17</v>
      </c>
      <c r="H420">
        <v>1747.23</v>
      </c>
      <c r="I420">
        <v>201050.04</v>
      </c>
    </row>
    <row r="421" spans="1:9" x14ac:dyDescent="0.15">
      <c r="A421">
        <v>410048474</v>
      </c>
      <c r="B421" t="s">
        <v>38</v>
      </c>
      <c r="C421" t="s">
        <v>19</v>
      </c>
      <c r="D421">
        <v>39211</v>
      </c>
      <c r="E421">
        <v>90000</v>
      </c>
      <c r="F421">
        <v>80100</v>
      </c>
      <c r="G421" t="s">
        <v>17</v>
      </c>
      <c r="H421">
        <v>604.59</v>
      </c>
      <c r="I421">
        <v>79444.03</v>
      </c>
    </row>
    <row r="422" spans="1:9" x14ac:dyDescent="0.15">
      <c r="A422">
        <v>410049282</v>
      </c>
      <c r="B422" t="s">
        <v>37</v>
      </c>
      <c r="C422" t="s">
        <v>19</v>
      </c>
      <c r="D422">
        <v>39204</v>
      </c>
      <c r="E422">
        <v>166000</v>
      </c>
      <c r="F422">
        <v>157700</v>
      </c>
      <c r="G422" t="s">
        <v>17</v>
      </c>
      <c r="H422">
        <v>1320.28</v>
      </c>
      <c r="I422">
        <v>156615.75</v>
      </c>
    </row>
    <row r="423" spans="1:9" x14ac:dyDescent="0.15">
      <c r="A423">
        <v>410049639</v>
      </c>
      <c r="B423" t="s">
        <v>36</v>
      </c>
      <c r="C423" t="s">
        <v>19</v>
      </c>
      <c r="D423">
        <v>39190</v>
      </c>
      <c r="E423">
        <v>318000</v>
      </c>
      <c r="F423">
        <v>263500</v>
      </c>
      <c r="G423" t="s">
        <v>17</v>
      </c>
      <c r="H423">
        <v>1608.85</v>
      </c>
      <c r="I423">
        <v>262083.48</v>
      </c>
    </row>
    <row r="424" spans="1:9" x14ac:dyDescent="0.15">
      <c r="A424">
        <v>410049787</v>
      </c>
      <c r="B424" t="s">
        <v>37</v>
      </c>
      <c r="C424" t="s">
        <v>18</v>
      </c>
      <c r="D424">
        <v>39196</v>
      </c>
      <c r="E424">
        <v>116000</v>
      </c>
      <c r="F424">
        <v>92800</v>
      </c>
      <c r="G424" t="s">
        <v>17</v>
      </c>
      <c r="H424">
        <v>741.69</v>
      </c>
      <c r="I424">
        <v>92099.94</v>
      </c>
    </row>
    <row r="425" spans="1:9" x14ac:dyDescent="0.15">
      <c r="A425">
        <v>410051973</v>
      </c>
      <c r="B425" t="s">
        <v>36</v>
      </c>
      <c r="C425" t="s">
        <v>19</v>
      </c>
      <c r="D425">
        <v>39202</v>
      </c>
      <c r="E425">
        <v>191000</v>
      </c>
      <c r="F425">
        <v>152000</v>
      </c>
      <c r="G425" t="s">
        <v>17</v>
      </c>
      <c r="H425">
        <v>1249.3699999999999</v>
      </c>
      <c r="I425">
        <v>150977.04999999999</v>
      </c>
    </row>
    <row r="426" spans="1:9" x14ac:dyDescent="0.15">
      <c r="A426">
        <v>410054001</v>
      </c>
      <c r="B426" t="s">
        <v>36</v>
      </c>
      <c r="C426" t="s">
        <v>19</v>
      </c>
      <c r="D426">
        <v>39196</v>
      </c>
      <c r="E426">
        <v>225000</v>
      </c>
      <c r="F426">
        <v>170000</v>
      </c>
      <c r="G426" t="s">
        <v>17</v>
      </c>
      <c r="H426">
        <v>1283.1400000000001</v>
      </c>
      <c r="I426">
        <v>168545.62</v>
      </c>
    </row>
    <row r="427" spans="1:9" x14ac:dyDescent="0.15">
      <c r="A427">
        <v>410055255</v>
      </c>
      <c r="B427" t="s">
        <v>36</v>
      </c>
      <c r="C427" t="s">
        <v>19</v>
      </c>
      <c r="D427">
        <v>39206</v>
      </c>
      <c r="E427">
        <v>180000</v>
      </c>
      <c r="F427">
        <v>162000</v>
      </c>
      <c r="G427" t="s">
        <v>17</v>
      </c>
      <c r="H427">
        <v>993.38</v>
      </c>
      <c r="I427">
        <v>161681.17000000001</v>
      </c>
    </row>
    <row r="428" spans="1:9" x14ac:dyDescent="0.15">
      <c r="A428">
        <v>410055735</v>
      </c>
      <c r="B428" t="s">
        <v>37</v>
      </c>
      <c r="C428" t="s">
        <v>19</v>
      </c>
      <c r="D428">
        <v>39204</v>
      </c>
      <c r="E428">
        <v>123000</v>
      </c>
      <c r="F428">
        <v>116850</v>
      </c>
      <c r="G428" t="s">
        <v>15</v>
      </c>
      <c r="H428">
        <v>971.9</v>
      </c>
      <c r="I428">
        <v>116238.73</v>
      </c>
    </row>
    <row r="429" spans="1:9" x14ac:dyDescent="0.15">
      <c r="A429">
        <v>410055800</v>
      </c>
      <c r="B429" t="s">
        <v>37</v>
      </c>
      <c r="C429" t="s">
        <v>19</v>
      </c>
      <c r="D429">
        <v>39195</v>
      </c>
      <c r="E429">
        <v>245000</v>
      </c>
      <c r="F429">
        <v>208250</v>
      </c>
      <c r="G429" t="s">
        <v>17</v>
      </c>
      <c r="H429">
        <v>1616.05</v>
      </c>
      <c r="I429">
        <v>206639.71</v>
      </c>
    </row>
    <row r="430" spans="1:9" x14ac:dyDescent="0.15">
      <c r="A430">
        <v>410055818</v>
      </c>
      <c r="B430" t="s">
        <v>36</v>
      </c>
      <c r="C430" t="s">
        <v>18</v>
      </c>
      <c r="D430">
        <v>39190</v>
      </c>
      <c r="E430">
        <v>135000</v>
      </c>
      <c r="F430">
        <v>94500</v>
      </c>
      <c r="G430" t="s">
        <v>17</v>
      </c>
      <c r="H430">
        <v>728.94</v>
      </c>
      <c r="I430">
        <v>94244.85</v>
      </c>
    </row>
    <row r="431" spans="1:9" x14ac:dyDescent="0.15">
      <c r="A431">
        <v>410056287</v>
      </c>
      <c r="B431" t="s">
        <v>36</v>
      </c>
      <c r="C431" t="s">
        <v>19</v>
      </c>
      <c r="D431">
        <v>39211</v>
      </c>
      <c r="E431">
        <v>215000</v>
      </c>
      <c r="F431">
        <v>139750</v>
      </c>
      <c r="G431" t="s">
        <v>17</v>
      </c>
      <c r="H431">
        <v>937.23</v>
      </c>
      <c r="I431">
        <v>139554.07</v>
      </c>
    </row>
    <row r="432" spans="1:9" x14ac:dyDescent="0.15">
      <c r="A432">
        <v>410056543</v>
      </c>
      <c r="B432" t="s">
        <v>36</v>
      </c>
      <c r="C432" t="s">
        <v>18</v>
      </c>
      <c r="D432">
        <v>39197</v>
      </c>
      <c r="E432">
        <v>245000</v>
      </c>
      <c r="F432">
        <v>208250</v>
      </c>
      <c r="G432" t="s">
        <v>20</v>
      </c>
      <c r="H432">
        <v>1455.59</v>
      </c>
      <c r="I432">
        <v>207771.2</v>
      </c>
    </row>
    <row r="433" spans="1:9" x14ac:dyDescent="0.15">
      <c r="A433">
        <v>410057269</v>
      </c>
      <c r="B433" t="s">
        <v>35</v>
      </c>
      <c r="C433" t="s">
        <v>16</v>
      </c>
      <c r="D433">
        <v>39190</v>
      </c>
      <c r="E433">
        <v>125000</v>
      </c>
      <c r="F433">
        <v>112500</v>
      </c>
      <c r="G433" t="s">
        <v>17</v>
      </c>
      <c r="H433">
        <v>884.07</v>
      </c>
      <c r="I433">
        <v>112381.53</v>
      </c>
    </row>
    <row r="434" spans="1:9" x14ac:dyDescent="0.15">
      <c r="A434">
        <v>410058598</v>
      </c>
      <c r="B434" t="s">
        <v>35</v>
      </c>
      <c r="C434" t="s">
        <v>16</v>
      </c>
      <c r="D434">
        <v>39202</v>
      </c>
      <c r="E434">
        <v>160000</v>
      </c>
      <c r="F434">
        <v>127000</v>
      </c>
      <c r="G434" t="s">
        <v>17</v>
      </c>
      <c r="H434">
        <v>823.72</v>
      </c>
      <c r="I434">
        <v>125515.89</v>
      </c>
    </row>
    <row r="435" spans="1:9" x14ac:dyDescent="0.15">
      <c r="A435">
        <v>410062897</v>
      </c>
      <c r="B435" t="s">
        <v>35</v>
      </c>
      <c r="C435" t="s">
        <v>16</v>
      </c>
      <c r="D435">
        <v>39190</v>
      </c>
      <c r="E435">
        <v>170500</v>
      </c>
      <c r="F435">
        <v>153450</v>
      </c>
      <c r="G435" t="s">
        <v>15</v>
      </c>
      <c r="H435">
        <v>1119.1099999999999</v>
      </c>
      <c r="I435">
        <v>152930.67000000001</v>
      </c>
    </row>
    <row r="436" spans="1:9" x14ac:dyDescent="0.15">
      <c r="A436">
        <v>410063432</v>
      </c>
      <c r="B436" t="s">
        <v>37</v>
      </c>
      <c r="C436" t="s">
        <v>19</v>
      </c>
      <c r="D436">
        <v>39210</v>
      </c>
      <c r="E436">
        <v>101000</v>
      </c>
      <c r="F436">
        <v>95950</v>
      </c>
      <c r="G436" t="s">
        <v>17</v>
      </c>
      <c r="H436">
        <v>788.47</v>
      </c>
      <c r="I436">
        <v>95757.69</v>
      </c>
    </row>
    <row r="437" spans="1:9" x14ac:dyDescent="0.15">
      <c r="A437">
        <v>410064091</v>
      </c>
      <c r="B437" t="s">
        <v>35</v>
      </c>
      <c r="C437" t="s">
        <v>16</v>
      </c>
      <c r="D437">
        <v>39199</v>
      </c>
      <c r="E437">
        <v>125000</v>
      </c>
      <c r="F437">
        <v>105000</v>
      </c>
      <c r="G437" t="s">
        <v>15</v>
      </c>
      <c r="H437">
        <v>809.13</v>
      </c>
      <c r="I437">
        <v>104693.93</v>
      </c>
    </row>
    <row r="438" spans="1:9" x14ac:dyDescent="0.15">
      <c r="A438">
        <v>410066369</v>
      </c>
      <c r="B438" t="s">
        <v>35</v>
      </c>
      <c r="C438" t="s">
        <v>16</v>
      </c>
      <c r="D438">
        <v>39199</v>
      </c>
      <c r="E438">
        <v>130000</v>
      </c>
      <c r="F438">
        <v>117000</v>
      </c>
      <c r="G438" t="s">
        <v>15</v>
      </c>
      <c r="H438">
        <v>902.5</v>
      </c>
      <c r="I438">
        <v>116626.51</v>
      </c>
    </row>
    <row r="439" spans="1:9" x14ac:dyDescent="0.15">
      <c r="A439">
        <v>410068092</v>
      </c>
      <c r="B439" t="s">
        <v>35</v>
      </c>
      <c r="C439" t="s">
        <v>16</v>
      </c>
      <c r="D439">
        <v>39196</v>
      </c>
      <c r="E439">
        <v>121000</v>
      </c>
      <c r="F439">
        <v>90750</v>
      </c>
      <c r="G439" t="s">
        <v>17</v>
      </c>
      <c r="H439">
        <v>799.08</v>
      </c>
      <c r="I439">
        <v>88984.47</v>
      </c>
    </row>
    <row r="440" spans="1:9" x14ac:dyDescent="0.15">
      <c r="A440">
        <v>410071138</v>
      </c>
      <c r="B440" t="s">
        <v>37</v>
      </c>
      <c r="C440" t="s">
        <v>19</v>
      </c>
      <c r="D440">
        <v>39203</v>
      </c>
      <c r="E440">
        <v>230000</v>
      </c>
      <c r="F440">
        <v>218500</v>
      </c>
      <c r="G440" t="s">
        <v>15</v>
      </c>
      <c r="H440">
        <v>1881.27</v>
      </c>
      <c r="I440">
        <v>217140.38</v>
      </c>
    </row>
    <row r="441" spans="1:9" x14ac:dyDescent="0.15">
      <c r="A441">
        <v>410071609</v>
      </c>
      <c r="B441" t="s">
        <v>35</v>
      </c>
      <c r="C441" t="s">
        <v>16</v>
      </c>
      <c r="D441">
        <v>39225</v>
      </c>
      <c r="E441">
        <v>135000</v>
      </c>
      <c r="F441">
        <v>108000</v>
      </c>
      <c r="G441" t="s">
        <v>17</v>
      </c>
      <c r="H441">
        <v>991.96</v>
      </c>
      <c r="I441">
        <v>107558.21</v>
      </c>
    </row>
    <row r="442" spans="1:9" x14ac:dyDescent="0.15">
      <c r="A442">
        <v>410071617</v>
      </c>
      <c r="B442" t="s">
        <v>36</v>
      </c>
      <c r="C442" t="s">
        <v>18</v>
      </c>
      <c r="D442">
        <v>39209</v>
      </c>
      <c r="E442">
        <v>125000</v>
      </c>
      <c r="F442">
        <v>105000</v>
      </c>
      <c r="G442" t="s">
        <v>15</v>
      </c>
      <c r="H442">
        <v>769.73</v>
      </c>
      <c r="I442">
        <v>104196.97</v>
      </c>
    </row>
    <row r="443" spans="1:9" x14ac:dyDescent="0.15">
      <c r="A443">
        <v>410073191</v>
      </c>
      <c r="B443" t="s">
        <v>36</v>
      </c>
      <c r="C443" t="s">
        <v>18</v>
      </c>
      <c r="D443">
        <v>39213</v>
      </c>
      <c r="E443">
        <v>125000</v>
      </c>
      <c r="F443">
        <v>100000</v>
      </c>
      <c r="G443" t="s">
        <v>17</v>
      </c>
      <c r="H443">
        <v>695.8</v>
      </c>
      <c r="I443">
        <v>99149.28</v>
      </c>
    </row>
    <row r="444" spans="1:9" x14ac:dyDescent="0.15">
      <c r="A444">
        <v>410074983</v>
      </c>
      <c r="B444" t="s">
        <v>35</v>
      </c>
      <c r="C444" t="s">
        <v>16</v>
      </c>
      <c r="D444">
        <v>39192</v>
      </c>
      <c r="E444">
        <v>153000</v>
      </c>
      <c r="F444">
        <v>122400</v>
      </c>
      <c r="G444" t="s">
        <v>17</v>
      </c>
      <c r="H444">
        <v>1159.1500000000001</v>
      </c>
      <c r="I444">
        <v>117508.91</v>
      </c>
    </row>
    <row r="445" spans="1:9" x14ac:dyDescent="0.15">
      <c r="A445">
        <v>410083919</v>
      </c>
      <c r="B445" t="s">
        <v>36</v>
      </c>
      <c r="C445" t="s">
        <v>18</v>
      </c>
      <c r="D445">
        <v>39197</v>
      </c>
      <c r="E445">
        <v>110000</v>
      </c>
      <c r="F445">
        <v>99000</v>
      </c>
      <c r="G445" t="s">
        <v>17</v>
      </c>
      <c r="H445">
        <v>722.98</v>
      </c>
      <c r="I445">
        <v>98149.66</v>
      </c>
    </row>
    <row r="446" spans="1:9" x14ac:dyDescent="0.15">
      <c r="A446">
        <v>410084206</v>
      </c>
      <c r="B446" t="s">
        <v>38</v>
      </c>
      <c r="C446" t="s">
        <v>19</v>
      </c>
      <c r="D446">
        <v>39196</v>
      </c>
      <c r="E446">
        <v>100000</v>
      </c>
      <c r="F446">
        <v>90000</v>
      </c>
      <c r="G446" t="s">
        <v>15</v>
      </c>
      <c r="H446">
        <v>697.7</v>
      </c>
      <c r="I446">
        <v>89751.15</v>
      </c>
    </row>
    <row r="447" spans="1:9" x14ac:dyDescent="0.15">
      <c r="A447">
        <v>410085435</v>
      </c>
      <c r="B447" t="s">
        <v>37</v>
      </c>
      <c r="C447" t="s">
        <v>19</v>
      </c>
      <c r="D447">
        <v>39213</v>
      </c>
      <c r="E447">
        <v>116000</v>
      </c>
      <c r="F447">
        <v>106400</v>
      </c>
      <c r="G447" t="s">
        <v>17</v>
      </c>
      <c r="H447">
        <v>902.45</v>
      </c>
      <c r="I447">
        <v>105756.42</v>
      </c>
    </row>
    <row r="448" spans="1:9" x14ac:dyDescent="0.15">
      <c r="A448">
        <v>410087704</v>
      </c>
      <c r="B448" t="s">
        <v>38</v>
      </c>
      <c r="C448" t="s">
        <v>19</v>
      </c>
      <c r="D448">
        <v>39190</v>
      </c>
      <c r="E448">
        <v>153000</v>
      </c>
      <c r="F448">
        <v>145350</v>
      </c>
      <c r="G448" t="s">
        <v>15</v>
      </c>
      <c r="H448">
        <v>1088.92</v>
      </c>
      <c r="I448">
        <v>145350</v>
      </c>
    </row>
    <row r="449" spans="1:9" x14ac:dyDescent="0.15">
      <c r="A449">
        <v>410091433</v>
      </c>
      <c r="B449" t="s">
        <v>36</v>
      </c>
      <c r="C449" t="s">
        <v>18</v>
      </c>
      <c r="D449">
        <v>39195</v>
      </c>
      <c r="E449">
        <v>139000</v>
      </c>
      <c r="F449">
        <v>118150</v>
      </c>
      <c r="G449" t="s">
        <v>15</v>
      </c>
      <c r="H449">
        <v>891.78</v>
      </c>
      <c r="I449">
        <v>116987.38</v>
      </c>
    </row>
    <row r="450" spans="1:9" x14ac:dyDescent="0.15">
      <c r="A450">
        <v>410091458</v>
      </c>
      <c r="B450" t="s">
        <v>36</v>
      </c>
      <c r="C450" t="s">
        <v>19</v>
      </c>
      <c r="D450">
        <v>39206</v>
      </c>
      <c r="E450">
        <v>88000</v>
      </c>
      <c r="F450">
        <v>57000</v>
      </c>
      <c r="G450" t="s">
        <v>17</v>
      </c>
      <c r="H450">
        <v>494.3</v>
      </c>
      <c r="I450">
        <v>55962.54</v>
      </c>
    </row>
    <row r="451" spans="1:9" x14ac:dyDescent="0.15">
      <c r="A451">
        <v>410091979</v>
      </c>
      <c r="B451" t="s">
        <v>38</v>
      </c>
      <c r="C451" t="s">
        <v>19</v>
      </c>
      <c r="D451">
        <v>39202</v>
      </c>
      <c r="E451">
        <v>102900</v>
      </c>
      <c r="F451">
        <v>97755</v>
      </c>
      <c r="G451" t="s">
        <v>15</v>
      </c>
      <c r="H451">
        <v>800.5</v>
      </c>
      <c r="I451">
        <v>97640.67</v>
      </c>
    </row>
    <row r="452" spans="1:9" x14ac:dyDescent="0.15">
      <c r="A452">
        <v>410092811</v>
      </c>
      <c r="B452" t="s">
        <v>38</v>
      </c>
      <c r="C452" t="s">
        <v>19</v>
      </c>
      <c r="D452">
        <v>39189</v>
      </c>
      <c r="E452">
        <v>220000</v>
      </c>
      <c r="F452">
        <v>194568</v>
      </c>
      <c r="G452" t="s">
        <v>15</v>
      </c>
      <c r="H452">
        <v>1482.3</v>
      </c>
      <c r="I452">
        <v>192689.99</v>
      </c>
    </row>
    <row r="453" spans="1:9" x14ac:dyDescent="0.15">
      <c r="A453">
        <v>410093108</v>
      </c>
      <c r="B453" t="s">
        <v>36</v>
      </c>
      <c r="C453" t="s">
        <v>18</v>
      </c>
      <c r="D453">
        <v>39197</v>
      </c>
      <c r="E453">
        <v>181000</v>
      </c>
      <c r="F453">
        <v>125000</v>
      </c>
      <c r="G453" t="s">
        <v>17</v>
      </c>
      <c r="H453">
        <v>785.98</v>
      </c>
      <c r="I453">
        <v>123467.86</v>
      </c>
    </row>
    <row r="454" spans="1:9" x14ac:dyDescent="0.15">
      <c r="A454">
        <v>410094692</v>
      </c>
      <c r="B454" t="s">
        <v>35</v>
      </c>
      <c r="C454" t="s">
        <v>16</v>
      </c>
      <c r="D454">
        <v>39204</v>
      </c>
      <c r="E454">
        <v>158000</v>
      </c>
      <c r="F454">
        <v>107000</v>
      </c>
      <c r="G454" t="s">
        <v>17</v>
      </c>
      <c r="H454">
        <v>860.95</v>
      </c>
      <c r="I454">
        <v>106332.38</v>
      </c>
    </row>
    <row r="455" spans="1:9" x14ac:dyDescent="0.15">
      <c r="A455">
        <v>410097976</v>
      </c>
      <c r="B455" t="s">
        <v>35</v>
      </c>
      <c r="C455" t="s">
        <v>16</v>
      </c>
      <c r="D455">
        <v>39223</v>
      </c>
      <c r="E455">
        <v>208000</v>
      </c>
      <c r="F455">
        <v>187200</v>
      </c>
      <c r="G455" t="s">
        <v>15</v>
      </c>
      <c r="H455">
        <v>1538.7</v>
      </c>
      <c r="I455">
        <v>185982.18</v>
      </c>
    </row>
    <row r="456" spans="1:9" x14ac:dyDescent="0.15">
      <c r="A456">
        <v>410098289</v>
      </c>
      <c r="B456" t="s">
        <v>37</v>
      </c>
      <c r="C456" t="s">
        <v>18</v>
      </c>
      <c r="D456">
        <v>39206</v>
      </c>
      <c r="E456">
        <v>115000</v>
      </c>
      <c r="F456">
        <v>103500</v>
      </c>
      <c r="G456" t="s">
        <v>17</v>
      </c>
      <c r="H456">
        <v>755.85</v>
      </c>
      <c r="I456">
        <v>102625.63</v>
      </c>
    </row>
    <row r="457" spans="1:9" x14ac:dyDescent="0.15">
      <c r="A457">
        <v>410098412</v>
      </c>
      <c r="B457" t="s">
        <v>36</v>
      </c>
      <c r="C457" t="s">
        <v>19</v>
      </c>
      <c r="D457">
        <v>39198</v>
      </c>
      <c r="E457">
        <v>218100</v>
      </c>
      <c r="F457">
        <v>199500</v>
      </c>
      <c r="G457" t="s">
        <v>15</v>
      </c>
      <c r="H457">
        <v>1476.2</v>
      </c>
      <c r="I457">
        <v>198899.36</v>
      </c>
    </row>
    <row r="458" spans="1:9" x14ac:dyDescent="0.15">
      <c r="A458">
        <v>410098503</v>
      </c>
      <c r="B458" t="s">
        <v>37</v>
      </c>
      <c r="C458" t="s">
        <v>19</v>
      </c>
      <c r="D458">
        <v>39224</v>
      </c>
      <c r="E458">
        <v>260000</v>
      </c>
      <c r="F458">
        <v>208000</v>
      </c>
      <c r="G458" t="s">
        <v>15</v>
      </c>
      <c r="H458">
        <v>1733.83</v>
      </c>
      <c r="I458">
        <v>206804.43</v>
      </c>
    </row>
    <row r="459" spans="1:9" x14ac:dyDescent="0.15">
      <c r="A459">
        <v>410098909</v>
      </c>
      <c r="B459" t="s">
        <v>37</v>
      </c>
      <c r="C459" t="s">
        <v>19</v>
      </c>
      <c r="D459">
        <v>39202</v>
      </c>
      <c r="E459">
        <v>163000</v>
      </c>
      <c r="F459">
        <v>154850</v>
      </c>
      <c r="G459" t="s">
        <v>15</v>
      </c>
      <c r="H459">
        <v>1236.8</v>
      </c>
      <c r="I459">
        <v>154713.31</v>
      </c>
    </row>
    <row r="460" spans="1:9" x14ac:dyDescent="0.15">
      <c r="A460">
        <v>410098982</v>
      </c>
      <c r="B460" t="s">
        <v>36</v>
      </c>
      <c r="C460" t="s">
        <v>19</v>
      </c>
      <c r="D460">
        <v>39202</v>
      </c>
      <c r="E460">
        <v>225000</v>
      </c>
      <c r="F460">
        <v>125000</v>
      </c>
      <c r="G460" t="s">
        <v>17</v>
      </c>
      <c r="H460">
        <v>983.38</v>
      </c>
      <c r="I460">
        <v>124063.39</v>
      </c>
    </row>
    <row r="461" spans="1:9" x14ac:dyDescent="0.15">
      <c r="A461">
        <v>410101422</v>
      </c>
      <c r="B461" t="s">
        <v>36</v>
      </c>
      <c r="C461" t="s">
        <v>19</v>
      </c>
      <c r="D461">
        <v>39197</v>
      </c>
      <c r="E461">
        <v>455000</v>
      </c>
      <c r="F461">
        <v>409500</v>
      </c>
      <c r="G461" t="s">
        <v>15</v>
      </c>
      <c r="H461">
        <v>3221.28</v>
      </c>
      <c r="I461">
        <v>409112.48</v>
      </c>
    </row>
    <row r="462" spans="1:9" x14ac:dyDescent="0.15">
      <c r="A462">
        <v>410101430</v>
      </c>
      <c r="B462" t="s">
        <v>35</v>
      </c>
      <c r="C462" t="s">
        <v>16</v>
      </c>
      <c r="D462">
        <v>39198</v>
      </c>
      <c r="E462">
        <v>141000</v>
      </c>
      <c r="F462">
        <v>125100</v>
      </c>
      <c r="G462" t="s">
        <v>17</v>
      </c>
      <c r="H462">
        <v>939.84</v>
      </c>
      <c r="I462">
        <v>124105.62</v>
      </c>
    </row>
    <row r="463" spans="1:9" x14ac:dyDescent="0.15">
      <c r="A463">
        <v>410103097</v>
      </c>
      <c r="B463" t="s">
        <v>37</v>
      </c>
      <c r="C463" t="s">
        <v>19</v>
      </c>
      <c r="D463">
        <v>39203</v>
      </c>
      <c r="E463">
        <v>187600</v>
      </c>
      <c r="F463">
        <v>149995</v>
      </c>
      <c r="G463" t="s">
        <v>15</v>
      </c>
      <c r="H463">
        <v>1239.42</v>
      </c>
      <c r="I463">
        <v>149031.07999999999</v>
      </c>
    </row>
    <row r="464" spans="1:9" x14ac:dyDescent="0.15">
      <c r="A464">
        <v>410106520</v>
      </c>
      <c r="B464" t="s">
        <v>37</v>
      </c>
      <c r="C464" t="s">
        <v>19</v>
      </c>
      <c r="D464">
        <v>39216</v>
      </c>
      <c r="E464">
        <v>200000</v>
      </c>
      <c r="F464">
        <v>150000</v>
      </c>
      <c r="G464" t="s">
        <v>15</v>
      </c>
      <c r="H464">
        <v>1186</v>
      </c>
      <c r="I464">
        <v>149659.85999999999</v>
      </c>
    </row>
    <row r="465" spans="1:9" x14ac:dyDescent="0.15">
      <c r="A465">
        <v>410110324</v>
      </c>
      <c r="B465" t="s">
        <v>35</v>
      </c>
      <c r="C465" t="s">
        <v>16</v>
      </c>
      <c r="D465">
        <v>39244</v>
      </c>
      <c r="E465">
        <v>62000</v>
      </c>
      <c r="F465">
        <v>52700</v>
      </c>
      <c r="G465" t="s">
        <v>15</v>
      </c>
      <c r="H465">
        <v>454.72</v>
      </c>
      <c r="I465">
        <v>52447.48</v>
      </c>
    </row>
    <row r="466" spans="1:9" x14ac:dyDescent="0.15">
      <c r="A466">
        <v>410110530</v>
      </c>
      <c r="B466" t="s">
        <v>36</v>
      </c>
      <c r="C466" t="s">
        <v>19</v>
      </c>
      <c r="D466">
        <v>39203</v>
      </c>
      <c r="E466">
        <v>163100</v>
      </c>
      <c r="F466">
        <v>138635</v>
      </c>
      <c r="G466" t="s">
        <v>15</v>
      </c>
      <c r="H466">
        <v>983.64</v>
      </c>
      <c r="I466">
        <v>137393.99</v>
      </c>
    </row>
    <row r="467" spans="1:9" x14ac:dyDescent="0.15">
      <c r="A467">
        <v>410112452</v>
      </c>
      <c r="B467" t="s">
        <v>36</v>
      </c>
      <c r="C467" t="s">
        <v>19</v>
      </c>
      <c r="D467">
        <v>39197</v>
      </c>
      <c r="E467">
        <v>144200</v>
      </c>
      <c r="F467">
        <v>129780</v>
      </c>
      <c r="G467" t="s">
        <v>15</v>
      </c>
      <c r="H467">
        <v>926.81</v>
      </c>
      <c r="I467">
        <v>129349.09</v>
      </c>
    </row>
    <row r="468" spans="1:9" x14ac:dyDescent="0.15">
      <c r="A468">
        <v>410112684</v>
      </c>
      <c r="B468" t="s">
        <v>37</v>
      </c>
      <c r="C468" t="s">
        <v>19</v>
      </c>
      <c r="D468">
        <v>39219</v>
      </c>
      <c r="E468">
        <v>390000</v>
      </c>
      <c r="F468">
        <v>135000</v>
      </c>
      <c r="G468" t="s">
        <v>17</v>
      </c>
      <c r="H468">
        <v>957.85</v>
      </c>
      <c r="I468">
        <v>133895.78</v>
      </c>
    </row>
    <row r="469" spans="1:9" x14ac:dyDescent="0.15">
      <c r="A469">
        <v>410112940</v>
      </c>
      <c r="B469" t="s">
        <v>36</v>
      </c>
      <c r="C469" t="s">
        <v>19</v>
      </c>
      <c r="D469">
        <v>39204</v>
      </c>
      <c r="E469">
        <v>193000</v>
      </c>
      <c r="F469">
        <v>173700</v>
      </c>
      <c r="G469" t="s">
        <v>15</v>
      </c>
      <c r="H469">
        <v>1293.25</v>
      </c>
      <c r="I469">
        <v>173230.52</v>
      </c>
    </row>
    <row r="470" spans="1:9" x14ac:dyDescent="0.15">
      <c r="A470">
        <v>410116610</v>
      </c>
      <c r="B470" t="s">
        <v>35</v>
      </c>
      <c r="C470" t="s">
        <v>16</v>
      </c>
      <c r="D470">
        <v>39211</v>
      </c>
      <c r="E470">
        <v>252000</v>
      </c>
      <c r="F470">
        <v>201600</v>
      </c>
      <c r="G470" t="s">
        <v>15</v>
      </c>
      <c r="H470">
        <v>1651.22</v>
      </c>
      <c r="I470">
        <v>200392.6</v>
      </c>
    </row>
    <row r="471" spans="1:9" x14ac:dyDescent="0.15">
      <c r="A471">
        <v>410135453</v>
      </c>
      <c r="B471" t="s">
        <v>37</v>
      </c>
      <c r="C471" t="s">
        <v>19</v>
      </c>
      <c r="D471">
        <v>39202</v>
      </c>
      <c r="E471">
        <v>255000</v>
      </c>
      <c r="F471">
        <v>204000</v>
      </c>
      <c r="G471" t="s">
        <v>15</v>
      </c>
      <c r="H471">
        <v>1495.46</v>
      </c>
      <c r="I471">
        <v>202143.92</v>
      </c>
    </row>
    <row r="472" spans="1:9" x14ac:dyDescent="0.15">
      <c r="A472">
        <v>410137079</v>
      </c>
      <c r="B472" t="s">
        <v>37</v>
      </c>
      <c r="C472" t="s">
        <v>18</v>
      </c>
      <c r="D472">
        <v>39202</v>
      </c>
      <c r="E472">
        <v>124000</v>
      </c>
      <c r="F472">
        <v>115000</v>
      </c>
      <c r="G472" t="s">
        <v>17</v>
      </c>
      <c r="H472">
        <v>916.23</v>
      </c>
      <c r="I472">
        <v>114121.38</v>
      </c>
    </row>
    <row r="473" spans="1:9" x14ac:dyDescent="0.15">
      <c r="A473">
        <v>410138887</v>
      </c>
      <c r="B473" t="s">
        <v>35</v>
      </c>
      <c r="C473" t="s">
        <v>16</v>
      </c>
      <c r="D473">
        <v>39251</v>
      </c>
      <c r="E473">
        <v>138500</v>
      </c>
      <c r="F473">
        <v>110800</v>
      </c>
      <c r="G473" t="s">
        <v>17</v>
      </c>
      <c r="H473">
        <v>834.36</v>
      </c>
      <c r="I473">
        <v>109285.04</v>
      </c>
    </row>
    <row r="474" spans="1:9" x14ac:dyDescent="0.15">
      <c r="A474">
        <v>410139885</v>
      </c>
      <c r="B474" t="s">
        <v>36</v>
      </c>
      <c r="C474" t="s">
        <v>18</v>
      </c>
      <c r="D474">
        <v>39202</v>
      </c>
      <c r="E474">
        <v>229000</v>
      </c>
      <c r="F474">
        <v>206100</v>
      </c>
      <c r="G474" t="s">
        <v>15</v>
      </c>
      <c r="H474">
        <v>1412.97</v>
      </c>
      <c r="I474">
        <v>204124.42</v>
      </c>
    </row>
    <row r="475" spans="1:9" x14ac:dyDescent="0.15">
      <c r="A475">
        <v>410142459</v>
      </c>
      <c r="B475" t="s">
        <v>37</v>
      </c>
      <c r="C475" t="s">
        <v>19</v>
      </c>
      <c r="D475">
        <v>39223</v>
      </c>
      <c r="E475">
        <v>112500</v>
      </c>
      <c r="F475">
        <v>101250</v>
      </c>
      <c r="G475" t="s">
        <v>15</v>
      </c>
      <c r="H475">
        <v>884.06</v>
      </c>
      <c r="I475">
        <v>100728.69</v>
      </c>
    </row>
    <row r="476" spans="1:9" x14ac:dyDescent="0.15">
      <c r="A476">
        <v>410142855</v>
      </c>
      <c r="B476" t="s">
        <v>36</v>
      </c>
      <c r="C476" t="s">
        <v>18</v>
      </c>
      <c r="D476">
        <v>39197</v>
      </c>
      <c r="E476">
        <v>335000</v>
      </c>
      <c r="F476">
        <v>304000</v>
      </c>
      <c r="G476" t="s">
        <v>15</v>
      </c>
      <c r="H476">
        <v>2088.9</v>
      </c>
      <c r="I476">
        <v>303500.39</v>
      </c>
    </row>
    <row r="477" spans="1:9" x14ac:dyDescent="0.15">
      <c r="A477">
        <v>410143127</v>
      </c>
      <c r="B477" t="s">
        <v>36</v>
      </c>
      <c r="C477" t="s">
        <v>19</v>
      </c>
      <c r="D477">
        <v>39225</v>
      </c>
      <c r="E477">
        <v>126000</v>
      </c>
      <c r="F477">
        <v>117800</v>
      </c>
      <c r="G477" t="s">
        <v>17</v>
      </c>
      <c r="H477">
        <v>994.83</v>
      </c>
      <c r="I477">
        <v>117205.64</v>
      </c>
    </row>
    <row r="478" spans="1:9" x14ac:dyDescent="0.15">
      <c r="A478">
        <v>410148076</v>
      </c>
      <c r="B478" t="s">
        <v>37</v>
      </c>
      <c r="C478" t="s">
        <v>18</v>
      </c>
      <c r="D478">
        <v>39224</v>
      </c>
      <c r="E478">
        <v>152000</v>
      </c>
      <c r="F478">
        <v>127500</v>
      </c>
      <c r="G478" t="s">
        <v>20</v>
      </c>
      <c r="H478">
        <v>966.85</v>
      </c>
      <c r="I478">
        <v>126592.58</v>
      </c>
    </row>
    <row r="479" spans="1:9" x14ac:dyDescent="0.15">
      <c r="A479">
        <v>410149595</v>
      </c>
      <c r="B479" t="s">
        <v>36</v>
      </c>
      <c r="C479" t="s">
        <v>18</v>
      </c>
      <c r="D479">
        <v>39204</v>
      </c>
      <c r="E479">
        <v>215000</v>
      </c>
      <c r="F479">
        <v>110000</v>
      </c>
      <c r="G479" t="s">
        <v>15</v>
      </c>
      <c r="H479">
        <v>790.62</v>
      </c>
      <c r="I479">
        <v>109856.79</v>
      </c>
    </row>
    <row r="480" spans="1:9" x14ac:dyDescent="0.15">
      <c r="A480">
        <v>410151013</v>
      </c>
      <c r="B480" t="s">
        <v>38</v>
      </c>
      <c r="C480" t="s">
        <v>19</v>
      </c>
      <c r="D480">
        <v>39216</v>
      </c>
      <c r="E480">
        <v>170000</v>
      </c>
      <c r="F480">
        <v>133000</v>
      </c>
      <c r="G480" t="s">
        <v>15</v>
      </c>
      <c r="H480">
        <v>1017.95</v>
      </c>
      <c r="I480">
        <v>132160.16</v>
      </c>
    </row>
    <row r="481" spans="1:9" x14ac:dyDescent="0.15">
      <c r="A481">
        <v>410154553</v>
      </c>
      <c r="B481" t="s">
        <v>36</v>
      </c>
      <c r="C481" t="s">
        <v>19</v>
      </c>
      <c r="D481">
        <v>39218</v>
      </c>
      <c r="E481">
        <v>122000</v>
      </c>
      <c r="F481">
        <v>100000</v>
      </c>
      <c r="G481" t="s">
        <v>17</v>
      </c>
      <c r="H481">
        <v>733.07</v>
      </c>
      <c r="I481">
        <v>99162.94</v>
      </c>
    </row>
    <row r="482" spans="1:9" x14ac:dyDescent="0.15">
      <c r="A482">
        <v>410154892</v>
      </c>
      <c r="B482" t="s">
        <v>36</v>
      </c>
      <c r="C482" t="s">
        <v>19</v>
      </c>
      <c r="D482">
        <v>39202</v>
      </c>
      <c r="E482">
        <v>165000</v>
      </c>
      <c r="F482">
        <v>148500</v>
      </c>
      <c r="G482" t="s">
        <v>17</v>
      </c>
      <c r="H482">
        <v>1110.42</v>
      </c>
      <c r="I482">
        <v>147307.06</v>
      </c>
    </row>
    <row r="483" spans="1:9" x14ac:dyDescent="0.15">
      <c r="A483">
        <v>410159248</v>
      </c>
      <c r="B483" t="s">
        <v>37</v>
      </c>
      <c r="C483" t="s">
        <v>18</v>
      </c>
      <c r="D483">
        <v>39211</v>
      </c>
      <c r="E483">
        <v>200000</v>
      </c>
      <c r="F483">
        <v>160000</v>
      </c>
      <c r="G483" t="s">
        <v>17</v>
      </c>
      <c r="H483">
        <v>1168.46</v>
      </c>
      <c r="I483">
        <v>158766.04999999999</v>
      </c>
    </row>
    <row r="484" spans="1:9" x14ac:dyDescent="0.15">
      <c r="A484">
        <v>410159917</v>
      </c>
      <c r="B484" t="s">
        <v>38</v>
      </c>
      <c r="C484" t="s">
        <v>19</v>
      </c>
      <c r="D484">
        <v>39216</v>
      </c>
      <c r="E484">
        <v>203800</v>
      </c>
      <c r="F484">
        <v>193610</v>
      </c>
      <c r="G484" t="s">
        <v>15</v>
      </c>
      <c r="H484">
        <v>1606.11</v>
      </c>
      <c r="I484">
        <v>193186.73</v>
      </c>
    </row>
    <row r="485" spans="1:9" x14ac:dyDescent="0.15">
      <c r="A485">
        <v>410160998</v>
      </c>
      <c r="B485" t="s">
        <v>35</v>
      </c>
      <c r="C485" t="s">
        <v>16</v>
      </c>
      <c r="D485">
        <v>39213</v>
      </c>
      <c r="E485">
        <v>135000</v>
      </c>
      <c r="F485">
        <v>121500</v>
      </c>
      <c r="G485" t="s">
        <v>17</v>
      </c>
      <c r="H485">
        <v>1066.4000000000001</v>
      </c>
      <c r="I485">
        <v>121433.27</v>
      </c>
    </row>
    <row r="486" spans="1:9" x14ac:dyDescent="0.15">
      <c r="A486">
        <v>410161921</v>
      </c>
      <c r="B486" t="s">
        <v>35</v>
      </c>
      <c r="C486" t="s">
        <v>16</v>
      </c>
      <c r="D486">
        <v>39203</v>
      </c>
      <c r="E486">
        <v>151000</v>
      </c>
      <c r="F486">
        <v>128350</v>
      </c>
      <c r="G486" t="s">
        <v>17</v>
      </c>
      <c r="H486">
        <v>993.74</v>
      </c>
      <c r="I486">
        <v>127389.78</v>
      </c>
    </row>
    <row r="487" spans="1:9" x14ac:dyDescent="0.15">
      <c r="A487">
        <v>410161988</v>
      </c>
      <c r="B487" t="s">
        <v>36</v>
      </c>
      <c r="C487" t="s">
        <v>19</v>
      </c>
      <c r="D487">
        <v>39203</v>
      </c>
      <c r="E487">
        <v>350000</v>
      </c>
      <c r="F487">
        <v>250000</v>
      </c>
      <c r="G487" t="s">
        <v>17</v>
      </c>
      <c r="H487">
        <v>1596.65</v>
      </c>
      <c r="I487">
        <v>247248.21</v>
      </c>
    </row>
    <row r="488" spans="1:9" x14ac:dyDescent="0.15">
      <c r="A488">
        <v>410162002</v>
      </c>
      <c r="B488" t="s">
        <v>37</v>
      </c>
      <c r="C488" t="s">
        <v>19</v>
      </c>
      <c r="D488">
        <v>39216</v>
      </c>
      <c r="E488">
        <v>151000</v>
      </c>
      <c r="F488">
        <v>84000</v>
      </c>
      <c r="G488" t="s">
        <v>17</v>
      </c>
      <c r="H488">
        <v>678.91</v>
      </c>
      <c r="I488">
        <v>83480.460000000006</v>
      </c>
    </row>
    <row r="489" spans="1:9" x14ac:dyDescent="0.15">
      <c r="A489">
        <v>410162051</v>
      </c>
      <c r="B489" t="s">
        <v>35</v>
      </c>
      <c r="C489" t="s">
        <v>16</v>
      </c>
      <c r="D489">
        <v>39197</v>
      </c>
      <c r="E489">
        <v>135900</v>
      </c>
      <c r="F489">
        <v>129105</v>
      </c>
      <c r="G489" t="s">
        <v>15</v>
      </c>
      <c r="H489">
        <v>1108.47</v>
      </c>
      <c r="I489">
        <v>129019.79</v>
      </c>
    </row>
    <row r="490" spans="1:9" x14ac:dyDescent="0.15">
      <c r="A490">
        <v>410162515</v>
      </c>
      <c r="B490" t="s">
        <v>36</v>
      </c>
      <c r="C490" t="s">
        <v>19</v>
      </c>
      <c r="D490">
        <v>39202</v>
      </c>
      <c r="E490">
        <v>290000</v>
      </c>
      <c r="F490">
        <v>246500</v>
      </c>
      <c r="G490" t="s">
        <v>17</v>
      </c>
      <c r="H490">
        <v>1807.02</v>
      </c>
      <c r="I490">
        <v>244257.17</v>
      </c>
    </row>
    <row r="491" spans="1:9" x14ac:dyDescent="0.15">
      <c r="A491">
        <v>410163885</v>
      </c>
      <c r="B491" t="s">
        <v>36</v>
      </c>
      <c r="C491" t="s">
        <v>19</v>
      </c>
      <c r="D491">
        <v>39202</v>
      </c>
      <c r="E491">
        <v>640000</v>
      </c>
      <c r="F491">
        <v>340000</v>
      </c>
      <c r="G491" t="s">
        <v>17</v>
      </c>
      <c r="H491">
        <v>2149.04</v>
      </c>
      <c r="I491">
        <v>336199.62</v>
      </c>
    </row>
    <row r="492" spans="1:9" x14ac:dyDescent="0.15">
      <c r="A492">
        <v>410165245</v>
      </c>
      <c r="B492" t="s">
        <v>36</v>
      </c>
      <c r="C492" t="s">
        <v>19</v>
      </c>
      <c r="D492">
        <v>39206</v>
      </c>
      <c r="E492">
        <v>231000</v>
      </c>
      <c r="F492">
        <v>150150</v>
      </c>
      <c r="G492" t="s">
        <v>17</v>
      </c>
      <c r="H492">
        <v>1106.99</v>
      </c>
      <c r="I492">
        <v>146672.51999999999</v>
      </c>
    </row>
    <row r="493" spans="1:9" x14ac:dyDescent="0.15">
      <c r="A493">
        <v>410165542</v>
      </c>
      <c r="B493" t="s">
        <v>37</v>
      </c>
      <c r="C493" t="s">
        <v>19</v>
      </c>
      <c r="D493">
        <v>39209</v>
      </c>
      <c r="E493">
        <v>140000</v>
      </c>
      <c r="F493">
        <v>87000</v>
      </c>
      <c r="G493" t="s">
        <v>17</v>
      </c>
      <c r="H493">
        <v>608.19000000000005</v>
      </c>
      <c r="I493">
        <v>86720.54</v>
      </c>
    </row>
    <row r="494" spans="1:9" x14ac:dyDescent="0.15">
      <c r="A494">
        <v>410168520</v>
      </c>
      <c r="B494" t="s">
        <v>35</v>
      </c>
      <c r="C494" t="s">
        <v>16</v>
      </c>
      <c r="D494">
        <v>39213</v>
      </c>
      <c r="E494">
        <v>97000</v>
      </c>
      <c r="F494">
        <v>92150</v>
      </c>
      <c r="G494" t="s">
        <v>17</v>
      </c>
      <c r="H494">
        <v>802.62</v>
      </c>
      <c r="I494">
        <v>90294.41</v>
      </c>
    </row>
    <row r="495" spans="1:9" x14ac:dyDescent="0.15">
      <c r="A495">
        <v>410169817</v>
      </c>
      <c r="B495" t="s">
        <v>36</v>
      </c>
      <c r="C495" t="s">
        <v>19</v>
      </c>
      <c r="D495">
        <v>39225</v>
      </c>
      <c r="E495">
        <v>442000</v>
      </c>
      <c r="F495">
        <v>393000</v>
      </c>
      <c r="G495" t="s">
        <v>17</v>
      </c>
      <c r="H495">
        <v>3323.22</v>
      </c>
      <c r="I495">
        <v>390575.84</v>
      </c>
    </row>
    <row r="496" spans="1:9" x14ac:dyDescent="0.15">
      <c r="A496">
        <v>410170534</v>
      </c>
      <c r="B496" t="s">
        <v>38</v>
      </c>
      <c r="C496" t="s">
        <v>19</v>
      </c>
      <c r="D496">
        <v>39209</v>
      </c>
      <c r="E496">
        <v>112000</v>
      </c>
      <c r="F496">
        <v>95200</v>
      </c>
      <c r="G496" t="s">
        <v>17</v>
      </c>
      <c r="H496">
        <v>803.97</v>
      </c>
      <c r="I496">
        <v>94618.96</v>
      </c>
    </row>
    <row r="497" spans="1:9" x14ac:dyDescent="0.15">
      <c r="A497">
        <v>410172407</v>
      </c>
      <c r="B497" t="s">
        <v>37</v>
      </c>
      <c r="C497" t="s">
        <v>19</v>
      </c>
      <c r="D497">
        <v>39225</v>
      </c>
      <c r="E497">
        <v>105000</v>
      </c>
      <c r="F497">
        <v>94500</v>
      </c>
      <c r="G497" t="s">
        <v>15</v>
      </c>
      <c r="H497">
        <v>825.82</v>
      </c>
      <c r="I497">
        <v>94010.3</v>
      </c>
    </row>
    <row r="498" spans="1:9" x14ac:dyDescent="0.15">
      <c r="A498">
        <v>410173793</v>
      </c>
      <c r="B498" t="s">
        <v>35</v>
      </c>
      <c r="C498" t="s">
        <v>16</v>
      </c>
      <c r="D498">
        <v>39223</v>
      </c>
      <c r="E498">
        <v>74000</v>
      </c>
      <c r="F498">
        <v>66600</v>
      </c>
      <c r="G498" t="s">
        <v>15</v>
      </c>
      <c r="H498">
        <v>574.65</v>
      </c>
      <c r="I498">
        <v>66234.929999999993</v>
      </c>
    </row>
    <row r="499" spans="1:9" x14ac:dyDescent="0.15">
      <c r="A499">
        <v>410176556</v>
      </c>
      <c r="B499" t="s">
        <v>37</v>
      </c>
      <c r="C499" t="s">
        <v>19</v>
      </c>
      <c r="D499">
        <v>39217</v>
      </c>
      <c r="E499">
        <v>340000</v>
      </c>
      <c r="F499">
        <v>213000</v>
      </c>
      <c r="G499" t="s">
        <v>15</v>
      </c>
      <c r="H499">
        <v>1460.27</v>
      </c>
      <c r="I499">
        <v>211134.2</v>
      </c>
    </row>
    <row r="500" spans="1:9" x14ac:dyDescent="0.15">
      <c r="A500">
        <v>410180764</v>
      </c>
      <c r="B500" t="s">
        <v>36</v>
      </c>
      <c r="C500" t="s">
        <v>19</v>
      </c>
      <c r="D500">
        <v>39204</v>
      </c>
      <c r="E500">
        <v>140000</v>
      </c>
      <c r="F500">
        <v>126000</v>
      </c>
      <c r="G500" t="s">
        <v>17</v>
      </c>
      <c r="H500">
        <v>951.03</v>
      </c>
      <c r="I500">
        <v>125094.28</v>
      </c>
    </row>
    <row r="501" spans="1:9" x14ac:dyDescent="0.15">
      <c r="A501">
        <v>410181192</v>
      </c>
      <c r="B501" t="s">
        <v>38</v>
      </c>
      <c r="C501" t="s">
        <v>19</v>
      </c>
      <c r="D501">
        <v>39211</v>
      </c>
      <c r="E501">
        <v>135000</v>
      </c>
      <c r="F501">
        <v>121500</v>
      </c>
      <c r="G501" t="s">
        <v>17</v>
      </c>
      <c r="H501">
        <v>955.85</v>
      </c>
      <c r="I501">
        <v>120702.3</v>
      </c>
    </row>
    <row r="502" spans="1:9" x14ac:dyDescent="0.15">
      <c r="A502">
        <v>410181747</v>
      </c>
      <c r="B502" t="s">
        <v>35</v>
      </c>
      <c r="C502" t="s">
        <v>16</v>
      </c>
      <c r="D502">
        <v>39216</v>
      </c>
      <c r="E502">
        <v>92000</v>
      </c>
      <c r="F502">
        <v>82800</v>
      </c>
      <c r="G502" t="s">
        <v>17</v>
      </c>
      <c r="H502">
        <v>687.19</v>
      </c>
      <c r="I502">
        <v>82319.12</v>
      </c>
    </row>
    <row r="503" spans="1:9" x14ac:dyDescent="0.15">
      <c r="A503">
        <v>410181796</v>
      </c>
      <c r="B503" t="s">
        <v>35</v>
      </c>
      <c r="C503" t="s">
        <v>16</v>
      </c>
      <c r="D503">
        <v>39209</v>
      </c>
      <c r="E503">
        <v>195000</v>
      </c>
      <c r="F503">
        <v>154000</v>
      </c>
      <c r="G503" t="s">
        <v>17</v>
      </c>
      <c r="H503">
        <v>1013.43</v>
      </c>
      <c r="I503">
        <v>153366.32999999999</v>
      </c>
    </row>
    <row r="504" spans="1:9" x14ac:dyDescent="0.15">
      <c r="A504">
        <v>410182547</v>
      </c>
      <c r="B504" t="s">
        <v>35</v>
      </c>
      <c r="C504" t="s">
        <v>16</v>
      </c>
      <c r="D504">
        <v>39223</v>
      </c>
      <c r="E504">
        <v>170000</v>
      </c>
      <c r="F504">
        <v>144500</v>
      </c>
      <c r="G504" t="s">
        <v>17</v>
      </c>
      <c r="H504">
        <v>1241.48</v>
      </c>
      <c r="I504">
        <v>143719.24</v>
      </c>
    </row>
    <row r="505" spans="1:9" x14ac:dyDescent="0.15">
      <c r="A505">
        <v>410183180</v>
      </c>
      <c r="B505" t="s">
        <v>36</v>
      </c>
      <c r="C505" t="s">
        <v>19</v>
      </c>
      <c r="D505">
        <v>39218</v>
      </c>
      <c r="E505">
        <v>121000</v>
      </c>
      <c r="F505">
        <v>114950</v>
      </c>
      <c r="G505" t="s">
        <v>15</v>
      </c>
      <c r="H505">
        <v>900.22</v>
      </c>
      <c r="I505">
        <v>114187.6</v>
      </c>
    </row>
    <row r="506" spans="1:9" x14ac:dyDescent="0.15">
      <c r="A506">
        <v>410183321</v>
      </c>
      <c r="B506" t="s">
        <v>36</v>
      </c>
      <c r="C506" t="s">
        <v>19</v>
      </c>
      <c r="D506">
        <v>39217</v>
      </c>
      <c r="E506">
        <v>176000</v>
      </c>
      <c r="F506">
        <v>135000</v>
      </c>
      <c r="G506" t="s">
        <v>17</v>
      </c>
      <c r="H506">
        <v>889.54</v>
      </c>
      <c r="I506">
        <v>134786.51999999999</v>
      </c>
    </row>
    <row r="507" spans="1:9" x14ac:dyDescent="0.15">
      <c r="A507">
        <v>410183578</v>
      </c>
      <c r="B507" t="s">
        <v>36</v>
      </c>
      <c r="C507" t="s">
        <v>19</v>
      </c>
      <c r="D507">
        <v>39265</v>
      </c>
      <c r="E507">
        <v>360000</v>
      </c>
      <c r="F507">
        <v>320400</v>
      </c>
      <c r="G507" t="s">
        <v>15</v>
      </c>
      <c r="H507">
        <v>2705.8</v>
      </c>
      <c r="I507">
        <v>318783.45</v>
      </c>
    </row>
    <row r="508" spans="1:9" x14ac:dyDescent="0.15">
      <c r="A508">
        <v>410184147</v>
      </c>
      <c r="B508" t="s">
        <v>35</v>
      </c>
      <c r="C508" t="s">
        <v>16</v>
      </c>
      <c r="D508">
        <v>39209</v>
      </c>
      <c r="E508">
        <v>185000</v>
      </c>
      <c r="F508">
        <v>157250</v>
      </c>
      <c r="G508" t="s">
        <v>17</v>
      </c>
      <c r="H508">
        <v>1175.8499999999999</v>
      </c>
      <c r="I508">
        <v>155766.92000000001</v>
      </c>
    </row>
    <row r="509" spans="1:9" x14ac:dyDescent="0.15">
      <c r="A509">
        <v>410187231</v>
      </c>
      <c r="B509" t="s">
        <v>36</v>
      </c>
      <c r="C509" t="s">
        <v>19</v>
      </c>
      <c r="D509">
        <v>39225</v>
      </c>
      <c r="E509">
        <v>150000</v>
      </c>
      <c r="F509">
        <v>112500</v>
      </c>
      <c r="G509" t="s">
        <v>17</v>
      </c>
      <c r="H509">
        <v>881.03</v>
      </c>
      <c r="I509">
        <v>111753.89</v>
      </c>
    </row>
    <row r="510" spans="1:9" x14ac:dyDescent="0.15">
      <c r="A510">
        <v>410191142</v>
      </c>
      <c r="B510" t="s">
        <v>35</v>
      </c>
      <c r="C510" t="s">
        <v>16</v>
      </c>
      <c r="D510">
        <v>39220</v>
      </c>
      <c r="E510">
        <v>135000</v>
      </c>
      <c r="F510">
        <v>114750</v>
      </c>
      <c r="G510" t="s">
        <v>17</v>
      </c>
      <c r="H510">
        <v>989.26</v>
      </c>
      <c r="I510">
        <v>114141.58</v>
      </c>
    </row>
    <row r="511" spans="1:9" x14ac:dyDescent="0.15">
      <c r="A511">
        <v>410191746</v>
      </c>
      <c r="B511" t="s">
        <v>36</v>
      </c>
      <c r="C511" t="s">
        <v>18</v>
      </c>
      <c r="D511">
        <v>39210</v>
      </c>
      <c r="E511">
        <v>290000</v>
      </c>
      <c r="F511">
        <v>174000</v>
      </c>
      <c r="G511" t="s">
        <v>17</v>
      </c>
      <c r="H511">
        <v>1307.21</v>
      </c>
      <c r="I511">
        <v>172736.61</v>
      </c>
    </row>
    <row r="512" spans="1:9" x14ac:dyDescent="0.15">
      <c r="A512">
        <v>410193684</v>
      </c>
      <c r="B512" t="s">
        <v>37</v>
      </c>
      <c r="C512" t="s">
        <v>19</v>
      </c>
      <c r="D512">
        <v>39233</v>
      </c>
      <c r="E512">
        <v>171000</v>
      </c>
      <c r="F512">
        <v>153900</v>
      </c>
      <c r="G512" t="s">
        <v>15</v>
      </c>
      <c r="H512">
        <v>1128.2</v>
      </c>
      <c r="I512">
        <v>152833.62</v>
      </c>
    </row>
    <row r="513" spans="1:9" x14ac:dyDescent="0.15">
      <c r="A513">
        <v>410194823</v>
      </c>
      <c r="B513" t="s">
        <v>38</v>
      </c>
      <c r="C513" t="s">
        <v>19</v>
      </c>
      <c r="D513">
        <v>39216</v>
      </c>
      <c r="E513">
        <v>84000</v>
      </c>
      <c r="F513">
        <v>71400</v>
      </c>
      <c r="G513" t="s">
        <v>15</v>
      </c>
      <c r="H513">
        <v>553.35</v>
      </c>
      <c r="I513">
        <v>71400</v>
      </c>
    </row>
    <row r="514" spans="1:9" x14ac:dyDescent="0.15">
      <c r="A514">
        <v>410197875</v>
      </c>
      <c r="B514" t="s">
        <v>35</v>
      </c>
      <c r="C514" t="s">
        <v>16</v>
      </c>
      <c r="D514">
        <v>39218</v>
      </c>
      <c r="E514">
        <v>170000</v>
      </c>
      <c r="F514">
        <v>153000</v>
      </c>
      <c r="G514" t="s">
        <v>17</v>
      </c>
      <c r="H514">
        <v>1329.3</v>
      </c>
      <c r="I514">
        <v>152741.79</v>
      </c>
    </row>
    <row r="515" spans="1:9" x14ac:dyDescent="0.15">
      <c r="A515">
        <v>410204341</v>
      </c>
      <c r="B515" t="s">
        <v>36</v>
      </c>
      <c r="C515" t="s">
        <v>19</v>
      </c>
      <c r="D515">
        <v>39223</v>
      </c>
      <c r="E515">
        <v>660000</v>
      </c>
      <c r="F515">
        <v>513700</v>
      </c>
      <c r="G515" t="s">
        <v>17</v>
      </c>
      <c r="H515">
        <v>3229.2</v>
      </c>
      <c r="I515">
        <v>512936.41</v>
      </c>
    </row>
    <row r="516" spans="1:9" x14ac:dyDescent="0.15">
      <c r="A516">
        <v>410204994</v>
      </c>
      <c r="B516" t="s">
        <v>38</v>
      </c>
      <c r="C516" t="s">
        <v>19</v>
      </c>
      <c r="D516">
        <v>39211</v>
      </c>
      <c r="E516">
        <v>78000</v>
      </c>
      <c r="F516">
        <v>54600</v>
      </c>
      <c r="G516" t="s">
        <v>17</v>
      </c>
      <c r="H516">
        <v>468.1</v>
      </c>
      <c r="I516">
        <v>54296.76</v>
      </c>
    </row>
    <row r="517" spans="1:9" x14ac:dyDescent="0.15">
      <c r="A517">
        <v>410205777</v>
      </c>
      <c r="B517" t="s">
        <v>38</v>
      </c>
      <c r="C517" t="s">
        <v>19</v>
      </c>
      <c r="D517">
        <v>39217</v>
      </c>
      <c r="E517">
        <v>120000</v>
      </c>
      <c r="F517">
        <v>84000</v>
      </c>
      <c r="G517" t="s">
        <v>15</v>
      </c>
      <c r="H517">
        <v>678.91</v>
      </c>
      <c r="I517">
        <v>83481.2</v>
      </c>
    </row>
    <row r="518" spans="1:9" x14ac:dyDescent="0.15">
      <c r="A518">
        <v>410206908</v>
      </c>
      <c r="B518" t="s">
        <v>37</v>
      </c>
      <c r="C518" t="s">
        <v>18</v>
      </c>
      <c r="D518">
        <v>39216</v>
      </c>
      <c r="E518">
        <v>121000</v>
      </c>
      <c r="F518">
        <v>114950</v>
      </c>
      <c r="G518" t="s">
        <v>17</v>
      </c>
      <c r="H518">
        <v>1006.65</v>
      </c>
      <c r="I518">
        <v>114307.63</v>
      </c>
    </row>
    <row r="519" spans="1:9" x14ac:dyDescent="0.15">
      <c r="A519">
        <v>410208144</v>
      </c>
      <c r="B519" t="s">
        <v>38</v>
      </c>
      <c r="C519" t="s">
        <v>19</v>
      </c>
      <c r="D519">
        <v>39253</v>
      </c>
      <c r="E519">
        <v>105000</v>
      </c>
      <c r="F519">
        <v>94500</v>
      </c>
      <c r="G519" t="s">
        <v>21</v>
      </c>
      <c r="H519">
        <v>809.13</v>
      </c>
      <c r="I519">
        <v>94084.91</v>
      </c>
    </row>
    <row r="520" spans="1:9" x14ac:dyDescent="0.15">
      <c r="A520">
        <v>410212583</v>
      </c>
      <c r="B520" t="s">
        <v>36</v>
      </c>
      <c r="C520" t="s">
        <v>19</v>
      </c>
      <c r="D520">
        <v>39233</v>
      </c>
      <c r="E520">
        <v>165000</v>
      </c>
      <c r="F520">
        <v>132000</v>
      </c>
      <c r="G520" t="s">
        <v>15</v>
      </c>
      <c r="H520">
        <v>956.66</v>
      </c>
      <c r="I520">
        <v>131615.38</v>
      </c>
    </row>
    <row r="521" spans="1:9" x14ac:dyDescent="0.15">
      <c r="A521">
        <v>410213029</v>
      </c>
      <c r="B521" t="s">
        <v>36</v>
      </c>
      <c r="C521" t="s">
        <v>19</v>
      </c>
      <c r="D521">
        <v>39223</v>
      </c>
      <c r="E521">
        <v>170000</v>
      </c>
      <c r="F521">
        <v>153000</v>
      </c>
      <c r="G521" t="s">
        <v>15</v>
      </c>
      <c r="H521">
        <v>1275.3599999999999</v>
      </c>
      <c r="I521">
        <v>152116.51</v>
      </c>
    </row>
    <row r="522" spans="1:9" x14ac:dyDescent="0.15">
      <c r="A522">
        <v>410215826</v>
      </c>
      <c r="B522" t="s">
        <v>36</v>
      </c>
      <c r="C522" t="s">
        <v>19</v>
      </c>
      <c r="D522">
        <v>39216</v>
      </c>
      <c r="E522">
        <v>233000</v>
      </c>
      <c r="F522">
        <v>186400</v>
      </c>
      <c r="G522" t="s">
        <v>15</v>
      </c>
      <c r="H522">
        <v>1215.1400000000001</v>
      </c>
      <c r="I522">
        <v>186095.17</v>
      </c>
    </row>
    <row r="523" spans="1:9" x14ac:dyDescent="0.15">
      <c r="A523">
        <v>410217541</v>
      </c>
      <c r="B523" t="s">
        <v>36</v>
      </c>
      <c r="C523" t="s">
        <v>19</v>
      </c>
      <c r="D523">
        <v>39216</v>
      </c>
      <c r="E523">
        <v>250000</v>
      </c>
      <c r="F523">
        <v>225000</v>
      </c>
      <c r="G523" t="s">
        <v>17</v>
      </c>
      <c r="H523">
        <v>1512.35</v>
      </c>
      <c r="I523">
        <v>224050.96</v>
      </c>
    </row>
    <row r="524" spans="1:9" x14ac:dyDescent="0.15">
      <c r="A524">
        <v>410218333</v>
      </c>
      <c r="B524" t="s">
        <v>36</v>
      </c>
      <c r="C524" t="s">
        <v>19</v>
      </c>
      <c r="D524">
        <v>39210</v>
      </c>
      <c r="E524">
        <v>140000</v>
      </c>
      <c r="F524">
        <v>119000</v>
      </c>
      <c r="G524" t="s">
        <v>17</v>
      </c>
      <c r="H524">
        <v>872.36</v>
      </c>
      <c r="I524">
        <v>118089.9</v>
      </c>
    </row>
    <row r="525" spans="1:9" x14ac:dyDescent="0.15">
      <c r="A525">
        <v>410218424</v>
      </c>
      <c r="B525" t="s">
        <v>36</v>
      </c>
      <c r="C525" t="s">
        <v>18</v>
      </c>
      <c r="D525">
        <v>39223</v>
      </c>
      <c r="E525">
        <v>155000</v>
      </c>
      <c r="F525">
        <v>131750</v>
      </c>
      <c r="G525" t="s">
        <v>17</v>
      </c>
      <c r="H525">
        <v>965.82</v>
      </c>
      <c r="I525">
        <v>130742.48</v>
      </c>
    </row>
    <row r="526" spans="1:9" x14ac:dyDescent="0.15">
      <c r="A526">
        <v>410218556</v>
      </c>
      <c r="B526" t="s">
        <v>36</v>
      </c>
      <c r="C526" t="s">
        <v>19</v>
      </c>
      <c r="D526">
        <v>39223</v>
      </c>
      <c r="E526">
        <v>145000</v>
      </c>
      <c r="F526">
        <v>108500</v>
      </c>
      <c r="G526" t="s">
        <v>15</v>
      </c>
      <c r="H526">
        <v>769.93</v>
      </c>
      <c r="I526">
        <v>108133.44</v>
      </c>
    </row>
    <row r="527" spans="1:9" x14ac:dyDescent="0.15">
      <c r="A527">
        <v>410220370</v>
      </c>
      <c r="B527" t="s">
        <v>35</v>
      </c>
      <c r="C527" t="s">
        <v>16</v>
      </c>
      <c r="D527">
        <v>39220</v>
      </c>
      <c r="E527">
        <v>260000</v>
      </c>
      <c r="F527">
        <v>208000</v>
      </c>
      <c r="G527" t="s">
        <v>15</v>
      </c>
      <c r="H527">
        <v>1672.12</v>
      </c>
      <c r="I527">
        <v>206699.63</v>
      </c>
    </row>
    <row r="528" spans="1:9" x14ac:dyDescent="0.15">
      <c r="A528">
        <v>410224091</v>
      </c>
      <c r="B528" t="s">
        <v>36</v>
      </c>
      <c r="C528" t="s">
        <v>19</v>
      </c>
      <c r="D528">
        <v>39218</v>
      </c>
      <c r="E528">
        <v>269000</v>
      </c>
      <c r="F528">
        <v>242100</v>
      </c>
      <c r="G528" t="s">
        <v>17</v>
      </c>
      <c r="H528">
        <v>1747.26</v>
      </c>
      <c r="I528">
        <v>241373.94</v>
      </c>
    </row>
    <row r="529" spans="1:9" x14ac:dyDescent="0.15">
      <c r="A529">
        <v>410224620</v>
      </c>
      <c r="B529" t="s">
        <v>36</v>
      </c>
      <c r="C529" t="s">
        <v>18</v>
      </c>
      <c r="D529">
        <v>39223</v>
      </c>
      <c r="E529">
        <v>462000</v>
      </c>
      <c r="F529">
        <v>392700</v>
      </c>
      <c r="G529" t="s">
        <v>15</v>
      </c>
      <c r="H529">
        <v>3019.53</v>
      </c>
      <c r="I529">
        <v>389988.13</v>
      </c>
    </row>
    <row r="530" spans="1:9" x14ac:dyDescent="0.15">
      <c r="A530">
        <v>410225106</v>
      </c>
      <c r="B530" t="s">
        <v>35</v>
      </c>
      <c r="C530" t="s">
        <v>16</v>
      </c>
      <c r="D530">
        <v>39216</v>
      </c>
      <c r="E530">
        <v>104000</v>
      </c>
      <c r="F530">
        <v>88400</v>
      </c>
      <c r="G530" t="s">
        <v>17</v>
      </c>
      <c r="H530">
        <v>664.92</v>
      </c>
      <c r="I530">
        <v>88156.59</v>
      </c>
    </row>
    <row r="531" spans="1:9" x14ac:dyDescent="0.15">
      <c r="A531">
        <v>410225445</v>
      </c>
      <c r="B531" t="s">
        <v>37</v>
      </c>
      <c r="C531" t="s">
        <v>19</v>
      </c>
      <c r="D531">
        <v>39227</v>
      </c>
      <c r="E531">
        <v>130000</v>
      </c>
      <c r="F531">
        <v>104000</v>
      </c>
      <c r="G531" t="s">
        <v>17</v>
      </c>
      <c r="H531">
        <v>978.65</v>
      </c>
      <c r="I531">
        <v>103515.27</v>
      </c>
    </row>
    <row r="532" spans="1:9" x14ac:dyDescent="0.15">
      <c r="A532">
        <v>410225452</v>
      </c>
      <c r="B532" t="s">
        <v>36</v>
      </c>
      <c r="C532" t="s">
        <v>18</v>
      </c>
      <c r="D532">
        <v>39237</v>
      </c>
      <c r="E532">
        <v>300000</v>
      </c>
      <c r="F532">
        <v>82000</v>
      </c>
      <c r="G532" t="s">
        <v>17</v>
      </c>
      <c r="H532">
        <v>704.51</v>
      </c>
      <c r="I532">
        <v>81644.259999999995</v>
      </c>
    </row>
    <row r="533" spans="1:9" x14ac:dyDescent="0.15">
      <c r="A533">
        <v>410229728</v>
      </c>
      <c r="B533" t="s">
        <v>36</v>
      </c>
      <c r="C533" t="s">
        <v>18</v>
      </c>
      <c r="D533">
        <v>39217</v>
      </c>
      <c r="E533">
        <v>176000</v>
      </c>
      <c r="F533">
        <v>132000</v>
      </c>
      <c r="G533" t="s">
        <v>17</v>
      </c>
      <c r="H533">
        <v>982.78</v>
      </c>
      <c r="I533">
        <v>131635.5</v>
      </c>
    </row>
    <row r="534" spans="1:9" x14ac:dyDescent="0.15">
      <c r="A534">
        <v>410232094</v>
      </c>
      <c r="B534" t="s">
        <v>36</v>
      </c>
      <c r="C534" t="s">
        <v>18</v>
      </c>
      <c r="D534">
        <v>39300</v>
      </c>
      <c r="E534">
        <v>327000</v>
      </c>
      <c r="F534">
        <v>245250</v>
      </c>
      <c r="G534" t="s">
        <v>15</v>
      </c>
      <c r="H534">
        <v>1791.02</v>
      </c>
      <c r="I534">
        <v>243888.84</v>
      </c>
    </row>
    <row r="535" spans="1:9" x14ac:dyDescent="0.15">
      <c r="A535">
        <v>410235840</v>
      </c>
      <c r="B535" t="s">
        <v>38</v>
      </c>
      <c r="C535" t="s">
        <v>18</v>
      </c>
      <c r="D535">
        <v>39220</v>
      </c>
      <c r="E535">
        <v>132000</v>
      </c>
      <c r="F535">
        <v>118800</v>
      </c>
      <c r="G535" t="s">
        <v>15</v>
      </c>
      <c r="H535">
        <v>1016.14</v>
      </c>
      <c r="I535">
        <v>118727.23</v>
      </c>
    </row>
    <row r="536" spans="1:9" x14ac:dyDescent="0.15">
      <c r="A536">
        <v>410235857</v>
      </c>
      <c r="B536" t="s">
        <v>38</v>
      </c>
      <c r="C536" t="s">
        <v>19</v>
      </c>
      <c r="D536">
        <v>39216</v>
      </c>
      <c r="E536">
        <v>95000</v>
      </c>
      <c r="F536">
        <v>85500</v>
      </c>
      <c r="G536" t="s">
        <v>17</v>
      </c>
      <c r="H536">
        <v>697.21</v>
      </c>
      <c r="I536">
        <v>84982.56</v>
      </c>
    </row>
    <row r="537" spans="1:9" x14ac:dyDescent="0.15">
      <c r="A537">
        <v>410238513</v>
      </c>
      <c r="B537" t="s">
        <v>37</v>
      </c>
      <c r="C537" t="s">
        <v>19</v>
      </c>
      <c r="D537">
        <v>39216</v>
      </c>
      <c r="E537">
        <v>105000</v>
      </c>
      <c r="F537">
        <v>94000</v>
      </c>
      <c r="G537" t="s">
        <v>15</v>
      </c>
      <c r="H537">
        <v>824.23</v>
      </c>
      <c r="I537">
        <v>93521.94</v>
      </c>
    </row>
    <row r="538" spans="1:9" x14ac:dyDescent="0.15">
      <c r="A538">
        <v>410238695</v>
      </c>
      <c r="B538" t="s">
        <v>36</v>
      </c>
      <c r="C538" t="s">
        <v>19</v>
      </c>
      <c r="D538">
        <v>39218</v>
      </c>
      <c r="E538">
        <v>222000</v>
      </c>
      <c r="F538">
        <v>123000</v>
      </c>
      <c r="G538" t="s">
        <v>17</v>
      </c>
      <c r="H538">
        <v>797.05</v>
      </c>
      <c r="I538">
        <v>122814.25</v>
      </c>
    </row>
    <row r="539" spans="1:9" x14ac:dyDescent="0.15">
      <c r="A539">
        <v>410244081</v>
      </c>
      <c r="B539" t="s">
        <v>35</v>
      </c>
      <c r="C539" t="s">
        <v>16</v>
      </c>
      <c r="D539">
        <v>39233</v>
      </c>
      <c r="E539">
        <v>120000</v>
      </c>
      <c r="F539">
        <v>114000</v>
      </c>
      <c r="G539" t="s">
        <v>20</v>
      </c>
      <c r="H539">
        <v>909.08</v>
      </c>
      <c r="I539">
        <v>113205.13</v>
      </c>
    </row>
    <row r="540" spans="1:9" x14ac:dyDescent="0.15">
      <c r="A540">
        <v>410247126</v>
      </c>
      <c r="B540" t="s">
        <v>36</v>
      </c>
      <c r="C540" t="s">
        <v>19</v>
      </c>
      <c r="D540">
        <v>39217</v>
      </c>
      <c r="E540">
        <v>218000</v>
      </c>
      <c r="F540">
        <v>207100</v>
      </c>
      <c r="G540" t="s">
        <v>15</v>
      </c>
      <c r="H540">
        <v>1636.66</v>
      </c>
      <c r="I540">
        <v>205754.18</v>
      </c>
    </row>
    <row r="541" spans="1:9" x14ac:dyDescent="0.15">
      <c r="A541">
        <v>410249429</v>
      </c>
      <c r="B541" t="s">
        <v>36</v>
      </c>
      <c r="C541" t="s">
        <v>19</v>
      </c>
      <c r="D541">
        <v>39220</v>
      </c>
      <c r="E541">
        <v>275000</v>
      </c>
      <c r="F541">
        <v>233750</v>
      </c>
      <c r="G541" t="s">
        <v>15</v>
      </c>
      <c r="H541">
        <v>1664.94</v>
      </c>
      <c r="I541">
        <v>231853.09</v>
      </c>
    </row>
    <row r="542" spans="1:9" x14ac:dyDescent="0.15">
      <c r="A542">
        <v>410249775</v>
      </c>
      <c r="B542" t="s">
        <v>35</v>
      </c>
      <c r="C542" t="s">
        <v>16</v>
      </c>
      <c r="D542">
        <v>39233</v>
      </c>
      <c r="E542">
        <v>250000</v>
      </c>
      <c r="F542">
        <v>234650</v>
      </c>
      <c r="G542" t="s">
        <v>15</v>
      </c>
      <c r="H542">
        <v>1871.19</v>
      </c>
      <c r="I542">
        <v>233155.85</v>
      </c>
    </row>
    <row r="543" spans="1:9" x14ac:dyDescent="0.15">
      <c r="A543">
        <v>410251516</v>
      </c>
      <c r="B543" t="s">
        <v>35</v>
      </c>
      <c r="C543" t="s">
        <v>16</v>
      </c>
      <c r="D543">
        <v>39223</v>
      </c>
      <c r="E543">
        <v>135000</v>
      </c>
      <c r="F543">
        <v>121500</v>
      </c>
      <c r="G543" t="s">
        <v>17</v>
      </c>
      <c r="H543">
        <v>839.66</v>
      </c>
      <c r="I543">
        <v>121319.7</v>
      </c>
    </row>
    <row r="544" spans="1:9" x14ac:dyDescent="0.15">
      <c r="A544">
        <v>410251946</v>
      </c>
      <c r="B544" t="s">
        <v>35</v>
      </c>
      <c r="C544" t="s">
        <v>16</v>
      </c>
      <c r="D544">
        <v>39217</v>
      </c>
      <c r="E544">
        <v>110000</v>
      </c>
      <c r="F544">
        <v>88000</v>
      </c>
      <c r="G544" t="s">
        <v>17</v>
      </c>
      <c r="H544">
        <v>759.29</v>
      </c>
      <c r="I544">
        <v>87534.43</v>
      </c>
    </row>
    <row r="545" spans="1:9" x14ac:dyDescent="0.15">
      <c r="A545">
        <v>410252845</v>
      </c>
      <c r="B545" t="s">
        <v>36</v>
      </c>
      <c r="C545" t="s">
        <v>18</v>
      </c>
      <c r="D545">
        <v>39231</v>
      </c>
      <c r="E545">
        <v>196000</v>
      </c>
      <c r="F545">
        <v>156000</v>
      </c>
      <c r="G545" t="s">
        <v>17</v>
      </c>
      <c r="H545">
        <v>1133.82</v>
      </c>
      <c r="I545">
        <v>152154.04999999999</v>
      </c>
    </row>
    <row r="546" spans="1:9" x14ac:dyDescent="0.15">
      <c r="A546">
        <v>410257042</v>
      </c>
      <c r="B546" t="s">
        <v>35</v>
      </c>
      <c r="C546" t="s">
        <v>16</v>
      </c>
      <c r="D546">
        <v>39260</v>
      </c>
      <c r="E546">
        <v>150000</v>
      </c>
      <c r="F546">
        <v>120000</v>
      </c>
      <c r="G546" t="s">
        <v>17</v>
      </c>
      <c r="H546">
        <v>931.22</v>
      </c>
      <c r="I546">
        <v>119264.39</v>
      </c>
    </row>
    <row r="547" spans="1:9" x14ac:dyDescent="0.15">
      <c r="A547">
        <v>410257604</v>
      </c>
      <c r="B547" t="s">
        <v>37</v>
      </c>
      <c r="C547" t="s">
        <v>19</v>
      </c>
      <c r="D547">
        <v>39241</v>
      </c>
      <c r="E547">
        <v>76000</v>
      </c>
      <c r="F547">
        <v>59000</v>
      </c>
      <c r="G547" t="s">
        <v>17</v>
      </c>
      <c r="H547">
        <v>496.11</v>
      </c>
      <c r="I547">
        <v>58667.76</v>
      </c>
    </row>
    <row r="548" spans="1:9" x14ac:dyDescent="0.15">
      <c r="A548">
        <v>410258453</v>
      </c>
      <c r="B548" t="s">
        <v>37</v>
      </c>
      <c r="C548" t="s">
        <v>18</v>
      </c>
      <c r="D548">
        <v>39217</v>
      </c>
      <c r="E548">
        <v>214900</v>
      </c>
      <c r="F548">
        <v>125000</v>
      </c>
      <c r="G548" t="s">
        <v>17</v>
      </c>
      <c r="H548">
        <v>996.8</v>
      </c>
      <c r="I548">
        <v>124204.04</v>
      </c>
    </row>
    <row r="549" spans="1:9" x14ac:dyDescent="0.15">
      <c r="A549">
        <v>410260830</v>
      </c>
      <c r="B549" t="s">
        <v>37</v>
      </c>
      <c r="C549" t="s">
        <v>19</v>
      </c>
      <c r="D549">
        <v>39233</v>
      </c>
      <c r="E549">
        <v>163000</v>
      </c>
      <c r="F549">
        <v>145000</v>
      </c>
      <c r="G549" t="s">
        <v>15</v>
      </c>
      <c r="H549">
        <v>1112.9000000000001</v>
      </c>
      <c r="I549">
        <v>144596.06</v>
      </c>
    </row>
    <row r="550" spans="1:9" x14ac:dyDescent="0.15">
      <c r="A550">
        <v>410265128</v>
      </c>
      <c r="B550" t="s">
        <v>37</v>
      </c>
      <c r="C550" t="s">
        <v>19</v>
      </c>
      <c r="D550">
        <v>39237</v>
      </c>
      <c r="E550">
        <v>120000</v>
      </c>
      <c r="F550">
        <v>107500</v>
      </c>
      <c r="G550" t="s">
        <v>17</v>
      </c>
      <c r="H550">
        <v>767.7</v>
      </c>
      <c r="I550">
        <v>107169.78</v>
      </c>
    </row>
    <row r="551" spans="1:9" x14ac:dyDescent="0.15">
      <c r="A551">
        <v>410265946</v>
      </c>
      <c r="B551" t="s">
        <v>36</v>
      </c>
      <c r="C551" t="s">
        <v>18</v>
      </c>
      <c r="D551">
        <v>39220</v>
      </c>
      <c r="E551">
        <v>330000</v>
      </c>
      <c r="F551">
        <v>297000</v>
      </c>
      <c r="G551" t="s">
        <v>17</v>
      </c>
      <c r="H551">
        <v>2053.94</v>
      </c>
      <c r="I551">
        <v>296018.45</v>
      </c>
    </row>
    <row r="552" spans="1:9" x14ac:dyDescent="0.15">
      <c r="A552">
        <v>410266084</v>
      </c>
      <c r="B552" t="s">
        <v>38</v>
      </c>
      <c r="C552" t="s">
        <v>18</v>
      </c>
      <c r="D552">
        <v>39231</v>
      </c>
      <c r="E552">
        <v>163000</v>
      </c>
      <c r="F552">
        <v>130000</v>
      </c>
      <c r="G552" t="s">
        <v>17</v>
      </c>
      <c r="H552">
        <v>1013.44</v>
      </c>
      <c r="I552">
        <v>129129.14</v>
      </c>
    </row>
    <row r="553" spans="1:9" x14ac:dyDescent="0.15">
      <c r="A553">
        <v>410266365</v>
      </c>
      <c r="B553" t="s">
        <v>36</v>
      </c>
      <c r="C553" t="s">
        <v>19</v>
      </c>
      <c r="D553">
        <v>39238</v>
      </c>
      <c r="E553">
        <v>225000</v>
      </c>
      <c r="F553">
        <v>188000</v>
      </c>
      <c r="G553" t="s">
        <v>17</v>
      </c>
      <c r="H553">
        <v>1249.51</v>
      </c>
      <c r="I553">
        <v>186250.09</v>
      </c>
    </row>
    <row r="554" spans="1:9" x14ac:dyDescent="0.15">
      <c r="A554">
        <v>410266613</v>
      </c>
      <c r="B554" t="s">
        <v>36</v>
      </c>
      <c r="C554" t="s">
        <v>18</v>
      </c>
      <c r="D554">
        <v>39224</v>
      </c>
      <c r="E554">
        <v>270000</v>
      </c>
      <c r="F554">
        <v>229500</v>
      </c>
      <c r="G554" t="s">
        <v>15</v>
      </c>
      <c r="H554">
        <v>1649.51</v>
      </c>
      <c r="I554">
        <v>228682.83</v>
      </c>
    </row>
    <row r="555" spans="1:9" x14ac:dyDescent="0.15">
      <c r="A555">
        <v>410266886</v>
      </c>
      <c r="B555" t="s">
        <v>38</v>
      </c>
      <c r="C555" t="s">
        <v>18</v>
      </c>
      <c r="D555">
        <v>39223</v>
      </c>
      <c r="E555">
        <v>150000</v>
      </c>
      <c r="F555">
        <v>129600</v>
      </c>
      <c r="G555" t="s">
        <v>17</v>
      </c>
      <c r="H555">
        <v>1151.73</v>
      </c>
      <c r="I555">
        <v>128941.45</v>
      </c>
    </row>
    <row r="556" spans="1:9" x14ac:dyDescent="0.15">
      <c r="A556">
        <v>410267611</v>
      </c>
      <c r="B556" t="s">
        <v>35</v>
      </c>
      <c r="C556" t="s">
        <v>16</v>
      </c>
      <c r="D556">
        <v>39220</v>
      </c>
      <c r="E556">
        <v>162000</v>
      </c>
      <c r="F556">
        <v>136850</v>
      </c>
      <c r="G556" t="s">
        <v>15</v>
      </c>
      <c r="H556">
        <v>994.45</v>
      </c>
      <c r="I556">
        <v>135784.15</v>
      </c>
    </row>
    <row r="557" spans="1:9" x14ac:dyDescent="0.15">
      <c r="A557">
        <v>410267736</v>
      </c>
      <c r="B557" t="s">
        <v>35</v>
      </c>
      <c r="C557" t="s">
        <v>16</v>
      </c>
      <c r="D557">
        <v>39224</v>
      </c>
      <c r="E557">
        <v>159000</v>
      </c>
      <c r="F557">
        <v>151050</v>
      </c>
      <c r="G557" t="s">
        <v>15</v>
      </c>
      <c r="H557">
        <v>1193.71</v>
      </c>
      <c r="I557">
        <v>150068.12</v>
      </c>
    </row>
    <row r="558" spans="1:9" x14ac:dyDescent="0.15">
      <c r="A558">
        <v>410267793</v>
      </c>
      <c r="B558" t="s">
        <v>36</v>
      </c>
      <c r="C558" t="s">
        <v>19</v>
      </c>
      <c r="D558">
        <v>39237</v>
      </c>
      <c r="E558">
        <v>168000</v>
      </c>
      <c r="F558">
        <v>134400</v>
      </c>
      <c r="G558" t="s">
        <v>15</v>
      </c>
      <c r="H558">
        <v>1086.26</v>
      </c>
      <c r="I558">
        <v>133648.24</v>
      </c>
    </row>
    <row r="559" spans="1:9" x14ac:dyDescent="0.15">
      <c r="A559">
        <v>410268064</v>
      </c>
      <c r="B559" t="s">
        <v>36</v>
      </c>
      <c r="C559" t="s">
        <v>19</v>
      </c>
      <c r="D559">
        <v>39227</v>
      </c>
      <c r="E559">
        <v>252000</v>
      </c>
      <c r="F559">
        <v>206300</v>
      </c>
      <c r="G559" t="s">
        <v>15</v>
      </c>
      <c r="H559">
        <v>1448.47</v>
      </c>
      <c r="I559">
        <v>206084.59</v>
      </c>
    </row>
    <row r="560" spans="1:9" x14ac:dyDescent="0.15">
      <c r="A560">
        <v>410273098</v>
      </c>
      <c r="B560" t="s">
        <v>35</v>
      </c>
      <c r="C560" t="s">
        <v>16</v>
      </c>
      <c r="D560">
        <v>39223</v>
      </c>
      <c r="E560">
        <v>79000</v>
      </c>
      <c r="F560">
        <v>59250</v>
      </c>
      <c r="G560" t="s">
        <v>17</v>
      </c>
      <c r="H560">
        <v>517.78</v>
      </c>
      <c r="I560">
        <v>58946.12</v>
      </c>
    </row>
    <row r="561" spans="1:9" x14ac:dyDescent="0.15">
      <c r="A561">
        <v>410273957</v>
      </c>
      <c r="B561" t="s">
        <v>36</v>
      </c>
      <c r="C561" t="s">
        <v>19</v>
      </c>
      <c r="D561">
        <v>39241</v>
      </c>
      <c r="E561">
        <v>165000</v>
      </c>
      <c r="F561">
        <v>132000</v>
      </c>
      <c r="G561" t="s">
        <v>17</v>
      </c>
      <c r="H561">
        <v>959.39</v>
      </c>
      <c r="I561">
        <v>129811.93</v>
      </c>
    </row>
    <row r="562" spans="1:9" x14ac:dyDescent="0.15">
      <c r="A562">
        <v>410278337</v>
      </c>
      <c r="B562" t="s">
        <v>35</v>
      </c>
      <c r="C562" t="s">
        <v>16</v>
      </c>
      <c r="D562">
        <v>39224</v>
      </c>
      <c r="E562">
        <v>155000</v>
      </c>
      <c r="F562">
        <v>108500</v>
      </c>
      <c r="G562" t="s">
        <v>15</v>
      </c>
      <c r="H562">
        <v>818.95</v>
      </c>
      <c r="I562">
        <v>107719.99</v>
      </c>
    </row>
    <row r="563" spans="1:9" x14ac:dyDescent="0.15">
      <c r="A563">
        <v>410278626</v>
      </c>
      <c r="B563" t="s">
        <v>35</v>
      </c>
      <c r="C563" t="s">
        <v>16</v>
      </c>
      <c r="D563">
        <v>39232</v>
      </c>
      <c r="E563">
        <v>225000</v>
      </c>
      <c r="F563">
        <v>184250</v>
      </c>
      <c r="G563" t="s">
        <v>17</v>
      </c>
      <c r="H563">
        <v>1628.24</v>
      </c>
      <c r="I563">
        <v>180692.57</v>
      </c>
    </row>
    <row r="564" spans="1:9" x14ac:dyDescent="0.15">
      <c r="A564">
        <v>410278691</v>
      </c>
      <c r="B564" t="s">
        <v>37</v>
      </c>
      <c r="C564" t="s">
        <v>19</v>
      </c>
      <c r="D564">
        <v>39218</v>
      </c>
      <c r="E564">
        <v>167500</v>
      </c>
      <c r="F564">
        <v>142300</v>
      </c>
      <c r="G564" t="s">
        <v>17</v>
      </c>
      <c r="H564">
        <v>1175.83</v>
      </c>
      <c r="I564">
        <v>141374.32999999999</v>
      </c>
    </row>
    <row r="565" spans="1:9" x14ac:dyDescent="0.15">
      <c r="A565">
        <v>410282636</v>
      </c>
      <c r="B565" t="s">
        <v>36</v>
      </c>
      <c r="C565" t="s">
        <v>18</v>
      </c>
      <c r="D565">
        <v>39223</v>
      </c>
      <c r="E565">
        <v>260000</v>
      </c>
      <c r="F565">
        <v>188000</v>
      </c>
      <c r="G565" t="s">
        <v>17</v>
      </c>
      <c r="H565">
        <v>1392.61</v>
      </c>
      <c r="I565">
        <v>186582.36</v>
      </c>
    </row>
    <row r="566" spans="1:9" x14ac:dyDescent="0.15">
      <c r="A566">
        <v>410283642</v>
      </c>
      <c r="B566" t="s">
        <v>36</v>
      </c>
      <c r="C566" t="s">
        <v>19</v>
      </c>
      <c r="D566">
        <v>39232</v>
      </c>
      <c r="E566">
        <v>210000</v>
      </c>
      <c r="F566">
        <v>147000</v>
      </c>
      <c r="G566" t="s">
        <v>17</v>
      </c>
      <c r="H566">
        <v>1156.45</v>
      </c>
      <c r="I566">
        <v>145238.95000000001</v>
      </c>
    </row>
    <row r="567" spans="1:9" x14ac:dyDescent="0.15">
      <c r="A567">
        <v>410284319</v>
      </c>
      <c r="B567" t="s">
        <v>37</v>
      </c>
      <c r="C567" t="s">
        <v>19</v>
      </c>
      <c r="D567">
        <v>39246</v>
      </c>
      <c r="E567">
        <v>217000</v>
      </c>
      <c r="F567">
        <v>162750</v>
      </c>
      <c r="G567" t="s">
        <v>17</v>
      </c>
      <c r="H567">
        <v>1228.42</v>
      </c>
      <c r="I567">
        <v>161580.04999999999</v>
      </c>
    </row>
    <row r="568" spans="1:9" x14ac:dyDescent="0.15">
      <c r="A568">
        <v>410285522</v>
      </c>
      <c r="B568" t="s">
        <v>37</v>
      </c>
      <c r="C568" t="s">
        <v>19</v>
      </c>
      <c r="D568">
        <v>39238</v>
      </c>
      <c r="E568">
        <v>158000</v>
      </c>
      <c r="F568">
        <v>150100</v>
      </c>
      <c r="G568" t="s">
        <v>20</v>
      </c>
      <c r="H568">
        <v>1351.06</v>
      </c>
      <c r="I568">
        <v>149946.37</v>
      </c>
    </row>
    <row r="569" spans="1:9" x14ac:dyDescent="0.15">
      <c r="A569">
        <v>410286785</v>
      </c>
      <c r="B569" t="s">
        <v>37</v>
      </c>
      <c r="C569" t="s">
        <v>18</v>
      </c>
      <c r="D569">
        <v>39225</v>
      </c>
      <c r="E569">
        <v>185400</v>
      </c>
      <c r="F569">
        <v>150000</v>
      </c>
      <c r="G569" t="s">
        <v>15</v>
      </c>
      <c r="H569">
        <v>1079.81</v>
      </c>
      <c r="I569">
        <v>148808.88</v>
      </c>
    </row>
    <row r="570" spans="1:9" x14ac:dyDescent="0.15">
      <c r="A570">
        <v>410287023</v>
      </c>
      <c r="B570" t="s">
        <v>38</v>
      </c>
      <c r="C570" t="s">
        <v>18</v>
      </c>
      <c r="D570">
        <v>39237</v>
      </c>
      <c r="E570">
        <v>110000</v>
      </c>
      <c r="F570">
        <v>93500</v>
      </c>
      <c r="G570" t="s">
        <v>17</v>
      </c>
      <c r="H570">
        <v>779.39</v>
      </c>
      <c r="I570">
        <v>93063.76</v>
      </c>
    </row>
    <row r="571" spans="1:9" x14ac:dyDescent="0.15">
      <c r="A571">
        <v>410290118</v>
      </c>
      <c r="B571" t="s">
        <v>36</v>
      </c>
      <c r="C571" t="s">
        <v>19</v>
      </c>
      <c r="D571">
        <v>39231</v>
      </c>
      <c r="E571">
        <v>194000</v>
      </c>
      <c r="F571">
        <v>162000</v>
      </c>
      <c r="G571" t="s">
        <v>15</v>
      </c>
      <c r="H571">
        <v>1113.1600000000001</v>
      </c>
      <c r="I571">
        <v>161714.94</v>
      </c>
    </row>
    <row r="572" spans="1:9" x14ac:dyDescent="0.15">
      <c r="A572">
        <v>410296339</v>
      </c>
      <c r="B572" t="s">
        <v>38</v>
      </c>
      <c r="C572" t="s">
        <v>19</v>
      </c>
      <c r="D572">
        <v>39225</v>
      </c>
      <c r="E572">
        <v>134000</v>
      </c>
      <c r="F572">
        <v>120600</v>
      </c>
      <c r="G572" t="s">
        <v>15</v>
      </c>
      <c r="H572">
        <v>967.57</v>
      </c>
      <c r="I572">
        <v>120338.34</v>
      </c>
    </row>
    <row r="573" spans="1:9" x14ac:dyDescent="0.15">
      <c r="A573">
        <v>410296461</v>
      </c>
      <c r="B573" t="s">
        <v>36</v>
      </c>
      <c r="C573" t="s">
        <v>19</v>
      </c>
      <c r="D573">
        <v>39233</v>
      </c>
      <c r="E573">
        <v>198000</v>
      </c>
      <c r="F573">
        <v>168300</v>
      </c>
      <c r="G573" t="s">
        <v>17</v>
      </c>
      <c r="H573">
        <v>1296.9100000000001</v>
      </c>
      <c r="I573">
        <v>167860.17</v>
      </c>
    </row>
    <row r="574" spans="1:9" x14ac:dyDescent="0.15">
      <c r="A574">
        <v>410296925</v>
      </c>
      <c r="B574" t="s">
        <v>36</v>
      </c>
      <c r="C574" t="s">
        <v>19</v>
      </c>
      <c r="D574">
        <v>39237</v>
      </c>
      <c r="E574">
        <v>220000</v>
      </c>
      <c r="F574">
        <v>153000</v>
      </c>
      <c r="G574" t="s">
        <v>17</v>
      </c>
      <c r="H574">
        <v>1112.02</v>
      </c>
      <c r="I574">
        <v>151920.72</v>
      </c>
    </row>
    <row r="575" spans="1:9" x14ac:dyDescent="0.15">
      <c r="A575">
        <v>410297287</v>
      </c>
      <c r="B575" t="s">
        <v>36</v>
      </c>
      <c r="C575" t="s">
        <v>18</v>
      </c>
      <c r="D575">
        <v>39231</v>
      </c>
      <c r="E575">
        <v>310000</v>
      </c>
      <c r="F575">
        <v>276000</v>
      </c>
      <c r="G575" t="s">
        <v>21</v>
      </c>
      <c r="H575">
        <v>2218.7800000000002</v>
      </c>
      <c r="I575">
        <v>274274.45</v>
      </c>
    </row>
    <row r="576" spans="1:9" x14ac:dyDescent="0.15">
      <c r="A576">
        <v>410306062</v>
      </c>
      <c r="B576" t="s">
        <v>37</v>
      </c>
      <c r="C576" t="s">
        <v>19</v>
      </c>
      <c r="D576">
        <v>39233</v>
      </c>
      <c r="E576">
        <v>118000</v>
      </c>
      <c r="F576">
        <v>112100</v>
      </c>
      <c r="G576" t="s">
        <v>17</v>
      </c>
      <c r="H576">
        <v>1110.1199999999999</v>
      </c>
      <c r="I576">
        <v>111455.09</v>
      </c>
    </row>
    <row r="577" spans="1:9" x14ac:dyDescent="0.15">
      <c r="A577">
        <v>410308332</v>
      </c>
      <c r="B577" t="s">
        <v>35</v>
      </c>
      <c r="C577" t="s">
        <v>16</v>
      </c>
      <c r="D577">
        <v>39232</v>
      </c>
      <c r="E577">
        <v>273000</v>
      </c>
      <c r="F577">
        <v>245700</v>
      </c>
      <c r="G577" t="s">
        <v>15</v>
      </c>
      <c r="H577">
        <v>1990.33</v>
      </c>
      <c r="I577">
        <v>245117.34</v>
      </c>
    </row>
    <row r="578" spans="1:9" x14ac:dyDescent="0.15">
      <c r="A578">
        <v>410308605</v>
      </c>
      <c r="B578" t="s">
        <v>37</v>
      </c>
      <c r="C578" t="s">
        <v>19</v>
      </c>
      <c r="D578">
        <v>39246</v>
      </c>
      <c r="E578">
        <v>192000</v>
      </c>
      <c r="F578">
        <v>134300</v>
      </c>
      <c r="G578" t="s">
        <v>17</v>
      </c>
      <c r="H578">
        <v>1023.15</v>
      </c>
      <c r="I578">
        <v>133330.91</v>
      </c>
    </row>
    <row r="579" spans="1:9" x14ac:dyDescent="0.15">
      <c r="A579">
        <v>410309249</v>
      </c>
      <c r="B579" t="s">
        <v>35</v>
      </c>
      <c r="C579" t="s">
        <v>16</v>
      </c>
      <c r="D579">
        <v>39231</v>
      </c>
      <c r="E579">
        <v>125000</v>
      </c>
      <c r="F579">
        <v>106250</v>
      </c>
      <c r="G579" t="s">
        <v>17</v>
      </c>
      <c r="H579">
        <v>823.67</v>
      </c>
      <c r="I579">
        <v>105994.46</v>
      </c>
    </row>
    <row r="580" spans="1:9" x14ac:dyDescent="0.15">
      <c r="A580">
        <v>410310742</v>
      </c>
      <c r="B580" t="s">
        <v>37</v>
      </c>
      <c r="C580" t="s">
        <v>18</v>
      </c>
      <c r="D580">
        <v>39238</v>
      </c>
      <c r="E580">
        <v>128000</v>
      </c>
      <c r="F580">
        <v>115200</v>
      </c>
      <c r="G580" t="s">
        <v>17</v>
      </c>
      <c r="H580">
        <v>906.39</v>
      </c>
      <c r="I580">
        <v>114959.93</v>
      </c>
    </row>
    <row r="581" spans="1:9" x14ac:dyDescent="0.15">
      <c r="A581">
        <v>410311401</v>
      </c>
      <c r="B581" t="s">
        <v>37</v>
      </c>
      <c r="C581" t="s">
        <v>19</v>
      </c>
      <c r="D581">
        <v>39233</v>
      </c>
      <c r="E581">
        <v>114500</v>
      </c>
      <c r="F581">
        <v>103050</v>
      </c>
      <c r="G581" t="s">
        <v>15</v>
      </c>
      <c r="H581">
        <v>777.81</v>
      </c>
      <c r="I581">
        <v>102378.89</v>
      </c>
    </row>
    <row r="582" spans="1:9" x14ac:dyDescent="0.15">
      <c r="A582">
        <v>410315535</v>
      </c>
      <c r="B582" t="s">
        <v>37</v>
      </c>
      <c r="C582" t="s">
        <v>18</v>
      </c>
      <c r="D582">
        <v>39259</v>
      </c>
      <c r="E582">
        <v>162000</v>
      </c>
      <c r="F582">
        <v>149625</v>
      </c>
      <c r="G582" t="s">
        <v>15</v>
      </c>
      <c r="H582">
        <v>1182.45</v>
      </c>
      <c r="I582">
        <v>148835.32</v>
      </c>
    </row>
    <row r="583" spans="1:9" x14ac:dyDescent="0.15">
      <c r="A583">
        <v>410316434</v>
      </c>
      <c r="B583" t="s">
        <v>36</v>
      </c>
      <c r="C583" t="s">
        <v>19</v>
      </c>
      <c r="D583">
        <v>39238</v>
      </c>
      <c r="E583">
        <v>180000</v>
      </c>
      <c r="F583">
        <v>161950</v>
      </c>
      <c r="G583" t="s">
        <v>15</v>
      </c>
      <c r="H583">
        <v>1222.03</v>
      </c>
      <c r="I583">
        <v>161788.39000000001</v>
      </c>
    </row>
    <row r="584" spans="1:9" x14ac:dyDescent="0.15">
      <c r="A584">
        <v>410316954</v>
      </c>
      <c r="B584" t="s">
        <v>36</v>
      </c>
      <c r="C584" t="s">
        <v>19</v>
      </c>
      <c r="D584">
        <v>39260</v>
      </c>
      <c r="E584">
        <v>240000</v>
      </c>
      <c r="F584">
        <v>216000</v>
      </c>
      <c r="G584" t="s">
        <v>17</v>
      </c>
      <c r="H584">
        <v>1784.82</v>
      </c>
      <c r="I584">
        <v>214970.93</v>
      </c>
    </row>
    <row r="585" spans="1:9" x14ac:dyDescent="0.15">
      <c r="A585">
        <v>410318513</v>
      </c>
      <c r="B585" t="s">
        <v>38</v>
      </c>
      <c r="C585" t="s">
        <v>18</v>
      </c>
      <c r="D585">
        <v>39231</v>
      </c>
      <c r="E585">
        <v>134000</v>
      </c>
      <c r="F585">
        <v>87100</v>
      </c>
      <c r="G585" t="s">
        <v>17</v>
      </c>
      <c r="H585">
        <v>631.54</v>
      </c>
      <c r="I585">
        <v>86354.09</v>
      </c>
    </row>
    <row r="586" spans="1:9" x14ac:dyDescent="0.15">
      <c r="A586">
        <v>410318927</v>
      </c>
      <c r="B586" t="s">
        <v>37</v>
      </c>
      <c r="C586" t="s">
        <v>19</v>
      </c>
      <c r="D586">
        <v>39248</v>
      </c>
      <c r="E586">
        <v>155000</v>
      </c>
      <c r="F586">
        <v>147250</v>
      </c>
      <c r="G586" t="s">
        <v>17</v>
      </c>
      <c r="H586">
        <v>1265.1099999999999</v>
      </c>
      <c r="I586">
        <v>146757.21</v>
      </c>
    </row>
    <row r="587" spans="1:9" x14ac:dyDescent="0.15">
      <c r="A587">
        <v>410320766</v>
      </c>
      <c r="B587" t="s">
        <v>37</v>
      </c>
      <c r="C587" t="s">
        <v>19</v>
      </c>
      <c r="D587">
        <v>39238</v>
      </c>
      <c r="E587">
        <v>189000</v>
      </c>
      <c r="F587">
        <v>169650</v>
      </c>
      <c r="G587" t="s">
        <v>15</v>
      </c>
      <c r="H587">
        <v>1221.27</v>
      </c>
      <c r="I587">
        <v>168270.07</v>
      </c>
    </row>
    <row r="588" spans="1:9" x14ac:dyDescent="0.15">
      <c r="A588">
        <v>410324289</v>
      </c>
      <c r="B588" t="s">
        <v>37</v>
      </c>
      <c r="C588" t="s">
        <v>19</v>
      </c>
      <c r="D588">
        <v>39231</v>
      </c>
      <c r="E588">
        <v>208000</v>
      </c>
      <c r="F588">
        <v>166400</v>
      </c>
      <c r="G588" t="s">
        <v>21</v>
      </c>
      <c r="H588">
        <v>1399.19</v>
      </c>
      <c r="I588">
        <v>165463.07</v>
      </c>
    </row>
    <row r="589" spans="1:9" x14ac:dyDescent="0.15">
      <c r="A589">
        <v>410324446</v>
      </c>
      <c r="B589" t="s">
        <v>36</v>
      </c>
      <c r="C589" t="s">
        <v>19</v>
      </c>
      <c r="D589">
        <v>39237</v>
      </c>
      <c r="E589">
        <v>174000</v>
      </c>
      <c r="F589">
        <v>156600</v>
      </c>
      <c r="G589" t="s">
        <v>17</v>
      </c>
      <c r="H589">
        <v>1292.8599999999999</v>
      </c>
      <c r="I589">
        <v>155852.51</v>
      </c>
    </row>
    <row r="590" spans="1:9" x14ac:dyDescent="0.15">
      <c r="A590">
        <v>410325138</v>
      </c>
      <c r="B590" t="s">
        <v>36</v>
      </c>
      <c r="C590" t="s">
        <v>19</v>
      </c>
      <c r="D590">
        <v>39237</v>
      </c>
      <c r="E590">
        <v>380000</v>
      </c>
      <c r="F590">
        <v>188000</v>
      </c>
      <c r="G590" t="s">
        <v>15</v>
      </c>
      <c r="H590">
        <v>1251.25</v>
      </c>
      <c r="I590">
        <v>187020.67</v>
      </c>
    </row>
    <row r="591" spans="1:9" x14ac:dyDescent="0.15">
      <c r="A591">
        <v>410325864</v>
      </c>
      <c r="B591" t="s">
        <v>36</v>
      </c>
      <c r="C591" t="s">
        <v>19</v>
      </c>
      <c r="D591">
        <v>39237</v>
      </c>
      <c r="E591">
        <v>290000</v>
      </c>
      <c r="F591">
        <v>261000</v>
      </c>
      <c r="G591" t="s">
        <v>15</v>
      </c>
      <c r="H591">
        <v>2175.36</v>
      </c>
      <c r="I591">
        <v>260592.12</v>
      </c>
    </row>
    <row r="592" spans="1:9" x14ac:dyDescent="0.15">
      <c r="A592">
        <v>410326102</v>
      </c>
      <c r="B592" t="s">
        <v>36</v>
      </c>
      <c r="C592" t="s">
        <v>18</v>
      </c>
      <c r="D592">
        <v>39245</v>
      </c>
      <c r="E592">
        <v>540000</v>
      </c>
      <c r="F592">
        <v>474000</v>
      </c>
      <c r="G592" t="s">
        <v>15</v>
      </c>
      <c r="H592">
        <v>3478.39</v>
      </c>
      <c r="I592">
        <v>473623.86</v>
      </c>
    </row>
    <row r="593" spans="1:9" x14ac:dyDescent="0.15">
      <c r="A593">
        <v>410326110</v>
      </c>
      <c r="B593" t="s">
        <v>36</v>
      </c>
      <c r="C593" t="s">
        <v>19</v>
      </c>
      <c r="D593">
        <v>39255</v>
      </c>
      <c r="E593">
        <v>160000</v>
      </c>
      <c r="F593">
        <v>126500</v>
      </c>
      <c r="G593" t="s">
        <v>15</v>
      </c>
      <c r="H593">
        <v>954.81</v>
      </c>
      <c r="I593">
        <v>125676.18</v>
      </c>
    </row>
    <row r="594" spans="1:9" x14ac:dyDescent="0.15">
      <c r="A594">
        <v>410326995</v>
      </c>
      <c r="B594" t="s">
        <v>37</v>
      </c>
      <c r="C594" t="s">
        <v>18</v>
      </c>
      <c r="D594">
        <v>39227</v>
      </c>
      <c r="E594">
        <v>279000</v>
      </c>
      <c r="F594">
        <v>251100</v>
      </c>
      <c r="G594" t="s">
        <v>15</v>
      </c>
      <c r="H594">
        <v>1917.58</v>
      </c>
      <c r="I594">
        <v>250469.17</v>
      </c>
    </row>
    <row r="595" spans="1:9" x14ac:dyDescent="0.15">
      <c r="A595">
        <v>410327605</v>
      </c>
      <c r="B595" t="s">
        <v>36</v>
      </c>
      <c r="C595" t="s">
        <v>19</v>
      </c>
      <c r="D595">
        <v>39272</v>
      </c>
      <c r="E595">
        <v>226000</v>
      </c>
      <c r="F595">
        <v>180800</v>
      </c>
      <c r="G595" t="s">
        <v>20</v>
      </c>
      <c r="H595">
        <v>1453.46</v>
      </c>
      <c r="I595">
        <v>179987.18</v>
      </c>
    </row>
    <row r="596" spans="1:9" x14ac:dyDescent="0.15">
      <c r="A596">
        <v>410328983</v>
      </c>
      <c r="B596" t="s">
        <v>37</v>
      </c>
      <c r="C596" t="s">
        <v>18</v>
      </c>
      <c r="D596">
        <v>39265</v>
      </c>
      <c r="E596">
        <v>225000</v>
      </c>
      <c r="F596">
        <v>185250</v>
      </c>
      <c r="G596" t="s">
        <v>17</v>
      </c>
      <c r="H596">
        <v>1352.85</v>
      </c>
      <c r="I596">
        <v>183956.21</v>
      </c>
    </row>
    <row r="597" spans="1:9" x14ac:dyDescent="0.15">
      <c r="A597">
        <v>410329122</v>
      </c>
      <c r="B597" t="s">
        <v>36</v>
      </c>
      <c r="C597" t="s">
        <v>19</v>
      </c>
      <c r="D597">
        <v>39225</v>
      </c>
      <c r="E597">
        <v>202000</v>
      </c>
      <c r="F597">
        <v>171700</v>
      </c>
      <c r="G597" t="s">
        <v>15</v>
      </c>
      <c r="H597">
        <v>1295.97</v>
      </c>
      <c r="I597">
        <v>170454.59</v>
      </c>
    </row>
    <row r="598" spans="1:9" x14ac:dyDescent="0.15">
      <c r="A598">
        <v>410333421</v>
      </c>
      <c r="B598" t="s">
        <v>35</v>
      </c>
      <c r="C598" t="s">
        <v>16</v>
      </c>
      <c r="D598">
        <v>39238</v>
      </c>
      <c r="E598">
        <v>175000</v>
      </c>
      <c r="F598">
        <v>148750</v>
      </c>
      <c r="G598" t="s">
        <v>17</v>
      </c>
      <c r="H598">
        <v>1291.67</v>
      </c>
      <c r="I598">
        <v>147975.26</v>
      </c>
    </row>
    <row r="599" spans="1:9" x14ac:dyDescent="0.15">
      <c r="A599">
        <v>410334346</v>
      </c>
      <c r="B599" t="s">
        <v>36</v>
      </c>
      <c r="C599" t="s">
        <v>18</v>
      </c>
      <c r="D599">
        <v>39231</v>
      </c>
      <c r="E599">
        <v>144000</v>
      </c>
      <c r="F599">
        <v>70000</v>
      </c>
      <c r="G599" t="s">
        <v>15</v>
      </c>
      <c r="H599">
        <v>535.77</v>
      </c>
      <c r="I599">
        <v>69511.66</v>
      </c>
    </row>
    <row r="600" spans="1:9" x14ac:dyDescent="0.15">
      <c r="A600">
        <v>410334379</v>
      </c>
      <c r="B600" t="s">
        <v>38</v>
      </c>
      <c r="C600" t="s">
        <v>19</v>
      </c>
      <c r="D600">
        <v>39238</v>
      </c>
      <c r="E600">
        <v>64000</v>
      </c>
      <c r="F600">
        <v>54400</v>
      </c>
      <c r="G600" t="s">
        <v>17</v>
      </c>
      <c r="H600">
        <v>580.14</v>
      </c>
      <c r="I600">
        <v>53785.91</v>
      </c>
    </row>
    <row r="601" spans="1:9" x14ac:dyDescent="0.15">
      <c r="A601">
        <v>410335244</v>
      </c>
      <c r="B601" t="s">
        <v>36</v>
      </c>
      <c r="C601" t="s">
        <v>19</v>
      </c>
      <c r="D601">
        <v>39237</v>
      </c>
      <c r="E601">
        <v>670000</v>
      </c>
      <c r="F601">
        <v>595000</v>
      </c>
      <c r="G601" t="s">
        <v>15</v>
      </c>
      <c r="H601">
        <v>4490.97</v>
      </c>
      <c r="I601">
        <v>591125.4</v>
      </c>
    </row>
    <row r="602" spans="1:9" x14ac:dyDescent="0.15">
      <c r="A602">
        <v>410335723</v>
      </c>
      <c r="B602" t="s">
        <v>37</v>
      </c>
      <c r="C602" t="s">
        <v>19</v>
      </c>
      <c r="D602">
        <v>39245</v>
      </c>
      <c r="E602">
        <v>156000</v>
      </c>
      <c r="F602">
        <v>132600</v>
      </c>
      <c r="G602" t="s">
        <v>17</v>
      </c>
      <c r="H602">
        <v>1188.24</v>
      </c>
      <c r="I602">
        <v>131937.51</v>
      </c>
    </row>
    <row r="603" spans="1:9" x14ac:dyDescent="0.15">
      <c r="A603">
        <v>410336010</v>
      </c>
      <c r="B603" t="s">
        <v>36</v>
      </c>
      <c r="C603" t="s">
        <v>19</v>
      </c>
      <c r="D603">
        <v>39232</v>
      </c>
      <c r="E603">
        <v>310000</v>
      </c>
      <c r="F603">
        <v>186000</v>
      </c>
      <c r="G603" t="s">
        <v>17</v>
      </c>
      <c r="H603">
        <v>1550.44</v>
      </c>
      <c r="I603">
        <v>185031.96</v>
      </c>
    </row>
    <row r="604" spans="1:9" x14ac:dyDescent="0.15">
      <c r="A604">
        <v>410339261</v>
      </c>
      <c r="B604" t="s">
        <v>35</v>
      </c>
      <c r="C604" t="s">
        <v>16</v>
      </c>
      <c r="D604">
        <v>39259</v>
      </c>
      <c r="E604">
        <v>120500</v>
      </c>
      <c r="F604">
        <v>107550</v>
      </c>
      <c r="G604" t="s">
        <v>17</v>
      </c>
      <c r="H604">
        <v>823.16</v>
      </c>
      <c r="I604">
        <v>106697.72</v>
      </c>
    </row>
    <row r="605" spans="1:9" x14ac:dyDescent="0.15">
      <c r="A605">
        <v>410342349</v>
      </c>
      <c r="B605" t="s">
        <v>36</v>
      </c>
      <c r="C605" t="s">
        <v>18</v>
      </c>
      <c r="D605">
        <v>39241</v>
      </c>
      <c r="E605">
        <v>150000</v>
      </c>
      <c r="F605">
        <v>135000</v>
      </c>
      <c r="G605" t="s">
        <v>17</v>
      </c>
      <c r="H605">
        <v>989.65</v>
      </c>
      <c r="I605">
        <v>134064.56</v>
      </c>
    </row>
    <row r="606" spans="1:9" x14ac:dyDescent="0.15">
      <c r="A606">
        <v>410342687</v>
      </c>
      <c r="B606" t="s">
        <v>37</v>
      </c>
      <c r="C606" t="s">
        <v>19</v>
      </c>
      <c r="D606">
        <v>39252</v>
      </c>
      <c r="E606">
        <v>111000</v>
      </c>
      <c r="F606">
        <v>99900</v>
      </c>
      <c r="G606" t="s">
        <v>15</v>
      </c>
      <c r="H606">
        <v>701.94</v>
      </c>
      <c r="I606">
        <v>99144.23</v>
      </c>
    </row>
    <row r="607" spans="1:9" x14ac:dyDescent="0.15">
      <c r="A607">
        <v>410343008</v>
      </c>
      <c r="B607" t="s">
        <v>37</v>
      </c>
      <c r="C607" t="s">
        <v>19</v>
      </c>
      <c r="D607">
        <v>39233</v>
      </c>
      <c r="E607">
        <v>132000</v>
      </c>
      <c r="F607">
        <v>118800</v>
      </c>
      <c r="G607" t="s">
        <v>17</v>
      </c>
      <c r="H607">
        <v>934.61</v>
      </c>
      <c r="I607">
        <v>118020</v>
      </c>
    </row>
    <row r="608" spans="1:9" x14ac:dyDescent="0.15">
      <c r="A608">
        <v>410343438</v>
      </c>
      <c r="B608" t="s">
        <v>37</v>
      </c>
      <c r="C608" t="s">
        <v>18</v>
      </c>
      <c r="D608">
        <v>39268</v>
      </c>
      <c r="E608">
        <v>140000</v>
      </c>
      <c r="F608">
        <v>70000</v>
      </c>
      <c r="G608" t="s">
        <v>17</v>
      </c>
      <c r="H608">
        <v>622.08000000000004</v>
      </c>
      <c r="I608">
        <v>69712.42</v>
      </c>
    </row>
    <row r="609" spans="1:9" x14ac:dyDescent="0.15">
      <c r="A609">
        <v>410348585</v>
      </c>
      <c r="B609" t="s">
        <v>35</v>
      </c>
      <c r="C609" t="s">
        <v>16</v>
      </c>
      <c r="D609">
        <v>39237</v>
      </c>
      <c r="E609">
        <v>103000</v>
      </c>
      <c r="F609">
        <v>82400</v>
      </c>
      <c r="G609" t="s">
        <v>17</v>
      </c>
      <c r="H609">
        <v>677.89</v>
      </c>
      <c r="I609">
        <v>81957.64</v>
      </c>
    </row>
    <row r="610" spans="1:9" x14ac:dyDescent="0.15">
      <c r="A610">
        <v>410351100</v>
      </c>
      <c r="B610" t="s">
        <v>37</v>
      </c>
      <c r="C610" t="s">
        <v>19</v>
      </c>
      <c r="D610">
        <v>39233</v>
      </c>
      <c r="E610">
        <v>305000</v>
      </c>
      <c r="F610">
        <v>274500</v>
      </c>
      <c r="G610" t="s">
        <v>15</v>
      </c>
      <c r="H610">
        <v>1772.82</v>
      </c>
      <c r="I610">
        <v>274499.95</v>
      </c>
    </row>
    <row r="611" spans="1:9" x14ac:dyDescent="0.15">
      <c r="A611">
        <v>410351167</v>
      </c>
      <c r="B611" t="s">
        <v>36</v>
      </c>
      <c r="C611" t="s">
        <v>19</v>
      </c>
      <c r="D611">
        <v>39238</v>
      </c>
      <c r="E611">
        <v>168000</v>
      </c>
      <c r="F611">
        <v>123000</v>
      </c>
      <c r="G611" t="s">
        <v>17</v>
      </c>
      <c r="H611">
        <v>898.25</v>
      </c>
      <c r="I611">
        <v>122051.89</v>
      </c>
    </row>
    <row r="612" spans="1:9" x14ac:dyDescent="0.15">
      <c r="A612">
        <v>410351662</v>
      </c>
      <c r="B612" t="s">
        <v>35</v>
      </c>
      <c r="C612" t="s">
        <v>16</v>
      </c>
      <c r="D612">
        <v>39248</v>
      </c>
      <c r="E612">
        <v>130000</v>
      </c>
      <c r="F612">
        <v>110500</v>
      </c>
      <c r="G612" t="s">
        <v>15</v>
      </c>
      <c r="H612">
        <v>814.28</v>
      </c>
      <c r="I612">
        <v>110221.52</v>
      </c>
    </row>
    <row r="613" spans="1:9" x14ac:dyDescent="0.15">
      <c r="A613">
        <v>410352447</v>
      </c>
      <c r="B613" t="s">
        <v>35</v>
      </c>
      <c r="C613" t="s">
        <v>16</v>
      </c>
      <c r="D613">
        <v>39244</v>
      </c>
      <c r="E613">
        <v>475000</v>
      </c>
      <c r="F613">
        <v>427500</v>
      </c>
      <c r="G613" t="s">
        <v>15</v>
      </c>
      <c r="H613">
        <v>3416.72</v>
      </c>
      <c r="I613">
        <v>423176.4</v>
      </c>
    </row>
    <row r="614" spans="1:9" x14ac:dyDescent="0.15">
      <c r="A614">
        <v>410357909</v>
      </c>
      <c r="B614" t="s">
        <v>36</v>
      </c>
      <c r="C614" t="s">
        <v>18</v>
      </c>
      <c r="D614">
        <v>39234</v>
      </c>
      <c r="E614">
        <v>277000</v>
      </c>
      <c r="F614">
        <v>247410</v>
      </c>
      <c r="G614" t="s">
        <v>15</v>
      </c>
      <c r="H614">
        <v>2017.48</v>
      </c>
      <c r="I614">
        <v>246054.33</v>
      </c>
    </row>
    <row r="615" spans="1:9" x14ac:dyDescent="0.15">
      <c r="A615">
        <v>410358014</v>
      </c>
      <c r="B615" t="s">
        <v>38</v>
      </c>
      <c r="C615" t="s">
        <v>19</v>
      </c>
      <c r="D615">
        <v>39248</v>
      </c>
      <c r="E615">
        <v>159000</v>
      </c>
      <c r="F615">
        <v>143100</v>
      </c>
      <c r="G615" t="s">
        <v>17</v>
      </c>
      <c r="H615">
        <v>1075.07</v>
      </c>
      <c r="I615">
        <v>142158.67000000001</v>
      </c>
    </row>
    <row r="616" spans="1:9" x14ac:dyDescent="0.15">
      <c r="A616">
        <v>410359483</v>
      </c>
      <c r="B616" t="s">
        <v>37</v>
      </c>
      <c r="C616" t="s">
        <v>19</v>
      </c>
      <c r="D616">
        <v>39244</v>
      </c>
      <c r="E616">
        <v>65000</v>
      </c>
      <c r="F616">
        <v>52000</v>
      </c>
      <c r="G616" t="s">
        <v>17</v>
      </c>
      <c r="H616">
        <v>481.51</v>
      </c>
      <c r="I616">
        <v>51791.7</v>
      </c>
    </row>
    <row r="617" spans="1:9" x14ac:dyDescent="0.15">
      <c r="A617">
        <v>410359798</v>
      </c>
      <c r="B617" t="s">
        <v>36</v>
      </c>
      <c r="C617" t="s">
        <v>18</v>
      </c>
      <c r="D617">
        <v>39253</v>
      </c>
      <c r="E617">
        <v>105000</v>
      </c>
      <c r="F617">
        <v>94500</v>
      </c>
      <c r="G617" t="s">
        <v>17</v>
      </c>
      <c r="H617">
        <v>843.45</v>
      </c>
      <c r="I617">
        <v>94356.01</v>
      </c>
    </row>
    <row r="618" spans="1:9" x14ac:dyDescent="0.15">
      <c r="A618">
        <v>410360192</v>
      </c>
      <c r="B618" t="s">
        <v>38</v>
      </c>
      <c r="C618" t="s">
        <v>19</v>
      </c>
      <c r="D618">
        <v>39248</v>
      </c>
      <c r="E618">
        <v>198000</v>
      </c>
      <c r="F618">
        <v>135000</v>
      </c>
      <c r="G618" t="s">
        <v>15</v>
      </c>
      <c r="H618">
        <v>1062.05</v>
      </c>
      <c r="I618">
        <v>132852.14000000001</v>
      </c>
    </row>
    <row r="619" spans="1:9" x14ac:dyDescent="0.15">
      <c r="A619">
        <v>410367411</v>
      </c>
      <c r="B619" t="s">
        <v>36</v>
      </c>
      <c r="C619" t="s">
        <v>19</v>
      </c>
      <c r="D619">
        <v>39245</v>
      </c>
      <c r="E619">
        <v>385000</v>
      </c>
      <c r="F619">
        <v>327250</v>
      </c>
      <c r="G619" t="s">
        <v>15</v>
      </c>
      <c r="H619">
        <v>2453.66</v>
      </c>
      <c r="I619">
        <v>326947.21999999997</v>
      </c>
    </row>
    <row r="620" spans="1:9" x14ac:dyDescent="0.15">
      <c r="A620">
        <v>410367635</v>
      </c>
      <c r="B620" t="s">
        <v>36</v>
      </c>
      <c r="C620" t="s">
        <v>19</v>
      </c>
      <c r="D620">
        <v>39246</v>
      </c>
      <c r="E620">
        <v>392000</v>
      </c>
      <c r="F620">
        <v>146500</v>
      </c>
      <c r="G620" t="s">
        <v>17</v>
      </c>
      <c r="H620">
        <v>1317.16</v>
      </c>
      <c r="I620">
        <v>144228.16</v>
      </c>
    </row>
    <row r="621" spans="1:9" x14ac:dyDescent="0.15">
      <c r="A621">
        <v>410367643</v>
      </c>
      <c r="B621" t="s">
        <v>36</v>
      </c>
      <c r="C621" t="s">
        <v>19</v>
      </c>
      <c r="D621">
        <v>39251</v>
      </c>
      <c r="E621">
        <v>196000</v>
      </c>
      <c r="F621">
        <v>140000</v>
      </c>
      <c r="G621" t="s">
        <v>15</v>
      </c>
      <c r="H621">
        <v>1032.1600000000001</v>
      </c>
      <c r="I621">
        <v>138829.73000000001</v>
      </c>
    </row>
    <row r="622" spans="1:9" x14ac:dyDescent="0.15">
      <c r="A622">
        <v>410368336</v>
      </c>
      <c r="B622" t="s">
        <v>37</v>
      </c>
      <c r="C622" t="s">
        <v>19</v>
      </c>
      <c r="D622">
        <v>39248</v>
      </c>
      <c r="E622">
        <v>139000</v>
      </c>
      <c r="F622">
        <v>106840</v>
      </c>
      <c r="G622" t="s">
        <v>15</v>
      </c>
      <c r="H622">
        <v>829.1</v>
      </c>
      <c r="I622">
        <v>106108.57</v>
      </c>
    </row>
    <row r="623" spans="1:9" x14ac:dyDescent="0.15">
      <c r="A623">
        <v>410369656</v>
      </c>
      <c r="B623" t="s">
        <v>36</v>
      </c>
      <c r="C623" t="s">
        <v>19</v>
      </c>
      <c r="D623">
        <v>39258</v>
      </c>
      <c r="E623">
        <v>300000</v>
      </c>
      <c r="F623">
        <v>264000</v>
      </c>
      <c r="G623" t="s">
        <v>20</v>
      </c>
      <c r="H623">
        <v>1955.48</v>
      </c>
      <c r="I623">
        <v>263299.84000000003</v>
      </c>
    </row>
    <row r="624" spans="1:9" x14ac:dyDescent="0.15">
      <c r="A624">
        <v>410369722</v>
      </c>
      <c r="B624" t="s">
        <v>36</v>
      </c>
      <c r="C624" t="s">
        <v>18</v>
      </c>
      <c r="D624">
        <v>39255</v>
      </c>
      <c r="E624">
        <v>215000</v>
      </c>
      <c r="F624">
        <v>172000</v>
      </c>
      <c r="G624" t="s">
        <v>15</v>
      </c>
      <c r="H624">
        <v>1311.5</v>
      </c>
      <c r="I624">
        <v>172000</v>
      </c>
    </row>
    <row r="625" spans="1:9" x14ac:dyDescent="0.15">
      <c r="A625">
        <v>410373955</v>
      </c>
      <c r="B625" t="s">
        <v>36</v>
      </c>
      <c r="C625" t="s">
        <v>19</v>
      </c>
      <c r="D625">
        <v>39245</v>
      </c>
      <c r="E625">
        <v>85000</v>
      </c>
      <c r="F625">
        <v>59500</v>
      </c>
      <c r="G625" t="s">
        <v>17</v>
      </c>
      <c r="H625">
        <v>487.34</v>
      </c>
      <c r="I625">
        <v>59176.51</v>
      </c>
    </row>
    <row r="626" spans="1:9" x14ac:dyDescent="0.15">
      <c r="A626">
        <v>410375216</v>
      </c>
      <c r="B626" t="s">
        <v>36</v>
      </c>
      <c r="C626" t="s">
        <v>19</v>
      </c>
      <c r="D626">
        <v>39245</v>
      </c>
      <c r="E626">
        <v>159000</v>
      </c>
      <c r="F626">
        <v>105000</v>
      </c>
      <c r="G626" t="s">
        <v>17</v>
      </c>
      <c r="H626">
        <v>726.15</v>
      </c>
      <c r="I626">
        <v>104708.27</v>
      </c>
    </row>
    <row r="627" spans="1:9" x14ac:dyDescent="0.15">
      <c r="A627">
        <v>410376198</v>
      </c>
      <c r="B627" t="s">
        <v>35</v>
      </c>
      <c r="C627" t="s">
        <v>16</v>
      </c>
      <c r="D627">
        <v>39251</v>
      </c>
      <c r="E627">
        <v>85000</v>
      </c>
      <c r="F627">
        <v>72250</v>
      </c>
      <c r="G627" t="s">
        <v>15</v>
      </c>
      <c r="H627">
        <v>604.89</v>
      </c>
      <c r="I627">
        <v>71838.929999999993</v>
      </c>
    </row>
    <row r="628" spans="1:9" x14ac:dyDescent="0.15">
      <c r="A628">
        <v>410376743</v>
      </c>
      <c r="B628" t="s">
        <v>37</v>
      </c>
      <c r="C628" t="s">
        <v>19</v>
      </c>
      <c r="D628">
        <v>39252</v>
      </c>
      <c r="E628">
        <v>136000</v>
      </c>
      <c r="F628">
        <v>121500</v>
      </c>
      <c r="G628" t="s">
        <v>17</v>
      </c>
      <c r="H628">
        <v>1030.52</v>
      </c>
      <c r="I628">
        <v>120267.69</v>
      </c>
    </row>
    <row r="629" spans="1:9" x14ac:dyDescent="0.15">
      <c r="A629">
        <v>410377246</v>
      </c>
      <c r="B629" t="s">
        <v>38</v>
      </c>
      <c r="C629" t="s">
        <v>19</v>
      </c>
      <c r="D629">
        <v>39252</v>
      </c>
      <c r="E629">
        <v>165000</v>
      </c>
      <c r="F629">
        <v>132000</v>
      </c>
      <c r="G629" t="s">
        <v>20</v>
      </c>
      <c r="H629">
        <v>1043.17</v>
      </c>
      <c r="I629">
        <v>131223</v>
      </c>
    </row>
    <row r="630" spans="1:9" x14ac:dyDescent="0.15">
      <c r="A630">
        <v>410377683</v>
      </c>
      <c r="B630" t="s">
        <v>36</v>
      </c>
      <c r="C630" t="s">
        <v>19</v>
      </c>
      <c r="D630">
        <v>39260</v>
      </c>
      <c r="E630">
        <v>145000</v>
      </c>
      <c r="F630">
        <v>85000</v>
      </c>
      <c r="G630" t="s">
        <v>17</v>
      </c>
      <c r="H630">
        <v>1008.53</v>
      </c>
      <c r="I630">
        <v>80083.62</v>
      </c>
    </row>
    <row r="631" spans="1:9" x14ac:dyDescent="0.15">
      <c r="A631">
        <v>410378236</v>
      </c>
      <c r="B631" t="s">
        <v>37</v>
      </c>
      <c r="C631" t="s">
        <v>18</v>
      </c>
      <c r="D631">
        <v>39245</v>
      </c>
      <c r="E631">
        <v>260000</v>
      </c>
      <c r="F631">
        <v>182000</v>
      </c>
      <c r="G631" t="s">
        <v>15</v>
      </c>
      <c r="H631">
        <v>1354.54</v>
      </c>
      <c r="I631">
        <v>180778.56</v>
      </c>
    </row>
    <row r="632" spans="1:9" x14ac:dyDescent="0.15">
      <c r="A632">
        <v>410383285</v>
      </c>
      <c r="B632" t="s">
        <v>36</v>
      </c>
      <c r="C632" t="s">
        <v>18</v>
      </c>
      <c r="D632">
        <v>39244</v>
      </c>
      <c r="E632">
        <v>197000</v>
      </c>
      <c r="F632">
        <v>155000</v>
      </c>
      <c r="G632" t="s">
        <v>17</v>
      </c>
      <c r="H632">
        <v>978.69</v>
      </c>
      <c r="I632">
        <v>153413.16</v>
      </c>
    </row>
    <row r="633" spans="1:9" x14ac:dyDescent="0.15">
      <c r="A633">
        <v>410384358</v>
      </c>
      <c r="B633" t="s">
        <v>37</v>
      </c>
      <c r="C633" t="s">
        <v>19</v>
      </c>
      <c r="D633">
        <v>39260</v>
      </c>
      <c r="E633">
        <v>235000</v>
      </c>
      <c r="F633">
        <v>157000</v>
      </c>
      <c r="G633" t="s">
        <v>15</v>
      </c>
      <c r="H633">
        <v>1185.02</v>
      </c>
      <c r="I633">
        <v>155977.54999999999</v>
      </c>
    </row>
    <row r="634" spans="1:9" x14ac:dyDescent="0.15">
      <c r="A634">
        <v>410384655</v>
      </c>
      <c r="B634" t="s">
        <v>35</v>
      </c>
      <c r="C634" t="s">
        <v>16</v>
      </c>
      <c r="D634">
        <v>39258</v>
      </c>
      <c r="E634">
        <v>97000</v>
      </c>
      <c r="F634">
        <v>77600</v>
      </c>
      <c r="G634" t="s">
        <v>17</v>
      </c>
      <c r="H634">
        <v>629.98</v>
      </c>
      <c r="I634">
        <v>77170.19</v>
      </c>
    </row>
    <row r="635" spans="1:9" x14ac:dyDescent="0.15">
      <c r="A635">
        <v>410388094</v>
      </c>
      <c r="B635" t="s">
        <v>37</v>
      </c>
      <c r="C635" t="s">
        <v>19</v>
      </c>
      <c r="D635">
        <v>39252</v>
      </c>
      <c r="E635">
        <v>188000</v>
      </c>
      <c r="F635">
        <v>141000</v>
      </c>
      <c r="G635" t="s">
        <v>17</v>
      </c>
      <c r="H635">
        <v>1054.3399999999999</v>
      </c>
      <c r="I635">
        <v>140063.13</v>
      </c>
    </row>
    <row r="636" spans="1:9" x14ac:dyDescent="0.15">
      <c r="A636">
        <v>410388276</v>
      </c>
      <c r="B636" t="s">
        <v>36</v>
      </c>
      <c r="C636" t="s">
        <v>18</v>
      </c>
      <c r="D636">
        <v>39246</v>
      </c>
      <c r="E636">
        <v>348000</v>
      </c>
      <c r="F636">
        <v>295800</v>
      </c>
      <c r="G636" t="s">
        <v>15</v>
      </c>
      <c r="H636">
        <v>2487.25</v>
      </c>
      <c r="I636">
        <v>294292.06</v>
      </c>
    </row>
    <row r="637" spans="1:9" x14ac:dyDescent="0.15">
      <c r="A637">
        <v>410390124</v>
      </c>
      <c r="B637" t="s">
        <v>36</v>
      </c>
      <c r="C637" t="s">
        <v>19</v>
      </c>
      <c r="D637">
        <v>39247</v>
      </c>
      <c r="E637">
        <v>146000</v>
      </c>
      <c r="F637">
        <v>132905</v>
      </c>
      <c r="G637" t="s">
        <v>15</v>
      </c>
      <c r="H637">
        <v>794.6</v>
      </c>
      <c r="I637">
        <v>132649.85</v>
      </c>
    </row>
    <row r="638" spans="1:9" x14ac:dyDescent="0.15">
      <c r="A638">
        <v>410391858</v>
      </c>
      <c r="B638" t="s">
        <v>35</v>
      </c>
      <c r="C638" t="s">
        <v>16</v>
      </c>
      <c r="D638">
        <v>39245</v>
      </c>
      <c r="E638">
        <v>175000</v>
      </c>
      <c r="F638">
        <v>140000</v>
      </c>
      <c r="G638" t="s">
        <v>15</v>
      </c>
      <c r="H638">
        <v>1045.23</v>
      </c>
      <c r="I638">
        <v>139868.4</v>
      </c>
    </row>
    <row r="639" spans="1:9" x14ac:dyDescent="0.15">
      <c r="A639">
        <v>410391908</v>
      </c>
      <c r="B639" t="s">
        <v>37</v>
      </c>
      <c r="C639" t="s">
        <v>19</v>
      </c>
      <c r="D639">
        <v>39259</v>
      </c>
      <c r="E639">
        <v>132000</v>
      </c>
      <c r="F639">
        <v>118800</v>
      </c>
      <c r="G639" t="s">
        <v>17</v>
      </c>
      <c r="H639">
        <v>951.63</v>
      </c>
      <c r="I639">
        <v>118121.74</v>
      </c>
    </row>
    <row r="640" spans="1:9" x14ac:dyDescent="0.15">
      <c r="A640">
        <v>410393441</v>
      </c>
      <c r="B640" t="s">
        <v>37</v>
      </c>
      <c r="C640" t="s">
        <v>19</v>
      </c>
      <c r="D640">
        <v>39260</v>
      </c>
      <c r="E640">
        <v>234000</v>
      </c>
      <c r="F640">
        <v>197950</v>
      </c>
      <c r="G640" t="s">
        <v>20</v>
      </c>
      <c r="H640">
        <v>1700.7</v>
      </c>
      <c r="I640">
        <v>196577.3</v>
      </c>
    </row>
    <row r="641" spans="1:9" x14ac:dyDescent="0.15">
      <c r="A641">
        <v>410393714</v>
      </c>
      <c r="B641" t="s">
        <v>36</v>
      </c>
      <c r="C641" t="s">
        <v>19</v>
      </c>
      <c r="D641">
        <v>39283</v>
      </c>
      <c r="E641">
        <v>85000</v>
      </c>
      <c r="F641">
        <v>76500</v>
      </c>
      <c r="G641" t="s">
        <v>17</v>
      </c>
      <c r="H641">
        <v>716.42</v>
      </c>
      <c r="I641">
        <v>76233.56</v>
      </c>
    </row>
    <row r="642" spans="1:9" x14ac:dyDescent="0.15">
      <c r="A642">
        <v>410395495</v>
      </c>
      <c r="B642" t="s">
        <v>37</v>
      </c>
      <c r="C642" t="s">
        <v>19</v>
      </c>
      <c r="D642">
        <v>39262</v>
      </c>
      <c r="E642">
        <v>147000</v>
      </c>
      <c r="F642">
        <v>132300</v>
      </c>
      <c r="G642" t="s">
        <v>17</v>
      </c>
      <c r="H642">
        <v>1045.54</v>
      </c>
      <c r="I642">
        <v>131521.25</v>
      </c>
    </row>
    <row r="643" spans="1:9" x14ac:dyDescent="0.15">
      <c r="A643">
        <v>410397251</v>
      </c>
      <c r="B643" t="s">
        <v>35</v>
      </c>
      <c r="C643" t="s">
        <v>16</v>
      </c>
      <c r="D643">
        <v>39251</v>
      </c>
      <c r="E643">
        <v>91000</v>
      </c>
      <c r="F643">
        <v>81900</v>
      </c>
      <c r="G643" t="s">
        <v>17</v>
      </c>
      <c r="H643">
        <v>644.30999999999995</v>
      </c>
      <c r="I643">
        <v>81463.320000000007</v>
      </c>
    </row>
    <row r="644" spans="1:9" x14ac:dyDescent="0.15">
      <c r="A644">
        <v>410399406</v>
      </c>
      <c r="B644" t="s">
        <v>37</v>
      </c>
      <c r="C644" t="s">
        <v>18</v>
      </c>
      <c r="D644">
        <v>39251</v>
      </c>
      <c r="E644">
        <v>163000</v>
      </c>
      <c r="F644">
        <v>143000</v>
      </c>
      <c r="G644" t="s">
        <v>15</v>
      </c>
      <c r="H644">
        <v>1099.55</v>
      </c>
      <c r="I644">
        <v>142102.82999999999</v>
      </c>
    </row>
    <row r="645" spans="1:9" x14ac:dyDescent="0.15">
      <c r="A645">
        <v>410400832</v>
      </c>
      <c r="B645" t="s">
        <v>35</v>
      </c>
      <c r="C645" t="s">
        <v>16</v>
      </c>
      <c r="D645">
        <v>39246</v>
      </c>
      <c r="E645">
        <v>138000</v>
      </c>
      <c r="F645">
        <v>110400</v>
      </c>
      <c r="G645" t="s">
        <v>17</v>
      </c>
      <c r="H645">
        <v>734.5</v>
      </c>
      <c r="I645">
        <v>109374.96</v>
      </c>
    </row>
    <row r="646" spans="1:9" x14ac:dyDescent="0.15">
      <c r="A646">
        <v>410401814</v>
      </c>
      <c r="B646" t="s">
        <v>38</v>
      </c>
      <c r="C646" t="s">
        <v>19</v>
      </c>
      <c r="D646">
        <v>39244</v>
      </c>
      <c r="E646">
        <v>195000</v>
      </c>
      <c r="F646">
        <v>161405</v>
      </c>
      <c r="G646" t="s">
        <v>15</v>
      </c>
      <c r="H646">
        <v>1503.66</v>
      </c>
      <c r="I646">
        <v>160835</v>
      </c>
    </row>
    <row r="647" spans="1:9" x14ac:dyDescent="0.15">
      <c r="A647">
        <v>410403497</v>
      </c>
      <c r="B647" t="s">
        <v>35</v>
      </c>
      <c r="C647" t="s">
        <v>16</v>
      </c>
      <c r="D647">
        <v>39262</v>
      </c>
      <c r="E647">
        <v>120000</v>
      </c>
      <c r="F647">
        <v>100000</v>
      </c>
      <c r="G647" t="s">
        <v>15</v>
      </c>
      <c r="H647">
        <v>654.38</v>
      </c>
      <c r="I647">
        <v>99619.31</v>
      </c>
    </row>
    <row r="648" spans="1:9" x14ac:dyDescent="0.15">
      <c r="A648">
        <v>410404628</v>
      </c>
      <c r="B648" t="s">
        <v>35</v>
      </c>
      <c r="C648" t="s">
        <v>16</v>
      </c>
      <c r="D648">
        <v>39262</v>
      </c>
      <c r="E648">
        <v>180000</v>
      </c>
      <c r="F648">
        <v>162000</v>
      </c>
      <c r="G648" t="s">
        <v>17</v>
      </c>
      <c r="H648">
        <v>1187.57</v>
      </c>
      <c r="I648">
        <v>160760.17000000001</v>
      </c>
    </row>
    <row r="649" spans="1:9" x14ac:dyDescent="0.15">
      <c r="A649">
        <v>410405526</v>
      </c>
      <c r="B649" t="s">
        <v>38</v>
      </c>
      <c r="C649" t="s">
        <v>19</v>
      </c>
      <c r="D649">
        <v>39245</v>
      </c>
      <c r="E649">
        <v>169500</v>
      </c>
      <c r="F649">
        <v>161025</v>
      </c>
      <c r="G649" t="s">
        <v>15</v>
      </c>
      <c r="H649">
        <v>1442.95</v>
      </c>
      <c r="I649">
        <v>160323.18</v>
      </c>
    </row>
    <row r="650" spans="1:9" x14ac:dyDescent="0.15">
      <c r="A650">
        <v>410406128</v>
      </c>
      <c r="B650" t="s">
        <v>36</v>
      </c>
      <c r="C650" t="s">
        <v>19</v>
      </c>
      <c r="D650">
        <v>39244</v>
      </c>
      <c r="E650">
        <v>350000</v>
      </c>
      <c r="F650">
        <v>332500</v>
      </c>
      <c r="G650" t="s">
        <v>15</v>
      </c>
      <c r="H650">
        <v>2628.94</v>
      </c>
      <c r="I650">
        <v>332031.34999999998</v>
      </c>
    </row>
    <row r="651" spans="1:9" x14ac:dyDescent="0.15">
      <c r="A651">
        <v>410407720</v>
      </c>
      <c r="B651" t="s">
        <v>36</v>
      </c>
      <c r="C651" t="s">
        <v>18</v>
      </c>
      <c r="D651">
        <v>39244</v>
      </c>
      <c r="E651">
        <v>246000</v>
      </c>
      <c r="F651">
        <v>165000</v>
      </c>
      <c r="G651" t="s">
        <v>17</v>
      </c>
      <c r="H651">
        <v>1239.5899999999999</v>
      </c>
      <c r="I651">
        <v>163914.70000000001</v>
      </c>
    </row>
    <row r="652" spans="1:9" x14ac:dyDescent="0.15">
      <c r="A652">
        <v>410412514</v>
      </c>
      <c r="B652" t="s">
        <v>36</v>
      </c>
      <c r="C652" t="s">
        <v>19</v>
      </c>
      <c r="D652">
        <v>39255</v>
      </c>
      <c r="E652">
        <v>232500</v>
      </c>
      <c r="F652">
        <v>100000</v>
      </c>
      <c r="G652" t="s">
        <v>17</v>
      </c>
      <c r="H652">
        <v>699.22</v>
      </c>
      <c r="I652">
        <v>99236.56</v>
      </c>
    </row>
    <row r="653" spans="1:9" x14ac:dyDescent="0.15">
      <c r="A653">
        <v>410412639</v>
      </c>
      <c r="B653" t="s">
        <v>36</v>
      </c>
      <c r="C653" t="s">
        <v>19</v>
      </c>
      <c r="D653">
        <v>39251</v>
      </c>
      <c r="E653">
        <v>232500</v>
      </c>
      <c r="F653">
        <v>145000</v>
      </c>
      <c r="G653" t="s">
        <v>15</v>
      </c>
      <c r="H653">
        <v>943.51</v>
      </c>
      <c r="I653">
        <v>144319.51999999999</v>
      </c>
    </row>
    <row r="654" spans="1:9" x14ac:dyDescent="0.15">
      <c r="A654">
        <v>410413942</v>
      </c>
      <c r="B654" t="s">
        <v>37</v>
      </c>
      <c r="C654" t="s">
        <v>19</v>
      </c>
      <c r="D654">
        <v>39266</v>
      </c>
      <c r="E654">
        <v>162000</v>
      </c>
      <c r="F654">
        <v>145800</v>
      </c>
      <c r="G654" t="s">
        <v>17</v>
      </c>
      <c r="H654">
        <v>1068.82</v>
      </c>
      <c r="I654">
        <v>144477.49</v>
      </c>
    </row>
    <row r="655" spans="1:9" x14ac:dyDescent="0.15">
      <c r="A655">
        <v>410415046</v>
      </c>
      <c r="B655" t="s">
        <v>36</v>
      </c>
      <c r="C655" t="s">
        <v>19</v>
      </c>
      <c r="D655">
        <v>39246</v>
      </c>
      <c r="E655">
        <v>337900</v>
      </c>
      <c r="F655">
        <v>270320</v>
      </c>
      <c r="G655" t="s">
        <v>20</v>
      </c>
      <c r="H655">
        <v>1624.42</v>
      </c>
      <c r="I655">
        <v>269755.90000000002</v>
      </c>
    </row>
    <row r="656" spans="1:9" x14ac:dyDescent="0.15">
      <c r="A656">
        <v>410415095</v>
      </c>
      <c r="B656" t="s">
        <v>35</v>
      </c>
      <c r="C656" t="s">
        <v>16</v>
      </c>
      <c r="D656">
        <v>39253</v>
      </c>
      <c r="E656">
        <v>193000</v>
      </c>
      <c r="F656">
        <v>164050</v>
      </c>
      <c r="G656" t="s">
        <v>15</v>
      </c>
      <c r="H656">
        <v>1438.45</v>
      </c>
      <c r="I656">
        <v>163294.79999999999</v>
      </c>
    </row>
    <row r="657" spans="1:9" x14ac:dyDescent="0.15">
      <c r="A657">
        <v>410417091</v>
      </c>
      <c r="B657" t="s">
        <v>36</v>
      </c>
      <c r="C657" t="s">
        <v>19</v>
      </c>
      <c r="D657">
        <v>39244</v>
      </c>
      <c r="E657">
        <v>250000</v>
      </c>
      <c r="F657">
        <v>211700</v>
      </c>
      <c r="G657" t="s">
        <v>17</v>
      </c>
      <c r="H657">
        <v>1277.31</v>
      </c>
      <c r="I657">
        <v>210721.3</v>
      </c>
    </row>
    <row r="658" spans="1:9" x14ac:dyDescent="0.15">
      <c r="A658">
        <v>410417851</v>
      </c>
      <c r="B658" t="s">
        <v>36</v>
      </c>
      <c r="C658" t="s">
        <v>19</v>
      </c>
      <c r="D658">
        <v>39245</v>
      </c>
      <c r="E658">
        <v>200000</v>
      </c>
      <c r="F658">
        <v>170000</v>
      </c>
      <c r="G658" t="s">
        <v>20</v>
      </c>
      <c r="H658">
        <v>958.32</v>
      </c>
      <c r="I658">
        <v>169615.87</v>
      </c>
    </row>
    <row r="659" spans="1:9" x14ac:dyDescent="0.15">
      <c r="A659">
        <v>410419766</v>
      </c>
      <c r="B659" t="s">
        <v>37</v>
      </c>
      <c r="C659" t="s">
        <v>19</v>
      </c>
      <c r="D659">
        <v>39246</v>
      </c>
      <c r="E659">
        <v>205000</v>
      </c>
      <c r="F659">
        <v>184500</v>
      </c>
      <c r="G659" t="s">
        <v>17</v>
      </c>
      <c r="H659">
        <v>1469.95</v>
      </c>
      <c r="I659">
        <v>183500.21</v>
      </c>
    </row>
    <row r="660" spans="1:9" x14ac:dyDescent="0.15">
      <c r="A660">
        <v>410420533</v>
      </c>
      <c r="B660" t="s">
        <v>36</v>
      </c>
      <c r="C660" t="s">
        <v>18</v>
      </c>
      <c r="D660">
        <v>39246</v>
      </c>
      <c r="E660">
        <v>171000</v>
      </c>
      <c r="F660">
        <v>124000</v>
      </c>
      <c r="G660" t="s">
        <v>15</v>
      </c>
      <c r="H660">
        <v>931.58</v>
      </c>
      <c r="I660">
        <v>123268.38</v>
      </c>
    </row>
    <row r="661" spans="1:9" x14ac:dyDescent="0.15">
      <c r="A661">
        <v>410420574</v>
      </c>
      <c r="B661" t="s">
        <v>35</v>
      </c>
      <c r="C661" t="s">
        <v>16</v>
      </c>
      <c r="D661">
        <v>39273</v>
      </c>
      <c r="E661">
        <v>220000</v>
      </c>
      <c r="F661">
        <v>176000</v>
      </c>
      <c r="G661" t="s">
        <v>17</v>
      </c>
      <c r="H661">
        <v>1254.81</v>
      </c>
      <c r="I661">
        <v>174634.78</v>
      </c>
    </row>
    <row r="662" spans="1:9" x14ac:dyDescent="0.15">
      <c r="A662">
        <v>410422083</v>
      </c>
      <c r="B662" t="s">
        <v>36</v>
      </c>
      <c r="C662" t="s">
        <v>18</v>
      </c>
      <c r="D662">
        <v>39247</v>
      </c>
      <c r="E662">
        <v>179500</v>
      </c>
      <c r="F662">
        <v>151300</v>
      </c>
      <c r="G662" t="s">
        <v>17</v>
      </c>
      <c r="H662">
        <v>1163.3699999999999</v>
      </c>
      <c r="I662">
        <v>150353.62</v>
      </c>
    </row>
    <row r="663" spans="1:9" x14ac:dyDescent="0.15">
      <c r="A663">
        <v>410424881</v>
      </c>
      <c r="B663" t="s">
        <v>36</v>
      </c>
      <c r="C663" t="s">
        <v>19</v>
      </c>
      <c r="D663">
        <v>39258</v>
      </c>
      <c r="E663">
        <v>180000</v>
      </c>
      <c r="F663">
        <v>153000</v>
      </c>
      <c r="G663" t="s">
        <v>20</v>
      </c>
      <c r="H663">
        <v>1187.3</v>
      </c>
      <c r="I663">
        <v>152061.53</v>
      </c>
    </row>
    <row r="664" spans="1:9" x14ac:dyDescent="0.15">
      <c r="A664">
        <v>410426050</v>
      </c>
      <c r="B664" t="s">
        <v>36</v>
      </c>
      <c r="C664" t="s">
        <v>19</v>
      </c>
      <c r="D664">
        <v>39258</v>
      </c>
      <c r="E664">
        <v>182000</v>
      </c>
      <c r="F664">
        <v>127400</v>
      </c>
      <c r="G664" t="s">
        <v>17</v>
      </c>
      <c r="H664">
        <v>882.1</v>
      </c>
      <c r="I664">
        <v>126408.12</v>
      </c>
    </row>
    <row r="665" spans="1:9" x14ac:dyDescent="0.15">
      <c r="A665">
        <v>410427686</v>
      </c>
      <c r="B665" t="s">
        <v>37</v>
      </c>
      <c r="C665" t="s">
        <v>18</v>
      </c>
      <c r="D665">
        <v>39279</v>
      </c>
      <c r="E665">
        <v>168000</v>
      </c>
      <c r="F665">
        <v>151150</v>
      </c>
      <c r="G665" t="s">
        <v>17</v>
      </c>
      <c r="H665">
        <v>1125.3599999999999</v>
      </c>
      <c r="I665">
        <v>150810.76999999999</v>
      </c>
    </row>
    <row r="666" spans="1:9" x14ac:dyDescent="0.15">
      <c r="A666">
        <v>410428221</v>
      </c>
      <c r="B666" t="s">
        <v>36</v>
      </c>
      <c r="C666" t="s">
        <v>19</v>
      </c>
      <c r="D666">
        <v>39248</v>
      </c>
      <c r="E666">
        <v>135900</v>
      </c>
      <c r="F666">
        <v>115515</v>
      </c>
      <c r="G666" t="s">
        <v>17</v>
      </c>
      <c r="H666">
        <v>830.76</v>
      </c>
      <c r="I666">
        <v>114682.21</v>
      </c>
    </row>
    <row r="667" spans="1:9" x14ac:dyDescent="0.15">
      <c r="A667">
        <v>410428924</v>
      </c>
      <c r="B667" t="s">
        <v>36</v>
      </c>
      <c r="C667" t="s">
        <v>19</v>
      </c>
      <c r="D667">
        <v>39258</v>
      </c>
      <c r="E667">
        <v>160000</v>
      </c>
      <c r="F667">
        <v>128000</v>
      </c>
      <c r="G667" t="s">
        <v>17</v>
      </c>
      <c r="H667">
        <v>925.07</v>
      </c>
      <c r="I667">
        <v>127861.03</v>
      </c>
    </row>
    <row r="668" spans="1:9" x14ac:dyDescent="0.15">
      <c r="A668">
        <v>410429187</v>
      </c>
      <c r="B668" t="s">
        <v>36</v>
      </c>
      <c r="C668" t="s">
        <v>19</v>
      </c>
      <c r="D668">
        <v>39246</v>
      </c>
      <c r="E668">
        <v>185000</v>
      </c>
      <c r="F668">
        <v>148000</v>
      </c>
      <c r="G668" t="s">
        <v>17</v>
      </c>
      <c r="H668">
        <v>1094</v>
      </c>
      <c r="I668">
        <v>147630.26999999999</v>
      </c>
    </row>
    <row r="669" spans="1:9" x14ac:dyDescent="0.15">
      <c r="A669">
        <v>410429195</v>
      </c>
      <c r="B669" t="s">
        <v>35</v>
      </c>
      <c r="C669" t="s">
        <v>16</v>
      </c>
      <c r="D669">
        <v>39272</v>
      </c>
      <c r="E669">
        <v>205000</v>
      </c>
      <c r="F669">
        <v>153750</v>
      </c>
      <c r="G669" t="s">
        <v>17</v>
      </c>
      <c r="H669">
        <v>1122.81</v>
      </c>
      <c r="I669">
        <v>152735.79999999999</v>
      </c>
    </row>
    <row r="670" spans="1:9" x14ac:dyDescent="0.15">
      <c r="A670">
        <v>410429930</v>
      </c>
      <c r="B670" t="s">
        <v>38</v>
      </c>
      <c r="C670" t="s">
        <v>18</v>
      </c>
      <c r="D670">
        <v>39253</v>
      </c>
      <c r="E670">
        <v>80000</v>
      </c>
      <c r="F670">
        <v>72000</v>
      </c>
      <c r="G670" t="s">
        <v>17</v>
      </c>
      <c r="H670">
        <v>676.04</v>
      </c>
      <c r="I670">
        <v>71970.710000000006</v>
      </c>
    </row>
    <row r="671" spans="1:9" x14ac:dyDescent="0.15">
      <c r="A671">
        <v>410432561</v>
      </c>
      <c r="B671" t="s">
        <v>35</v>
      </c>
      <c r="C671" t="s">
        <v>16</v>
      </c>
      <c r="D671">
        <v>39248</v>
      </c>
      <c r="E671">
        <v>175000</v>
      </c>
      <c r="F671">
        <v>131250</v>
      </c>
      <c r="G671" t="s">
        <v>17</v>
      </c>
      <c r="H671">
        <v>895.36</v>
      </c>
      <c r="I671">
        <v>130089.04</v>
      </c>
    </row>
    <row r="672" spans="1:9" x14ac:dyDescent="0.15">
      <c r="A672">
        <v>410432843</v>
      </c>
      <c r="B672" t="s">
        <v>37</v>
      </c>
      <c r="C672" t="s">
        <v>19</v>
      </c>
      <c r="D672">
        <v>39251</v>
      </c>
      <c r="E672">
        <v>268000</v>
      </c>
      <c r="F672">
        <v>240750</v>
      </c>
      <c r="G672" t="s">
        <v>17</v>
      </c>
      <c r="H672">
        <v>1733.09</v>
      </c>
      <c r="I672">
        <v>238368.37</v>
      </c>
    </row>
    <row r="673" spans="1:9" x14ac:dyDescent="0.15">
      <c r="A673">
        <v>410433585</v>
      </c>
      <c r="B673" t="s">
        <v>35</v>
      </c>
      <c r="C673" t="s">
        <v>16</v>
      </c>
      <c r="D673">
        <v>39255</v>
      </c>
      <c r="E673">
        <v>120000</v>
      </c>
      <c r="F673">
        <v>96000</v>
      </c>
      <c r="G673" t="s">
        <v>17</v>
      </c>
      <c r="H673">
        <v>755.24</v>
      </c>
      <c r="I673">
        <v>95427.34</v>
      </c>
    </row>
    <row r="674" spans="1:9" x14ac:dyDescent="0.15">
      <c r="A674">
        <v>410436356</v>
      </c>
      <c r="B674" t="s">
        <v>37</v>
      </c>
      <c r="C674" t="s">
        <v>18</v>
      </c>
      <c r="D674">
        <v>39269</v>
      </c>
      <c r="E674">
        <v>141500</v>
      </c>
      <c r="F674">
        <v>120000</v>
      </c>
      <c r="G674" t="s">
        <v>17</v>
      </c>
      <c r="H674">
        <v>995.92</v>
      </c>
      <c r="I674">
        <v>119434.12</v>
      </c>
    </row>
    <row r="675" spans="1:9" x14ac:dyDescent="0.15">
      <c r="A675">
        <v>410436596</v>
      </c>
      <c r="B675" t="s">
        <v>36</v>
      </c>
      <c r="C675" t="s">
        <v>19</v>
      </c>
      <c r="D675">
        <v>39252</v>
      </c>
      <c r="E675">
        <v>124000</v>
      </c>
      <c r="F675">
        <v>117325</v>
      </c>
      <c r="G675" t="s">
        <v>17</v>
      </c>
      <c r="H675">
        <v>1028.75</v>
      </c>
      <c r="I675">
        <v>116782.71</v>
      </c>
    </row>
    <row r="676" spans="1:9" x14ac:dyDescent="0.15">
      <c r="A676">
        <v>410437602</v>
      </c>
      <c r="B676" t="s">
        <v>38</v>
      </c>
      <c r="C676" t="s">
        <v>19</v>
      </c>
      <c r="D676">
        <v>39258</v>
      </c>
      <c r="E676">
        <v>130000</v>
      </c>
      <c r="F676">
        <v>117000</v>
      </c>
      <c r="G676" t="s">
        <v>17</v>
      </c>
      <c r="H676">
        <v>830.14</v>
      </c>
      <c r="I676">
        <v>116132.77</v>
      </c>
    </row>
    <row r="677" spans="1:9" x14ac:dyDescent="0.15">
      <c r="A677">
        <v>410437685</v>
      </c>
      <c r="B677" t="s">
        <v>38</v>
      </c>
      <c r="C677" t="s">
        <v>18</v>
      </c>
      <c r="D677">
        <v>39262</v>
      </c>
      <c r="E677">
        <v>201000</v>
      </c>
      <c r="F677">
        <v>190950</v>
      </c>
      <c r="G677" t="s">
        <v>17</v>
      </c>
      <c r="H677">
        <v>1447.99</v>
      </c>
      <c r="I677">
        <v>189502.48</v>
      </c>
    </row>
    <row r="678" spans="1:9" x14ac:dyDescent="0.15">
      <c r="A678">
        <v>410438733</v>
      </c>
      <c r="B678" t="s">
        <v>35</v>
      </c>
      <c r="C678" t="s">
        <v>16</v>
      </c>
      <c r="D678">
        <v>39265</v>
      </c>
      <c r="E678">
        <v>123000</v>
      </c>
      <c r="F678">
        <v>104550</v>
      </c>
      <c r="G678" t="s">
        <v>17</v>
      </c>
      <c r="H678">
        <v>826.24</v>
      </c>
      <c r="I678">
        <v>103934.55</v>
      </c>
    </row>
    <row r="679" spans="1:9" x14ac:dyDescent="0.15">
      <c r="A679">
        <v>410440390</v>
      </c>
      <c r="B679" t="s">
        <v>36</v>
      </c>
      <c r="C679" t="s">
        <v>18</v>
      </c>
      <c r="D679">
        <v>39269</v>
      </c>
      <c r="E679">
        <v>311000</v>
      </c>
      <c r="F679">
        <v>276555</v>
      </c>
      <c r="G679" t="s">
        <v>15</v>
      </c>
      <c r="H679">
        <v>2205.36</v>
      </c>
      <c r="I679">
        <v>274951.84999999998</v>
      </c>
    </row>
    <row r="680" spans="1:9" x14ac:dyDescent="0.15">
      <c r="A680">
        <v>410440622</v>
      </c>
      <c r="B680" t="s">
        <v>36</v>
      </c>
      <c r="C680" t="s">
        <v>18</v>
      </c>
      <c r="D680">
        <v>39259</v>
      </c>
      <c r="E680">
        <v>91500</v>
      </c>
      <c r="F680">
        <v>82350</v>
      </c>
      <c r="G680" t="s">
        <v>20</v>
      </c>
      <c r="H680">
        <v>731.83</v>
      </c>
      <c r="I680">
        <v>81983.38</v>
      </c>
    </row>
    <row r="681" spans="1:9" x14ac:dyDescent="0.15">
      <c r="A681">
        <v>410441497</v>
      </c>
      <c r="B681" t="s">
        <v>36</v>
      </c>
      <c r="C681" t="s">
        <v>18</v>
      </c>
      <c r="D681">
        <v>39259</v>
      </c>
      <c r="E681">
        <v>338000</v>
      </c>
      <c r="F681">
        <v>286000</v>
      </c>
      <c r="G681" t="s">
        <v>17</v>
      </c>
      <c r="H681">
        <v>1986.45</v>
      </c>
      <c r="I681">
        <v>283515.5</v>
      </c>
    </row>
    <row r="682" spans="1:9" x14ac:dyDescent="0.15">
      <c r="A682">
        <v>410448054</v>
      </c>
      <c r="B682" t="s">
        <v>36</v>
      </c>
      <c r="C682" t="s">
        <v>19</v>
      </c>
      <c r="D682">
        <v>39255</v>
      </c>
      <c r="E682">
        <v>350000</v>
      </c>
      <c r="F682">
        <v>194000</v>
      </c>
      <c r="G682" t="s">
        <v>17</v>
      </c>
      <c r="H682">
        <v>1376.46</v>
      </c>
      <c r="I682">
        <v>192562.12</v>
      </c>
    </row>
    <row r="683" spans="1:9" x14ac:dyDescent="0.15">
      <c r="A683">
        <v>410449466</v>
      </c>
      <c r="B683" t="s">
        <v>37</v>
      </c>
      <c r="C683" t="s">
        <v>18</v>
      </c>
      <c r="D683">
        <v>39262</v>
      </c>
      <c r="E683">
        <v>230000</v>
      </c>
      <c r="F683">
        <v>207000</v>
      </c>
      <c r="G683" t="s">
        <v>17</v>
      </c>
      <c r="H683">
        <v>1702.94</v>
      </c>
      <c r="I683">
        <v>205745.45</v>
      </c>
    </row>
    <row r="684" spans="1:9" x14ac:dyDescent="0.15">
      <c r="A684">
        <v>410450738</v>
      </c>
      <c r="B684" t="s">
        <v>36</v>
      </c>
      <c r="C684" t="s">
        <v>19</v>
      </c>
      <c r="D684">
        <v>39276</v>
      </c>
      <c r="E684">
        <v>300000</v>
      </c>
      <c r="F684">
        <v>225000</v>
      </c>
      <c r="G684" t="s">
        <v>15</v>
      </c>
      <c r="H684">
        <v>1325.31</v>
      </c>
      <c r="I684">
        <v>224105.98</v>
      </c>
    </row>
    <row r="685" spans="1:9" x14ac:dyDescent="0.15">
      <c r="A685">
        <v>410451470</v>
      </c>
      <c r="B685" t="s">
        <v>36</v>
      </c>
      <c r="C685" t="s">
        <v>19</v>
      </c>
      <c r="D685">
        <v>39268</v>
      </c>
      <c r="E685">
        <v>185000</v>
      </c>
      <c r="F685">
        <v>148000</v>
      </c>
      <c r="G685" t="s">
        <v>20</v>
      </c>
      <c r="H685">
        <v>1239.07</v>
      </c>
      <c r="I685">
        <v>147237.69</v>
      </c>
    </row>
    <row r="686" spans="1:9" x14ac:dyDescent="0.15">
      <c r="A686">
        <v>410452221</v>
      </c>
      <c r="B686" t="s">
        <v>36</v>
      </c>
      <c r="C686" t="s">
        <v>18</v>
      </c>
      <c r="D686">
        <v>39279</v>
      </c>
      <c r="E686">
        <v>315000</v>
      </c>
      <c r="F686">
        <v>249700</v>
      </c>
      <c r="G686" t="s">
        <v>17</v>
      </c>
      <c r="H686">
        <v>1784.8</v>
      </c>
      <c r="I686">
        <v>248965.87</v>
      </c>
    </row>
    <row r="687" spans="1:9" x14ac:dyDescent="0.15">
      <c r="A687">
        <v>410460356</v>
      </c>
      <c r="B687" t="s">
        <v>37</v>
      </c>
      <c r="C687" t="s">
        <v>19</v>
      </c>
      <c r="D687">
        <v>39283</v>
      </c>
      <c r="E687">
        <v>63900</v>
      </c>
      <c r="F687">
        <v>57510</v>
      </c>
      <c r="G687" t="s">
        <v>17</v>
      </c>
      <c r="H687">
        <v>545.51</v>
      </c>
      <c r="I687">
        <v>57338.23</v>
      </c>
    </row>
    <row r="688" spans="1:9" x14ac:dyDescent="0.15">
      <c r="A688">
        <v>410460489</v>
      </c>
      <c r="B688" t="s">
        <v>35</v>
      </c>
      <c r="C688" t="s">
        <v>16</v>
      </c>
      <c r="D688">
        <v>39258</v>
      </c>
      <c r="E688">
        <v>285000</v>
      </c>
      <c r="F688">
        <v>213750</v>
      </c>
      <c r="G688" t="s">
        <v>17</v>
      </c>
      <c r="H688">
        <v>1719.89</v>
      </c>
      <c r="I688">
        <v>212542.15</v>
      </c>
    </row>
    <row r="689" spans="1:9" x14ac:dyDescent="0.15">
      <c r="A689">
        <v>410460703</v>
      </c>
      <c r="B689" t="s">
        <v>37</v>
      </c>
      <c r="C689" t="s">
        <v>19</v>
      </c>
      <c r="D689">
        <v>39255</v>
      </c>
      <c r="E689">
        <v>99900</v>
      </c>
      <c r="F689">
        <v>84150</v>
      </c>
      <c r="G689" t="s">
        <v>17</v>
      </c>
      <c r="H689">
        <v>674.07</v>
      </c>
      <c r="I689">
        <v>83619.55</v>
      </c>
    </row>
    <row r="690" spans="1:9" x14ac:dyDescent="0.15">
      <c r="A690">
        <v>410460950</v>
      </c>
      <c r="B690" t="s">
        <v>35</v>
      </c>
      <c r="C690" t="s">
        <v>16</v>
      </c>
      <c r="D690">
        <v>39258</v>
      </c>
      <c r="E690">
        <v>545000</v>
      </c>
      <c r="F690">
        <v>385700</v>
      </c>
      <c r="G690" t="s">
        <v>17</v>
      </c>
      <c r="H690">
        <v>2592.0300000000002</v>
      </c>
      <c r="I690">
        <v>381222.35</v>
      </c>
    </row>
    <row r="691" spans="1:9" x14ac:dyDescent="0.15">
      <c r="A691">
        <v>410462659</v>
      </c>
      <c r="B691" t="s">
        <v>36</v>
      </c>
      <c r="C691" t="s">
        <v>18</v>
      </c>
      <c r="D691">
        <v>39275</v>
      </c>
      <c r="E691">
        <v>255000</v>
      </c>
      <c r="F691">
        <v>216435</v>
      </c>
      <c r="G691" t="s">
        <v>17</v>
      </c>
      <c r="H691">
        <v>1781.09</v>
      </c>
      <c r="I691">
        <v>216219.33</v>
      </c>
    </row>
    <row r="692" spans="1:9" x14ac:dyDescent="0.15">
      <c r="A692">
        <v>410464036</v>
      </c>
      <c r="B692" t="s">
        <v>35</v>
      </c>
      <c r="C692" t="s">
        <v>16</v>
      </c>
      <c r="D692">
        <v>39259</v>
      </c>
      <c r="E692">
        <v>125000</v>
      </c>
      <c r="F692">
        <v>80000</v>
      </c>
      <c r="G692" t="s">
        <v>17</v>
      </c>
      <c r="H692">
        <v>615.14</v>
      </c>
      <c r="I692">
        <v>79493.37</v>
      </c>
    </row>
    <row r="693" spans="1:9" x14ac:dyDescent="0.15">
      <c r="A693">
        <v>410466205</v>
      </c>
      <c r="B693" t="s">
        <v>38</v>
      </c>
      <c r="C693" t="s">
        <v>16</v>
      </c>
      <c r="D693">
        <v>39309</v>
      </c>
      <c r="E693">
        <v>250000</v>
      </c>
      <c r="F693">
        <v>111000</v>
      </c>
      <c r="G693" t="s">
        <v>17</v>
      </c>
      <c r="H693">
        <v>873.34</v>
      </c>
      <c r="I693">
        <v>110811.19</v>
      </c>
    </row>
    <row r="694" spans="1:9" x14ac:dyDescent="0.15">
      <c r="A694">
        <v>410467021</v>
      </c>
      <c r="B694" t="s">
        <v>37</v>
      </c>
      <c r="C694" t="s">
        <v>19</v>
      </c>
      <c r="D694">
        <v>39248</v>
      </c>
      <c r="E694">
        <v>145000</v>
      </c>
      <c r="F694">
        <v>137655</v>
      </c>
      <c r="G694" t="s">
        <v>17</v>
      </c>
      <c r="H694">
        <v>1316.34</v>
      </c>
      <c r="I694">
        <v>137520.82999999999</v>
      </c>
    </row>
    <row r="695" spans="1:9" x14ac:dyDescent="0.15">
      <c r="A695">
        <v>410468102</v>
      </c>
      <c r="B695" t="s">
        <v>36</v>
      </c>
      <c r="C695" t="s">
        <v>19</v>
      </c>
      <c r="D695">
        <v>39262</v>
      </c>
      <c r="E695">
        <v>205000</v>
      </c>
      <c r="F695">
        <v>140000</v>
      </c>
      <c r="G695" t="s">
        <v>17</v>
      </c>
      <c r="H695">
        <v>883.75</v>
      </c>
      <c r="I695">
        <v>140000</v>
      </c>
    </row>
    <row r="696" spans="1:9" x14ac:dyDescent="0.15">
      <c r="A696">
        <v>410469316</v>
      </c>
      <c r="B696" t="s">
        <v>35</v>
      </c>
      <c r="C696" t="s">
        <v>16</v>
      </c>
      <c r="D696">
        <v>39280</v>
      </c>
      <c r="E696">
        <v>160000</v>
      </c>
      <c r="F696">
        <v>122900</v>
      </c>
      <c r="G696" t="s">
        <v>17</v>
      </c>
      <c r="H696">
        <v>825.93</v>
      </c>
      <c r="I696">
        <v>121780.63</v>
      </c>
    </row>
    <row r="697" spans="1:9" x14ac:dyDescent="0.15">
      <c r="A697">
        <v>410471569</v>
      </c>
      <c r="B697" t="s">
        <v>36</v>
      </c>
      <c r="C697" t="s">
        <v>19</v>
      </c>
      <c r="D697">
        <v>39266</v>
      </c>
      <c r="E697">
        <v>282000</v>
      </c>
      <c r="F697">
        <v>248000</v>
      </c>
      <c r="G697" t="s">
        <v>17</v>
      </c>
      <c r="H697">
        <v>1759.6</v>
      </c>
      <c r="I697">
        <v>246351</v>
      </c>
    </row>
    <row r="698" spans="1:9" x14ac:dyDescent="0.15">
      <c r="A698">
        <v>410472518</v>
      </c>
      <c r="B698" t="s">
        <v>37</v>
      </c>
      <c r="C698" t="s">
        <v>19</v>
      </c>
      <c r="D698">
        <v>39279</v>
      </c>
      <c r="E698">
        <v>220000</v>
      </c>
      <c r="F698">
        <v>198000</v>
      </c>
      <c r="G698" t="s">
        <v>15</v>
      </c>
      <c r="H698">
        <v>1536.51</v>
      </c>
      <c r="I698">
        <v>196786.29</v>
      </c>
    </row>
    <row r="699" spans="1:9" x14ac:dyDescent="0.15">
      <c r="A699">
        <v>410472807</v>
      </c>
      <c r="B699" t="s">
        <v>36</v>
      </c>
      <c r="C699" t="s">
        <v>19</v>
      </c>
      <c r="D699">
        <v>39265</v>
      </c>
      <c r="E699">
        <v>350000</v>
      </c>
      <c r="F699">
        <v>280000</v>
      </c>
      <c r="G699" t="s">
        <v>21</v>
      </c>
      <c r="H699">
        <v>2303.5</v>
      </c>
      <c r="I699">
        <v>278496.94</v>
      </c>
    </row>
    <row r="700" spans="1:9" x14ac:dyDescent="0.15">
      <c r="A700">
        <v>410474563</v>
      </c>
      <c r="B700" t="s">
        <v>38</v>
      </c>
      <c r="C700" t="s">
        <v>19</v>
      </c>
      <c r="D700">
        <v>39266</v>
      </c>
      <c r="E700">
        <v>187000</v>
      </c>
      <c r="F700">
        <v>149255</v>
      </c>
      <c r="G700" t="s">
        <v>15</v>
      </c>
      <c r="H700">
        <v>1095.19</v>
      </c>
      <c r="I700">
        <v>148222.65</v>
      </c>
    </row>
    <row r="701" spans="1:9" x14ac:dyDescent="0.15">
      <c r="A701">
        <v>410476139</v>
      </c>
      <c r="B701" t="s">
        <v>36</v>
      </c>
      <c r="C701" t="s">
        <v>19</v>
      </c>
      <c r="D701">
        <v>39262</v>
      </c>
      <c r="E701">
        <v>360000</v>
      </c>
      <c r="F701">
        <v>267000</v>
      </c>
      <c r="G701" t="s">
        <v>15</v>
      </c>
      <c r="H701">
        <v>1639.87</v>
      </c>
      <c r="I701">
        <v>265787.76</v>
      </c>
    </row>
    <row r="702" spans="1:9" x14ac:dyDescent="0.15">
      <c r="A702">
        <v>410476394</v>
      </c>
      <c r="B702" t="s">
        <v>36</v>
      </c>
      <c r="C702" t="s">
        <v>16</v>
      </c>
      <c r="D702">
        <v>39300</v>
      </c>
      <c r="E702">
        <v>230000</v>
      </c>
      <c r="F702">
        <v>165000</v>
      </c>
      <c r="G702" t="s">
        <v>17</v>
      </c>
      <c r="H702">
        <v>1209.57</v>
      </c>
      <c r="I702">
        <v>163974.48000000001</v>
      </c>
    </row>
    <row r="703" spans="1:9" x14ac:dyDescent="0.15">
      <c r="A703">
        <v>410480917</v>
      </c>
      <c r="B703" t="s">
        <v>37</v>
      </c>
      <c r="C703" t="s">
        <v>19</v>
      </c>
      <c r="D703">
        <v>39273</v>
      </c>
      <c r="E703">
        <v>172000</v>
      </c>
      <c r="F703">
        <v>154350</v>
      </c>
      <c r="G703" t="s">
        <v>17</v>
      </c>
      <c r="H703">
        <v>1394.62</v>
      </c>
      <c r="I703">
        <v>153691.32</v>
      </c>
    </row>
    <row r="704" spans="1:9" x14ac:dyDescent="0.15">
      <c r="A704">
        <v>410482418</v>
      </c>
      <c r="B704" t="s">
        <v>35</v>
      </c>
      <c r="C704" t="s">
        <v>16</v>
      </c>
      <c r="D704">
        <v>39260</v>
      </c>
      <c r="E704">
        <v>63500</v>
      </c>
      <c r="F704">
        <v>52000</v>
      </c>
      <c r="G704" t="s">
        <v>20</v>
      </c>
      <c r="H704">
        <v>401.68</v>
      </c>
      <c r="I704">
        <v>51644.53</v>
      </c>
    </row>
    <row r="705" spans="1:9" x14ac:dyDescent="0.15">
      <c r="A705">
        <v>410485486</v>
      </c>
      <c r="B705" t="s">
        <v>36</v>
      </c>
      <c r="C705" t="s">
        <v>18</v>
      </c>
      <c r="D705">
        <v>39295</v>
      </c>
      <c r="E705">
        <v>133500</v>
      </c>
      <c r="F705">
        <v>86750</v>
      </c>
      <c r="G705" t="s">
        <v>17</v>
      </c>
      <c r="H705">
        <v>688.67</v>
      </c>
      <c r="I705">
        <v>86294.12</v>
      </c>
    </row>
    <row r="706" spans="1:9" x14ac:dyDescent="0.15">
      <c r="A706">
        <v>410487169</v>
      </c>
      <c r="B706" t="s">
        <v>37</v>
      </c>
      <c r="C706" t="s">
        <v>19</v>
      </c>
      <c r="D706">
        <v>39255</v>
      </c>
      <c r="E706">
        <v>230000</v>
      </c>
      <c r="F706">
        <v>218500</v>
      </c>
      <c r="G706" t="s">
        <v>20</v>
      </c>
      <c r="H706">
        <v>1635.66</v>
      </c>
      <c r="I706">
        <v>218296.62</v>
      </c>
    </row>
    <row r="707" spans="1:9" x14ac:dyDescent="0.15">
      <c r="A707">
        <v>410488068</v>
      </c>
      <c r="B707" t="s">
        <v>35</v>
      </c>
      <c r="C707" t="s">
        <v>16</v>
      </c>
      <c r="D707">
        <v>39266</v>
      </c>
      <c r="E707">
        <v>123000</v>
      </c>
      <c r="F707">
        <v>110700</v>
      </c>
      <c r="G707" t="s">
        <v>17</v>
      </c>
      <c r="H707">
        <v>843.36</v>
      </c>
      <c r="I707">
        <v>109993.41</v>
      </c>
    </row>
    <row r="708" spans="1:9" x14ac:dyDescent="0.15">
      <c r="A708">
        <v>410492102</v>
      </c>
      <c r="B708" t="s">
        <v>36</v>
      </c>
      <c r="C708" t="s">
        <v>19</v>
      </c>
      <c r="D708">
        <v>39294</v>
      </c>
      <c r="E708">
        <v>162000</v>
      </c>
      <c r="F708">
        <v>137700</v>
      </c>
      <c r="G708" t="s">
        <v>17</v>
      </c>
      <c r="H708">
        <v>1106.98</v>
      </c>
      <c r="I708">
        <v>136840.79999999999</v>
      </c>
    </row>
    <row r="709" spans="1:9" x14ac:dyDescent="0.15">
      <c r="A709">
        <v>410493431</v>
      </c>
      <c r="B709" t="s">
        <v>35</v>
      </c>
      <c r="C709" t="s">
        <v>16</v>
      </c>
      <c r="D709">
        <v>39266</v>
      </c>
      <c r="E709">
        <v>171000</v>
      </c>
      <c r="F709">
        <v>144500</v>
      </c>
      <c r="G709" t="s">
        <v>17</v>
      </c>
      <c r="H709">
        <v>951.68</v>
      </c>
      <c r="I709">
        <v>143132.28</v>
      </c>
    </row>
    <row r="710" spans="1:9" x14ac:dyDescent="0.15">
      <c r="A710">
        <v>410494744</v>
      </c>
      <c r="B710" t="s">
        <v>36</v>
      </c>
      <c r="C710" t="s">
        <v>19</v>
      </c>
      <c r="D710">
        <v>39261</v>
      </c>
      <c r="E710">
        <v>204500</v>
      </c>
      <c r="F710">
        <v>184050</v>
      </c>
      <c r="G710" t="s">
        <v>15</v>
      </c>
      <c r="H710">
        <v>1255.55</v>
      </c>
      <c r="I710">
        <v>182574.52</v>
      </c>
    </row>
    <row r="711" spans="1:9" x14ac:dyDescent="0.15">
      <c r="A711">
        <v>410494835</v>
      </c>
      <c r="B711" t="s">
        <v>35</v>
      </c>
      <c r="C711" t="s">
        <v>16</v>
      </c>
      <c r="D711">
        <v>39272</v>
      </c>
      <c r="E711">
        <v>157000</v>
      </c>
      <c r="F711">
        <v>145000</v>
      </c>
      <c r="G711" t="s">
        <v>17</v>
      </c>
      <c r="H711">
        <v>1251.1099999999999</v>
      </c>
      <c r="I711">
        <v>144305.42000000001</v>
      </c>
    </row>
    <row r="712" spans="1:9" x14ac:dyDescent="0.15">
      <c r="A712">
        <v>410495154</v>
      </c>
      <c r="B712" t="s">
        <v>35</v>
      </c>
      <c r="C712" t="s">
        <v>16</v>
      </c>
      <c r="D712">
        <v>39260</v>
      </c>
      <c r="E712">
        <v>62500</v>
      </c>
      <c r="F712">
        <v>50000</v>
      </c>
      <c r="G712" t="s">
        <v>17</v>
      </c>
      <c r="H712">
        <v>476.17</v>
      </c>
      <c r="I712">
        <v>49792.53</v>
      </c>
    </row>
    <row r="713" spans="1:9" x14ac:dyDescent="0.15">
      <c r="A713">
        <v>410495436</v>
      </c>
      <c r="B713" t="s">
        <v>36</v>
      </c>
      <c r="C713" t="s">
        <v>19</v>
      </c>
      <c r="D713">
        <v>39260</v>
      </c>
      <c r="E713">
        <v>212000</v>
      </c>
      <c r="F713">
        <v>180200</v>
      </c>
      <c r="G713" t="s">
        <v>15</v>
      </c>
      <c r="H713">
        <v>1438.74</v>
      </c>
      <c r="I713">
        <v>179791.52</v>
      </c>
    </row>
    <row r="714" spans="1:9" x14ac:dyDescent="0.15">
      <c r="A714">
        <v>410495576</v>
      </c>
      <c r="B714" t="s">
        <v>38</v>
      </c>
      <c r="C714" t="s">
        <v>19</v>
      </c>
      <c r="D714">
        <v>39262</v>
      </c>
      <c r="E714">
        <v>160000</v>
      </c>
      <c r="F714">
        <v>144000</v>
      </c>
      <c r="G714" t="s">
        <v>17</v>
      </c>
      <c r="H714">
        <v>1021.71</v>
      </c>
      <c r="I714">
        <v>142932.63</v>
      </c>
    </row>
    <row r="715" spans="1:9" x14ac:dyDescent="0.15">
      <c r="A715">
        <v>410495717</v>
      </c>
      <c r="B715" t="s">
        <v>35</v>
      </c>
      <c r="C715" t="s">
        <v>16</v>
      </c>
      <c r="D715">
        <v>39262</v>
      </c>
      <c r="E715">
        <v>135000</v>
      </c>
      <c r="F715">
        <v>112500</v>
      </c>
      <c r="G715" t="s">
        <v>20</v>
      </c>
      <c r="H715">
        <v>877.02</v>
      </c>
      <c r="I715">
        <v>111817.32</v>
      </c>
    </row>
    <row r="716" spans="1:9" x14ac:dyDescent="0.15">
      <c r="A716">
        <v>410496327</v>
      </c>
      <c r="B716" t="s">
        <v>36</v>
      </c>
      <c r="C716" t="s">
        <v>19</v>
      </c>
      <c r="D716">
        <v>39268</v>
      </c>
      <c r="E716">
        <v>203000</v>
      </c>
      <c r="F716">
        <v>172550</v>
      </c>
      <c r="G716" t="s">
        <v>17</v>
      </c>
      <c r="H716">
        <v>1194.71</v>
      </c>
      <c r="I716">
        <v>171344.71</v>
      </c>
    </row>
    <row r="717" spans="1:9" x14ac:dyDescent="0.15">
      <c r="A717">
        <v>410498513</v>
      </c>
      <c r="B717" t="s">
        <v>37</v>
      </c>
      <c r="C717" t="s">
        <v>18</v>
      </c>
      <c r="D717">
        <v>39266</v>
      </c>
      <c r="E717">
        <v>289000</v>
      </c>
      <c r="F717">
        <v>202300</v>
      </c>
      <c r="G717" t="s">
        <v>15</v>
      </c>
      <c r="H717">
        <v>1484.41</v>
      </c>
      <c r="I717">
        <v>201044.36</v>
      </c>
    </row>
    <row r="718" spans="1:9" x14ac:dyDescent="0.15">
      <c r="A718">
        <v>410499396</v>
      </c>
      <c r="B718" t="s">
        <v>36</v>
      </c>
      <c r="C718" t="s">
        <v>19</v>
      </c>
      <c r="D718">
        <v>39258</v>
      </c>
      <c r="E718">
        <v>338000</v>
      </c>
      <c r="F718">
        <v>262500</v>
      </c>
      <c r="G718" t="s">
        <v>17</v>
      </c>
      <c r="H718">
        <v>1676.48</v>
      </c>
      <c r="I718">
        <v>259716.86</v>
      </c>
    </row>
    <row r="719" spans="1:9" x14ac:dyDescent="0.15">
      <c r="A719">
        <v>410499826</v>
      </c>
      <c r="B719" t="s">
        <v>38</v>
      </c>
      <c r="C719" t="s">
        <v>19</v>
      </c>
      <c r="D719">
        <v>39255</v>
      </c>
      <c r="E719">
        <v>195000</v>
      </c>
      <c r="F719">
        <v>173790</v>
      </c>
      <c r="G719" t="s">
        <v>15</v>
      </c>
      <c r="H719">
        <v>1269.1600000000001</v>
      </c>
      <c r="I719">
        <v>172576.25</v>
      </c>
    </row>
    <row r="720" spans="1:9" x14ac:dyDescent="0.15">
      <c r="A720">
        <v>410500508</v>
      </c>
      <c r="B720" t="s">
        <v>35</v>
      </c>
      <c r="C720" t="s">
        <v>16</v>
      </c>
      <c r="D720">
        <v>39262</v>
      </c>
      <c r="E720">
        <v>170000</v>
      </c>
      <c r="F720">
        <v>153000</v>
      </c>
      <c r="G720" t="s">
        <v>17</v>
      </c>
      <c r="H720">
        <v>1186.22</v>
      </c>
      <c r="I720">
        <v>152060.17000000001</v>
      </c>
    </row>
    <row r="721" spans="1:9" x14ac:dyDescent="0.15">
      <c r="A721">
        <v>410500680</v>
      </c>
      <c r="B721" t="s">
        <v>35</v>
      </c>
      <c r="C721" t="s">
        <v>16</v>
      </c>
      <c r="D721">
        <v>39266</v>
      </c>
      <c r="E721">
        <v>265000</v>
      </c>
      <c r="F721">
        <v>179500</v>
      </c>
      <c r="G721" t="s">
        <v>17</v>
      </c>
      <c r="H721">
        <v>1298.3900000000001</v>
      </c>
      <c r="I721">
        <v>178221.15</v>
      </c>
    </row>
    <row r="722" spans="1:9" x14ac:dyDescent="0.15">
      <c r="A722">
        <v>410501944</v>
      </c>
      <c r="B722" t="s">
        <v>35</v>
      </c>
      <c r="C722" t="s">
        <v>16</v>
      </c>
      <c r="D722">
        <v>39272</v>
      </c>
      <c r="E722">
        <v>216000</v>
      </c>
      <c r="F722">
        <v>194400</v>
      </c>
      <c r="G722" t="s">
        <v>15</v>
      </c>
      <c r="H722">
        <v>1432.54</v>
      </c>
      <c r="I722">
        <v>193910.1</v>
      </c>
    </row>
    <row r="723" spans="1:9" x14ac:dyDescent="0.15">
      <c r="A723">
        <v>410503098</v>
      </c>
      <c r="B723" t="s">
        <v>37</v>
      </c>
      <c r="C723" t="s">
        <v>18</v>
      </c>
      <c r="D723">
        <v>39301</v>
      </c>
      <c r="E723">
        <v>187000</v>
      </c>
      <c r="F723">
        <v>149000</v>
      </c>
      <c r="G723" t="s">
        <v>17</v>
      </c>
      <c r="H723">
        <v>1046.94</v>
      </c>
      <c r="I723">
        <v>148104.62</v>
      </c>
    </row>
    <row r="724" spans="1:9" x14ac:dyDescent="0.15">
      <c r="A724">
        <v>410504500</v>
      </c>
      <c r="B724" t="s">
        <v>35</v>
      </c>
      <c r="C724" t="s">
        <v>16</v>
      </c>
      <c r="D724">
        <v>39260</v>
      </c>
      <c r="E724">
        <v>107000</v>
      </c>
      <c r="F724">
        <v>101650</v>
      </c>
      <c r="G724" t="s">
        <v>17</v>
      </c>
      <c r="H724">
        <v>799.78</v>
      </c>
      <c r="I724">
        <v>101435.9</v>
      </c>
    </row>
    <row r="725" spans="1:9" x14ac:dyDescent="0.15">
      <c r="A725">
        <v>410509285</v>
      </c>
      <c r="B725" t="s">
        <v>36</v>
      </c>
      <c r="C725" t="s">
        <v>19</v>
      </c>
      <c r="D725">
        <v>39260</v>
      </c>
      <c r="E725">
        <v>223000</v>
      </c>
      <c r="F725">
        <v>161000</v>
      </c>
      <c r="G725" t="s">
        <v>15</v>
      </c>
      <c r="H725">
        <v>1198.24</v>
      </c>
      <c r="I725">
        <v>159919.57999999999</v>
      </c>
    </row>
    <row r="726" spans="1:9" x14ac:dyDescent="0.15">
      <c r="A726">
        <v>410512263</v>
      </c>
      <c r="B726" t="s">
        <v>37</v>
      </c>
      <c r="C726" t="s">
        <v>19</v>
      </c>
      <c r="D726">
        <v>39279</v>
      </c>
      <c r="E726">
        <v>110000</v>
      </c>
      <c r="F726">
        <v>88200</v>
      </c>
      <c r="G726" t="s">
        <v>15</v>
      </c>
      <c r="H726">
        <v>684.45</v>
      </c>
      <c r="I726">
        <v>87657.03</v>
      </c>
    </row>
    <row r="727" spans="1:9" x14ac:dyDescent="0.15">
      <c r="A727">
        <v>410513436</v>
      </c>
      <c r="B727" t="s">
        <v>35</v>
      </c>
      <c r="C727" t="s">
        <v>16</v>
      </c>
      <c r="D727">
        <v>39287</v>
      </c>
      <c r="E727">
        <v>155000</v>
      </c>
      <c r="F727">
        <v>131750</v>
      </c>
      <c r="G727" t="s">
        <v>15</v>
      </c>
      <c r="H727">
        <v>1127.1099999999999</v>
      </c>
      <c r="I727">
        <v>131172.41</v>
      </c>
    </row>
    <row r="728" spans="1:9" x14ac:dyDescent="0.15">
      <c r="A728">
        <v>410513444</v>
      </c>
      <c r="B728" t="s">
        <v>36</v>
      </c>
      <c r="C728" t="s">
        <v>19</v>
      </c>
      <c r="D728">
        <v>39265</v>
      </c>
      <c r="E728">
        <v>240000</v>
      </c>
      <c r="F728">
        <v>216000</v>
      </c>
      <c r="G728" t="s">
        <v>15</v>
      </c>
      <c r="H728">
        <v>1526.82</v>
      </c>
      <c r="I728">
        <v>215746.76</v>
      </c>
    </row>
    <row r="729" spans="1:9" x14ac:dyDescent="0.15">
      <c r="A729">
        <v>410513477</v>
      </c>
      <c r="B729" t="s">
        <v>36</v>
      </c>
      <c r="C729" t="s">
        <v>19</v>
      </c>
      <c r="D729">
        <v>39266</v>
      </c>
      <c r="E729">
        <v>722000</v>
      </c>
      <c r="F729">
        <v>613700</v>
      </c>
      <c r="G729" t="s">
        <v>15</v>
      </c>
      <c r="H729">
        <v>3976.81</v>
      </c>
      <c r="I729">
        <v>613151.11</v>
      </c>
    </row>
    <row r="730" spans="1:9" x14ac:dyDescent="0.15">
      <c r="A730">
        <v>410513899</v>
      </c>
      <c r="B730" t="s">
        <v>36</v>
      </c>
      <c r="C730" t="s">
        <v>19</v>
      </c>
      <c r="D730">
        <v>39276</v>
      </c>
      <c r="E730">
        <v>600000</v>
      </c>
      <c r="F730">
        <v>325000</v>
      </c>
      <c r="G730" t="s">
        <v>15</v>
      </c>
      <c r="H730">
        <v>2208.71</v>
      </c>
      <c r="I730">
        <v>324086.27</v>
      </c>
    </row>
    <row r="731" spans="1:9" x14ac:dyDescent="0.15">
      <c r="A731">
        <v>410514186</v>
      </c>
      <c r="B731" t="s">
        <v>36</v>
      </c>
      <c r="C731" t="s">
        <v>18</v>
      </c>
      <c r="D731">
        <v>39280</v>
      </c>
      <c r="E731">
        <v>330000</v>
      </c>
      <c r="F731">
        <v>246000</v>
      </c>
      <c r="G731" t="s">
        <v>17</v>
      </c>
      <c r="H731">
        <v>1595.56</v>
      </c>
      <c r="I731">
        <v>244050.26</v>
      </c>
    </row>
    <row r="732" spans="1:9" x14ac:dyDescent="0.15">
      <c r="A732">
        <v>410515811</v>
      </c>
      <c r="B732" t="s">
        <v>38</v>
      </c>
      <c r="C732" t="s">
        <v>19</v>
      </c>
      <c r="D732">
        <v>39279</v>
      </c>
      <c r="E732">
        <v>139000</v>
      </c>
      <c r="F732">
        <v>125100</v>
      </c>
      <c r="G732" t="s">
        <v>17</v>
      </c>
      <c r="H732">
        <v>1177.2</v>
      </c>
      <c r="I732">
        <v>124669.9</v>
      </c>
    </row>
    <row r="733" spans="1:9" x14ac:dyDescent="0.15">
      <c r="A733">
        <v>410517023</v>
      </c>
      <c r="B733" t="s">
        <v>35</v>
      </c>
      <c r="C733" t="s">
        <v>16</v>
      </c>
      <c r="D733">
        <v>39268</v>
      </c>
      <c r="E733">
        <v>167000</v>
      </c>
      <c r="F733">
        <v>141950</v>
      </c>
      <c r="G733" t="s">
        <v>17</v>
      </c>
      <c r="H733">
        <v>1011.56</v>
      </c>
      <c r="I733">
        <v>140969.75</v>
      </c>
    </row>
    <row r="734" spans="1:9" x14ac:dyDescent="0.15">
      <c r="A734">
        <v>410518138</v>
      </c>
      <c r="B734" t="s">
        <v>36</v>
      </c>
      <c r="C734" t="s">
        <v>18</v>
      </c>
      <c r="D734">
        <v>39268</v>
      </c>
      <c r="E734">
        <v>195000</v>
      </c>
      <c r="F734">
        <v>145500</v>
      </c>
      <c r="G734" t="s">
        <v>17</v>
      </c>
      <c r="H734">
        <v>1066.6199999999999</v>
      </c>
      <c r="I734">
        <v>144470.82999999999</v>
      </c>
    </row>
    <row r="735" spans="1:9" x14ac:dyDescent="0.15">
      <c r="A735">
        <v>410518997</v>
      </c>
      <c r="B735" t="s">
        <v>38</v>
      </c>
      <c r="C735" t="s">
        <v>19</v>
      </c>
      <c r="D735">
        <v>39266</v>
      </c>
      <c r="E735">
        <v>89000</v>
      </c>
      <c r="F735">
        <v>80100</v>
      </c>
      <c r="G735" t="s">
        <v>15</v>
      </c>
      <c r="H735">
        <v>653.16999999999996</v>
      </c>
      <c r="I735">
        <v>79245.88</v>
      </c>
    </row>
    <row r="736" spans="1:9" x14ac:dyDescent="0.15">
      <c r="A736">
        <v>410523468</v>
      </c>
      <c r="B736" t="s">
        <v>37</v>
      </c>
      <c r="C736" t="s">
        <v>18</v>
      </c>
      <c r="D736">
        <v>39266</v>
      </c>
      <c r="E736">
        <v>240000</v>
      </c>
      <c r="F736">
        <v>192000</v>
      </c>
      <c r="G736" t="s">
        <v>15</v>
      </c>
      <c r="H736">
        <v>1531.09</v>
      </c>
      <c r="I736">
        <v>190857.23</v>
      </c>
    </row>
    <row r="737" spans="1:9" x14ac:dyDescent="0.15">
      <c r="A737">
        <v>410523534</v>
      </c>
      <c r="B737" t="s">
        <v>38</v>
      </c>
      <c r="C737" t="s">
        <v>19</v>
      </c>
      <c r="D737">
        <v>39268</v>
      </c>
      <c r="E737">
        <v>300000</v>
      </c>
      <c r="F737">
        <v>255000</v>
      </c>
      <c r="G737" t="s">
        <v>15</v>
      </c>
      <c r="H737">
        <v>2144.1799999999998</v>
      </c>
      <c r="I737">
        <v>253834.72</v>
      </c>
    </row>
    <row r="738" spans="1:9" x14ac:dyDescent="0.15">
      <c r="A738">
        <v>410523849</v>
      </c>
      <c r="B738" t="s">
        <v>36</v>
      </c>
      <c r="C738" t="s">
        <v>18</v>
      </c>
      <c r="D738">
        <v>39262</v>
      </c>
      <c r="E738">
        <v>198000</v>
      </c>
      <c r="F738">
        <v>188100</v>
      </c>
      <c r="G738" t="s">
        <v>20</v>
      </c>
      <c r="H738">
        <v>1616.07</v>
      </c>
      <c r="I738">
        <v>187115.86</v>
      </c>
    </row>
    <row r="739" spans="1:9" x14ac:dyDescent="0.15">
      <c r="A739">
        <v>410524607</v>
      </c>
      <c r="B739" t="s">
        <v>36</v>
      </c>
      <c r="C739" t="s">
        <v>19</v>
      </c>
      <c r="D739">
        <v>39290</v>
      </c>
      <c r="E739">
        <v>355000</v>
      </c>
      <c r="F739">
        <v>319500</v>
      </c>
      <c r="G739" t="s">
        <v>21</v>
      </c>
      <c r="H739">
        <v>2616.88</v>
      </c>
      <c r="I739">
        <v>317946.53999999998</v>
      </c>
    </row>
    <row r="740" spans="1:9" x14ac:dyDescent="0.15">
      <c r="A740">
        <v>410524805</v>
      </c>
      <c r="B740" t="s">
        <v>36</v>
      </c>
      <c r="C740" t="s">
        <v>19</v>
      </c>
      <c r="D740">
        <v>39287</v>
      </c>
      <c r="E740">
        <v>192000</v>
      </c>
      <c r="F740">
        <v>172800</v>
      </c>
      <c r="G740" t="s">
        <v>21</v>
      </c>
      <c r="H740">
        <v>1262.57</v>
      </c>
      <c r="I740">
        <v>172696.33</v>
      </c>
    </row>
    <row r="741" spans="1:9" x14ac:dyDescent="0.15">
      <c r="A741">
        <v>410525315</v>
      </c>
      <c r="B741" t="s">
        <v>37</v>
      </c>
      <c r="C741" t="s">
        <v>18</v>
      </c>
      <c r="D741">
        <v>39265</v>
      </c>
      <c r="E741">
        <v>130000</v>
      </c>
      <c r="F741">
        <v>123500</v>
      </c>
      <c r="G741" t="s">
        <v>17</v>
      </c>
      <c r="H741">
        <v>1120.49</v>
      </c>
      <c r="I741">
        <v>123086.36</v>
      </c>
    </row>
    <row r="742" spans="1:9" x14ac:dyDescent="0.15">
      <c r="A742">
        <v>410526198</v>
      </c>
      <c r="B742" t="s">
        <v>35</v>
      </c>
      <c r="C742" t="s">
        <v>16</v>
      </c>
      <c r="D742">
        <v>39279</v>
      </c>
      <c r="E742">
        <v>156000</v>
      </c>
      <c r="F742">
        <v>134000</v>
      </c>
      <c r="G742" t="s">
        <v>17</v>
      </c>
      <c r="H742">
        <v>917.76</v>
      </c>
      <c r="I742">
        <v>132934.09</v>
      </c>
    </row>
    <row r="743" spans="1:9" x14ac:dyDescent="0.15">
      <c r="A743">
        <v>410527188</v>
      </c>
      <c r="B743" t="s">
        <v>35</v>
      </c>
      <c r="C743" t="s">
        <v>16</v>
      </c>
      <c r="D743">
        <v>39272</v>
      </c>
      <c r="E743">
        <v>174000</v>
      </c>
      <c r="F743">
        <v>165300</v>
      </c>
      <c r="G743" t="s">
        <v>21</v>
      </c>
      <c r="H743">
        <v>1449.41</v>
      </c>
      <c r="I743">
        <v>163742.49</v>
      </c>
    </row>
    <row r="744" spans="1:9" x14ac:dyDescent="0.15">
      <c r="A744">
        <v>410527584</v>
      </c>
      <c r="B744" t="s">
        <v>36</v>
      </c>
      <c r="C744" t="s">
        <v>19</v>
      </c>
      <c r="D744">
        <v>39262</v>
      </c>
      <c r="E744">
        <v>390000</v>
      </c>
      <c r="F744">
        <v>370500</v>
      </c>
      <c r="G744" t="s">
        <v>15</v>
      </c>
      <c r="H744">
        <v>2886.45</v>
      </c>
      <c r="I744">
        <v>369704.99</v>
      </c>
    </row>
    <row r="745" spans="1:9" x14ac:dyDescent="0.15">
      <c r="A745">
        <v>410527931</v>
      </c>
      <c r="B745" t="s">
        <v>36</v>
      </c>
      <c r="C745" t="s">
        <v>18</v>
      </c>
      <c r="D745">
        <v>39272</v>
      </c>
      <c r="E745">
        <v>281000</v>
      </c>
      <c r="F745">
        <v>266950</v>
      </c>
      <c r="G745" t="s">
        <v>15</v>
      </c>
      <c r="H745">
        <v>2254.41</v>
      </c>
      <c r="I745">
        <v>265742.67</v>
      </c>
    </row>
    <row r="746" spans="1:9" x14ac:dyDescent="0.15">
      <c r="A746">
        <v>410528376</v>
      </c>
      <c r="B746" t="s">
        <v>38</v>
      </c>
      <c r="C746" t="s">
        <v>19</v>
      </c>
      <c r="D746">
        <v>39288</v>
      </c>
      <c r="E746">
        <v>150000</v>
      </c>
      <c r="F746">
        <v>114500</v>
      </c>
      <c r="G746" t="s">
        <v>20</v>
      </c>
      <c r="H746">
        <v>736.63</v>
      </c>
      <c r="I746">
        <v>114172.39</v>
      </c>
    </row>
    <row r="747" spans="1:9" x14ac:dyDescent="0.15">
      <c r="A747">
        <v>410529317</v>
      </c>
      <c r="B747" t="s">
        <v>35</v>
      </c>
      <c r="C747" t="s">
        <v>16</v>
      </c>
      <c r="D747">
        <v>39283</v>
      </c>
      <c r="E747">
        <v>91000</v>
      </c>
      <c r="F747">
        <v>72800</v>
      </c>
      <c r="G747" t="s">
        <v>17</v>
      </c>
      <c r="H747">
        <v>638.34</v>
      </c>
      <c r="I747">
        <v>72486.31</v>
      </c>
    </row>
    <row r="748" spans="1:9" x14ac:dyDescent="0.15">
      <c r="A748">
        <v>410529549</v>
      </c>
      <c r="B748" t="s">
        <v>38</v>
      </c>
      <c r="C748" t="s">
        <v>18</v>
      </c>
      <c r="D748">
        <v>39265</v>
      </c>
      <c r="E748">
        <v>128000</v>
      </c>
      <c r="F748">
        <v>115200</v>
      </c>
      <c r="G748" t="s">
        <v>17</v>
      </c>
      <c r="H748">
        <v>864.67</v>
      </c>
      <c r="I748">
        <v>115061.59</v>
      </c>
    </row>
    <row r="749" spans="1:9" x14ac:dyDescent="0.15">
      <c r="A749">
        <v>410531073</v>
      </c>
      <c r="B749" t="s">
        <v>36</v>
      </c>
      <c r="C749" t="s">
        <v>19</v>
      </c>
      <c r="D749">
        <v>39262</v>
      </c>
      <c r="E749">
        <v>660000</v>
      </c>
      <c r="F749">
        <v>495000</v>
      </c>
      <c r="G749" t="s">
        <v>17</v>
      </c>
      <c r="H749">
        <v>3035.32</v>
      </c>
      <c r="I749">
        <v>494117.13</v>
      </c>
    </row>
    <row r="750" spans="1:9" x14ac:dyDescent="0.15">
      <c r="A750">
        <v>410531271</v>
      </c>
      <c r="B750" t="s">
        <v>37</v>
      </c>
      <c r="C750" t="s">
        <v>19</v>
      </c>
      <c r="D750">
        <v>39269</v>
      </c>
      <c r="E750">
        <v>123000</v>
      </c>
      <c r="F750">
        <v>116850</v>
      </c>
      <c r="G750" t="s">
        <v>17</v>
      </c>
      <c r="H750">
        <v>965.54</v>
      </c>
      <c r="I750">
        <v>116229.13</v>
      </c>
    </row>
    <row r="751" spans="1:9" x14ac:dyDescent="0.15">
      <c r="A751">
        <v>410531594</v>
      </c>
      <c r="B751" t="s">
        <v>36</v>
      </c>
      <c r="C751" t="s">
        <v>18</v>
      </c>
      <c r="D751">
        <v>39262</v>
      </c>
      <c r="E751">
        <v>122000</v>
      </c>
      <c r="F751">
        <v>115900</v>
      </c>
      <c r="G751" t="s">
        <v>15</v>
      </c>
      <c r="H751">
        <v>896.83</v>
      </c>
      <c r="I751">
        <v>115804.45</v>
      </c>
    </row>
    <row r="752" spans="1:9" x14ac:dyDescent="0.15">
      <c r="A752">
        <v>410531826</v>
      </c>
      <c r="B752" t="s">
        <v>36</v>
      </c>
      <c r="C752" t="s">
        <v>19</v>
      </c>
      <c r="D752">
        <v>39266</v>
      </c>
      <c r="E752">
        <v>176000</v>
      </c>
      <c r="F752">
        <v>158400</v>
      </c>
      <c r="G752" t="s">
        <v>17</v>
      </c>
      <c r="H752">
        <v>1034.77</v>
      </c>
      <c r="I752">
        <v>157159.91</v>
      </c>
    </row>
    <row r="753" spans="1:9" x14ac:dyDescent="0.15">
      <c r="A753">
        <v>410534127</v>
      </c>
      <c r="B753" t="s">
        <v>35</v>
      </c>
      <c r="C753" t="s">
        <v>16</v>
      </c>
      <c r="D753">
        <v>39262</v>
      </c>
      <c r="E753">
        <v>129500</v>
      </c>
      <c r="F753">
        <v>81500</v>
      </c>
      <c r="G753" t="s">
        <v>17</v>
      </c>
      <c r="H753">
        <v>612.29</v>
      </c>
      <c r="I753">
        <v>80908.19</v>
      </c>
    </row>
    <row r="754" spans="1:9" x14ac:dyDescent="0.15">
      <c r="A754">
        <v>410534226</v>
      </c>
      <c r="B754" t="s">
        <v>35</v>
      </c>
      <c r="C754" t="s">
        <v>16</v>
      </c>
      <c r="D754">
        <v>39272</v>
      </c>
      <c r="E754">
        <v>120000</v>
      </c>
      <c r="F754">
        <v>106000</v>
      </c>
      <c r="G754" t="s">
        <v>17</v>
      </c>
      <c r="H754">
        <v>929.45</v>
      </c>
      <c r="I754">
        <v>105562.64</v>
      </c>
    </row>
    <row r="755" spans="1:9" x14ac:dyDescent="0.15">
      <c r="A755">
        <v>410535884</v>
      </c>
      <c r="B755" t="s">
        <v>36</v>
      </c>
      <c r="C755" t="s">
        <v>19</v>
      </c>
      <c r="D755">
        <v>39274</v>
      </c>
      <c r="E755">
        <v>285000</v>
      </c>
      <c r="F755">
        <v>211500</v>
      </c>
      <c r="G755" t="s">
        <v>17</v>
      </c>
      <c r="H755">
        <v>1364.77</v>
      </c>
      <c r="I755">
        <v>209807.5</v>
      </c>
    </row>
    <row r="756" spans="1:9" x14ac:dyDescent="0.15">
      <c r="A756">
        <v>410535892</v>
      </c>
      <c r="B756" t="s">
        <v>36</v>
      </c>
      <c r="C756" t="s">
        <v>18</v>
      </c>
      <c r="D756">
        <v>39274</v>
      </c>
      <c r="E756">
        <v>228000</v>
      </c>
      <c r="F756">
        <v>192000</v>
      </c>
      <c r="G756" t="s">
        <v>17</v>
      </c>
      <c r="H756">
        <v>1444.17</v>
      </c>
      <c r="I756">
        <v>191537.49</v>
      </c>
    </row>
    <row r="757" spans="1:9" x14ac:dyDescent="0.15">
      <c r="A757">
        <v>410536684</v>
      </c>
      <c r="B757" t="s">
        <v>35</v>
      </c>
      <c r="C757" t="s">
        <v>16</v>
      </c>
      <c r="D757">
        <v>39262</v>
      </c>
      <c r="E757">
        <v>160000</v>
      </c>
      <c r="F757">
        <v>136000</v>
      </c>
      <c r="G757" t="s">
        <v>17</v>
      </c>
      <c r="H757">
        <v>1203.56</v>
      </c>
      <c r="I757">
        <v>135388.26</v>
      </c>
    </row>
    <row r="758" spans="1:9" x14ac:dyDescent="0.15">
      <c r="A758">
        <v>410537195</v>
      </c>
      <c r="B758" t="s">
        <v>38</v>
      </c>
      <c r="C758" t="s">
        <v>19</v>
      </c>
      <c r="D758">
        <v>39279</v>
      </c>
      <c r="E758">
        <v>175000</v>
      </c>
      <c r="F758">
        <v>166250</v>
      </c>
      <c r="G758" t="s">
        <v>20</v>
      </c>
      <c r="H758">
        <v>1385.65</v>
      </c>
      <c r="I758">
        <v>166019.97</v>
      </c>
    </row>
    <row r="759" spans="1:9" x14ac:dyDescent="0.15">
      <c r="A759">
        <v>410538045</v>
      </c>
      <c r="B759" t="s">
        <v>37</v>
      </c>
      <c r="C759" t="s">
        <v>16</v>
      </c>
      <c r="D759">
        <v>39294</v>
      </c>
      <c r="E759">
        <v>200000</v>
      </c>
      <c r="F759">
        <v>180000</v>
      </c>
      <c r="G759" t="s">
        <v>17</v>
      </c>
      <c r="H759">
        <v>1319.53</v>
      </c>
      <c r="I759">
        <v>178881.25</v>
      </c>
    </row>
    <row r="760" spans="1:9" x14ac:dyDescent="0.15">
      <c r="A760">
        <v>410538938</v>
      </c>
      <c r="B760" t="s">
        <v>36</v>
      </c>
      <c r="C760" t="s">
        <v>19</v>
      </c>
      <c r="D760">
        <v>39268</v>
      </c>
      <c r="E760">
        <v>181000</v>
      </c>
      <c r="F760">
        <v>155000</v>
      </c>
      <c r="G760" t="s">
        <v>17</v>
      </c>
      <c r="H760">
        <v>1151.03</v>
      </c>
      <c r="I760">
        <v>154755.34</v>
      </c>
    </row>
    <row r="761" spans="1:9" x14ac:dyDescent="0.15">
      <c r="A761">
        <v>410540207</v>
      </c>
      <c r="B761" t="s">
        <v>36</v>
      </c>
      <c r="C761" t="s">
        <v>19</v>
      </c>
      <c r="D761">
        <v>39276</v>
      </c>
      <c r="E761">
        <v>286500</v>
      </c>
      <c r="F761">
        <v>243525</v>
      </c>
      <c r="G761" t="s">
        <v>17</v>
      </c>
      <c r="H761">
        <v>1668.56</v>
      </c>
      <c r="I761">
        <v>243249.11</v>
      </c>
    </row>
    <row r="762" spans="1:9" x14ac:dyDescent="0.15">
      <c r="A762">
        <v>410540686</v>
      </c>
      <c r="B762" t="s">
        <v>35</v>
      </c>
      <c r="C762" t="s">
        <v>16</v>
      </c>
      <c r="D762">
        <v>39265</v>
      </c>
      <c r="E762">
        <v>84000</v>
      </c>
      <c r="F762">
        <v>75600</v>
      </c>
      <c r="G762" t="s">
        <v>15</v>
      </c>
      <c r="H762">
        <v>677.75</v>
      </c>
      <c r="I762">
        <v>75453.3</v>
      </c>
    </row>
    <row r="763" spans="1:9" x14ac:dyDescent="0.15">
      <c r="A763">
        <v>410542260</v>
      </c>
      <c r="B763" t="s">
        <v>36</v>
      </c>
      <c r="C763" t="s">
        <v>19</v>
      </c>
      <c r="D763">
        <v>39262</v>
      </c>
      <c r="E763">
        <v>193000</v>
      </c>
      <c r="F763">
        <v>173700</v>
      </c>
      <c r="G763" t="s">
        <v>17</v>
      </c>
      <c r="H763">
        <v>1138.19</v>
      </c>
      <c r="I763">
        <v>172039.98</v>
      </c>
    </row>
    <row r="764" spans="1:9" x14ac:dyDescent="0.15">
      <c r="A764">
        <v>410544662</v>
      </c>
      <c r="B764" t="s">
        <v>36</v>
      </c>
      <c r="C764" t="s">
        <v>19</v>
      </c>
      <c r="D764">
        <v>39288</v>
      </c>
      <c r="E764">
        <v>215000</v>
      </c>
      <c r="F764">
        <v>192000</v>
      </c>
      <c r="G764" t="s">
        <v>15</v>
      </c>
      <c r="H764">
        <v>1342.5</v>
      </c>
      <c r="I764">
        <v>190684.96</v>
      </c>
    </row>
    <row r="765" spans="1:9" x14ac:dyDescent="0.15">
      <c r="A765">
        <v>410545271</v>
      </c>
      <c r="B765" t="s">
        <v>36</v>
      </c>
      <c r="C765" t="s">
        <v>18</v>
      </c>
      <c r="D765">
        <v>39276</v>
      </c>
      <c r="E765">
        <v>233000</v>
      </c>
      <c r="F765">
        <v>135000</v>
      </c>
      <c r="G765" t="s">
        <v>17</v>
      </c>
      <c r="H765">
        <v>1052.42</v>
      </c>
      <c r="I765">
        <v>134180.82999999999</v>
      </c>
    </row>
    <row r="766" spans="1:9" x14ac:dyDescent="0.15">
      <c r="A766">
        <v>410545354</v>
      </c>
      <c r="B766" t="s">
        <v>36</v>
      </c>
      <c r="C766" t="s">
        <v>18</v>
      </c>
      <c r="D766">
        <v>39286</v>
      </c>
      <c r="E766">
        <v>314000</v>
      </c>
      <c r="F766">
        <v>282600</v>
      </c>
      <c r="G766" t="s">
        <v>15</v>
      </c>
      <c r="H766">
        <v>2058.84</v>
      </c>
      <c r="I766">
        <v>281940.13</v>
      </c>
    </row>
    <row r="767" spans="1:9" x14ac:dyDescent="0.15">
      <c r="A767">
        <v>410546345</v>
      </c>
      <c r="B767" t="s">
        <v>35</v>
      </c>
      <c r="C767" t="s">
        <v>16</v>
      </c>
      <c r="D767">
        <v>39262</v>
      </c>
      <c r="E767">
        <v>110000</v>
      </c>
      <c r="F767">
        <v>104500</v>
      </c>
      <c r="G767" t="s">
        <v>15</v>
      </c>
      <c r="H767">
        <v>991.24</v>
      </c>
      <c r="I767">
        <v>104188.77</v>
      </c>
    </row>
    <row r="768" spans="1:9" x14ac:dyDescent="0.15">
      <c r="A768">
        <v>410546931</v>
      </c>
      <c r="B768" t="s">
        <v>36</v>
      </c>
      <c r="C768" t="s">
        <v>19</v>
      </c>
      <c r="D768">
        <v>39290</v>
      </c>
      <c r="E768">
        <v>295000</v>
      </c>
      <c r="F768">
        <v>232000</v>
      </c>
      <c r="G768" t="s">
        <v>17</v>
      </c>
      <c r="H768">
        <v>1700.72</v>
      </c>
      <c r="I768">
        <v>230558.15</v>
      </c>
    </row>
    <row r="769" spans="1:9" x14ac:dyDescent="0.15">
      <c r="A769">
        <v>410547079</v>
      </c>
      <c r="B769" t="s">
        <v>37</v>
      </c>
      <c r="C769" t="s">
        <v>19</v>
      </c>
      <c r="D769">
        <v>39290</v>
      </c>
      <c r="E769">
        <v>117500</v>
      </c>
      <c r="F769">
        <v>99875</v>
      </c>
      <c r="G769" t="s">
        <v>15</v>
      </c>
      <c r="H769">
        <v>814.42</v>
      </c>
      <c r="I769">
        <v>99384.37</v>
      </c>
    </row>
    <row r="770" spans="1:9" x14ac:dyDescent="0.15">
      <c r="A770">
        <v>410550917</v>
      </c>
      <c r="B770" t="s">
        <v>37</v>
      </c>
      <c r="C770" t="s">
        <v>18</v>
      </c>
      <c r="D770">
        <v>39281</v>
      </c>
      <c r="E770">
        <v>153000</v>
      </c>
      <c r="F770">
        <v>126000</v>
      </c>
      <c r="G770" t="s">
        <v>20</v>
      </c>
      <c r="H770">
        <v>1162.01</v>
      </c>
      <c r="I770">
        <v>125164.4</v>
      </c>
    </row>
    <row r="771" spans="1:9" x14ac:dyDescent="0.15">
      <c r="A771">
        <v>410551212</v>
      </c>
      <c r="B771" t="s">
        <v>37</v>
      </c>
      <c r="C771" t="s">
        <v>19</v>
      </c>
      <c r="D771">
        <v>39293</v>
      </c>
      <c r="E771">
        <v>257000</v>
      </c>
      <c r="F771">
        <v>205600</v>
      </c>
      <c r="G771" t="s">
        <v>20</v>
      </c>
      <c r="H771">
        <v>1508.48</v>
      </c>
      <c r="I771">
        <v>204322.08</v>
      </c>
    </row>
    <row r="772" spans="1:9" x14ac:dyDescent="0.15">
      <c r="A772">
        <v>410552335</v>
      </c>
      <c r="B772" t="s">
        <v>36</v>
      </c>
      <c r="C772" t="s">
        <v>18</v>
      </c>
      <c r="D772">
        <v>39281</v>
      </c>
      <c r="E772">
        <v>172000</v>
      </c>
      <c r="F772">
        <v>163400</v>
      </c>
      <c r="G772" t="s">
        <v>15</v>
      </c>
      <c r="H772">
        <v>1305.0899999999999</v>
      </c>
      <c r="I772">
        <v>163293.09</v>
      </c>
    </row>
    <row r="773" spans="1:9" x14ac:dyDescent="0.15">
      <c r="A773">
        <v>410552855</v>
      </c>
      <c r="B773" t="s">
        <v>35</v>
      </c>
      <c r="C773" t="s">
        <v>16</v>
      </c>
      <c r="D773">
        <v>39268</v>
      </c>
      <c r="E773">
        <v>153000</v>
      </c>
      <c r="F773">
        <v>137600</v>
      </c>
      <c r="G773" t="s">
        <v>17</v>
      </c>
      <c r="H773">
        <v>999.92</v>
      </c>
      <c r="I773">
        <v>137462.54</v>
      </c>
    </row>
    <row r="774" spans="1:9" x14ac:dyDescent="0.15">
      <c r="A774">
        <v>410554752</v>
      </c>
      <c r="B774" t="s">
        <v>37</v>
      </c>
      <c r="C774" t="s">
        <v>18</v>
      </c>
      <c r="D774">
        <v>39280</v>
      </c>
      <c r="E774">
        <v>66000</v>
      </c>
      <c r="F774">
        <v>62700</v>
      </c>
      <c r="G774" t="s">
        <v>17</v>
      </c>
      <c r="H774">
        <v>606.61</v>
      </c>
      <c r="I774">
        <v>62476.67</v>
      </c>
    </row>
    <row r="775" spans="1:9" x14ac:dyDescent="0.15">
      <c r="A775">
        <v>410555593</v>
      </c>
      <c r="B775" t="s">
        <v>36</v>
      </c>
      <c r="C775" t="s">
        <v>18</v>
      </c>
      <c r="D775">
        <v>39279</v>
      </c>
      <c r="E775">
        <v>145000</v>
      </c>
      <c r="F775">
        <v>108750</v>
      </c>
      <c r="G775" t="s">
        <v>15</v>
      </c>
      <c r="H775">
        <v>735.83</v>
      </c>
      <c r="I775">
        <v>108440.71</v>
      </c>
    </row>
    <row r="776" spans="1:9" x14ac:dyDescent="0.15">
      <c r="A776">
        <v>410556054</v>
      </c>
      <c r="B776" t="s">
        <v>36</v>
      </c>
      <c r="C776" t="s">
        <v>19</v>
      </c>
      <c r="D776">
        <v>39283</v>
      </c>
      <c r="E776">
        <v>126000</v>
      </c>
      <c r="F776">
        <v>119700</v>
      </c>
      <c r="G776" t="s">
        <v>17</v>
      </c>
      <c r="H776">
        <v>1213.3699999999999</v>
      </c>
      <c r="I776">
        <v>116424.91</v>
      </c>
    </row>
    <row r="777" spans="1:9" x14ac:dyDescent="0.15">
      <c r="A777">
        <v>410556104</v>
      </c>
      <c r="B777" t="s">
        <v>36</v>
      </c>
      <c r="C777" t="s">
        <v>19</v>
      </c>
      <c r="D777">
        <v>39268</v>
      </c>
      <c r="E777">
        <v>205000</v>
      </c>
      <c r="F777">
        <v>174250</v>
      </c>
      <c r="G777" t="s">
        <v>17</v>
      </c>
      <c r="H777">
        <v>1147.6199999999999</v>
      </c>
      <c r="I777">
        <v>171194.09</v>
      </c>
    </row>
    <row r="778" spans="1:9" x14ac:dyDescent="0.15">
      <c r="A778">
        <v>410563282</v>
      </c>
      <c r="B778" t="s">
        <v>36</v>
      </c>
      <c r="C778" t="s">
        <v>19</v>
      </c>
      <c r="D778">
        <v>39268</v>
      </c>
      <c r="E778">
        <v>220000</v>
      </c>
      <c r="F778">
        <v>187000</v>
      </c>
      <c r="G778" t="s">
        <v>17</v>
      </c>
      <c r="H778">
        <v>1200.48</v>
      </c>
      <c r="I778">
        <v>185489.13</v>
      </c>
    </row>
    <row r="779" spans="1:9" x14ac:dyDescent="0.15">
      <c r="A779">
        <v>410563704</v>
      </c>
      <c r="B779" t="s">
        <v>36</v>
      </c>
      <c r="C779" t="s">
        <v>18</v>
      </c>
      <c r="D779">
        <v>39279</v>
      </c>
      <c r="E779">
        <v>184000</v>
      </c>
      <c r="F779">
        <v>132000</v>
      </c>
      <c r="G779" t="s">
        <v>17</v>
      </c>
      <c r="H779">
        <v>922.97</v>
      </c>
      <c r="I779">
        <v>131095.9</v>
      </c>
    </row>
    <row r="780" spans="1:9" x14ac:dyDescent="0.15">
      <c r="A780">
        <v>410563720</v>
      </c>
      <c r="B780" t="s">
        <v>35</v>
      </c>
      <c r="C780" t="s">
        <v>16</v>
      </c>
      <c r="D780">
        <v>39286</v>
      </c>
      <c r="E780">
        <v>279000</v>
      </c>
      <c r="F780">
        <v>237150</v>
      </c>
      <c r="G780" t="s">
        <v>17</v>
      </c>
      <c r="H780">
        <v>1789.47</v>
      </c>
      <c r="I780">
        <v>236957.8</v>
      </c>
    </row>
    <row r="781" spans="1:9" x14ac:dyDescent="0.15">
      <c r="A781">
        <v>410564520</v>
      </c>
      <c r="B781" t="s">
        <v>36</v>
      </c>
      <c r="C781" t="s">
        <v>18</v>
      </c>
      <c r="D781">
        <v>39262</v>
      </c>
      <c r="E781">
        <v>300085</v>
      </c>
      <c r="F781">
        <v>285080</v>
      </c>
      <c r="G781" t="s">
        <v>20</v>
      </c>
      <c r="H781">
        <v>2220.9699999999998</v>
      </c>
      <c r="I781">
        <v>284468.28999999998</v>
      </c>
    </row>
    <row r="782" spans="1:9" x14ac:dyDescent="0.15">
      <c r="A782">
        <v>410564561</v>
      </c>
      <c r="B782" t="s">
        <v>36</v>
      </c>
      <c r="C782" t="s">
        <v>18</v>
      </c>
      <c r="D782">
        <v>39272</v>
      </c>
      <c r="E782">
        <v>190000</v>
      </c>
      <c r="F782">
        <v>161500</v>
      </c>
      <c r="G782" t="s">
        <v>15</v>
      </c>
      <c r="H782">
        <v>1046.53</v>
      </c>
      <c r="I782">
        <v>161171.67000000001</v>
      </c>
    </row>
    <row r="783" spans="1:9" x14ac:dyDescent="0.15">
      <c r="A783">
        <v>410564611</v>
      </c>
      <c r="B783" t="s">
        <v>35</v>
      </c>
      <c r="C783" t="s">
        <v>16</v>
      </c>
      <c r="D783">
        <v>39272</v>
      </c>
      <c r="E783">
        <v>131000</v>
      </c>
      <c r="F783">
        <v>104800</v>
      </c>
      <c r="G783" t="s">
        <v>17</v>
      </c>
      <c r="H783">
        <v>911.97</v>
      </c>
      <c r="I783">
        <v>104359.34</v>
      </c>
    </row>
    <row r="784" spans="1:9" x14ac:dyDescent="0.15">
      <c r="A784">
        <v>410564975</v>
      </c>
      <c r="B784" t="s">
        <v>36</v>
      </c>
      <c r="C784" t="s">
        <v>19</v>
      </c>
      <c r="D784">
        <v>39274</v>
      </c>
      <c r="E784">
        <v>300200</v>
      </c>
      <c r="F784">
        <v>285190</v>
      </c>
      <c r="G784" t="s">
        <v>17</v>
      </c>
      <c r="H784">
        <v>1980.82</v>
      </c>
      <c r="I784">
        <v>284428.26</v>
      </c>
    </row>
    <row r="785" spans="1:9" x14ac:dyDescent="0.15">
      <c r="A785">
        <v>410565766</v>
      </c>
      <c r="B785" t="s">
        <v>36</v>
      </c>
      <c r="C785" t="s">
        <v>19</v>
      </c>
      <c r="D785">
        <v>39276</v>
      </c>
      <c r="E785">
        <v>132000</v>
      </c>
      <c r="F785">
        <v>70000</v>
      </c>
      <c r="G785" t="s">
        <v>17</v>
      </c>
      <c r="H785">
        <v>550.70000000000005</v>
      </c>
      <c r="I785">
        <v>69626.710000000006</v>
      </c>
    </row>
    <row r="786" spans="1:9" x14ac:dyDescent="0.15">
      <c r="A786">
        <v>410566285</v>
      </c>
      <c r="B786" t="s">
        <v>37</v>
      </c>
      <c r="C786" t="s">
        <v>19</v>
      </c>
      <c r="D786">
        <v>39281</v>
      </c>
      <c r="E786">
        <v>208000</v>
      </c>
      <c r="F786">
        <v>149500</v>
      </c>
      <c r="G786" t="s">
        <v>17</v>
      </c>
      <c r="H786">
        <v>1255.99</v>
      </c>
      <c r="I786">
        <v>148815.39000000001</v>
      </c>
    </row>
    <row r="787" spans="1:9" x14ac:dyDescent="0.15">
      <c r="A787">
        <v>410569727</v>
      </c>
      <c r="B787" t="s">
        <v>37</v>
      </c>
      <c r="C787" t="s">
        <v>22</v>
      </c>
      <c r="D787">
        <v>39272</v>
      </c>
      <c r="E787">
        <v>400000</v>
      </c>
      <c r="F787">
        <v>342000</v>
      </c>
      <c r="G787" t="s">
        <v>15</v>
      </c>
      <c r="H787">
        <v>2320.44</v>
      </c>
      <c r="I787">
        <v>341553.9</v>
      </c>
    </row>
    <row r="788" spans="1:9" x14ac:dyDescent="0.15">
      <c r="A788">
        <v>410570659</v>
      </c>
      <c r="B788" t="s">
        <v>36</v>
      </c>
      <c r="C788" t="s">
        <v>19</v>
      </c>
      <c r="D788">
        <v>39287</v>
      </c>
      <c r="E788">
        <v>285000</v>
      </c>
      <c r="F788">
        <v>242250</v>
      </c>
      <c r="G788" t="s">
        <v>17</v>
      </c>
      <c r="H788">
        <v>1914.44</v>
      </c>
      <c r="I788">
        <v>240971.48</v>
      </c>
    </row>
    <row r="789" spans="1:9" x14ac:dyDescent="0.15">
      <c r="A789">
        <v>410570733</v>
      </c>
      <c r="B789" t="s">
        <v>37</v>
      </c>
      <c r="C789" t="s">
        <v>19</v>
      </c>
      <c r="D789">
        <v>39268</v>
      </c>
      <c r="E789">
        <v>197000</v>
      </c>
      <c r="F789">
        <v>163000</v>
      </c>
      <c r="G789" t="s">
        <v>15</v>
      </c>
      <c r="H789">
        <v>1167.76</v>
      </c>
      <c r="I789">
        <v>161815.48000000001</v>
      </c>
    </row>
    <row r="790" spans="1:9" x14ac:dyDescent="0.15">
      <c r="A790">
        <v>410571038</v>
      </c>
      <c r="B790" t="s">
        <v>35</v>
      </c>
      <c r="C790" t="s">
        <v>16</v>
      </c>
      <c r="D790">
        <v>39283</v>
      </c>
      <c r="E790">
        <v>150000</v>
      </c>
      <c r="F790">
        <v>142500</v>
      </c>
      <c r="G790" t="s">
        <v>15</v>
      </c>
      <c r="H790">
        <v>1183.04</v>
      </c>
      <c r="I790">
        <v>142410.72</v>
      </c>
    </row>
    <row r="791" spans="1:9" x14ac:dyDescent="0.15">
      <c r="A791">
        <v>410571046</v>
      </c>
      <c r="B791" t="s">
        <v>36</v>
      </c>
      <c r="C791" t="s">
        <v>18</v>
      </c>
      <c r="D791">
        <v>39294</v>
      </c>
      <c r="E791">
        <v>350000</v>
      </c>
      <c r="F791">
        <v>315000</v>
      </c>
      <c r="G791" t="s">
        <v>20</v>
      </c>
      <c r="H791">
        <v>2224.14</v>
      </c>
      <c r="I791">
        <v>312884.71999999997</v>
      </c>
    </row>
    <row r="792" spans="1:9" x14ac:dyDescent="0.15">
      <c r="A792">
        <v>410572226</v>
      </c>
      <c r="B792" t="s">
        <v>37</v>
      </c>
      <c r="C792" t="s">
        <v>19</v>
      </c>
      <c r="D792">
        <v>39272</v>
      </c>
      <c r="E792">
        <v>115000</v>
      </c>
      <c r="F792">
        <v>92000</v>
      </c>
      <c r="G792" t="s">
        <v>17</v>
      </c>
      <c r="H792">
        <v>746.89</v>
      </c>
      <c r="I792">
        <v>91541.94</v>
      </c>
    </row>
    <row r="793" spans="1:9" x14ac:dyDescent="0.15">
      <c r="A793">
        <v>410573505</v>
      </c>
      <c r="B793" t="s">
        <v>36</v>
      </c>
      <c r="C793" t="s">
        <v>19</v>
      </c>
      <c r="D793">
        <v>39279</v>
      </c>
      <c r="E793">
        <v>146000</v>
      </c>
      <c r="F793">
        <v>109250</v>
      </c>
      <c r="G793" t="s">
        <v>17</v>
      </c>
      <c r="H793">
        <v>797.84</v>
      </c>
      <c r="I793">
        <v>108564.96</v>
      </c>
    </row>
    <row r="794" spans="1:9" x14ac:dyDescent="0.15">
      <c r="A794">
        <v>410573760</v>
      </c>
      <c r="B794" t="s">
        <v>36</v>
      </c>
      <c r="C794" t="s">
        <v>19</v>
      </c>
      <c r="D794">
        <v>39289</v>
      </c>
      <c r="E794">
        <v>103000</v>
      </c>
      <c r="F794">
        <v>71250</v>
      </c>
      <c r="G794" t="s">
        <v>20</v>
      </c>
      <c r="H794">
        <v>619.49</v>
      </c>
      <c r="I794">
        <v>70984.25</v>
      </c>
    </row>
    <row r="795" spans="1:9" x14ac:dyDescent="0.15">
      <c r="A795">
        <v>410575336</v>
      </c>
      <c r="B795" t="s">
        <v>36</v>
      </c>
      <c r="C795" t="s">
        <v>19</v>
      </c>
      <c r="D795">
        <v>39279</v>
      </c>
      <c r="E795">
        <v>140000</v>
      </c>
      <c r="F795">
        <v>100000</v>
      </c>
      <c r="G795" t="s">
        <v>15</v>
      </c>
      <c r="H795">
        <v>761.84</v>
      </c>
      <c r="I795">
        <v>99424.07</v>
      </c>
    </row>
    <row r="796" spans="1:9" x14ac:dyDescent="0.15">
      <c r="A796">
        <v>410576003</v>
      </c>
      <c r="B796" t="s">
        <v>35</v>
      </c>
      <c r="C796" t="s">
        <v>16</v>
      </c>
      <c r="D796">
        <v>39272</v>
      </c>
      <c r="E796">
        <v>205000</v>
      </c>
      <c r="F796">
        <v>151800</v>
      </c>
      <c r="G796" t="s">
        <v>15</v>
      </c>
      <c r="H796">
        <v>1048.45</v>
      </c>
      <c r="I796">
        <v>150715.79999999999</v>
      </c>
    </row>
    <row r="797" spans="1:9" x14ac:dyDescent="0.15">
      <c r="A797">
        <v>410580534</v>
      </c>
      <c r="B797" t="s">
        <v>35</v>
      </c>
      <c r="C797" t="s">
        <v>16</v>
      </c>
      <c r="D797">
        <v>39280</v>
      </c>
      <c r="E797">
        <v>191000</v>
      </c>
      <c r="F797">
        <v>181450</v>
      </c>
      <c r="G797" t="s">
        <v>17</v>
      </c>
      <c r="H797">
        <v>1446.96</v>
      </c>
      <c r="I797">
        <v>180403.49</v>
      </c>
    </row>
    <row r="798" spans="1:9" x14ac:dyDescent="0.15">
      <c r="A798">
        <v>410581219</v>
      </c>
      <c r="B798" t="s">
        <v>35</v>
      </c>
      <c r="C798" t="s">
        <v>16</v>
      </c>
      <c r="D798">
        <v>39289</v>
      </c>
      <c r="E798">
        <v>144500</v>
      </c>
      <c r="F798">
        <v>127300</v>
      </c>
      <c r="G798" t="s">
        <v>17</v>
      </c>
      <c r="H798">
        <v>1015.14</v>
      </c>
      <c r="I798">
        <v>126641.72</v>
      </c>
    </row>
    <row r="799" spans="1:9" x14ac:dyDescent="0.15">
      <c r="A799">
        <v>410581771</v>
      </c>
      <c r="B799" t="s">
        <v>37</v>
      </c>
      <c r="C799" t="s">
        <v>19</v>
      </c>
      <c r="D799">
        <v>39273</v>
      </c>
      <c r="E799">
        <v>239420</v>
      </c>
      <c r="F799">
        <v>136620</v>
      </c>
      <c r="G799" t="s">
        <v>15</v>
      </c>
      <c r="H799">
        <v>1178.8</v>
      </c>
      <c r="I799">
        <v>136033.46</v>
      </c>
    </row>
    <row r="800" spans="1:9" x14ac:dyDescent="0.15">
      <c r="A800">
        <v>410583389</v>
      </c>
      <c r="B800" t="s">
        <v>36</v>
      </c>
      <c r="C800" t="s">
        <v>19</v>
      </c>
      <c r="D800">
        <v>39274</v>
      </c>
      <c r="E800">
        <v>178000</v>
      </c>
      <c r="F800">
        <v>142400</v>
      </c>
      <c r="G800" t="s">
        <v>21</v>
      </c>
      <c r="H800">
        <v>911.7</v>
      </c>
      <c r="I800">
        <v>142199.73000000001</v>
      </c>
    </row>
    <row r="801" spans="1:9" x14ac:dyDescent="0.15">
      <c r="A801">
        <v>410583652</v>
      </c>
      <c r="B801" t="s">
        <v>36</v>
      </c>
      <c r="C801" t="s">
        <v>19</v>
      </c>
      <c r="D801">
        <v>39268</v>
      </c>
      <c r="E801">
        <v>235000</v>
      </c>
      <c r="F801">
        <v>152750</v>
      </c>
      <c r="G801" t="s">
        <v>17</v>
      </c>
      <c r="H801">
        <v>859.22</v>
      </c>
      <c r="I801">
        <v>152750</v>
      </c>
    </row>
    <row r="802" spans="1:9" x14ac:dyDescent="0.15">
      <c r="A802">
        <v>410584254</v>
      </c>
      <c r="B802" t="s">
        <v>35</v>
      </c>
      <c r="C802" t="s">
        <v>16</v>
      </c>
      <c r="D802">
        <v>39294</v>
      </c>
      <c r="E802">
        <v>140000</v>
      </c>
      <c r="F802">
        <v>108000</v>
      </c>
      <c r="G802" t="s">
        <v>17</v>
      </c>
      <c r="H802">
        <v>841.94</v>
      </c>
      <c r="I802">
        <v>107405.88</v>
      </c>
    </row>
    <row r="803" spans="1:9" x14ac:dyDescent="0.15">
      <c r="A803">
        <v>410584403</v>
      </c>
      <c r="B803" t="s">
        <v>35</v>
      </c>
      <c r="C803" t="s">
        <v>16</v>
      </c>
      <c r="D803">
        <v>39286</v>
      </c>
      <c r="E803">
        <v>150000</v>
      </c>
      <c r="F803">
        <v>112500</v>
      </c>
      <c r="G803" t="s">
        <v>17</v>
      </c>
      <c r="H803">
        <v>861.05</v>
      </c>
      <c r="I803">
        <v>111862.49</v>
      </c>
    </row>
    <row r="804" spans="1:9" x14ac:dyDescent="0.15">
      <c r="A804">
        <v>410584510</v>
      </c>
      <c r="B804" t="s">
        <v>36</v>
      </c>
      <c r="C804" t="s">
        <v>18</v>
      </c>
      <c r="D804">
        <v>39281</v>
      </c>
      <c r="E804">
        <v>300000</v>
      </c>
      <c r="F804">
        <v>240000</v>
      </c>
      <c r="G804" t="s">
        <v>15</v>
      </c>
      <c r="H804">
        <v>1759.43</v>
      </c>
      <c r="I804">
        <v>239449.74</v>
      </c>
    </row>
    <row r="805" spans="1:9" x14ac:dyDescent="0.15">
      <c r="A805">
        <v>410585608</v>
      </c>
      <c r="B805" t="s">
        <v>35</v>
      </c>
      <c r="C805" t="s">
        <v>16</v>
      </c>
      <c r="D805">
        <v>39274</v>
      </c>
      <c r="E805">
        <v>123000</v>
      </c>
      <c r="F805">
        <v>110700</v>
      </c>
      <c r="G805" t="s">
        <v>17</v>
      </c>
      <c r="H805">
        <v>882.77</v>
      </c>
      <c r="I805">
        <v>110061.55</v>
      </c>
    </row>
    <row r="806" spans="1:9" x14ac:dyDescent="0.15">
      <c r="A806">
        <v>410585673</v>
      </c>
      <c r="B806" t="s">
        <v>36</v>
      </c>
      <c r="C806" t="s">
        <v>19</v>
      </c>
      <c r="D806">
        <v>39283</v>
      </c>
      <c r="E806">
        <v>595000</v>
      </c>
      <c r="F806">
        <v>291500</v>
      </c>
      <c r="G806" t="s">
        <v>17</v>
      </c>
      <c r="H806">
        <v>2116.62</v>
      </c>
      <c r="I806">
        <v>289651.84999999998</v>
      </c>
    </row>
    <row r="807" spans="1:9" x14ac:dyDescent="0.15">
      <c r="A807">
        <v>410586242</v>
      </c>
      <c r="B807" t="s">
        <v>37</v>
      </c>
      <c r="C807" t="s">
        <v>18</v>
      </c>
      <c r="D807">
        <v>39289</v>
      </c>
      <c r="E807">
        <v>186000</v>
      </c>
      <c r="F807">
        <v>176700</v>
      </c>
      <c r="G807" t="s">
        <v>20</v>
      </c>
      <c r="H807">
        <v>1424.51</v>
      </c>
      <c r="I807">
        <v>176393.49</v>
      </c>
    </row>
    <row r="808" spans="1:9" x14ac:dyDescent="0.15">
      <c r="A808">
        <v>410587984</v>
      </c>
      <c r="B808" t="s">
        <v>36</v>
      </c>
      <c r="C808" t="s">
        <v>19</v>
      </c>
      <c r="D808">
        <v>39283</v>
      </c>
      <c r="E808">
        <v>262000</v>
      </c>
      <c r="F808">
        <v>246950</v>
      </c>
      <c r="G808" t="s">
        <v>15</v>
      </c>
      <c r="H808">
        <v>2174.8000000000002</v>
      </c>
      <c r="I808">
        <v>246627.89</v>
      </c>
    </row>
    <row r="809" spans="1:9" x14ac:dyDescent="0.15">
      <c r="A809">
        <v>410589030</v>
      </c>
      <c r="B809" t="s">
        <v>38</v>
      </c>
      <c r="C809" t="s">
        <v>19</v>
      </c>
      <c r="D809">
        <v>39288</v>
      </c>
      <c r="E809">
        <v>207000</v>
      </c>
      <c r="F809">
        <v>186300</v>
      </c>
      <c r="G809" t="s">
        <v>15</v>
      </c>
      <c r="H809">
        <v>1539.4</v>
      </c>
      <c r="I809">
        <v>185412.68</v>
      </c>
    </row>
    <row r="810" spans="1:9" x14ac:dyDescent="0.15">
      <c r="A810">
        <v>410590145</v>
      </c>
      <c r="B810" t="s">
        <v>36</v>
      </c>
      <c r="C810" t="s">
        <v>19</v>
      </c>
      <c r="D810">
        <v>39272</v>
      </c>
      <c r="E810">
        <v>154000</v>
      </c>
      <c r="F810">
        <v>146300</v>
      </c>
      <c r="G810" t="s">
        <v>17</v>
      </c>
      <c r="H810">
        <v>1093.97</v>
      </c>
      <c r="I810">
        <v>145527.67999999999</v>
      </c>
    </row>
    <row r="811" spans="1:9" x14ac:dyDescent="0.15">
      <c r="A811">
        <v>410590491</v>
      </c>
      <c r="B811" t="s">
        <v>35</v>
      </c>
      <c r="C811" t="s">
        <v>16</v>
      </c>
      <c r="D811">
        <v>39279</v>
      </c>
      <c r="E811">
        <v>167000</v>
      </c>
      <c r="F811">
        <v>158650</v>
      </c>
      <c r="G811" t="s">
        <v>17</v>
      </c>
      <c r="H811">
        <v>1275.4000000000001</v>
      </c>
      <c r="I811">
        <v>157936.73000000001</v>
      </c>
    </row>
    <row r="812" spans="1:9" x14ac:dyDescent="0.15">
      <c r="A812">
        <v>410590632</v>
      </c>
      <c r="B812" t="s">
        <v>37</v>
      </c>
      <c r="C812" t="s">
        <v>19</v>
      </c>
      <c r="D812">
        <v>39288</v>
      </c>
      <c r="E812">
        <v>107000</v>
      </c>
      <c r="F812">
        <v>101650</v>
      </c>
      <c r="G812" t="s">
        <v>15</v>
      </c>
      <c r="H812">
        <v>919.35</v>
      </c>
      <c r="I812">
        <v>101529.01</v>
      </c>
    </row>
    <row r="813" spans="1:9" x14ac:dyDescent="0.15">
      <c r="A813">
        <v>410591168</v>
      </c>
      <c r="B813" t="s">
        <v>37</v>
      </c>
      <c r="C813" t="s">
        <v>19</v>
      </c>
      <c r="D813">
        <v>39294</v>
      </c>
      <c r="E813">
        <v>315000</v>
      </c>
      <c r="F813">
        <v>261500</v>
      </c>
      <c r="G813" t="s">
        <v>17</v>
      </c>
      <c r="H813">
        <v>1962.73</v>
      </c>
      <c r="I813">
        <v>259954.15</v>
      </c>
    </row>
    <row r="814" spans="1:9" x14ac:dyDescent="0.15">
      <c r="A814">
        <v>410596662</v>
      </c>
      <c r="B814" t="s">
        <v>36</v>
      </c>
      <c r="C814" t="s">
        <v>19</v>
      </c>
      <c r="D814">
        <v>39287</v>
      </c>
      <c r="E814">
        <v>178500</v>
      </c>
      <c r="F814">
        <v>169575</v>
      </c>
      <c r="G814" t="s">
        <v>15</v>
      </c>
      <c r="H814">
        <v>1456.92</v>
      </c>
      <c r="I814">
        <v>169088.46</v>
      </c>
    </row>
    <row r="815" spans="1:9" x14ac:dyDescent="0.15">
      <c r="A815">
        <v>410596878</v>
      </c>
      <c r="B815" t="s">
        <v>36</v>
      </c>
      <c r="C815" t="s">
        <v>19</v>
      </c>
      <c r="D815">
        <v>39274</v>
      </c>
      <c r="E815">
        <v>281000</v>
      </c>
      <c r="F815">
        <v>165000</v>
      </c>
      <c r="G815" t="s">
        <v>17</v>
      </c>
      <c r="H815">
        <v>1103.3</v>
      </c>
      <c r="I815">
        <v>163765.96</v>
      </c>
    </row>
    <row r="816" spans="1:9" x14ac:dyDescent="0.15">
      <c r="A816">
        <v>410600688</v>
      </c>
      <c r="B816" t="s">
        <v>35</v>
      </c>
      <c r="C816" t="s">
        <v>16</v>
      </c>
      <c r="D816">
        <v>39293</v>
      </c>
      <c r="E816">
        <v>150000</v>
      </c>
      <c r="F816">
        <v>135000</v>
      </c>
      <c r="G816" t="s">
        <v>20</v>
      </c>
      <c r="H816">
        <v>1209.74</v>
      </c>
      <c r="I816">
        <v>134593.4</v>
      </c>
    </row>
    <row r="817" spans="1:9" x14ac:dyDescent="0.15">
      <c r="A817">
        <v>410601686</v>
      </c>
      <c r="B817" t="s">
        <v>37</v>
      </c>
      <c r="C817" t="s">
        <v>19</v>
      </c>
      <c r="D817">
        <v>39289</v>
      </c>
      <c r="E817">
        <v>176000</v>
      </c>
      <c r="F817">
        <v>140800</v>
      </c>
      <c r="G817" t="s">
        <v>17</v>
      </c>
      <c r="H817">
        <v>1189.07</v>
      </c>
      <c r="I817">
        <v>140163.16</v>
      </c>
    </row>
    <row r="818" spans="1:9" x14ac:dyDescent="0.15">
      <c r="A818">
        <v>410602247</v>
      </c>
      <c r="B818" t="s">
        <v>36</v>
      </c>
      <c r="C818" t="s">
        <v>18</v>
      </c>
      <c r="D818">
        <v>39274</v>
      </c>
      <c r="E818">
        <v>188000</v>
      </c>
      <c r="F818">
        <v>124000</v>
      </c>
      <c r="G818" t="s">
        <v>17</v>
      </c>
      <c r="H818">
        <v>892.64</v>
      </c>
      <c r="I818">
        <v>123199.67</v>
      </c>
    </row>
    <row r="819" spans="1:9" x14ac:dyDescent="0.15">
      <c r="A819">
        <v>410604318</v>
      </c>
      <c r="B819" t="s">
        <v>36</v>
      </c>
      <c r="C819" t="s">
        <v>19</v>
      </c>
      <c r="D819">
        <v>39281</v>
      </c>
      <c r="E819">
        <v>147000</v>
      </c>
      <c r="F819">
        <v>139650</v>
      </c>
      <c r="G819" t="s">
        <v>15</v>
      </c>
      <c r="H819">
        <v>1081.72</v>
      </c>
      <c r="I819">
        <v>139547.26</v>
      </c>
    </row>
    <row r="820" spans="1:9" x14ac:dyDescent="0.15">
      <c r="A820">
        <v>410605240</v>
      </c>
      <c r="B820" t="s">
        <v>36</v>
      </c>
      <c r="C820" t="s">
        <v>19</v>
      </c>
      <c r="D820">
        <v>39280</v>
      </c>
      <c r="E820">
        <v>169000</v>
      </c>
      <c r="F820">
        <v>108000</v>
      </c>
      <c r="G820" t="s">
        <v>17</v>
      </c>
      <c r="H820">
        <v>791.72</v>
      </c>
      <c r="I820">
        <v>107404.19</v>
      </c>
    </row>
    <row r="821" spans="1:9" x14ac:dyDescent="0.15">
      <c r="A821">
        <v>410605885</v>
      </c>
      <c r="B821" t="s">
        <v>35</v>
      </c>
      <c r="C821" t="s">
        <v>16</v>
      </c>
      <c r="D821">
        <v>39280</v>
      </c>
      <c r="E821">
        <v>145000</v>
      </c>
      <c r="F821">
        <v>123250</v>
      </c>
      <c r="G821" t="s">
        <v>17</v>
      </c>
      <c r="H821">
        <v>861.79</v>
      </c>
      <c r="I821">
        <v>122405.82</v>
      </c>
    </row>
    <row r="822" spans="1:9" x14ac:dyDescent="0.15">
      <c r="A822">
        <v>410606214</v>
      </c>
      <c r="B822" t="s">
        <v>37</v>
      </c>
      <c r="C822" t="s">
        <v>19</v>
      </c>
      <c r="D822">
        <v>39288</v>
      </c>
      <c r="E822">
        <v>280000</v>
      </c>
      <c r="F822">
        <v>252000</v>
      </c>
      <c r="G822" t="s">
        <v>17</v>
      </c>
      <c r="H822">
        <v>2033.06</v>
      </c>
      <c r="I822">
        <v>251841.46</v>
      </c>
    </row>
    <row r="823" spans="1:9" x14ac:dyDescent="0.15">
      <c r="A823">
        <v>410606362</v>
      </c>
      <c r="B823" t="s">
        <v>38</v>
      </c>
      <c r="C823" t="s">
        <v>16</v>
      </c>
      <c r="D823">
        <v>39304</v>
      </c>
      <c r="E823">
        <v>120000</v>
      </c>
      <c r="F823">
        <v>84000</v>
      </c>
      <c r="G823" t="s">
        <v>20</v>
      </c>
      <c r="H823">
        <v>647.29</v>
      </c>
      <c r="I823">
        <v>83607.89</v>
      </c>
    </row>
    <row r="824" spans="1:9" x14ac:dyDescent="0.15">
      <c r="A824">
        <v>410606784</v>
      </c>
      <c r="B824" t="s">
        <v>36</v>
      </c>
      <c r="C824" t="s">
        <v>19</v>
      </c>
      <c r="D824">
        <v>39279</v>
      </c>
      <c r="E824">
        <v>162000</v>
      </c>
      <c r="F824">
        <v>137700</v>
      </c>
      <c r="G824" t="s">
        <v>17</v>
      </c>
      <c r="H824">
        <v>1157.8599999999999</v>
      </c>
      <c r="I824">
        <v>137070.51</v>
      </c>
    </row>
    <row r="825" spans="1:9" x14ac:dyDescent="0.15">
      <c r="A825">
        <v>410606792</v>
      </c>
      <c r="B825" t="s">
        <v>37</v>
      </c>
      <c r="C825" t="s">
        <v>19</v>
      </c>
      <c r="D825">
        <v>39275</v>
      </c>
      <c r="E825">
        <v>121000</v>
      </c>
      <c r="F825">
        <v>108000</v>
      </c>
      <c r="G825" t="s">
        <v>15</v>
      </c>
      <c r="H825">
        <v>733.1</v>
      </c>
      <c r="I825">
        <v>107215.37</v>
      </c>
    </row>
    <row r="826" spans="1:9" x14ac:dyDescent="0.15">
      <c r="A826">
        <v>410607485</v>
      </c>
      <c r="B826" t="s">
        <v>36</v>
      </c>
      <c r="C826" t="s">
        <v>18</v>
      </c>
      <c r="D826">
        <v>39287</v>
      </c>
      <c r="E826">
        <v>151000</v>
      </c>
      <c r="F826">
        <v>135000</v>
      </c>
      <c r="G826" t="s">
        <v>17</v>
      </c>
      <c r="H826">
        <v>939.33</v>
      </c>
      <c r="I826">
        <v>134057</v>
      </c>
    </row>
    <row r="827" spans="1:9" x14ac:dyDescent="0.15">
      <c r="A827">
        <v>410607949</v>
      </c>
      <c r="B827" t="s">
        <v>38</v>
      </c>
      <c r="C827" t="s">
        <v>16</v>
      </c>
      <c r="D827">
        <v>39315</v>
      </c>
      <c r="E827">
        <v>125000</v>
      </c>
      <c r="F827">
        <v>106250</v>
      </c>
      <c r="G827" t="s">
        <v>17</v>
      </c>
      <c r="H827">
        <v>924.58</v>
      </c>
      <c r="I827">
        <v>105854.13</v>
      </c>
    </row>
    <row r="828" spans="1:9" x14ac:dyDescent="0.15">
      <c r="A828">
        <v>410608418</v>
      </c>
      <c r="B828" t="s">
        <v>36</v>
      </c>
      <c r="C828" t="s">
        <v>19</v>
      </c>
      <c r="D828">
        <v>39293</v>
      </c>
      <c r="E828">
        <v>459000</v>
      </c>
      <c r="F828">
        <v>436050</v>
      </c>
      <c r="G828" t="s">
        <v>15</v>
      </c>
      <c r="H828">
        <v>3651.41</v>
      </c>
      <c r="I828">
        <v>435455.79</v>
      </c>
    </row>
    <row r="829" spans="1:9" x14ac:dyDescent="0.15">
      <c r="A829">
        <v>410608673</v>
      </c>
      <c r="B829" t="s">
        <v>36</v>
      </c>
      <c r="C829" t="s">
        <v>18</v>
      </c>
      <c r="D829">
        <v>39280</v>
      </c>
      <c r="E829">
        <v>212500</v>
      </c>
      <c r="F829">
        <v>115000</v>
      </c>
      <c r="G829" t="s">
        <v>20</v>
      </c>
      <c r="H829">
        <v>835.83</v>
      </c>
      <c r="I829">
        <v>114272.32000000001</v>
      </c>
    </row>
    <row r="830" spans="1:9" x14ac:dyDescent="0.15">
      <c r="A830">
        <v>410609549</v>
      </c>
      <c r="B830" t="s">
        <v>36</v>
      </c>
      <c r="C830" t="s">
        <v>19</v>
      </c>
      <c r="D830">
        <v>39294</v>
      </c>
      <c r="E830">
        <v>362000</v>
      </c>
      <c r="F830">
        <v>343900</v>
      </c>
      <c r="G830" t="s">
        <v>20</v>
      </c>
      <c r="H830">
        <v>2691.43</v>
      </c>
      <c r="I830">
        <v>343656.71</v>
      </c>
    </row>
    <row r="831" spans="1:9" x14ac:dyDescent="0.15">
      <c r="A831">
        <v>410609580</v>
      </c>
      <c r="B831" t="s">
        <v>37</v>
      </c>
      <c r="C831" t="s">
        <v>18</v>
      </c>
      <c r="D831">
        <v>39287</v>
      </c>
      <c r="E831">
        <v>107000</v>
      </c>
      <c r="F831">
        <v>93000</v>
      </c>
      <c r="G831" t="s">
        <v>17</v>
      </c>
      <c r="H831">
        <v>841.12</v>
      </c>
      <c r="I831">
        <v>92832.9</v>
      </c>
    </row>
    <row r="832" spans="1:9" x14ac:dyDescent="0.15">
      <c r="A832">
        <v>410609861</v>
      </c>
      <c r="B832" t="s">
        <v>36</v>
      </c>
      <c r="C832" t="s">
        <v>18</v>
      </c>
      <c r="D832">
        <v>39273</v>
      </c>
      <c r="E832">
        <v>444700</v>
      </c>
      <c r="F832">
        <v>355760</v>
      </c>
      <c r="G832" t="s">
        <v>15</v>
      </c>
      <c r="H832">
        <v>2608.06</v>
      </c>
      <c r="I832">
        <v>354944.31</v>
      </c>
    </row>
    <row r="833" spans="1:9" x14ac:dyDescent="0.15">
      <c r="A833">
        <v>410610174</v>
      </c>
      <c r="B833" t="s">
        <v>35</v>
      </c>
      <c r="C833" t="s">
        <v>16</v>
      </c>
      <c r="D833">
        <v>39293</v>
      </c>
      <c r="E833">
        <v>124000</v>
      </c>
      <c r="F833">
        <v>100000</v>
      </c>
      <c r="G833" t="s">
        <v>17</v>
      </c>
      <c r="H833">
        <v>803.91</v>
      </c>
      <c r="I833">
        <v>99432.92</v>
      </c>
    </row>
    <row r="834" spans="1:9" x14ac:dyDescent="0.15">
      <c r="A834">
        <v>410610463</v>
      </c>
      <c r="B834" t="s">
        <v>37</v>
      </c>
      <c r="C834" t="s">
        <v>18</v>
      </c>
      <c r="D834">
        <v>39290</v>
      </c>
      <c r="E834">
        <v>250000</v>
      </c>
      <c r="F834">
        <v>237500</v>
      </c>
      <c r="G834" t="s">
        <v>15</v>
      </c>
      <c r="H834">
        <v>1909.28</v>
      </c>
      <c r="I834">
        <v>236294.25</v>
      </c>
    </row>
    <row r="835" spans="1:9" x14ac:dyDescent="0.15">
      <c r="A835">
        <v>410611313</v>
      </c>
      <c r="B835" t="s">
        <v>36</v>
      </c>
      <c r="C835" t="s">
        <v>18</v>
      </c>
      <c r="D835">
        <v>39290</v>
      </c>
      <c r="E835">
        <v>309000</v>
      </c>
      <c r="F835">
        <v>278100</v>
      </c>
      <c r="G835" t="s">
        <v>17</v>
      </c>
      <c r="H835">
        <v>1965.04</v>
      </c>
      <c r="I835">
        <v>277394.55</v>
      </c>
    </row>
    <row r="836" spans="1:9" x14ac:dyDescent="0.15">
      <c r="A836">
        <v>410612378</v>
      </c>
      <c r="B836" t="s">
        <v>35</v>
      </c>
      <c r="C836" t="s">
        <v>16</v>
      </c>
      <c r="D836">
        <v>39281</v>
      </c>
      <c r="E836">
        <v>119000</v>
      </c>
      <c r="F836">
        <v>106000</v>
      </c>
      <c r="G836" t="s">
        <v>17</v>
      </c>
      <c r="H836">
        <v>748.99</v>
      </c>
      <c r="I836">
        <v>105731.13</v>
      </c>
    </row>
    <row r="837" spans="1:9" x14ac:dyDescent="0.15">
      <c r="A837">
        <v>410612469</v>
      </c>
      <c r="B837" t="s">
        <v>37</v>
      </c>
      <c r="C837" t="s">
        <v>18</v>
      </c>
      <c r="D837">
        <v>39293</v>
      </c>
      <c r="E837">
        <v>155000</v>
      </c>
      <c r="F837">
        <v>130000</v>
      </c>
      <c r="G837" t="s">
        <v>17</v>
      </c>
      <c r="H837">
        <v>918.92</v>
      </c>
      <c r="I837">
        <v>129852.05</v>
      </c>
    </row>
    <row r="838" spans="1:9" x14ac:dyDescent="0.15">
      <c r="A838">
        <v>410614333</v>
      </c>
      <c r="B838" t="s">
        <v>38</v>
      </c>
      <c r="C838" t="s">
        <v>19</v>
      </c>
      <c r="D838">
        <v>39293</v>
      </c>
      <c r="E838">
        <v>88000</v>
      </c>
      <c r="F838">
        <v>79200</v>
      </c>
      <c r="G838" t="s">
        <v>17</v>
      </c>
      <c r="H838">
        <v>693.87</v>
      </c>
      <c r="I838">
        <v>78872.539999999994</v>
      </c>
    </row>
    <row r="839" spans="1:9" x14ac:dyDescent="0.15">
      <c r="A839">
        <v>410615322</v>
      </c>
      <c r="B839" t="s">
        <v>36</v>
      </c>
      <c r="C839" t="s">
        <v>19</v>
      </c>
      <c r="D839">
        <v>39294</v>
      </c>
      <c r="E839">
        <v>198000</v>
      </c>
      <c r="F839">
        <v>188100</v>
      </c>
      <c r="G839" t="s">
        <v>20</v>
      </c>
      <c r="H839">
        <v>1248.24</v>
      </c>
      <c r="I839">
        <v>187810.87</v>
      </c>
    </row>
    <row r="840" spans="1:9" x14ac:dyDescent="0.15">
      <c r="A840">
        <v>410616460</v>
      </c>
      <c r="B840" t="s">
        <v>35</v>
      </c>
      <c r="C840" t="s">
        <v>16</v>
      </c>
      <c r="D840">
        <v>39281</v>
      </c>
      <c r="E840">
        <v>175000</v>
      </c>
      <c r="F840">
        <v>148750</v>
      </c>
      <c r="G840" t="s">
        <v>17</v>
      </c>
      <c r="H840">
        <v>1304.29</v>
      </c>
      <c r="I840">
        <v>147535.21</v>
      </c>
    </row>
    <row r="841" spans="1:9" x14ac:dyDescent="0.15">
      <c r="A841">
        <v>410617294</v>
      </c>
      <c r="B841" t="s">
        <v>38</v>
      </c>
      <c r="C841" t="s">
        <v>19</v>
      </c>
      <c r="D841">
        <v>39290</v>
      </c>
      <c r="E841">
        <v>95000</v>
      </c>
      <c r="F841">
        <v>83800</v>
      </c>
      <c r="G841" t="s">
        <v>17</v>
      </c>
      <c r="H841">
        <v>732.32</v>
      </c>
      <c r="I841">
        <v>83443.350000000006</v>
      </c>
    </row>
    <row r="842" spans="1:9" x14ac:dyDescent="0.15">
      <c r="A842">
        <v>410617534</v>
      </c>
      <c r="B842" t="s">
        <v>36</v>
      </c>
      <c r="C842" t="s">
        <v>19</v>
      </c>
      <c r="D842">
        <v>39283</v>
      </c>
      <c r="E842">
        <v>268000</v>
      </c>
      <c r="F842">
        <v>120000</v>
      </c>
      <c r="G842" t="s">
        <v>17</v>
      </c>
      <c r="H842">
        <v>757.7</v>
      </c>
      <c r="I842">
        <v>118397.02</v>
      </c>
    </row>
    <row r="843" spans="1:9" x14ac:dyDescent="0.15">
      <c r="A843">
        <v>410618201</v>
      </c>
      <c r="B843" t="s">
        <v>35</v>
      </c>
      <c r="C843" t="s">
        <v>16</v>
      </c>
      <c r="D843">
        <v>39307</v>
      </c>
      <c r="E843">
        <v>89000</v>
      </c>
      <c r="F843">
        <v>75650</v>
      </c>
      <c r="G843" t="s">
        <v>17</v>
      </c>
      <c r="H843">
        <v>692.01</v>
      </c>
      <c r="I843">
        <v>75433.88</v>
      </c>
    </row>
    <row r="844" spans="1:9" x14ac:dyDescent="0.15">
      <c r="A844">
        <v>410618599</v>
      </c>
      <c r="B844" t="s">
        <v>36</v>
      </c>
      <c r="C844" t="s">
        <v>19</v>
      </c>
      <c r="D844">
        <v>39293</v>
      </c>
      <c r="E844">
        <v>204000</v>
      </c>
      <c r="F844">
        <v>183600</v>
      </c>
      <c r="G844" t="s">
        <v>15</v>
      </c>
      <c r="H844">
        <v>1414.81</v>
      </c>
      <c r="I844">
        <v>183235.15</v>
      </c>
    </row>
    <row r="845" spans="1:9" x14ac:dyDescent="0.15">
      <c r="A845">
        <v>410618623</v>
      </c>
      <c r="B845" t="s">
        <v>35</v>
      </c>
      <c r="C845" t="s">
        <v>16</v>
      </c>
      <c r="D845">
        <v>39293</v>
      </c>
      <c r="E845">
        <v>98000</v>
      </c>
      <c r="F845">
        <v>88200</v>
      </c>
      <c r="G845" t="s">
        <v>17</v>
      </c>
      <c r="H845">
        <v>716.04</v>
      </c>
      <c r="I845">
        <v>87760.13</v>
      </c>
    </row>
    <row r="846" spans="1:9" x14ac:dyDescent="0.15">
      <c r="A846">
        <v>410621270</v>
      </c>
      <c r="B846" t="s">
        <v>36</v>
      </c>
      <c r="C846" t="s">
        <v>18</v>
      </c>
      <c r="D846">
        <v>39342</v>
      </c>
      <c r="E846">
        <v>95000</v>
      </c>
      <c r="F846">
        <v>68000</v>
      </c>
      <c r="G846" t="s">
        <v>20</v>
      </c>
      <c r="H846">
        <v>532.19000000000005</v>
      </c>
      <c r="I846">
        <v>67962.820000000007</v>
      </c>
    </row>
    <row r="847" spans="1:9" x14ac:dyDescent="0.15">
      <c r="A847">
        <v>410624183</v>
      </c>
      <c r="B847" t="s">
        <v>37</v>
      </c>
      <c r="C847" t="s">
        <v>18</v>
      </c>
      <c r="D847">
        <v>39293</v>
      </c>
      <c r="E847">
        <v>385000</v>
      </c>
      <c r="F847">
        <v>289000</v>
      </c>
      <c r="G847" t="s">
        <v>20</v>
      </c>
      <c r="H847">
        <v>2304.6</v>
      </c>
      <c r="I847">
        <v>287505.56</v>
      </c>
    </row>
    <row r="848" spans="1:9" x14ac:dyDescent="0.15">
      <c r="A848">
        <v>410624407</v>
      </c>
      <c r="B848" t="s">
        <v>36</v>
      </c>
      <c r="C848" t="s">
        <v>18</v>
      </c>
      <c r="D848">
        <v>39279</v>
      </c>
      <c r="E848">
        <v>255000</v>
      </c>
      <c r="F848">
        <v>238000</v>
      </c>
      <c r="G848" t="s">
        <v>17</v>
      </c>
      <c r="H848">
        <v>1646.25</v>
      </c>
      <c r="I848">
        <v>236143.45</v>
      </c>
    </row>
    <row r="849" spans="1:9" x14ac:dyDescent="0.15">
      <c r="A849">
        <v>410624928</v>
      </c>
      <c r="B849" t="s">
        <v>37</v>
      </c>
      <c r="C849" t="s">
        <v>19</v>
      </c>
      <c r="D849">
        <v>39282</v>
      </c>
      <c r="E849">
        <v>270000</v>
      </c>
      <c r="F849">
        <v>256500</v>
      </c>
      <c r="G849" t="s">
        <v>20</v>
      </c>
      <c r="H849">
        <v>2241.5</v>
      </c>
      <c r="I849">
        <v>255432.91</v>
      </c>
    </row>
    <row r="850" spans="1:9" x14ac:dyDescent="0.15">
      <c r="A850">
        <v>410625628</v>
      </c>
      <c r="B850" t="s">
        <v>36</v>
      </c>
      <c r="C850" t="s">
        <v>18</v>
      </c>
      <c r="D850">
        <v>39281</v>
      </c>
      <c r="E850">
        <v>405500</v>
      </c>
      <c r="F850">
        <v>283500</v>
      </c>
      <c r="G850" t="s">
        <v>17</v>
      </c>
      <c r="H850">
        <v>1960.97</v>
      </c>
      <c r="I850">
        <v>281515.88</v>
      </c>
    </row>
    <row r="851" spans="1:9" x14ac:dyDescent="0.15">
      <c r="A851">
        <v>410626279</v>
      </c>
      <c r="B851" t="s">
        <v>35</v>
      </c>
      <c r="C851" t="s">
        <v>16</v>
      </c>
      <c r="D851">
        <v>39283</v>
      </c>
      <c r="E851">
        <v>122000</v>
      </c>
      <c r="F851">
        <v>101260</v>
      </c>
      <c r="G851" t="s">
        <v>17</v>
      </c>
      <c r="H851">
        <v>694.21</v>
      </c>
      <c r="I851">
        <v>100536.14</v>
      </c>
    </row>
    <row r="852" spans="1:9" x14ac:dyDescent="0.15">
      <c r="A852">
        <v>410626857</v>
      </c>
      <c r="B852" t="s">
        <v>36</v>
      </c>
      <c r="C852" t="s">
        <v>18</v>
      </c>
      <c r="D852">
        <v>39280</v>
      </c>
      <c r="E852">
        <v>236000</v>
      </c>
      <c r="F852">
        <v>200600</v>
      </c>
      <c r="G852" t="s">
        <v>20</v>
      </c>
      <c r="H852">
        <v>1547.2</v>
      </c>
      <c r="I852">
        <v>200200.46</v>
      </c>
    </row>
    <row r="853" spans="1:9" x14ac:dyDescent="0.15">
      <c r="A853">
        <v>410630040</v>
      </c>
      <c r="B853" t="s">
        <v>36</v>
      </c>
      <c r="C853" t="s">
        <v>19</v>
      </c>
      <c r="D853">
        <v>39281</v>
      </c>
      <c r="E853">
        <v>145000</v>
      </c>
      <c r="F853">
        <v>130500</v>
      </c>
      <c r="G853" t="s">
        <v>17</v>
      </c>
      <c r="H853">
        <v>1031.31</v>
      </c>
      <c r="I853">
        <v>129806.31</v>
      </c>
    </row>
    <row r="854" spans="1:9" x14ac:dyDescent="0.15">
      <c r="A854">
        <v>410631352</v>
      </c>
      <c r="B854" t="s">
        <v>36</v>
      </c>
      <c r="C854" t="s">
        <v>16</v>
      </c>
      <c r="D854">
        <v>39297</v>
      </c>
      <c r="E854">
        <v>180000</v>
      </c>
      <c r="F854">
        <v>153000</v>
      </c>
      <c r="G854" t="s">
        <v>17</v>
      </c>
      <c r="H854">
        <v>1418.33</v>
      </c>
      <c r="I854">
        <v>148247.04999999999</v>
      </c>
    </row>
    <row r="855" spans="1:9" x14ac:dyDescent="0.15">
      <c r="A855">
        <v>410633309</v>
      </c>
      <c r="B855" t="s">
        <v>36</v>
      </c>
      <c r="C855" t="s">
        <v>19</v>
      </c>
      <c r="D855">
        <v>39281</v>
      </c>
      <c r="E855">
        <v>199500</v>
      </c>
      <c r="F855">
        <v>70000</v>
      </c>
      <c r="G855" t="s">
        <v>17</v>
      </c>
      <c r="H855">
        <v>560.72</v>
      </c>
      <c r="I855">
        <v>69600.399999999994</v>
      </c>
    </row>
    <row r="856" spans="1:9" x14ac:dyDescent="0.15">
      <c r="A856">
        <v>410633358</v>
      </c>
      <c r="B856" t="s">
        <v>36</v>
      </c>
      <c r="C856" t="s">
        <v>18</v>
      </c>
      <c r="D856">
        <v>39281</v>
      </c>
      <c r="E856">
        <v>220000</v>
      </c>
      <c r="F856">
        <v>187000</v>
      </c>
      <c r="G856" t="s">
        <v>17</v>
      </c>
      <c r="H856">
        <v>1418.04</v>
      </c>
      <c r="I856">
        <v>185918.23</v>
      </c>
    </row>
    <row r="857" spans="1:9" x14ac:dyDescent="0.15">
      <c r="A857">
        <v>410634356</v>
      </c>
      <c r="B857" t="s">
        <v>37</v>
      </c>
      <c r="C857" t="s">
        <v>19</v>
      </c>
      <c r="D857">
        <v>39293</v>
      </c>
      <c r="E857">
        <v>185000</v>
      </c>
      <c r="F857">
        <v>157250</v>
      </c>
      <c r="G857" t="s">
        <v>17</v>
      </c>
      <c r="H857">
        <v>1152.75</v>
      </c>
      <c r="I857">
        <v>156272.73000000001</v>
      </c>
    </row>
    <row r="858" spans="1:9" x14ac:dyDescent="0.15">
      <c r="A858">
        <v>410636971</v>
      </c>
      <c r="B858" t="s">
        <v>36</v>
      </c>
      <c r="C858" t="s">
        <v>19</v>
      </c>
      <c r="D858">
        <v>39279</v>
      </c>
      <c r="E858">
        <v>250000</v>
      </c>
      <c r="F858">
        <v>225000</v>
      </c>
      <c r="G858" t="s">
        <v>17</v>
      </c>
      <c r="H858">
        <v>1434.38</v>
      </c>
      <c r="I858">
        <v>225000</v>
      </c>
    </row>
    <row r="859" spans="1:9" x14ac:dyDescent="0.15">
      <c r="A859">
        <v>410637268</v>
      </c>
      <c r="B859" t="s">
        <v>36</v>
      </c>
      <c r="C859" t="s">
        <v>19</v>
      </c>
      <c r="D859">
        <v>39288</v>
      </c>
      <c r="E859">
        <v>78000</v>
      </c>
      <c r="F859">
        <v>70200</v>
      </c>
      <c r="G859" t="s">
        <v>15</v>
      </c>
      <c r="H859">
        <v>562.33000000000004</v>
      </c>
      <c r="I859">
        <v>69799.179999999993</v>
      </c>
    </row>
    <row r="860" spans="1:9" x14ac:dyDescent="0.15">
      <c r="A860">
        <v>410637334</v>
      </c>
      <c r="B860" t="s">
        <v>35</v>
      </c>
      <c r="C860" t="s">
        <v>16</v>
      </c>
      <c r="D860">
        <v>39290</v>
      </c>
      <c r="E860">
        <v>212000</v>
      </c>
      <c r="F860">
        <v>169600</v>
      </c>
      <c r="G860" t="s">
        <v>17</v>
      </c>
      <c r="H860">
        <v>1346.38</v>
      </c>
      <c r="I860">
        <v>168705.59</v>
      </c>
    </row>
    <row r="861" spans="1:9" x14ac:dyDescent="0.15">
      <c r="A861">
        <v>410639090</v>
      </c>
      <c r="B861" t="s">
        <v>36</v>
      </c>
      <c r="C861" t="s">
        <v>19</v>
      </c>
      <c r="D861">
        <v>39288</v>
      </c>
      <c r="E861">
        <v>190000</v>
      </c>
      <c r="F861">
        <v>171000</v>
      </c>
      <c r="G861" t="s">
        <v>17</v>
      </c>
      <c r="H861">
        <v>1488.03</v>
      </c>
      <c r="I861">
        <v>170244.78</v>
      </c>
    </row>
    <row r="862" spans="1:9" x14ac:dyDescent="0.15">
      <c r="A862">
        <v>410640585</v>
      </c>
      <c r="B862" t="s">
        <v>37</v>
      </c>
      <c r="C862" t="s">
        <v>19</v>
      </c>
      <c r="D862">
        <v>39294</v>
      </c>
      <c r="E862">
        <v>232000</v>
      </c>
      <c r="F862">
        <v>180000</v>
      </c>
      <c r="G862" t="s">
        <v>20</v>
      </c>
      <c r="H862">
        <v>1461.3</v>
      </c>
      <c r="I862">
        <v>178747.49</v>
      </c>
    </row>
    <row r="863" spans="1:9" x14ac:dyDescent="0.15">
      <c r="A863">
        <v>410641062</v>
      </c>
      <c r="B863" t="s">
        <v>36</v>
      </c>
      <c r="C863" t="s">
        <v>19</v>
      </c>
      <c r="D863">
        <v>39280</v>
      </c>
      <c r="E863">
        <v>230000</v>
      </c>
      <c r="F863">
        <v>184000</v>
      </c>
      <c r="G863" t="s">
        <v>15</v>
      </c>
      <c r="H863">
        <v>1264.33</v>
      </c>
      <c r="I863">
        <v>183703.16</v>
      </c>
    </row>
    <row r="864" spans="1:9" x14ac:dyDescent="0.15">
      <c r="A864">
        <v>410645097</v>
      </c>
      <c r="B864" t="s">
        <v>36</v>
      </c>
      <c r="C864" t="s">
        <v>18</v>
      </c>
      <c r="D864">
        <v>39286</v>
      </c>
      <c r="E864">
        <v>194000</v>
      </c>
      <c r="F864">
        <v>174500</v>
      </c>
      <c r="G864" t="s">
        <v>20</v>
      </c>
      <c r="H864">
        <v>1266</v>
      </c>
      <c r="I864">
        <v>174088.1</v>
      </c>
    </row>
    <row r="865" spans="1:9" x14ac:dyDescent="0.15">
      <c r="A865">
        <v>410647143</v>
      </c>
      <c r="B865" t="s">
        <v>36</v>
      </c>
      <c r="C865" t="s">
        <v>19</v>
      </c>
      <c r="D865">
        <v>39293</v>
      </c>
      <c r="E865">
        <v>177000</v>
      </c>
      <c r="F865">
        <v>122000</v>
      </c>
      <c r="G865" t="s">
        <v>17</v>
      </c>
      <c r="H865">
        <v>789.36</v>
      </c>
      <c r="I865">
        <v>121608.65</v>
      </c>
    </row>
    <row r="866" spans="1:9" x14ac:dyDescent="0.15">
      <c r="A866">
        <v>410648075</v>
      </c>
      <c r="B866" t="s">
        <v>35</v>
      </c>
      <c r="C866" t="s">
        <v>16</v>
      </c>
      <c r="D866">
        <v>39295</v>
      </c>
      <c r="E866">
        <v>206000</v>
      </c>
      <c r="F866">
        <v>175100</v>
      </c>
      <c r="G866" t="s">
        <v>17</v>
      </c>
      <c r="H866">
        <v>1491.54</v>
      </c>
      <c r="I866">
        <v>174297.55</v>
      </c>
    </row>
    <row r="867" spans="1:9" x14ac:dyDescent="0.15">
      <c r="A867">
        <v>410648547</v>
      </c>
      <c r="B867" t="s">
        <v>35</v>
      </c>
      <c r="C867" t="s">
        <v>16</v>
      </c>
      <c r="D867">
        <v>39294</v>
      </c>
      <c r="E867">
        <v>58000</v>
      </c>
      <c r="F867">
        <v>50175</v>
      </c>
      <c r="G867" t="s">
        <v>15</v>
      </c>
      <c r="H867">
        <v>394.73</v>
      </c>
      <c r="I867">
        <v>49907.45</v>
      </c>
    </row>
    <row r="868" spans="1:9" x14ac:dyDescent="0.15">
      <c r="A868">
        <v>410649073</v>
      </c>
      <c r="B868" t="s">
        <v>36</v>
      </c>
      <c r="C868" t="s">
        <v>16</v>
      </c>
      <c r="D868">
        <v>39300</v>
      </c>
      <c r="E868">
        <v>229000</v>
      </c>
      <c r="F868">
        <v>217550</v>
      </c>
      <c r="G868" t="s">
        <v>17</v>
      </c>
      <c r="H868">
        <v>1853.14</v>
      </c>
      <c r="I868">
        <v>216696.87</v>
      </c>
    </row>
    <row r="869" spans="1:9" x14ac:dyDescent="0.15">
      <c r="A869">
        <v>410649792</v>
      </c>
      <c r="B869" t="s">
        <v>36</v>
      </c>
      <c r="C869" t="s">
        <v>18</v>
      </c>
      <c r="D869">
        <v>39293</v>
      </c>
      <c r="E869">
        <v>755000</v>
      </c>
      <c r="F869">
        <v>543600</v>
      </c>
      <c r="G869" t="s">
        <v>21</v>
      </c>
      <c r="H869">
        <v>3961.03</v>
      </c>
      <c r="I869">
        <v>543100.68000000005</v>
      </c>
    </row>
    <row r="870" spans="1:9" x14ac:dyDescent="0.15">
      <c r="A870">
        <v>410650881</v>
      </c>
      <c r="B870" t="s">
        <v>36</v>
      </c>
      <c r="C870" t="s">
        <v>18</v>
      </c>
      <c r="D870">
        <v>39294</v>
      </c>
      <c r="E870">
        <v>226000</v>
      </c>
      <c r="F870">
        <v>180000</v>
      </c>
      <c r="G870" t="s">
        <v>17</v>
      </c>
      <c r="H870">
        <v>1616.89</v>
      </c>
      <c r="I870">
        <v>174701.3</v>
      </c>
    </row>
    <row r="871" spans="1:9" x14ac:dyDescent="0.15">
      <c r="A871">
        <v>410652275</v>
      </c>
      <c r="B871" t="s">
        <v>36</v>
      </c>
      <c r="C871" t="s">
        <v>19</v>
      </c>
      <c r="D871">
        <v>39290</v>
      </c>
      <c r="E871">
        <v>169000</v>
      </c>
      <c r="F871">
        <v>126750</v>
      </c>
      <c r="G871" t="s">
        <v>17</v>
      </c>
      <c r="H871">
        <v>890.84</v>
      </c>
      <c r="I871">
        <v>126423.78</v>
      </c>
    </row>
    <row r="872" spans="1:9" x14ac:dyDescent="0.15">
      <c r="A872">
        <v>410653497</v>
      </c>
      <c r="B872" t="s">
        <v>36</v>
      </c>
      <c r="C872" t="s">
        <v>16</v>
      </c>
      <c r="D872">
        <v>39300</v>
      </c>
      <c r="E872">
        <v>208000</v>
      </c>
      <c r="F872">
        <v>184000</v>
      </c>
      <c r="G872" t="s">
        <v>15</v>
      </c>
      <c r="H872">
        <v>1520.4</v>
      </c>
      <c r="I872">
        <v>183150.57</v>
      </c>
    </row>
    <row r="873" spans="1:9" x14ac:dyDescent="0.15">
      <c r="A873">
        <v>410654289</v>
      </c>
      <c r="B873" t="s">
        <v>38</v>
      </c>
      <c r="C873" t="s">
        <v>18</v>
      </c>
      <c r="D873">
        <v>39294</v>
      </c>
      <c r="E873">
        <v>118000</v>
      </c>
      <c r="F873">
        <v>106200</v>
      </c>
      <c r="G873" t="s">
        <v>17</v>
      </c>
      <c r="H873">
        <v>896.87</v>
      </c>
      <c r="I873">
        <v>105689.48</v>
      </c>
    </row>
    <row r="874" spans="1:9" x14ac:dyDescent="0.15">
      <c r="A874">
        <v>410654768</v>
      </c>
      <c r="B874" t="s">
        <v>36</v>
      </c>
      <c r="C874" t="s">
        <v>19</v>
      </c>
      <c r="D874">
        <v>39293</v>
      </c>
      <c r="E874">
        <v>250000</v>
      </c>
      <c r="F874">
        <v>140000</v>
      </c>
      <c r="G874" t="s">
        <v>17</v>
      </c>
      <c r="H874">
        <v>921.67</v>
      </c>
      <c r="I874">
        <v>139941.44</v>
      </c>
    </row>
    <row r="875" spans="1:9" x14ac:dyDescent="0.15">
      <c r="A875">
        <v>410657761</v>
      </c>
      <c r="B875" t="s">
        <v>35</v>
      </c>
      <c r="C875" t="s">
        <v>16</v>
      </c>
      <c r="D875">
        <v>39322</v>
      </c>
      <c r="E875">
        <v>130000</v>
      </c>
      <c r="F875">
        <v>117000</v>
      </c>
      <c r="G875" t="s">
        <v>20</v>
      </c>
      <c r="H875">
        <v>1134.54</v>
      </c>
      <c r="I875">
        <v>116978.25</v>
      </c>
    </row>
    <row r="876" spans="1:9" x14ac:dyDescent="0.15">
      <c r="A876">
        <v>410657977</v>
      </c>
      <c r="B876" t="s">
        <v>36</v>
      </c>
      <c r="C876" t="s">
        <v>16</v>
      </c>
      <c r="D876">
        <v>39294</v>
      </c>
      <c r="E876">
        <v>170000</v>
      </c>
      <c r="F876">
        <v>127500</v>
      </c>
      <c r="G876" t="s">
        <v>17</v>
      </c>
      <c r="H876">
        <v>926.68</v>
      </c>
      <c r="I876">
        <v>126693.23</v>
      </c>
    </row>
    <row r="877" spans="1:9" x14ac:dyDescent="0.15">
      <c r="A877">
        <v>410658157</v>
      </c>
      <c r="B877" t="s">
        <v>36</v>
      </c>
      <c r="C877" t="s">
        <v>19</v>
      </c>
      <c r="D877">
        <v>39290</v>
      </c>
      <c r="E877">
        <v>160000</v>
      </c>
      <c r="F877">
        <v>112000</v>
      </c>
      <c r="G877" t="s">
        <v>20</v>
      </c>
      <c r="H877">
        <v>761.16</v>
      </c>
      <c r="I877">
        <v>111642.8</v>
      </c>
    </row>
    <row r="878" spans="1:9" x14ac:dyDescent="0.15">
      <c r="A878">
        <v>410660286</v>
      </c>
      <c r="B878" t="s">
        <v>38</v>
      </c>
      <c r="C878" t="s">
        <v>19</v>
      </c>
      <c r="D878">
        <v>39294</v>
      </c>
      <c r="E878">
        <v>135000</v>
      </c>
      <c r="F878">
        <v>121500</v>
      </c>
      <c r="G878" t="s">
        <v>20</v>
      </c>
      <c r="H878">
        <v>942.86</v>
      </c>
      <c r="I878">
        <v>120823.4</v>
      </c>
    </row>
    <row r="879" spans="1:9" x14ac:dyDescent="0.15">
      <c r="A879">
        <v>410660484</v>
      </c>
      <c r="B879" t="s">
        <v>35</v>
      </c>
      <c r="C879" t="s">
        <v>16</v>
      </c>
      <c r="D879">
        <v>39294</v>
      </c>
      <c r="E879">
        <v>175000</v>
      </c>
      <c r="F879">
        <v>140000</v>
      </c>
      <c r="G879" t="s">
        <v>17</v>
      </c>
      <c r="H879">
        <v>988.51</v>
      </c>
      <c r="I879">
        <v>139059.82999999999</v>
      </c>
    </row>
    <row r="880" spans="1:9" x14ac:dyDescent="0.15">
      <c r="A880">
        <v>410664924</v>
      </c>
      <c r="B880" t="s">
        <v>36</v>
      </c>
      <c r="C880" t="s">
        <v>18</v>
      </c>
      <c r="D880">
        <v>39300</v>
      </c>
      <c r="E880">
        <v>198000</v>
      </c>
      <c r="F880">
        <v>148500</v>
      </c>
      <c r="G880" t="s">
        <v>17</v>
      </c>
      <c r="H880">
        <v>1210.93</v>
      </c>
      <c r="I880">
        <v>147936.93</v>
      </c>
    </row>
    <row r="881" spans="1:9" x14ac:dyDescent="0.15">
      <c r="A881">
        <v>410665202</v>
      </c>
      <c r="B881" t="s">
        <v>36</v>
      </c>
      <c r="C881" t="s">
        <v>19</v>
      </c>
      <c r="D881">
        <v>39290</v>
      </c>
      <c r="E881">
        <v>240000</v>
      </c>
      <c r="F881">
        <v>216000</v>
      </c>
      <c r="G881" t="s">
        <v>20</v>
      </c>
      <c r="H881">
        <v>1629.88</v>
      </c>
      <c r="I881">
        <v>215904.18</v>
      </c>
    </row>
    <row r="882" spans="1:9" x14ac:dyDescent="0.15">
      <c r="A882">
        <v>410666515</v>
      </c>
      <c r="B882" t="s">
        <v>35</v>
      </c>
      <c r="C882" t="s">
        <v>16</v>
      </c>
      <c r="D882">
        <v>39322</v>
      </c>
      <c r="E882">
        <v>95000</v>
      </c>
      <c r="F882">
        <v>76000</v>
      </c>
      <c r="G882" t="s">
        <v>17</v>
      </c>
      <c r="H882">
        <v>712.31</v>
      </c>
      <c r="I882">
        <v>75340</v>
      </c>
    </row>
    <row r="883" spans="1:9" x14ac:dyDescent="0.15">
      <c r="A883">
        <v>410667067</v>
      </c>
      <c r="B883" t="s">
        <v>36</v>
      </c>
      <c r="C883" t="s">
        <v>19</v>
      </c>
      <c r="D883">
        <v>39286</v>
      </c>
      <c r="E883">
        <v>198000</v>
      </c>
      <c r="F883">
        <v>168300</v>
      </c>
      <c r="G883" t="s">
        <v>17</v>
      </c>
      <c r="H883">
        <v>1199.92</v>
      </c>
      <c r="I883">
        <v>167064.82</v>
      </c>
    </row>
    <row r="884" spans="1:9" x14ac:dyDescent="0.15">
      <c r="A884">
        <v>410667554</v>
      </c>
      <c r="B884" t="s">
        <v>36</v>
      </c>
      <c r="C884" t="s">
        <v>19</v>
      </c>
      <c r="D884">
        <v>39286</v>
      </c>
      <c r="E884">
        <v>163000</v>
      </c>
      <c r="F884">
        <v>154000</v>
      </c>
      <c r="G884" t="s">
        <v>17</v>
      </c>
      <c r="H884">
        <v>1014.25</v>
      </c>
      <c r="I884">
        <v>152814.25</v>
      </c>
    </row>
    <row r="885" spans="1:9" x14ac:dyDescent="0.15">
      <c r="A885">
        <v>410668065</v>
      </c>
      <c r="B885" t="s">
        <v>37</v>
      </c>
      <c r="C885" t="s">
        <v>16</v>
      </c>
      <c r="D885">
        <v>39297</v>
      </c>
      <c r="E885">
        <v>140000</v>
      </c>
      <c r="F885">
        <v>133000</v>
      </c>
      <c r="G885" t="s">
        <v>17</v>
      </c>
      <c r="H885">
        <v>1216.6099999999999</v>
      </c>
      <c r="I885">
        <v>132507.26999999999</v>
      </c>
    </row>
    <row r="886" spans="1:9" x14ac:dyDescent="0.15">
      <c r="A886">
        <v>410669014</v>
      </c>
      <c r="B886" t="s">
        <v>38</v>
      </c>
      <c r="C886" t="s">
        <v>16</v>
      </c>
      <c r="D886">
        <v>39309</v>
      </c>
      <c r="E886">
        <v>155000</v>
      </c>
      <c r="F886">
        <v>124000</v>
      </c>
      <c r="G886" t="s">
        <v>17</v>
      </c>
      <c r="H886">
        <v>845.9</v>
      </c>
      <c r="I886">
        <v>123108.06</v>
      </c>
    </row>
    <row r="887" spans="1:9" x14ac:dyDescent="0.15">
      <c r="A887">
        <v>410669220</v>
      </c>
      <c r="B887" t="s">
        <v>35</v>
      </c>
      <c r="C887" t="s">
        <v>16</v>
      </c>
      <c r="D887">
        <v>39295</v>
      </c>
      <c r="E887">
        <v>106000</v>
      </c>
      <c r="F887">
        <v>100700</v>
      </c>
      <c r="G887" t="s">
        <v>17</v>
      </c>
      <c r="H887">
        <v>909.87</v>
      </c>
      <c r="I887">
        <v>100314.91</v>
      </c>
    </row>
    <row r="888" spans="1:9" x14ac:dyDescent="0.15">
      <c r="A888">
        <v>410670467</v>
      </c>
      <c r="B888" t="s">
        <v>35</v>
      </c>
      <c r="C888" t="s">
        <v>16</v>
      </c>
      <c r="D888">
        <v>39286</v>
      </c>
      <c r="E888">
        <v>257000</v>
      </c>
      <c r="F888">
        <v>231300</v>
      </c>
      <c r="G888" t="s">
        <v>17</v>
      </c>
      <c r="H888">
        <v>1500.21</v>
      </c>
      <c r="I888">
        <v>229675.08</v>
      </c>
    </row>
    <row r="889" spans="1:9" x14ac:dyDescent="0.15">
      <c r="A889">
        <v>410671127</v>
      </c>
      <c r="B889" t="s">
        <v>37</v>
      </c>
      <c r="C889" t="s">
        <v>19</v>
      </c>
      <c r="D889">
        <v>39293</v>
      </c>
      <c r="E889">
        <v>148000</v>
      </c>
      <c r="F889">
        <v>140600</v>
      </c>
      <c r="G889" t="s">
        <v>17</v>
      </c>
      <c r="H889">
        <v>1012.14</v>
      </c>
      <c r="I889">
        <v>139682.45000000001</v>
      </c>
    </row>
    <row r="890" spans="1:9" x14ac:dyDescent="0.15">
      <c r="A890">
        <v>410671366</v>
      </c>
      <c r="B890" t="s">
        <v>36</v>
      </c>
      <c r="C890" t="s">
        <v>19</v>
      </c>
      <c r="D890">
        <v>39289</v>
      </c>
      <c r="E890">
        <v>166500</v>
      </c>
      <c r="F890">
        <v>149850</v>
      </c>
      <c r="G890" t="s">
        <v>17</v>
      </c>
      <c r="H890">
        <v>1097.98</v>
      </c>
      <c r="I890">
        <v>149505.42000000001</v>
      </c>
    </row>
    <row r="891" spans="1:9" x14ac:dyDescent="0.15">
      <c r="A891">
        <v>410672430</v>
      </c>
      <c r="B891" t="s">
        <v>36</v>
      </c>
      <c r="C891" t="s">
        <v>19</v>
      </c>
      <c r="D891">
        <v>39293</v>
      </c>
      <c r="E891">
        <v>134000</v>
      </c>
      <c r="F891">
        <v>100000</v>
      </c>
      <c r="G891" t="s">
        <v>17</v>
      </c>
      <c r="H891">
        <v>717.92</v>
      </c>
      <c r="I891">
        <v>99756.89</v>
      </c>
    </row>
    <row r="892" spans="1:9" x14ac:dyDescent="0.15">
      <c r="A892">
        <v>410673610</v>
      </c>
      <c r="B892" t="s">
        <v>36</v>
      </c>
      <c r="C892" t="s">
        <v>19</v>
      </c>
      <c r="D892">
        <v>39290</v>
      </c>
      <c r="E892">
        <v>280000</v>
      </c>
      <c r="F892">
        <v>261250</v>
      </c>
      <c r="G892" t="s">
        <v>20</v>
      </c>
      <c r="H892">
        <v>1955.06</v>
      </c>
      <c r="I892">
        <v>260749.45</v>
      </c>
    </row>
    <row r="893" spans="1:9" x14ac:dyDescent="0.15">
      <c r="A893">
        <v>410673743</v>
      </c>
      <c r="B893" t="s">
        <v>37</v>
      </c>
      <c r="C893" t="s">
        <v>16</v>
      </c>
      <c r="D893">
        <v>39315</v>
      </c>
      <c r="E893">
        <v>159000</v>
      </c>
      <c r="F893">
        <v>143100</v>
      </c>
      <c r="G893" t="s">
        <v>20</v>
      </c>
      <c r="H893">
        <v>1150.3900000000001</v>
      </c>
      <c r="I893">
        <v>142347.73000000001</v>
      </c>
    </row>
    <row r="894" spans="1:9" x14ac:dyDescent="0.15">
      <c r="A894">
        <v>410673990</v>
      </c>
      <c r="B894" t="s">
        <v>37</v>
      </c>
      <c r="C894" t="s">
        <v>18</v>
      </c>
      <c r="D894">
        <v>39294</v>
      </c>
      <c r="E894">
        <v>95000</v>
      </c>
      <c r="F894">
        <v>90250</v>
      </c>
      <c r="G894" t="s">
        <v>20</v>
      </c>
      <c r="H894">
        <v>778.54</v>
      </c>
      <c r="I894">
        <v>90206.71</v>
      </c>
    </row>
    <row r="895" spans="1:9" x14ac:dyDescent="0.15">
      <c r="A895">
        <v>410674105</v>
      </c>
      <c r="B895" t="s">
        <v>35</v>
      </c>
      <c r="C895" t="s">
        <v>16</v>
      </c>
      <c r="D895">
        <v>39300</v>
      </c>
      <c r="E895">
        <v>160000</v>
      </c>
      <c r="F895">
        <v>136000</v>
      </c>
      <c r="G895" t="s">
        <v>20</v>
      </c>
      <c r="H895">
        <v>889.96</v>
      </c>
      <c r="I895">
        <v>135626.95000000001</v>
      </c>
    </row>
    <row r="896" spans="1:9" x14ac:dyDescent="0.15">
      <c r="A896">
        <v>410676225</v>
      </c>
      <c r="B896" t="s">
        <v>35</v>
      </c>
      <c r="C896" t="s">
        <v>16</v>
      </c>
      <c r="D896">
        <v>39293</v>
      </c>
      <c r="E896">
        <v>239000</v>
      </c>
      <c r="F896">
        <v>226100</v>
      </c>
      <c r="G896" t="s">
        <v>15</v>
      </c>
      <c r="H896">
        <v>1604.22</v>
      </c>
      <c r="I896">
        <v>224596.58</v>
      </c>
    </row>
    <row r="897" spans="1:9" x14ac:dyDescent="0.15">
      <c r="A897">
        <v>410677223</v>
      </c>
      <c r="B897" t="s">
        <v>35</v>
      </c>
      <c r="C897" t="s">
        <v>16</v>
      </c>
      <c r="D897">
        <v>39297</v>
      </c>
      <c r="E897">
        <v>108000</v>
      </c>
      <c r="F897">
        <v>91800</v>
      </c>
      <c r="G897" t="s">
        <v>15</v>
      </c>
      <c r="H897">
        <v>758.55</v>
      </c>
      <c r="I897">
        <v>89613.51</v>
      </c>
    </row>
    <row r="898" spans="1:9" x14ac:dyDescent="0.15">
      <c r="A898">
        <v>410678387</v>
      </c>
      <c r="B898" t="s">
        <v>36</v>
      </c>
      <c r="C898" t="s">
        <v>19</v>
      </c>
      <c r="D898">
        <v>39287</v>
      </c>
      <c r="E898">
        <v>301000</v>
      </c>
      <c r="F898">
        <v>250000</v>
      </c>
      <c r="G898" t="s">
        <v>17</v>
      </c>
      <c r="H898">
        <v>1748.04</v>
      </c>
      <c r="I898">
        <v>248287.78</v>
      </c>
    </row>
    <row r="899" spans="1:9" x14ac:dyDescent="0.15">
      <c r="A899">
        <v>410678684</v>
      </c>
      <c r="B899" t="s">
        <v>36</v>
      </c>
      <c r="C899" t="s">
        <v>18</v>
      </c>
      <c r="D899">
        <v>39286</v>
      </c>
      <c r="E899">
        <v>430000</v>
      </c>
      <c r="F899">
        <v>343900</v>
      </c>
      <c r="G899" t="s">
        <v>17</v>
      </c>
      <c r="H899">
        <v>2264.9299999999998</v>
      </c>
      <c r="I899">
        <v>340949.41</v>
      </c>
    </row>
    <row r="900" spans="1:9" x14ac:dyDescent="0.15">
      <c r="A900">
        <v>410682173</v>
      </c>
      <c r="B900" t="s">
        <v>37</v>
      </c>
      <c r="C900" t="s">
        <v>19</v>
      </c>
      <c r="D900">
        <v>39293</v>
      </c>
      <c r="E900">
        <v>375000</v>
      </c>
      <c r="F900">
        <v>318750</v>
      </c>
      <c r="G900" t="s">
        <v>20</v>
      </c>
      <c r="H900">
        <v>2252.27</v>
      </c>
      <c r="I900">
        <v>318033.71999999997</v>
      </c>
    </row>
    <row r="901" spans="1:9" x14ac:dyDescent="0.15">
      <c r="A901">
        <v>410683460</v>
      </c>
      <c r="B901" t="s">
        <v>36</v>
      </c>
      <c r="C901" t="s">
        <v>19</v>
      </c>
      <c r="D901">
        <v>39293</v>
      </c>
      <c r="E901">
        <v>375000</v>
      </c>
      <c r="F901">
        <v>318750</v>
      </c>
      <c r="G901" t="s">
        <v>15</v>
      </c>
      <c r="H901">
        <v>2507.91</v>
      </c>
      <c r="I901">
        <v>318154.53000000003</v>
      </c>
    </row>
    <row r="902" spans="1:9" x14ac:dyDescent="0.15">
      <c r="A902">
        <v>410683726</v>
      </c>
      <c r="B902" t="s">
        <v>38</v>
      </c>
      <c r="C902" t="s">
        <v>19</v>
      </c>
      <c r="D902">
        <v>39293</v>
      </c>
      <c r="E902">
        <v>145000</v>
      </c>
      <c r="F902">
        <v>136851</v>
      </c>
      <c r="G902" t="s">
        <v>15</v>
      </c>
      <c r="H902">
        <v>1130.81</v>
      </c>
      <c r="I902">
        <v>136273.81</v>
      </c>
    </row>
    <row r="903" spans="1:9" x14ac:dyDescent="0.15">
      <c r="A903">
        <v>410684906</v>
      </c>
      <c r="B903" t="s">
        <v>37</v>
      </c>
      <c r="C903" t="s">
        <v>19</v>
      </c>
      <c r="D903">
        <v>39283</v>
      </c>
      <c r="E903">
        <v>290000</v>
      </c>
      <c r="F903">
        <v>256950</v>
      </c>
      <c r="G903" t="s">
        <v>17</v>
      </c>
      <c r="H903">
        <v>1796.64</v>
      </c>
      <c r="I903">
        <v>254988.45</v>
      </c>
    </row>
    <row r="904" spans="1:9" x14ac:dyDescent="0.15">
      <c r="A904">
        <v>410685788</v>
      </c>
      <c r="B904" t="s">
        <v>36</v>
      </c>
      <c r="C904" t="s">
        <v>19</v>
      </c>
      <c r="D904">
        <v>39293</v>
      </c>
      <c r="E904">
        <v>415000</v>
      </c>
      <c r="F904">
        <v>311250</v>
      </c>
      <c r="G904" t="s">
        <v>17</v>
      </c>
      <c r="H904">
        <v>1932.54</v>
      </c>
      <c r="I904">
        <v>310767.65999999997</v>
      </c>
    </row>
    <row r="905" spans="1:9" x14ac:dyDescent="0.15">
      <c r="A905">
        <v>410686224</v>
      </c>
      <c r="B905" t="s">
        <v>38</v>
      </c>
      <c r="C905" t="s">
        <v>19</v>
      </c>
      <c r="D905">
        <v>39294</v>
      </c>
      <c r="E905">
        <v>135000</v>
      </c>
      <c r="F905">
        <v>101250</v>
      </c>
      <c r="G905" t="s">
        <v>17</v>
      </c>
      <c r="H905">
        <v>811.05</v>
      </c>
      <c r="I905">
        <v>100640.99</v>
      </c>
    </row>
    <row r="906" spans="1:9" x14ac:dyDescent="0.15">
      <c r="A906">
        <v>410687701</v>
      </c>
      <c r="B906" t="s">
        <v>38</v>
      </c>
      <c r="C906" t="s">
        <v>19</v>
      </c>
      <c r="D906">
        <v>39294</v>
      </c>
      <c r="E906">
        <v>163000</v>
      </c>
      <c r="F906">
        <v>138550</v>
      </c>
      <c r="G906" t="s">
        <v>17</v>
      </c>
      <c r="H906">
        <v>1109.83</v>
      </c>
      <c r="I906">
        <v>137830.07999999999</v>
      </c>
    </row>
    <row r="907" spans="1:9" x14ac:dyDescent="0.15">
      <c r="A907">
        <v>410688022</v>
      </c>
      <c r="B907" t="s">
        <v>35</v>
      </c>
      <c r="C907" t="s">
        <v>16</v>
      </c>
      <c r="D907">
        <v>39290</v>
      </c>
      <c r="E907">
        <v>126000</v>
      </c>
      <c r="F907">
        <v>119700</v>
      </c>
      <c r="G907" t="s">
        <v>15</v>
      </c>
      <c r="H907">
        <v>963.29</v>
      </c>
      <c r="I907">
        <v>119622.39999999999</v>
      </c>
    </row>
    <row r="908" spans="1:9" x14ac:dyDescent="0.15">
      <c r="A908">
        <v>410688360</v>
      </c>
      <c r="B908" t="s">
        <v>35</v>
      </c>
      <c r="C908" t="s">
        <v>16</v>
      </c>
      <c r="D908">
        <v>39308</v>
      </c>
      <c r="E908">
        <v>165000</v>
      </c>
      <c r="F908">
        <v>150100</v>
      </c>
      <c r="G908" t="s">
        <v>17</v>
      </c>
      <c r="H908">
        <v>1453.4</v>
      </c>
      <c r="I908">
        <v>149877.22</v>
      </c>
    </row>
    <row r="909" spans="1:9" x14ac:dyDescent="0.15">
      <c r="A909">
        <v>410689871</v>
      </c>
      <c r="B909" t="s">
        <v>37</v>
      </c>
      <c r="C909" t="s">
        <v>16</v>
      </c>
      <c r="D909">
        <v>39295</v>
      </c>
      <c r="E909">
        <v>215000</v>
      </c>
      <c r="F909">
        <v>172000</v>
      </c>
      <c r="G909" t="s">
        <v>20</v>
      </c>
      <c r="H909">
        <v>1440</v>
      </c>
      <c r="I909">
        <v>171114.05</v>
      </c>
    </row>
    <row r="910" spans="1:9" x14ac:dyDescent="0.15">
      <c r="A910">
        <v>410690150</v>
      </c>
      <c r="B910" t="s">
        <v>35</v>
      </c>
      <c r="C910" t="s">
        <v>16</v>
      </c>
      <c r="D910">
        <v>39300</v>
      </c>
      <c r="E910">
        <v>143000</v>
      </c>
      <c r="F910">
        <v>128700</v>
      </c>
      <c r="G910" t="s">
        <v>17</v>
      </c>
      <c r="H910">
        <v>849.78</v>
      </c>
      <c r="I910">
        <v>127713.79</v>
      </c>
    </row>
    <row r="911" spans="1:9" x14ac:dyDescent="0.15">
      <c r="A911">
        <v>410690242</v>
      </c>
      <c r="B911" t="s">
        <v>38</v>
      </c>
      <c r="C911" t="s">
        <v>18</v>
      </c>
      <c r="D911">
        <v>39294</v>
      </c>
      <c r="E911">
        <v>123500</v>
      </c>
      <c r="F911">
        <v>104550</v>
      </c>
      <c r="G911" t="s">
        <v>20</v>
      </c>
      <c r="H911">
        <v>839.27</v>
      </c>
      <c r="I911">
        <v>104490.55</v>
      </c>
    </row>
    <row r="912" spans="1:9" x14ac:dyDescent="0.15">
      <c r="A912">
        <v>410690432</v>
      </c>
      <c r="B912" t="s">
        <v>38</v>
      </c>
      <c r="C912" t="s">
        <v>18</v>
      </c>
      <c r="D912">
        <v>39300</v>
      </c>
      <c r="E912">
        <v>153000</v>
      </c>
      <c r="F912">
        <v>129700</v>
      </c>
      <c r="G912" t="s">
        <v>17</v>
      </c>
      <c r="H912">
        <v>1076.81</v>
      </c>
      <c r="I912">
        <v>127639.78</v>
      </c>
    </row>
    <row r="913" spans="1:9" x14ac:dyDescent="0.15">
      <c r="A913">
        <v>410691661</v>
      </c>
      <c r="B913" t="s">
        <v>35</v>
      </c>
      <c r="C913" t="s">
        <v>16</v>
      </c>
      <c r="D913">
        <v>39288</v>
      </c>
      <c r="E913">
        <v>220000</v>
      </c>
      <c r="F913">
        <v>198000</v>
      </c>
      <c r="G913" t="s">
        <v>17</v>
      </c>
      <c r="H913">
        <v>1480.56</v>
      </c>
      <c r="I913">
        <v>196820.08</v>
      </c>
    </row>
    <row r="914" spans="1:9" x14ac:dyDescent="0.15">
      <c r="A914">
        <v>410693501</v>
      </c>
      <c r="B914" t="s">
        <v>38</v>
      </c>
      <c r="C914" t="s">
        <v>19</v>
      </c>
      <c r="D914">
        <v>39288</v>
      </c>
      <c r="E914">
        <v>132000</v>
      </c>
      <c r="F914">
        <v>125400</v>
      </c>
      <c r="G914" t="s">
        <v>15</v>
      </c>
      <c r="H914">
        <v>1099.55</v>
      </c>
      <c r="I914">
        <v>125000.98</v>
      </c>
    </row>
    <row r="915" spans="1:9" x14ac:dyDescent="0.15">
      <c r="A915">
        <v>410695704</v>
      </c>
      <c r="B915" t="s">
        <v>36</v>
      </c>
      <c r="C915" t="s">
        <v>16</v>
      </c>
      <c r="D915">
        <v>39302</v>
      </c>
      <c r="E915">
        <v>140000</v>
      </c>
      <c r="F915">
        <v>133000</v>
      </c>
      <c r="G915" t="s">
        <v>17</v>
      </c>
      <c r="H915">
        <v>1398.85</v>
      </c>
      <c r="I915">
        <v>132704.78</v>
      </c>
    </row>
    <row r="916" spans="1:9" x14ac:dyDescent="0.15">
      <c r="A916">
        <v>410696918</v>
      </c>
      <c r="B916" t="s">
        <v>38</v>
      </c>
      <c r="C916" t="s">
        <v>18</v>
      </c>
      <c r="D916">
        <v>39321</v>
      </c>
      <c r="E916">
        <v>118900</v>
      </c>
      <c r="F916">
        <v>105250</v>
      </c>
      <c r="G916" t="s">
        <v>17</v>
      </c>
      <c r="H916">
        <v>1102.92</v>
      </c>
      <c r="I916">
        <v>105013.75999999999</v>
      </c>
    </row>
    <row r="917" spans="1:9" x14ac:dyDescent="0.15">
      <c r="A917">
        <v>410701296</v>
      </c>
      <c r="B917" t="s">
        <v>36</v>
      </c>
      <c r="C917" t="s">
        <v>19</v>
      </c>
      <c r="D917">
        <v>39294</v>
      </c>
      <c r="E917">
        <v>160000</v>
      </c>
      <c r="F917">
        <v>152000</v>
      </c>
      <c r="G917" t="s">
        <v>17</v>
      </c>
      <c r="H917">
        <v>1332.79</v>
      </c>
      <c r="I917">
        <v>151372.89000000001</v>
      </c>
    </row>
    <row r="918" spans="1:9" x14ac:dyDescent="0.15">
      <c r="A918">
        <v>410703227</v>
      </c>
      <c r="B918" t="s">
        <v>35</v>
      </c>
      <c r="C918" t="s">
        <v>16</v>
      </c>
      <c r="D918">
        <v>39293</v>
      </c>
      <c r="E918">
        <v>235000</v>
      </c>
      <c r="F918">
        <v>211500</v>
      </c>
      <c r="G918" t="s">
        <v>20</v>
      </c>
      <c r="H918">
        <v>1457.18</v>
      </c>
      <c r="I918">
        <v>209933.49</v>
      </c>
    </row>
    <row r="919" spans="1:9" x14ac:dyDescent="0.15">
      <c r="A919">
        <v>410703417</v>
      </c>
      <c r="B919" t="s">
        <v>35</v>
      </c>
      <c r="C919" t="s">
        <v>16</v>
      </c>
      <c r="D919">
        <v>39293</v>
      </c>
      <c r="E919">
        <v>147000</v>
      </c>
      <c r="F919">
        <v>131000</v>
      </c>
      <c r="G919" t="s">
        <v>17</v>
      </c>
      <c r="H919">
        <v>998.01</v>
      </c>
      <c r="I919">
        <v>130250.16</v>
      </c>
    </row>
    <row r="920" spans="1:9" x14ac:dyDescent="0.15">
      <c r="A920">
        <v>410704340</v>
      </c>
      <c r="B920" t="s">
        <v>37</v>
      </c>
      <c r="C920" t="s">
        <v>18</v>
      </c>
      <c r="D920">
        <v>39311</v>
      </c>
      <c r="E920">
        <v>150000</v>
      </c>
      <c r="F920">
        <v>135000</v>
      </c>
      <c r="G920" t="s">
        <v>20</v>
      </c>
      <c r="H920">
        <v>1265.28</v>
      </c>
      <c r="I920">
        <v>134584.87</v>
      </c>
    </row>
    <row r="921" spans="1:9" x14ac:dyDescent="0.15">
      <c r="A921">
        <v>410705586</v>
      </c>
      <c r="B921" t="s">
        <v>37</v>
      </c>
      <c r="C921" t="s">
        <v>19</v>
      </c>
      <c r="D921">
        <v>39293</v>
      </c>
      <c r="E921">
        <v>113500</v>
      </c>
      <c r="F921">
        <v>101700</v>
      </c>
      <c r="G921" t="s">
        <v>17</v>
      </c>
      <c r="H921">
        <v>870.03</v>
      </c>
      <c r="I921">
        <v>101150.64</v>
      </c>
    </row>
    <row r="922" spans="1:9" x14ac:dyDescent="0.15">
      <c r="A922">
        <v>410705883</v>
      </c>
      <c r="B922" t="s">
        <v>35</v>
      </c>
      <c r="C922" t="s">
        <v>16</v>
      </c>
      <c r="D922">
        <v>39293</v>
      </c>
      <c r="E922">
        <v>132000</v>
      </c>
      <c r="F922">
        <v>105500</v>
      </c>
      <c r="G922" t="s">
        <v>15</v>
      </c>
      <c r="H922">
        <v>925.06</v>
      </c>
      <c r="I922">
        <v>105113.60000000001</v>
      </c>
    </row>
    <row r="923" spans="1:9" x14ac:dyDescent="0.15">
      <c r="A923">
        <v>410706030</v>
      </c>
      <c r="B923" t="s">
        <v>35</v>
      </c>
      <c r="C923" t="s">
        <v>16</v>
      </c>
      <c r="D923">
        <v>39290</v>
      </c>
      <c r="E923">
        <v>118000</v>
      </c>
      <c r="F923">
        <v>100300</v>
      </c>
      <c r="G923" t="s">
        <v>17</v>
      </c>
      <c r="H923">
        <v>746.49</v>
      </c>
      <c r="I923">
        <v>99626.81</v>
      </c>
    </row>
    <row r="924" spans="1:9" x14ac:dyDescent="0.15">
      <c r="A924">
        <v>410707970</v>
      </c>
      <c r="B924" t="s">
        <v>38</v>
      </c>
      <c r="C924" t="s">
        <v>18</v>
      </c>
      <c r="D924">
        <v>39293</v>
      </c>
      <c r="E924">
        <v>72000</v>
      </c>
      <c r="F924">
        <v>64800</v>
      </c>
      <c r="G924" t="s">
        <v>17</v>
      </c>
      <c r="H924">
        <v>563.89</v>
      </c>
      <c r="I924">
        <v>64527.519999999997</v>
      </c>
    </row>
    <row r="925" spans="1:9" x14ac:dyDescent="0.15">
      <c r="A925">
        <v>410708416</v>
      </c>
      <c r="B925" t="s">
        <v>36</v>
      </c>
      <c r="C925" t="s">
        <v>19</v>
      </c>
      <c r="D925">
        <v>39290</v>
      </c>
      <c r="E925">
        <v>187000</v>
      </c>
      <c r="F925">
        <v>140250</v>
      </c>
      <c r="G925" t="s">
        <v>17</v>
      </c>
      <c r="H925">
        <v>1038.9000000000001</v>
      </c>
      <c r="I925">
        <v>139397.32999999999</v>
      </c>
    </row>
    <row r="926" spans="1:9" x14ac:dyDescent="0.15">
      <c r="A926">
        <v>410709265</v>
      </c>
      <c r="B926" t="s">
        <v>37</v>
      </c>
      <c r="C926" t="s">
        <v>18</v>
      </c>
      <c r="D926">
        <v>39309</v>
      </c>
      <c r="E926">
        <v>125000</v>
      </c>
      <c r="F926">
        <v>100000</v>
      </c>
      <c r="G926" t="s">
        <v>17</v>
      </c>
      <c r="H926">
        <v>880.53</v>
      </c>
      <c r="I926">
        <v>98723.72</v>
      </c>
    </row>
    <row r="927" spans="1:9" x14ac:dyDescent="0.15">
      <c r="A927">
        <v>410712814</v>
      </c>
      <c r="B927" t="s">
        <v>36</v>
      </c>
      <c r="C927" t="s">
        <v>16</v>
      </c>
      <c r="D927">
        <v>39297</v>
      </c>
      <c r="E927">
        <v>237500</v>
      </c>
      <c r="F927">
        <v>213750</v>
      </c>
      <c r="G927" t="s">
        <v>20</v>
      </c>
      <c r="H927">
        <v>1758.47</v>
      </c>
      <c r="I927">
        <v>212542.91</v>
      </c>
    </row>
    <row r="928" spans="1:9" x14ac:dyDescent="0.15">
      <c r="A928">
        <v>410715296</v>
      </c>
      <c r="B928" t="s">
        <v>36</v>
      </c>
      <c r="C928" t="s">
        <v>18</v>
      </c>
      <c r="D928">
        <v>39316</v>
      </c>
      <c r="E928">
        <v>112000</v>
      </c>
      <c r="F928">
        <v>95200</v>
      </c>
      <c r="G928" t="s">
        <v>17</v>
      </c>
      <c r="H928">
        <v>924.65</v>
      </c>
      <c r="I928">
        <v>94934.2</v>
      </c>
    </row>
    <row r="929" spans="1:9" x14ac:dyDescent="0.15">
      <c r="A929">
        <v>410721625</v>
      </c>
      <c r="B929" t="s">
        <v>35</v>
      </c>
      <c r="C929" t="s">
        <v>16</v>
      </c>
      <c r="D929">
        <v>39294</v>
      </c>
      <c r="E929">
        <v>134000</v>
      </c>
      <c r="F929">
        <v>120600</v>
      </c>
      <c r="G929" t="s">
        <v>17</v>
      </c>
      <c r="H929">
        <v>1036.1500000000001</v>
      </c>
      <c r="I929">
        <v>120072.88</v>
      </c>
    </row>
    <row r="930" spans="1:9" x14ac:dyDescent="0.15">
      <c r="A930">
        <v>410725188</v>
      </c>
      <c r="B930" t="s">
        <v>37</v>
      </c>
      <c r="C930" t="s">
        <v>16</v>
      </c>
      <c r="D930">
        <v>39300</v>
      </c>
      <c r="E930">
        <v>147000</v>
      </c>
      <c r="F930">
        <v>110250</v>
      </c>
      <c r="G930" t="s">
        <v>17</v>
      </c>
      <c r="H930">
        <v>1076.01</v>
      </c>
      <c r="I930">
        <v>107391.67999999999</v>
      </c>
    </row>
    <row r="931" spans="1:9" x14ac:dyDescent="0.15">
      <c r="A931">
        <v>410726715</v>
      </c>
      <c r="B931" t="s">
        <v>35</v>
      </c>
      <c r="C931" t="s">
        <v>16</v>
      </c>
      <c r="D931">
        <v>39294</v>
      </c>
      <c r="E931">
        <v>60000</v>
      </c>
      <c r="F931">
        <v>51000</v>
      </c>
      <c r="G931" t="s">
        <v>20</v>
      </c>
      <c r="H931">
        <v>426.98</v>
      </c>
      <c r="I931">
        <v>50764.480000000003</v>
      </c>
    </row>
    <row r="932" spans="1:9" x14ac:dyDescent="0.15">
      <c r="A932">
        <v>410727952</v>
      </c>
      <c r="B932" t="s">
        <v>36</v>
      </c>
      <c r="C932" t="s">
        <v>16</v>
      </c>
      <c r="D932">
        <v>39295</v>
      </c>
      <c r="E932">
        <v>228000</v>
      </c>
      <c r="F932">
        <v>133500</v>
      </c>
      <c r="G932" t="s">
        <v>17</v>
      </c>
      <c r="H932">
        <v>1073.22</v>
      </c>
      <c r="I932">
        <v>132822.20000000001</v>
      </c>
    </row>
    <row r="933" spans="1:9" x14ac:dyDescent="0.15">
      <c r="A933">
        <v>410730097</v>
      </c>
      <c r="B933" t="s">
        <v>37</v>
      </c>
      <c r="C933" t="s">
        <v>16</v>
      </c>
      <c r="D933">
        <v>39307</v>
      </c>
      <c r="E933">
        <v>152500</v>
      </c>
      <c r="F933">
        <v>137250</v>
      </c>
      <c r="G933" t="s">
        <v>17</v>
      </c>
      <c r="H933">
        <v>1196.25</v>
      </c>
      <c r="I933">
        <v>137201.49</v>
      </c>
    </row>
    <row r="934" spans="1:9" x14ac:dyDescent="0.15">
      <c r="A934">
        <v>410730352</v>
      </c>
      <c r="B934" t="s">
        <v>36</v>
      </c>
      <c r="C934" t="s">
        <v>19</v>
      </c>
      <c r="D934">
        <v>39290</v>
      </c>
      <c r="E934">
        <v>360000</v>
      </c>
      <c r="F934">
        <v>342000</v>
      </c>
      <c r="G934" t="s">
        <v>20</v>
      </c>
      <c r="H934">
        <v>3380.21</v>
      </c>
      <c r="I934">
        <v>341705.52</v>
      </c>
    </row>
    <row r="935" spans="1:9" x14ac:dyDescent="0.15">
      <c r="A935">
        <v>410731574</v>
      </c>
      <c r="B935" t="s">
        <v>38</v>
      </c>
      <c r="C935" t="s">
        <v>16</v>
      </c>
      <c r="D935">
        <v>39297</v>
      </c>
      <c r="E935">
        <v>145000</v>
      </c>
      <c r="F935">
        <v>108750</v>
      </c>
      <c r="G935" t="s">
        <v>21</v>
      </c>
      <c r="H935">
        <v>851.1</v>
      </c>
      <c r="I935">
        <v>108673.05</v>
      </c>
    </row>
    <row r="936" spans="1:9" x14ac:dyDescent="0.15">
      <c r="A936">
        <v>410733877</v>
      </c>
      <c r="B936" t="s">
        <v>38</v>
      </c>
      <c r="C936" t="s">
        <v>16</v>
      </c>
      <c r="D936">
        <v>39301</v>
      </c>
      <c r="E936">
        <v>148000</v>
      </c>
      <c r="F936">
        <v>132300</v>
      </c>
      <c r="G936" t="s">
        <v>20</v>
      </c>
      <c r="H936">
        <v>1063.57</v>
      </c>
      <c r="I936">
        <v>131704.32999999999</v>
      </c>
    </row>
    <row r="937" spans="1:9" x14ac:dyDescent="0.15">
      <c r="A937">
        <v>410734396</v>
      </c>
      <c r="B937" t="s">
        <v>37</v>
      </c>
      <c r="C937" t="s">
        <v>16</v>
      </c>
      <c r="D937">
        <v>39309</v>
      </c>
      <c r="E937">
        <v>220000</v>
      </c>
      <c r="F937">
        <v>208050</v>
      </c>
      <c r="G937" t="s">
        <v>20</v>
      </c>
      <c r="H937">
        <v>1942.11</v>
      </c>
      <c r="I937">
        <v>207397.22</v>
      </c>
    </row>
    <row r="938" spans="1:9" x14ac:dyDescent="0.15">
      <c r="A938">
        <v>410735542</v>
      </c>
      <c r="B938" t="s">
        <v>38</v>
      </c>
      <c r="C938" t="s">
        <v>16</v>
      </c>
      <c r="D938">
        <v>39300</v>
      </c>
      <c r="E938">
        <v>169000</v>
      </c>
      <c r="F938">
        <v>135200</v>
      </c>
      <c r="G938" t="s">
        <v>17</v>
      </c>
      <c r="H938">
        <v>1117.1600000000001</v>
      </c>
      <c r="I938">
        <v>134629.82</v>
      </c>
    </row>
    <row r="939" spans="1:9" x14ac:dyDescent="0.15">
      <c r="A939">
        <v>410736318</v>
      </c>
      <c r="B939" t="s">
        <v>36</v>
      </c>
      <c r="C939" t="s">
        <v>16</v>
      </c>
      <c r="D939">
        <v>39314</v>
      </c>
      <c r="E939">
        <v>227000</v>
      </c>
      <c r="F939">
        <v>170250</v>
      </c>
      <c r="G939" t="s">
        <v>20</v>
      </c>
      <c r="H939">
        <v>1379.13</v>
      </c>
      <c r="I939">
        <v>169986.72</v>
      </c>
    </row>
    <row r="940" spans="1:9" x14ac:dyDescent="0.15">
      <c r="A940">
        <v>410739338</v>
      </c>
      <c r="B940" t="s">
        <v>35</v>
      </c>
      <c r="C940" t="s">
        <v>16</v>
      </c>
      <c r="D940">
        <v>39301</v>
      </c>
      <c r="E940">
        <v>200000</v>
      </c>
      <c r="F940">
        <v>180000</v>
      </c>
      <c r="G940" t="s">
        <v>20</v>
      </c>
      <c r="H940">
        <v>1653.27</v>
      </c>
      <c r="I940">
        <v>179416.11</v>
      </c>
    </row>
    <row r="941" spans="1:9" x14ac:dyDescent="0.15">
      <c r="A941">
        <v>410741771</v>
      </c>
      <c r="B941" t="s">
        <v>36</v>
      </c>
      <c r="C941" t="s">
        <v>16</v>
      </c>
      <c r="D941">
        <v>39295</v>
      </c>
      <c r="E941">
        <v>170000</v>
      </c>
      <c r="F941">
        <v>130500</v>
      </c>
      <c r="G941" t="s">
        <v>17</v>
      </c>
      <c r="H941">
        <v>1092.56</v>
      </c>
      <c r="I941">
        <v>129169.4</v>
      </c>
    </row>
    <row r="942" spans="1:9" x14ac:dyDescent="0.15">
      <c r="A942">
        <v>410743520</v>
      </c>
      <c r="B942" t="s">
        <v>38</v>
      </c>
      <c r="C942" t="s">
        <v>18</v>
      </c>
      <c r="D942">
        <v>39314</v>
      </c>
      <c r="E942">
        <v>284000</v>
      </c>
      <c r="F942">
        <v>227200</v>
      </c>
      <c r="G942" t="s">
        <v>20</v>
      </c>
      <c r="H942">
        <v>1771.19</v>
      </c>
      <c r="I942">
        <v>226105.01</v>
      </c>
    </row>
    <row r="943" spans="1:9" x14ac:dyDescent="0.15">
      <c r="A943">
        <v>410745186</v>
      </c>
      <c r="B943" t="s">
        <v>36</v>
      </c>
      <c r="C943" t="s">
        <v>16</v>
      </c>
      <c r="D943">
        <v>39314</v>
      </c>
      <c r="E943">
        <v>297000</v>
      </c>
      <c r="F943">
        <v>160000</v>
      </c>
      <c r="G943" t="s">
        <v>17</v>
      </c>
      <c r="H943">
        <v>1076.6400000000001</v>
      </c>
      <c r="I943">
        <v>159588.76</v>
      </c>
    </row>
    <row r="944" spans="1:9" x14ac:dyDescent="0.15">
      <c r="A944">
        <v>410747125</v>
      </c>
      <c r="B944" t="s">
        <v>36</v>
      </c>
      <c r="C944" t="s">
        <v>18</v>
      </c>
      <c r="D944">
        <v>39300</v>
      </c>
      <c r="E944">
        <v>150000</v>
      </c>
      <c r="F944">
        <v>69495</v>
      </c>
      <c r="G944" t="s">
        <v>17</v>
      </c>
      <c r="H944">
        <v>604.74</v>
      </c>
      <c r="I944">
        <v>69125.91</v>
      </c>
    </row>
    <row r="945" spans="1:9" x14ac:dyDescent="0.15">
      <c r="A945">
        <v>410748040</v>
      </c>
      <c r="B945" t="s">
        <v>36</v>
      </c>
      <c r="C945" t="s">
        <v>16</v>
      </c>
      <c r="D945">
        <v>39304</v>
      </c>
      <c r="E945">
        <v>305000</v>
      </c>
      <c r="F945">
        <v>179000</v>
      </c>
      <c r="G945" t="s">
        <v>17</v>
      </c>
      <c r="H945">
        <v>1282.3800000000001</v>
      </c>
      <c r="I945">
        <v>177527.67999999999</v>
      </c>
    </row>
    <row r="946" spans="1:9" x14ac:dyDescent="0.15">
      <c r="A946">
        <v>410748610</v>
      </c>
      <c r="B946" t="s">
        <v>37</v>
      </c>
      <c r="C946" t="s">
        <v>16</v>
      </c>
      <c r="D946">
        <v>39323</v>
      </c>
      <c r="E946">
        <v>111000</v>
      </c>
      <c r="F946">
        <v>105450</v>
      </c>
      <c r="G946" t="s">
        <v>17</v>
      </c>
      <c r="H946">
        <v>1068.47</v>
      </c>
      <c r="I946">
        <v>105289.14</v>
      </c>
    </row>
    <row r="947" spans="1:9" x14ac:dyDescent="0.15">
      <c r="A947">
        <v>410750137</v>
      </c>
      <c r="B947" t="s">
        <v>36</v>
      </c>
      <c r="C947" t="s">
        <v>18</v>
      </c>
      <c r="D947">
        <v>39300</v>
      </c>
      <c r="E947">
        <v>241000</v>
      </c>
      <c r="F947">
        <v>228950</v>
      </c>
      <c r="G947" t="s">
        <v>20</v>
      </c>
      <c r="H947">
        <v>2107.15</v>
      </c>
      <c r="I947">
        <v>228211.28</v>
      </c>
    </row>
    <row r="948" spans="1:9" x14ac:dyDescent="0.15">
      <c r="A948">
        <v>410755508</v>
      </c>
      <c r="B948" t="s">
        <v>37</v>
      </c>
      <c r="C948" t="s">
        <v>16</v>
      </c>
      <c r="D948">
        <v>39323</v>
      </c>
      <c r="E948">
        <v>322700</v>
      </c>
      <c r="F948">
        <v>100000</v>
      </c>
      <c r="G948" t="s">
        <v>20</v>
      </c>
      <c r="H948">
        <v>779.07</v>
      </c>
      <c r="I948">
        <v>99804.07</v>
      </c>
    </row>
    <row r="949" spans="1:9" x14ac:dyDescent="0.15">
      <c r="A949">
        <v>410755532</v>
      </c>
      <c r="B949" t="s">
        <v>37</v>
      </c>
      <c r="C949" t="s">
        <v>16</v>
      </c>
      <c r="D949">
        <v>39316</v>
      </c>
      <c r="E949">
        <v>139000</v>
      </c>
      <c r="F949">
        <v>104250</v>
      </c>
      <c r="G949" t="s">
        <v>17</v>
      </c>
      <c r="H949">
        <v>790.81</v>
      </c>
      <c r="I949">
        <v>104156.27</v>
      </c>
    </row>
    <row r="950" spans="1:9" x14ac:dyDescent="0.15">
      <c r="A950">
        <v>410757595</v>
      </c>
      <c r="B950" t="s">
        <v>35</v>
      </c>
      <c r="C950" t="s">
        <v>16</v>
      </c>
      <c r="D950">
        <v>39302</v>
      </c>
      <c r="E950">
        <v>225000</v>
      </c>
      <c r="F950">
        <v>191250</v>
      </c>
      <c r="G950" t="s">
        <v>20</v>
      </c>
      <c r="H950">
        <v>1654.08</v>
      </c>
      <c r="I950">
        <v>191015.47</v>
      </c>
    </row>
    <row r="951" spans="1:9" x14ac:dyDescent="0.15">
      <c r="A951">
        <v>410757918</v>
      </c>
      <c r="B951" t="s">
        <v>36</v>
      </c>
      <c r="C951" t="s">
        <v>16</v>
      </c>
      <c r="D951">
        <v>39300</v>
      </c>
      <c r="E951">
        <v>157000</v>
      </c>
      <c r="F951">
        <v>125600</v>
      </c>
      <c r="G951" t="s">
        <v>17</v>
      </c>
      <c r="H951">
        <v>988.1</v>
      </c>
      <c r="I951">
        <v>125006.89</v>
      </c>
    </row>
    <row r="952" spans="1:9" x14ac:dyDescent="0.15">
      <c r="A952">
        <v>410758163</v>
      </c>
      <c r="B952" t="s">
        <v>35</v>
      </c>
      <c r="C952" t="s">
        <v>16</v>
      </c>
      <c r="D952">
        <v>39318</v>
      </c>
      <c r="E952">
        <v>117000</v>
      </c>
      <c r="F952">
        <v>81900</v>
      </c>
      <c r="G952" t="s">
        <v>17</v>
      </c>
      <c r="H952">
        <v>691.65</v>
      </c>
      <c r="I952">
        <v>81572.08</v>
      </c>
    </row>
    <row r="953" spans="1:9" x14ac:dyDescent="0.15">
      <c r="A953">
        <v>410758395</v>
      </c>
      <c r="B953" t="s">
        <v>37</v>
      </c>
      <c r="C953" t="s">
        <v>16</v>
      </c>
      <c r="D953">
        <v>39307</v>
      </c>
      <c r="E953">
        <v>131900</v>
      </c>
      <c r="F953">
        <v>104150</v>
      </c>
      <c r="G953" t="s">
        <v>17</v>
      </c>
      <c r="H953">
        <v>887.43</v>
      </c>
      <c r="I953">
        <v>102564.3</v>
      </c>
    </row>
    <row r="954" spans="1:9" x14ac:dyDescent="0.15">
      <c r="A954">
        <v>410760367</v>
      </c>
      <c r="B954" t="s">
        <v>36</v>
      </c>
      <c r="C954" t="s">
        <v>16</v>
      </c>
      <c r="D954">
        <v>39321</v>
      </c>
      <c r="E954">
        <v>311000</v>
      </c>
      <c r="F954">
        <v>279900</v>
      </c>
      <c r="G954" t="s">
        <v>17</v>
      </c>
      <c r="H954">
        <v>1955.19</v>
      </c>
      <c r="I954">
        <v>278197.99</v>
      </c>
    </row>
    <row r="955" spans="1:9" x14ac:dyDescent="0.15">
      <c r="A955">
        <v>410761290</v>
      </c>
      <c r="B955" t="s">
        <v>37</v>
      </c>
      <c r="C955" t="s">
        <v>16</v>
      </c>
      <c r="D955">
        <v>39318</v>
      </c>
      <c r="E955">
        <v>200000</v>
      </c>
      <c r="F955">
        <v>165000</v>
      </c>
      <c r="G955" t="s">
        <v>17</v>
      </c>
      <c r="H955">
        <v>1381.69</v>
      </c>
      <c r="I955">
        <v>164775.1</v>
      </c>
    </row>
    <row r="956" spans="1:9" x14ac:dyDescent="0.15">
      <c r="A956">
        <v>410761696</v>
      </c>
      <c r="B956" t="s">
        <v>38</v>
      </c>
      <c r="C956" t="s">
        <v>18</v>
      </c>
      <c r="D956">
        <v>39322</v>
      </c>
      <c r="E956">
        <v>109000</v>
      </c>
      <c r="F956">
        <v>72000</v>
      </c>
      <c r="G956" t="s">
        <v>21</v>
      </c>
      <c r="H956">
        <v>629.20000000000005</v>
      </c>
      <c r="I956">
        <v>71734.78</v>
      </c>
    </row>
    <row r="957" spans="1:9" x14ac:dyDescent="0.15">
      <c r="A957">
        <v>410764096</v>
      </c>
      <c r="B957" t="s">
        <v>37</v>
      </c>
      <c r="C957" t="s">
        <v>16</v>
      </c>
      <c r="D957">
        <v>39307</v>
      </c>
      <c r="E957">
        <v>330000</v>
      </c>
      <c r="F957">
        <v>280500</v>
      </c>
      <c r="G957" t="s">
        <v>20</v>
      </c>
      <c r="H957">
        <v>2389.36</v>
      </c>
      <c r="I957">
        <v>279383.59000000003</v>
      </c>
    </row>
    <row r="958" spans="1:9" x14ac:dyDescent="0.15">
      <c r="A958">
        <v>410764831</v>
      </c>
      <c r="B958" t="s">
        <v>35</v>
      </c>
      <c r="C958" t="s">
        <v>16</v>
      </c>
      <c r="D958">
        <v>39321</v>
      </c>
      <c r="E958">
        <v>150000</v>
      </c>
      <c r="F958">
        <v>142500</v>
      </c>
      <c r="G958" t="s">
        <v>17</v>
      </c>
      <c r="H958">
        <v>1281.57</v>
      </c>
      <c r="I958">
        <v>142346.95000000001</v>
      </c>
    </row>
    <row r="959" spans="1:9" x14ac:dyDescent="0.15">
      <c r="A959">
        <v>410765317</v>
      </c>
      <c r="B959" t="s">
        <v>38</v>
      </c>
      <c r="C959" t="s">
        <v>16</v>
      </c>
      <c r="D959">
        <v>39330</v>
      </c>
      <c r="E959">
        <v>125000</v>
      </c>
      <c r="F959">
        <v>110880</v>
      </c>
      <c r="G959" t="s">
        <v>20</v>
      </c>
      <c r="H959">
        <v>1043.3900000000001</v>
      </c>
      <c r="I959">
        <v>110542.66</v>
      </c>
    </row>
    <row r="960" spans="1:9" x14ac:dyDescent="0.15">
      <c r="A960">
        <v>410765549</v>
      </c>
      <c r="B960" t="s">
        <v>38</v>
      </c>
      <c r="C960" t="s">
        <v>16</v>
      </c>
      <c r="D960">
        <v>39311</v>
      </c>
      <c r="E960">
        <v>215000</v>
      </c>
      <c r="F960">
        <v>204250</v>
      </c>
      <c r="G960" t="s">
        <v>17</v>
      </c>
      <c r="H960">
        <v>1891.3</v>
      </c>
      <c r="I960">
        <v>203850.06</v>
      </c>
    </row>
    <row r="961" spans="1:9" x14ac:dyDescent="0.15">
      <c r="A961">
        <v>410767180</v>
      </c>
      <c r="B961" t="s">
        <v>35</v>
      </c>
      <c r="C961" t="s">
        <v>16</v>
      </c>
      <c r="D961">
        <v>39307</v>
      </c>
      <c r="E961">
        <v>131000</v>
      </c>
      <c r="F961">
        <v>117900</v>
      </c>
      <c r="G961" t="s">
        <v>17</v>
      </c>
      <c r="H961">
        <v>1034.6600000000001</v>
      </c>
      <c r="I961">
        <v>117470.36</v>
      </c>
    </row>
    <row r="962" spans="1:9" x14ac:dyDescent="0.15">
      <c r="A962">
        <v>410768048</v>
      </c>
      <c r="B962" t="s">
        <v>37</v>
      </c>
      <c r="C962" t="s">
        <v>16</v>
      </c>
      <c r="D962">
        <v>39325</v>
      </c>
      <c r="E962">
        <v>150000</v>
      </c>
      <c r="F962">
        <v>142500</v>
      </c>
      <c r="G962" t="s">
        <v>20</v>
      </c>
      <c r="H962">
        <v>1468.52</v>
      </c>
      <c r="I962">
        <v>142153.29999999999</v>
      </c>
    </row>
    <row r="963" spans="1:9" x14ac:dyDescent="0.15">
      <c r="A963">
        <v>410769723</v>
      </c>
      <c r="B963" t="s">
        <v>35</v>
      </c>
      <c r="C963" t="s">
        <v>16</v>
      </c>
      <c r="D963">
        <v>39343</v>
      </c>
      <c r="E963">
        <v>148000</v>
      </c>
      <c r="F963">
        <v>133200</v>
      </c>
      <c r="G963" t="s">
        <v>17</v>
      </c>
      <c r="H963">
        <v>1243.4000000000001</v>
      </c>
      <c r="I963">
        <v>132839.37</v>
      </c>
    </row>
    <row r="964" spans="1:9" x14ac:dyDescent="0.15">
      <c r="A964">
        <v>410769871</v>
      </c>
      <c r="B964" t="s">
        <v>37</v>
      </c>
      <c r="C964" t="s">
        <v>18</v>
      </c>
      <c r="D964">
        <v>39316</v>
      </c>
      <c r="E964">
        <v>126000</v>
      </c>
      <c r="F964">
        <v>119700</v>
      </c>
      <c r="G964" t="s">
        <v>17</v>
      </c>
      <c r="H964">
        <v>1135.42</v>
      </c>
      <c r="I964">
        <v>119343.52</v>
      </c>
    </row>
    <row r="965" spans="1:9" x14ac:dyDescent="0.15">
      <c r="A965">
        <v>410771638</v>
      </c>
      <c r="B965" t="s">
        <v>35</v>
      </c>
      <c r="C965" t="s">
        <v>16</v>
      </c>
      <c r="D965">
        <v>39307</v>
      </c>
      <c r="E965">
        <v>91000</v>
      </c>
      <c r="F965">
        <v>81900</v>
      </c>
      <c r="G965" t="s">
        <v>17</v>
      </c>
      <c r="H965">
        <v>770.69</v>
      </c>
      <c r="I965">
        <v>81618.37</v>
      </c>
    </row>
    <row r="966" spans="1:9" x14ac:dyDescent="0.15">
      <c r="A966">
        <v>410771760</v>
      </c>
      <c r="B966" t="s">
        <v>38</v>
      </c>
      <c r="C966" t="s">
        <v>18</v>
      </c>
      <c r="D966">
        <v>39372</v>
      </c>
      <c r="E966">
        <v>161000</v>
      </c>
      <c r="F966">
        <v>119000</v>
      </c>
      <c r="G966" t="s">
        <v>17</v>
      </c>
      <c r="H966">
        <v>1004.97</v>
      </c>
      <c r="I966">
        <v>118506.4</v>
      </c>
    </row>
    <row r="967" spans="1:9" x14ac:dyDescent="0.15">
      <c r="A967">
        <v>410772305</v>
      </c>
      <c r="B967" t="s">
        <v>37</v>
      </c>
      <c r="C967" t="s">
        <v>16</v>
      </c>
      <c r="D967">
        <v>39336</v>
      </c>
      <c r="E967">
        <v>183000</v>
      </c>
      <c r="F967">
        <v>164700</v>
      </c>
      <c r="G967" t="s">
        <v>20</v>
      </c>
      <c r="H967">
        <v>1433.21</v>
      </c>
      <c r="I967">
        <v>164156.13</v>
      </c>
    </row>
    <row r="968" spans="1:9" x14ac:dyDescent="0.15">
      <c r="A968">
        <v>410772354</v>
      </c>
      <c r="B968" t="s">
        <v>36</v>
      </c>
      <c r="C968" t="s">
        <v>16</v>
      </c>
      <c r="D968">
        <v>39308</v>
      </c>
      <c r="E968">
        <v>575000</v>
      </c>
      <c r="F968">
        <v>517500</v>
      </c>
      <c r="G968" t="s">
        <v>17</v>
      </c>
      <c r="H968">
        <v>4252.55</v>
      </c>
      <c r="I968">
        <v>516751.27</v>
      </c>
    </row>
    <row r="969" spans="1:9" x14ac:dyDescent="0.15">
      <c r="A969">
        <v>410774145</v>
      </c>
      <c r="B969" t="s">
        <v>35</v>
      </c>
      <c r="C969" t="s">
        <v>16</v>
      </c>
      <c r="D969">
        <v>39314</v>
      </c>
      <c r="E969">
        <v>123000</v>
      </c>
      <c r="F969">
        <v>86100</v>
      </c>
      <c r="G969" t="s">
        <v>17</v>
      </c>
      <c r="H969">
        <v>733.42</v>
      </c>
      <c r="I969">
        <v>85762.35</v>
      </c>
    </row>
    <row r="970" spans="1:9" x14ac:dyDescent="0.15">
      <c r="A970">
        <v>410774384</v>
      </c>
      <c r="B970" t="s">
        <v>36</v>
      </c>
      <c r="C970" t="s">
        <v>16</v>
      </c>
      <c r="D970">
        <v>39307</v>
      </c>
      <c r="E970">
        <v>175000</v>
      </c>
      <c r="F970">
        <v>157500</v>
      </c>
      <c r="G970" t="s">
        <v>20</v>
      </c>
      <c r="H970">
        <v>1202.79</v>
      </c>
      <c r="I970">
        <v>157215.38</v>
      </c>
    </row>
    <row r="971" spans="1:9" x14ac:dyDescent="0.15">
      <c r="A971">
        <v>410777650</v>
      </c>
      <c r="B971" t="s">
        <v>37</v>
      </c>
      <c r="C971" t="s">
        <v>16</v>
      </c>
      <c r="D971">
        <v>39309</v>
      </c>
      <c r="E971">
        <v>155000</v>
      </c>
      <c r="F971">
        <v>116250</v>
      </c>
      <c r="G971" t="s">
        <v>20</v>
      </c>
      <c r="H971">
        <v>1013.74</v>
      </c>
      <c r="I971">
        <v>115763.83</v>
      </c>
    </row>
    <row r="972" spans="1:9" x14ac:dyDescent="0.15">
      <c r="A972">
        <v>410781538</v>
      </c>
      <c r="B972" t="s">
        <v>35</v>
      </c>
      <c r="C972" t="s">
        <v>16</v>
      </c>
      <c r="D972">
        <v>39311</v>
      </c>
      <c r="E972">
        <v>150000</v>
      </c>
      <c r="F972">
        <v>100000</v>
      </c>
      <c r="G972" t="s">
        <v>17</v>
      </c>
      <c r="H972">
        <v>790.28</v>
      </c>
      <c r="I972">
        <v>98389.79</v>
      </c>
    </row>
    <row r="973" spans="1:9" x14ac:dyDescent="0.15">
      <c r="A973">
        <v>410782171</v>
      </c>
      <c r="B973" t="s">
        <v>37</v>
      </c>
      <c r="C973" t="s">
        <v>16</v>
      </c>
      <c r="D973">
        <v>39318</v>
      </c>
      <c r="E973">
        <v>116000</v>
      </c>
      <c r="F973">
        <v>102080</v>
      </c>
      <c r="G973" t="s">
        <v>17</v>
      </c>
      <c r="H973">
        <v>903.38</v>
      </c>
      <c r="I973">
        <v>101666.64</v>
      </c>
    </row>
    <row r="974" spans="1:9" x14ac:dyDescent="0.15">
      <c r="A974">
        <v>410782486</v>
      </c>
      <c r="B974" t="s">
        <v>37</v>
      </c>
      <c r="C974" t="s">
        <v>16</v>
      </c>
      <c r="D974">
        <v>39314</v>
      </c>
      <c r="E974">
        <v>227000</v>
      </c>
      <c r="F974">
        <v>181600</v>
      </c>
      <c r="G974" t="s">
        <v>21</v>
      </c>
      <c r="H974">
        <v>1560.66</v>
      </c>
      <c r="I974">
        <v>181521.74</v>
      </c>
    </row>
    <row r="975" spans="1:9" x14ac:dyDescent="0.15">
      <c r="A975">
        <v>410784789</v>
      </c>
      <c r="B975" t="s">
        <v>36</v>
      </c>
      <c r="C975" t="s">
        <v>16</v>
      </c>
      <c r="D975">
        <v>39314</v>
      </c>
      <c r="E975">
        <v>250000</v>
      </c>
      <c r="F975">
        <v>200000</v>
      </c>
      <c r="G975" t="s">
        <v>17</v>
      </c>
      <c r="H975">
        <v>1941.01</v>
      </c>
      <c r="I975">
        <v>199512.73</v>
      </c>
    </row>
    <row r="976" spans="1:9" x14ac:dyDescent="0.15">
      <c r="A976">
        <v>410785448</v>
      </c>
      <c r="B976" t="s">
        <v>36</v>
      </c>
      <c r="C976" t="s">
        <v>16</v>
      </c>
      <c r="D976">
        <v>39323</v>
      </c>
      <c r="E976">
        <v>181000</v>
      </c>
      <c r="F976">
        <v>115000</v>
      </c>
      <c r="G976" t="s">
        <v>17</v>
      </c>
      <c r="H976">
        <v>761.04</v>
      </c>
      <c r="I976">
        <v>114692.73</v>
      </c>
    </row>
    <row r="977" spans="1:9" x14ac:dyDescent="0.15">
      <c r="A977">
        <v>410785646</v>
      </c>
      <c r="B977" t="s">
        <v>38</v>
      </c>
      <c r="C977" t="s">
        <v>18</v>
      </c>
      <c r="D977">
        <v>39307</v>
      </c>
      <c r="E977">
        <v>161000</v>
      </c>
      <c r="F977">
        <v>142200</v>
      </c>
      <c r="G977" t="s">
        <v>20</v>
      </c>
      <c r="H977">
        <v>1229.8599999999999</v>
      </c>
      <c r="I977">
        <v>141424.76999999999</v>
      </c>
    </row>
    <row r="978" spans="1:9" x14ac:dyDescent="0.15">
      <c r="A978">
        <v>410789903</v>
      </c>
      <c r="B978" t="s">
        <v>38</v>
      </c>
      <c r="C978" t="s">
        <v>16</v>
      </c>
      <c r="D978">
        <v>39325</v>
      </c>
      <c r="E978">
        <v>165000</v>
      </c>
      <c r="F978">
        <v>140250</v>
      </c>
      <c r="G978" t="s">
        <v>17</v>
      </c>
      <c r="H978">
        <v>1314.49</v>
      </c>
      <c r="I978">
        <v>139818.68</v>
      </c>
    </row>
    <row r="979" spans="1:9" x14ac:dyDescent="0.15">
      <c r="A979">
        <v>410790018</v>
      </c>
      <c r="B979" t="s">
        <v>36</v>
      </c>
      <c r="C979" t="s">
        <v>16</v>
      </c>
      <c r="D979">
        <v>39314</v>
      </c>
      <c r="E979">
        <v>240000</v>
      </c>
      <c r="F979">
        <v>216000</v>
      </c>
      <c r="G979" t="s">
        <v>20</v>
      </c>
      <c r="H979">
        <v>1535.37</v>
      </c>
      <c r="I979">
        <v>215808.4</v>
      </c>
    </row>
    <row r="980" spans="1:9" x14ac:dyDescent="0.15">
      <c r="A980">
        <v>410791834</v>
      </c>
      <c r="B980" t="s">
        <v>36</v>
      </c>
      <c r="C980" t="s">
        <v>16</v>
      </c>
      <c r="D980">
        <v>39322</v>
      </c>
      <c r="E980">
        <v>75000</v>
      </c>
      <c r="F980">
        <v>67500</v>
      </c>
      <c r="G980" t="s">
        <v>20</v>
      </c>
      <c r="H980">
        <v>630.1</v>
      </c>
      <c r="I980">
        <v>67098.009999999995</v>
      </c>
    </row>
    <row r="981" spans="1:9" x14ac:dyDescent="0.15">
      <c r="A981">
        <v>410797591</v>
      </c>
      <c r="B981" t="s">
        <v>36</v>
      </c>
      <c r="C981" t="s">
        <v>18</v>
      </c>
      <c r="D981">
        <v>39325</v>
      </c>
      <c r="E981">
        <v>215000</v>
      </c>
      <c r="F981">
        <v>182750</v>
      </c>
      <c r="G981" t="s">
        <v>17</v>
      </c>
      <c r="H981">
        <v>1699.08</v>
      </c>
      <c r="I981">
        <v>182175.84</v>
      </c>
    </row>
    <row r="982" spans="1:9" x14ac:dyDescent="0.15">
      <c r="A982">
        <v>410800445</v>
      </c>
      <c r="B982" t="s">
        <v>36</v>
      </c>
      <c r="C982" t="s">
        <v>16</v>
      </c>
      <c r="D982">
        <v>39321</v>
      </c>
      <c r="E982">
        <v>161000</v>
      </c>
      <c r="F982">
        <v>112700</v>
      </c>
      <c r="G982" t="s">
        <v>17</v>
      </c>
      <c r="H982">
        <v>854.01</v>
      </c>
      <c r="I982">
        <v>112608.99</v>
      </c>
    </row>
    <row r="983" spans="1:9" x14ac:dyDescent="0.15">
      <c r="A983">
        <v>410800502</v>
      </c>
      <c r="B983" t="s">
        <v>36</v>
      </c>
      <c r="C983" t="s">
        <v>16</v>
      </c>
      <c r="D983">
        <v>39315</v>
      </c>
      <c r="E983">
        <v>147000</v>
      </c>
      <c r="F983">
        <v>55000</v>
      </c>
      <c r="G983" t="s">
        <v>17</v>
      </c>
      <c r="H983">
        <v>432.74</v>
      </c>
      <c r="I983">
        <v>54884.31</v>
      </c>
    </row>
    <row r="984" spans="1:9" x14ac:dyDescent="0.15">
      <c r="A984">
        <v>410803605</v>
      </c>
      <c r="B984" t="s">
        <v>36</v>
      </c>
      <c r="C984" t="s">
        <v>16</v>
      </c>
      <c r="D984">
        <v>39308</v>
      </c>
      <c r="E984">
        <v>315000</v>
      </c>
      <c r="F984">
        <v>248000</v>
      </c>
      <c r="G984" t="s">
        <v>17</v>
      </c>
      <c r="H984">
        <v>1993.68</v>
      </c>
      <c r="I984">
        <v>246885.12</v>
      </c>
    </row>
    <row r="985" spans="1:9" x14ac:dyDescent="0.15">
      <c r="A985">
        <v>410804298</v>
      </c>
      <c r="B985" t="s">
        <v>35</v>
      </c>
      <c r="C985" t="s">
        <v>16</v>
      </c>
      <c r="D985">
        <v>39307</v>
      </c>
      <c r="E985">
        <v>126000</v>
      </c>
      <c r="F985">
        <v>113400</v>
      </c>
      <c r="G985" t="s">
        <v>21</v>
      </c>
      <c r="H985">
        <v>927.45</v>
      </c>
      <c r="I985">
        <v>113232.8</v>
      </c>
    </row>
    <row r="986" spans="1:9" x14ac:dyDescent="0.15">
      <c r="A986">
        <v>410804959</v>
      </c>
      <c r="B986" t="s">
        <v>36</v>
      </c>
      <c r="C986" t="s">
        <v>18</v>
      </c>
      <c r="D986">
        <v>39311</v>
      </c>
      <c r="E986">
        <v>216000</v>
      </c>
      <c r="F986">
        <v>194400</v>
      </c>
      <c r="G986" t="s">
        <v>20</v>
      </c>
      <c r="H986">
        <v>1567.21</v>
      </c>
      <c r="I986">
        <v>194101.39</v>
      </c>
    </row>
    <row r="987" spans="1:9" x14ac:dyDescent="0.15">
      <c r="A987">
        <v>410807150</v>
      </c>
      <c r="B987" t="s">
        <v>37</v>
      </c>
      <c r="C987" t="s">
        <v>16</v>
      </c>
      <c r="D987">
        <v>39324</v>
      </c>
      <c r="E987">
        <v>68000</v>
      </c>
      <c r="F987">
        <v>54400</v>
      </c>
      <c r="G987" t="s">
        <v>17</v>
      </c>
      <c r="H987">
        <v>555.39</v>
      </c>
      <c r="I987">
        <v>54234.239999999998</v>
      </c>
    </row>
    <row r="988" spans="1:9" x14ac:dyDescent="0.15">
      <c r="A988">
        <v>410807184</v>
      </c>
      <c r="B988" t="s">
        <v>38</v>
      </c>
      <c r="C988" t="s">
        <v>18</v>
      </c>
      <c r="D988">
        <v>39331</v>
      </c>
      <c r="E988">
        <v>180000</v>
      </c>
      <c r="F988">
        <v>130000</v>
      </c>
      <c r="G988" t="s">
        <v>17</v>
      </c>
      <c r="H988">
        <v>1155.28</v>
      </c>
      <c r="I988">
        <v>129600.09</v>
      </c>
    </row>
    <row r="989" spans="1:9" x14ac:dyDescent="0.15">
      <c r="A989">
        <v>410809446</v>
      </c>
      <c r="B989" t="s">
        <v>38</v>
      </c>
      <c r="C989" t="s">
        <v>16</v>
      </c>
      <c r="D989">
        <v>39386</v>
      </c>
      <c r="E989">
        <v>135000</v>
      </c>
      <c r="F989">
        <v>114750</v>
      </c>
      <c r="G989" t="s">
        <v>17</v>
      </c>
      <c r="H989">
        <v>1180.3399999999999</v>
      </c>
      <c r="I989">
        <v>113846.14</v>
      </c>
    </row>
    <row r="990" spans="1:9" x14ac:dyDescent="0.15">
      <c r="A990">
        <v>410810691</v>
      </c>
      <c r="B990" t="s">
        <v>36</v>
      </c>
      <c r="C990" t="s">
        <v>18</v>
      </c>
      <c r="D990">
        <v>39350</v>
      </c>
      <c r="E990">
        <v>204000</v>
      </c>
      <c r="F990">
        <v>163200</v>
      </c>
      <c r="G990" t="s">
        <v>17</v>
      </c>
      <c r="H990">
        <v>1408.14</v>
      </c>
      <c r="I990">
        <v>162659.51</v>
      </c>
    </row>
    <row r="991" spans="1:9" x14ac:dyDescent="0.15">
      <c r="A991">
        <v>410811418</v>
      </c>
      <c r="B991" t="s">
        <v>35</v>
      </c>
      <c r="C991" t="s">
        <v>16</v>
      </c>
      <c r="D991">
        <v>39321</v>
      </c>
      <c r="E991">
        <v>125000</v>
      </c>
      <c r="F991">
        <v>100000</v>
      </c>
      <c r="G991" t="s">
        <v>17</v>
      </c>
      <c r="H991">
        <v>768.92</v>
      </c>
      <c r="I991">
        <v>99503.11</v>
      </c>
    </row>
    <row r="992" spans="1:9" x14ac:dyDescent="0.15">
      <c r="A992">
        <v>410811848</v>
      </c>
      <c r="B992" t="s">
        <v>35</v>
      </c>
      <c r="C992" t="s">
        <v>16</v>
      </c>
      <c r="D992">
        <v>39311</v>
      </c>
      <c r="E992">
        <v>63000</v>
      </c>
      <c r="F992">
        <v>53550</v>
      </c>
      <c r="G992" t="s">
        <v>17</v>
      </c>
      <c r="H992">
        <v>522.15</v>
      </c>
      <c r="I992">
        <v>53402.080000000002</v>
      </c>
    </row>
    <row r="993" spans="1:9" x14ac:dyDescent="0.15">
      <c r="A993">
        <v>410812010</v>
      </c>
      <c r="B993" t="s">
        <v>37</v>
      </c>
      <c r="C993" t="s">
        <v>16</v>
      </c>
      <c r="D993">
        <v>39322</v>
      </c>
      <c r="E993">
        <v>291000</v>
      </c>
      <c r="F993">
        <v>261900</v>
      </c>
      <c r="G993" t="s">
        <v>20</v>
      </c>
      <c r="H993">
        <v>2173.6</v>
      </c>
      <c r="I993">
        <v>260805.35</v>
      </c>
    </row>
    <row r="994" spans="1:9" x14ac:dyDescent="0.15">
      <c r="A994">
        <v>410812655</v>
      </c>
      <c r="B994" t="s">
        <v>36</v>
      </c>
      <c r="C994" t="s">
        <v>18</v>
      </c>
      <c r="D994">
        <v>39322</v>
      </c>
      <c r="E994">
        <v>175100</v>
      </c>
      <c r="F994">
        <v>157000</v>
      </c>
      <c r="G994" t="s">
        <v>17</v>
      </c>
      <c r="H994">
        <v>1366.2</v>
      </c>
      <c r="I994">
        <v>156415.72</v>
      </c>
    </row>
    <row r="995" spans="1:9" x14ac:dyDescent="0.15">
      <c r="A995">
        <v>410813299</v>
      </c>
      <c r="B995" t="s">
        <v>36</v>
      </c>
      <c r="C995" t="s">
        <v>16</v>
      </c>
      <c r="D995">
        <v>39318</v>
      </c>
      <c r="E995">
        <v>222000</v>
      </c>
      <c r="F995">
        <v>165000</v>
      </c>
      <c r="G995" t="s">
        <v>17</v>
      </c>
      <c r="H995">
        <v>1315.78</v>
      </c>
      <c r="I995">
        <v>164244.37</v>
      </c>
    </row>
    <row r="996" spans="1:9" x14ac:dyDescent="0.15">
      <c r="A996">
        <v>410816789</v>
      </c>
      <c r="B996" t="s">
        <v>38</v>
      </c>
      <c r="C996" t="s">
        <v>16</v>
      </c>
      <c r="D996">
        <v>39315</v>
      </c>
      <c r="E996">
        <v>155000</v>
      </c>
      <c r="F996">
        <v>139500</v>
      </c>
      <c r="G996" t="s">
        <v>17</v>
      </c>
      <c r="H996">
        <v>1291.74</v>
      </c>
      <c r="I996">
        <v>139057.01</v>
      </c>
    </row>
    <row r="997" spans="1:9" x14ac:dyDescent="0.15">
      <c r="A997">
        <v>410818439</v>
      </c>
      <c r="B997" t="s">
        <v>37</v>
      </c>
      <c r="C997" t="s">
        <v>16</v>
      </c>
      <c r="D997">
        <v>39325</v>
      </c>
      <c r="E997">
        <v>235000</v>
      </c>
      <c r="F997">
        <v>223250</v>
      </c>
      <c r="G997" t="s">
        <v>17</v>
      </c>
      <c r="H997">
        <v>2100.8000000000002</v>
      </c>
      <c r="I997">
        <v>222570.82</v>
      </c>
    </row>
    <row r="998" spans="1:9" x14ac:dyDescent="0.15">
      <c r="A998">
        <v>410820922</v>
      </c>
      <c r="B998" t="s">
        <v>35</v>
      </c>
      <c r="C998" t="s">
        <v>16</v>
      </c>
      <c r="D998">
        <v>39309</v>
      </c>
      <c r="E998">
        <v>150000</v>
      </c>
      <c r="F998">
        <v>142500</v>
      </c>
      <c r="G998" t="s">
        <v>17</v>
      </c>
      <c r="H998">
        <v>1121.05</v>
      </c>
      <c r="I998">
        <v>141827.10999999999</v>
      </c>
    </row>
    <row r="999" spans="1:9" x14ac:dyDescent="0.15">
      <c r="A999">
        <v>410821367</v>
      </c>
      <c r="B999" t="s">
        <v>36</v>
      </c>
      <c r="C999" t="s">
        <v>16</v>
      </c>
      <c r="D999">
        <v>39321</v>
      </c>
      <c r="E999">
        <v>255000</v>
      </c>
      <c r="F999">
        <v>216750</v>
      </c>
      <c r="G999" t="s">
        <v>20</v>
      </c>
      <c r="H999">
        <v>1968.67</v>
      </c>
      <c r="I999">
        <v>216676.6</v>
      </c>
    </row>
    <row r="1000" spans="1:9" x14ac:dyDescent="0.15">
      <c r="A1000">
        <v>410825368</v>
      </c>
      <c r="B1000" t="s">
        <v>37</v>
      </c>
      <c r="C1000" t="s">
        <v>16</v>
      </c>
      <c r="D1000">
        <v>39311</v>
      </c>
      <c r="E1000">
        <v>239900</v>
      </c>
      <c r="F1000">
        <v>227905</v>
      </c>
      <c r="G1000" t="s">
        <v>20</v>
      </c>
      <c r="H1000">
        <v>2266.14</v>
      </c>
      <c r="I1000">
        <v>227848.36</v>
      </c>
    </row>
    <row r="1001" spans="1:9" x14ac:dyDescent="0.15">
      <c r="A1001">
        <v>410831671</v>
      </c>
      <c r="B1001" t="s">
        <v>37</v>
      </c>
      <c r="C1001" t="s">
        <v>16</v>
      </c>
      <c r="D1001">
        <v>39331</v>
      </c>
      <c r="E1001">
        <v>93000</v>
      </c>
      <c r="F1001">
        <v>83700</v>
      </c>
      <c r="G1001" t="s">
        <v>17</v>
      </c>
      <c r="H1001">
        <v>886.81</v>
      </c>
      <c r="I1001">
        <v>83541.78</v>
      </c>
    </row>
    <row r="1002" spans="1:9" x14ac:dyDescent="0.15">
      <c r="A1002">
        <v>410832026</v>
      </c>
      <c r="B1002" t="s">
        <v>35</v>
      </c>
      <c r="C1002" t="s">
        <v>16</v>
      </c>
      <c r="D1002">
        <v>39318</v>
      </c>
      <c r="E1002">
        <v>204500</v>
      </c>
      <c r="F1002">
        <v>163600</v>
      </c>
      <c r="G1002" t="s">
        <v>17</v>
      </c>
      <c r="H1002">
        <v>1304.6099999999999</v>
      </c>
      <c r="I1002">
        <v>162754.01999999999</v>
      </c>
    </row>
    <row r="1003" spans="1:9" x14ac:dyDescent="0.15">
      <c r="A1003">
        <v>410832059</v>
      </c>
      <c r="B1003" t="s">
        <v>36</v>
      </c>
      <c r="C1003" t="s">
        <v>18</v>
      </c>
      <c r="D1003">
        <v>39331</v>
      </c>
      <c r="E1003">
        <v>175000</v>
      </c>
      <c r="F1003">
        <v>127500</v>
      </c>
      <c r="G1003" t="s">
        <v>17</v>
      </c>
      <c r="H1003">
        <v>1013.03</v>
      </c>
      <c r="I1003">
        <v>127347.64</v>
      </c>
    </row>
    <row r="1004" spans="1:9" x14ac:dyDescent="0.15">
      <c r="A1004">
        <v>410832091</v>
      </c>
      <c r="B1004" t="s">
        <v>36</v>
      </c>
      <c r="C1004" t="s">
        <v>16</v>
      </c>
      <c r="D1004">
        <v>39331</v>
      </c>
      <c r="E1004">
        <v>453000</v>
      </c>
      <c r="F1004">
        <v>392000</v>
      </c>
      <c r="G1004" t="s">
        <v>20</v>
      </c>
      <c r="H1004">
        <v>2960.52</v>
      </c>
      <c r="I1004">
        <v>391362.29</v>
      </c>
    </row>
    <row r="1005" spans="1:9" x14ac:dyDescent="0.15">
      <c r="A1005">
        <v>410832828</v>
      </c>
      <c r="B1005" t="s">
        <v>35</v>
      </c>
      <c r="C1005" t="s">
        <v>16</v>
      </c>
      <c r="D1005">
        <v>39329</v>
      </c>
      <c r="E1005">
        <v>190000</v>
      </c>
      <c r="F1005">
        <v>161500</v>
      </c>
      <c r="G1005" t="s">
        <v>17</v>
      </c>
      <c r="H1005">
        <v>1387.54</v>
      </c>
      <c r="I1005">
        <v>160851.35</v>
      </c>
    </row>
    <row r="1006" spans="1:9" x14ac:dyDescent="0.15">
      <c r="A1006">
        <v>410833941</v>
      </c>
      <c r="B1006" t="s">
        <v>36</v>
      </c>
      <c r="C1006" t="s">
        <v>16</v>
      </c>
      <c r="D1006">
        <v>39314</v>
      </c>
      <c r="E1006">
        <v>255000</v>
      </c>
      <c r="F1006">
        <v>242000</v>
      </c>
      <c r="G1006" t="s">
        <v>17</v>
      </c>
      <c r="H1006">
        <v>1864.84</v>
      </c>
      <c r="I1006">
        <v>241574.09</v>
      </c>
    </row>
    <row r="1007" spans="1:9" x14ac:dyDescent="0.15">
      <c r="A1007">
        <v>410837991</v>
      </c>
      <c r="B1007" t="s">
        <v>37</v>
      </c>
      <c r="C1007" t="s">
        <v>16</v>
      </c>
      <c r="D1007">
        <v>39323</v>
      </c>
      <c r="E1007">
        <v>168000</v>
      </c>
      <c r="F1007">
        <v>149995</v>
      </c>
      <c r="G1007" t="s">
        <v>20</v>
      </c>
      <c r="H1007">
        <v>1220.4100000000001</v>
      </c>
      <c r="I1007">
        <v>145625.81</v>
      </c>
    </row>
    <row r="1008" spans="1:9" x14ac:dyDescent="0.15">
      <c r="A1008">
        <v>410841514</v>
      </c>
      <c r="B1008" t="s">
        <v>36</v>
      </c>
      <c r="C1008" t="s">
        <v>16</v>
      </c>
      <c r="D1008">
        <v>39316</v>
      </c>
      <c r="E1008">
        <v>430000</v>
      </c>
      <c r="F1008">
        <v>408500</v>
      </c>
      <c r="G1008" t="s">
        <v>17</v>
      </c>
      <c r="H1008">
        <v>3521.66</v>
      </c>
      <c r="I1008">
        <v>406944.28</v>
      </c>
    </row>
    <row r="1009" spans="1:9" x14ac:dyDescent="0.15">
      <c r="A1009">
        <v>410842355</v>
      </c>
      <c r="B1009" t="s">
        <v>36</v>
      </c>
      <c r="C1009" t="s">
        <v>18</v>
      </c>
      <c r="D1009">
        <v>39321</v>
      </c>
      <c r="E1009">
        <v>300000</v>
      </c>
      <c r="F1009">
        <v>255000</v>
      </c>
      <c r="G1009" t="s">
        <v>17</v>
      </c>
      <c r="H1009">
        <v>2077.84</v>
      </c>
      <c r="I1009">
        <v>254845.78</v>
      </c>
    </row>
    <row r="1010" spans="1:9" x14ac:dyDescent="0.15">
      <c r="A1010">
        <v>410843940</v>
      </c>
      <c r="B1010" t="s">
        <v>35</v>
      </c>
      <c r="C1010" t="s">
        <v>16</v>
      </c>
      <c r="D1010">
        <v>39351</v>
      </c>
      <c r="E1010">
        <v>278000</v>
      </c>
      <c r="F1010">
        <v>208500</v>
      </c>
      <c r="G1010" t="s">
        <v>17</v>
      </c>
      <c r="H1010">
        <v>1581.08</v>
      </c>
      <c r="I1010">
        <v>207839.53</v>
      </c>
    </row>
    <row r="1011" spans="1:9" x14ac:dyDescent="0.15">
      <c r="A1011">
        <v>410847180</v>
      </c>
      <c r="B1011" t="s">
        <v>37</v>
      </c>
      <c r="C1011" t="s">
        <v>18</v>
      </c>
      <c r="D1011">
        <v>39323</v>
      </c>
      <c r="E1011">
        <v>168800</v>
      </c>
      <c r="F1011">
        <v>151920</v>
      </c>
      <c r="G1011" t="s">
        <v>17</v>
      </c>
      <c r="H1011">
        <v>1260.8399999999999</v>
      </c>
      <c r="I1011">
        <v>151234.85</v>
      </c>
    </row>
    <row r="1012" spans="1:9" x14ac:dyDescent="0.15">
      <c r="A1012">
        <v>410850945</v>
      </c>
      <c r="B1012" t="s">
        <v>37</v>
      </c>
      <c r="C1012" t="s">
        <v>18</v>
      </c>
      <c r="D1012">
        <v>39323</v>
      </c>
      <c r="E1012">
        <v>110000</v>
      </c>
      <c r="F1012">
        <v>88000</v>
      </c>
      <c r="G1012" t="s">
        <v>17</v>
      </c>
      <c r="H1012">
        <v>814.86</v>
      </c>
      <c r="I1012">
        <v>87646.87</v>
      </c>
    </row>
    <row r="1013" spans="1:9" x14ac:dyDescent="0.15">
      <c r="A1013">
        <v>410852891</v>
      </c>
      <c r="B1013" t="s">
        <v>36</v>
      </c>
      <c r="C1013" t="s">
        <v>16</v>
      </c>
      <c r="D1013">
        <v>39353</v>
      </c>
      <c r="E1013">
        <v>325000</v>
      </c>
      <c r="F1013">
        <v>136200</v>
      </c>
      <c r="G1013" t="s">
        <v>17</v>
      </c>
      <c r="H1013">
        <v>1052.81</v>
      </c>
      <c r="I1013">
        <v>136110.59</v>
      </c>
    </row>
    <row r="1014" spans="1:9" x14ac:dyDescent="0.15">
      <c r="A1014">
        <v>410859151</v>
      </c>
      <c r="B1014" t="s">
        <v>36</v>
      </c>
      <c r="C1014" t="s">
        <v>16</v>
      </c>
      <c r="D1014">
        <v>39318</v>
      </c>
      <c r="E1014">
        <v>225000</v>
      </c>
      <c r="F1014">
        <v>130000</v>
      </c>
      <c r="G1014" t="s">
        <v>20</v>
      </c>
      <c r="H1014">
        <v>902.93</v>
      </c>
      <c r="I1014">
        <v>129694.16</v>
      </c>
    </row>
    <row r="1015" spans="1:9" x14ac:dyDescent="0.15">
      <c r="A1015">
        <v>410859979</v>
      </c>
      <c r="B1015" t="s">
        <v>36</v>
      </c>
      <c r="C1015" t="s">
        <v>16</v>
      </c>
      <c r="D1015">
        <v>39325</v>
      </c>
      <c r="E1015">
        <v>265000</v>
      </c>
      <c r="F1015">
        <v>198750</v>
      </c>
      <c r="G1015" t="s">
        <v>20</v>
      </c>
      <c r="H1015">
        <v>1470.85</v>
      </c>
      <c r="I1015">
        <v>197677.39</v>
      </c>
    </row>
    <row r="1016" spans="1:9" x14ac:dyDescent="0.15">
      <c r="A1016">
        <v>410860761</v>
      </c>
      <c r="B1016" t="s">
        <v>36</v>
      </c>
      <c r="C1016" t="s">
        <v>16</v>
      </c>
      <c r="D1016">
        <v>39349</v>
      </c>
      <c r="E1016">
        <v>171000</v>
      </c>
      <c r="F1016">
        <v>153900</v>
      </c>
      <c r="G1016" t="s">
        <v>17</v>
      </c>
      <c r="H1016">
        <v>1398.03</v>
      </c>
      <c r="I1016">
        <v>153360.82999999999</v>
      </c>
    </row>
    <row r="1017" spans="1:9" x14ac:dyDescent="0.15">
      <c r="A1017">
        <v>410861140</v>
      </c>
      <c r="B1017" t="s">
        <v>38</v>
      </c>
      <c r="C1017" t="s">
        <v>16</v>
      </c>
      <c r="D1017">
        <v>39329</v>
      </c>
      <c r="E1017">
        <v>215000</v>
      </c>
      <c r="F1017">
        <v>160000</v>
      </c>
      <c r="G1017" t="s">
        <v>17</v>
      </c>
      <c r="H1017">
        <v>1410.03</v>
      </c>
      <c r="I1017">
        <v>159570.92000000001</v>
      </c>
    </row>
    <row r="1018" spans="1:9" x14ac:dyDescent="0.15">
      <c r="A1018">
        <v>410862189</v>
      </c>
      <c r="B1018" t="s">
        <v>37</v>
      </c>
      <c r="C1018" t="s">
        <v>16</v>
      </c>
      <c r="D1018">
        <v>39325</v>
      </c>
      <c r="E1018">
        <v>91300</v>
      </c>
      <c r="F1018">
        <v>76500</v>
      </c>
      <c r="G1018" t="s">
        <v>20</v>
      </c>
      <c r="H1018">
        <v>798.69</v>
      </c>
      <c r="I1018">
        <v>76292.100000000006</v>
      </c>
    </row>
    <row r="1019" spans="1:9" x14ac:dyDescent="0.15">
      <c r="A1019">
        <v>410863369</v>
      </c>
      <c r="B1019" t="s">
        <v>35</v>
      </c>
      <c r="C1019" t="s">
        <v>16</v>
      </c>
      <c r="D1019">
        <v>39351</v>
      </c>
      <c r="E1019">
        <v>280000</v>
      </c>
      <c r="F1019">
        <v>252000</v>
      </c>
      <c r="G1019" t="s">
        <v>20</v>
      </c>
      <c r="H1019">
        <v>2418.92</v>
      </c>
      <c r="I1019">
        <v>251360.08</v>
      </c>
    </row>
    <row r="1020" spans="1:9" x14ac:dyDescent="0.15">
      <c r="A1020">
        <v>410863435</v>
      </c>
      <c r="B1020" t="s">
        <v>36</v>
      </c>
      <c r="C1020" t="s">
        <v>16</v>
      </c>
      <c r="D1020">
        <v>39325</v>
      </c>
      <c r="E1020">
        <v>95000</v>
      </c>
      <c r="F1020">
        <v>90125</v>
      </c>
      <c r="G1020" t="s">
        <v>20</v>
      </c>
      <c r="H1020">
        <v>996.97</v>
      </c>
      <c r="I1020">
        <v>89975.91</v>
      </c>
    </row>
    <row r="1021" spans="1:9" x14ac:dyDescent="0.15">
      <c r="A1021">
        <v>410867659</v>
      </c>
      <c r="B1021" t="s">
        <v>36</v>
      </c>
      <c r="C1021" t="s">
        <v>16</v>
      </c>
      <c r="D1021">
        <v>39323</v>
      </c>
      <c r="E1021">
        <v>260000</v>
      </c>
      <c r="F1021">
        <v>221000</v>
      </c>
      <c r="G1021" t="s">
        <v>20</v>
      </c>
      <c r="H1021">
        <v>1996.84</v>
      </c>
      <c r="I1021">
        <v>220338.51</v>
      </c>
    </row>
    <row r="1022" spans="1:9" x14ac:dyDescent="0.15">
      <c r="A1022">
        <v>410867709</v>
      </c>
      <c r="B1022" t="s">
        <v>37</v>
      </c>
      <c r="C1022" t="s">
        <v>16</v>
      </c>
      <c r="D1022">
        <v>39385</v>
      </c>
      <c r="E1022">
        <v>136000</v>
      </c>
      <c r="F1022">
        <v>108800</v>
      </c>
      <c r="G1022" t="s">
        <v>20</v>
      </c>
      <c r="H1022">
        <v>855.94</v>
      </c>
      <c r="I1022">
        <v>108417.45</v>
      </c>
    </row>
    <row r="1023" spans="1:9" x14ac:dyDescent="0.15">
      <c r="A1023">
        <v>410867881</v>
      </c>
      <c r="B1023" t="s">
        <v>36</v>
      </c>
      <c r="C1023" t="s">
        <v>16</v>
      </c>
      <c r="D1023">
        <v>39321</v>
      </c>
      <c r="E1023">
        <v>193000</v>
      </c>
      <c r="F1023">
        <v>154400</v>
      </c>
      <c r="G1023" t="s">
        <v>17</v>
      </c>
      <c r="H1023">
        <v>1294.33</v>
      </c>
      <c r="I1023">
        <v>154335.76</v>
      </c>
    </row>
    <row r="1024" spans="1:9" x14ac:dyDescent="0.15">
      <c r="A1024">
        <v>410868061</v>
      </c>
      <c r="B1024" t="s">
        <v>36</v>
      </c>
      <c r="C1024" t="s">
        <v>16</v>
      </c>
      <c r="D1024">
        <v>39325</v>
      </c>
      <c r="E1024">
        <v>141500</v>
      </c>
      <c r="F1024">
        <v>120000</v>
      </c>
      <c r="G1024" t="s">
        <v>20</v>
      </c>
      <c r="H1024">
        <v>1130.1199999999999</v>
      </c>
      <c r="I1024">
        <v>119635.66</v>
      </c>
    </row>
    <row r="1025" spans="1:9" x14ac:dyDescent="0.15">
      <c r="A1025">
        <v>410868517</v>
      </c>
      <c r="B1025" t="s">
        <v>36</v>
      </c>
      <c r="C1025" t="s">
        <v>18</v>
      </c>
      <c r="D1025">
        <v>39317</v>
      </c>
      <c r="E1025">
        <v>620000</v>
      </c>
      <c r="F1025">
        <v>579500</v>
      </c>
      <c r="G1025" t="s">
        <v>21</v>
      </c>
      <c r="H1025">
        <v>5429.28</v>
      </c>
      <c r="I1025">
        <v>579373.4</v>
      </c>
    </row>
    <row r="1026" spans="1:9" x14ac:dyDescent="0.15">
      <c r="A1026">
        <v>410869440</v>
      </c>
      <c r="B1026" t="s">
        <v>37</v>
      </c>
      <c r="C1026" t="s">
        <v>16</v>
      </c>
      <c r="D1026">
        <v>39335</v>
      </c>
      <c r="E1026">
        <v>105000</v>
      </c>
      <c r="F1026">
        <v>89250</v>
      </c>
      <c r="G1026" t="s">
        <v>17</v>
      </c>
      <c r="H1026">
        <v>956.54</v>
      </c>
      <c r="I1026">
        <v>88970.27</v>
      </c>
    </row>
    <row r="1027" spans="1:9" x14ac:dyDescent="0.15">
      <c r="A1027">
        <v>410874135</v>
      </c>
      <c r="B1027" t="s">
        <v>36</v>
      </c>
      <c r="C1027" t="s">
        <v>16</v>
      </c>
      <c r="D1027">
        <v>39342</v>
      </c>
      <c r="E1027">
        <v>270000</v>
      </c>
      <c r="F1027">
        <v>243000</v>
      </c>
      <c r="G1027" t="s">
        <v>20</v>
      </c>
      <c r="H1027">
        <v>2204.67</v>
      </c>
      <c r="I1027">
        <v>242291.08</v>
      </c>
    </row>
    <row r="1028" spans="1:9" x14ac:dyDescent="0.15">
      <c r="A1028">
        <v>410875033</v>
      </c>
      <c r="B1028" t="s">
        <v>37</v>
      </c>
      <c r="C1028" t="s">
        <v>16</v>
      </c>
      <c r="D1028">
        <v>39330</v>
      </c>
      <c r="E1028">
        <v>113900</v>
      </c>
      <c r="F1028">
        <v>102500</v>
      </c>
      <c r="G1028" t="s">
        <v>17</v>
      </c>
      <c r="H1028">
        <v>1078.06</v>
      </c>
      <c r="I1028">
        <v>102272.47</v>
      </c>
    </row>
    <row r="1029" spans="1:9" x14ac:dyDescent="0.15">
      <c r="A1029">
        <v>410875421</v>
      </c>
      <c r="B1029" t="s">
        <v>36</v>
      </c>
      <c r="C1029" t="s">
        <v>16</v>
      </c>
      <c r="D1029">
        <v>39344</v>
      </c>
      <c r="E1029">
        <v>360000</v>
      </c>
      <c r="F1029">
        <v>306000</v>
      </c>
      <c r="G1029" t="s">
        <v>20</v>
      </c>
      <c r="H1029">
        <v>2440.16</v>
      </c>
      <c r="I1029">
        <v>304588.58</v>
      </c>
    </row>
    <row r="1030" spans="1:9" x14ac:dyDescent="0.15">
      <c r="A1030">
        <v>410875603</v>
      </c>
      <c r="B1030" t="s">
        <v>37</v>
      </c>
      <c r="C1030" t="s">
        <v>16</v>
      </c>
      <c r="D1030">
        <v>39357</v>
      </c>
      <c r="E1030">
        <v>125000</v>
      </c>
      <c r="F1030">
        <v>103000</v>
      </c>
      <c r="G1030" t="s">
        <v>17</v>
      </c>
      <c r="H1030">
        <v>884.93</v>
      </c>
      <c r="I1030">
        <v>102655.29</v>
      </c>
    </row>
    <row r="1031" spans="1:9" x14ac:dyDescent="0.15">
      <c r="A1031">
        <v>410875942</v>
      </c>
      <c r="B1031" t="s">
        <v>35</v>
      </c>
      <c r="C1031" t="s">
        <v>16</v>
      </c>
      <c r="D1031">
        <v>39329</v>
      </c>
      <c r="E1031">
        <v>162500</v>
      </c>
      <c r="F1031">
        <v>139695</v>
      </c>
      <c r="G1031" t="s">
        <v>20</v>
      </c>
      <c r="H1031">
        <v>1383.39</v>
      </c>
      <c r="I1031">
        <v>139298.98000000001</v>
      </c>
    </row>
    <row r="1032" spans="1:9" x14ac:dyDescent="0.15">
      <c r="A1032">
        <v>410876064</v>
      </c>
      <c r="B1032" t="s">
        <v>35</v>
      </c>
      <c r="C1032" t="s">
        <v>16</v>
      </c>
      <c r="D1032">
        <v>39325</v>
      </c>
      <c r="E1032">
        <v>112000</v>
      </c>
      <c r="F1032">
        <v>89600</v>
      </c>
      <c r="G1032" t="s">
        <v>20</v>
      </c>
      <c r="H1032">
        <v>772.93</v>
      </c>
      <c r="I1032">
        <v>89562</v>
      </c>
    </row>
    <row r="1033" spans="1:9" x14ac:dyDescent="0.15">
      <c r="A1033">
        <v>410878607</v>
      </c>
      <c r="B1033" t="s">
        <v>37</v>
      </c>
      <c r="C1033" t="s">
        <v>16</v>
      </c>
      <c r="D1033">
        <v>39339</v>
      </c>
      <c r="E1033">
        <v>210000</v>
      </c>
      <c r="F1033">
        <v>150000</v>
      </c>
      <c r="G1033" t="s">
        <v>20</v>
      </c>
      <c r="H1033">
        <v>1209.27</v>
      </c>
      <c r="I1033">
        <v>149799.17000000001</v>
      </c>
    </row>
    <row r="1034" spans="1:9" x14ac:dyDescent="0.15">
      <c r="A1034">
        <v>410882732</v>
      </c>
      <c r="B1034" t="s">
        <v>36</v>
      </c>
      <c r="C1034" t="s">
        <v>18</v>
      </c>
      <c r="D1034">
        <v>39350</v>
      </c>
      <c r="E1034">
        <v>305000</v>
      </c>
      <c r="F1034">
        <v>203250</v>
      </c>
      <c r="G1034" t="s">
        <v>17</v>
      </c>
      <c r="H1034">
        <v>1620.8</v>
      </c>
      <c r="I1034">
        <v>202437.36</v>
      </c>
    </row>
    <row r="1035" spans="1:9" x14ac:dyDescent="0.15">
      <c r="A1035">
        <v>410883961</v>
      </c>
      <c r="B1035" t="s">
        <v>36</v>
      </c>
      <c r="C1035" t="s">
        <v>18</v>
      </c>
      <c r="D1035">
        <v>39322</v>
      </c>
      <c r="E1035">
        <v>122000</v>
      </c>
      <c r="F1035">
        <v>80000</v>
      </c>
      <c r="G1035" t="s">
        <v>20</v>
      </c>
      <c r="H1035">
        <v>678.69</v>
      </c>
      <c r="I1035">
        <v>79888.81</v>
      </c>
    </row>
    <row r="1036" spans="1:9" x14ac:dyDescent="0.15">
      <c r="A1036">
        <v>410884472</v>
      </c>
      <c r="B1036" t="s">
        <v>37</v>
      </c>
      <c r="C1036" t="s">
        <v>18</v>
      </c>
      <c r="D1036">
        <v>39365</v>
      </c>
      <c r="E1036">
        <v>262000</v>
      </c>
      <c r="F1036">
        <v>222250</v>
      </c>
      <c r="G1036" t="s">
        <v>17</v>
      </c>
      <c r="H1036">
        <v>2406.5300000000002</v>
      </c>
      <c r="I1036">
        <v>221820.49</v>
      </c>
    </row>
    <row r="1037" spans="1:9" x14ac:dyDescent="0.15">
      <c r="A1037">
        <v>410890248</v>
      </c>
      <c r="B1037" t="s">
        <v>36</v>
      </c>
      <c r="C1037" t="s">
        <v>18</v>
      </c>
      <c r="D1037">
        <v>39324</v>
      </c>
      <c r="E1037">
        <v>690000</v>
      </c>
      <c r="F1037">
        <v>640000</v>
      </c>
      <c r="G1037" t="s">
        <v>17</v>
      </c>
      <c r="H1037">
        <v>4320</v>
      </c>
      <c r="I1037">
        <v>640000</v>
      </c>
    </row>
    <row r="1038" spans="1:9" x14ac:dyDescent="0.15">
      <c r="A1038">
        <v>410890669</v>
      </c>
      <c r="B1038" t="s">
        <v>37</v>
      </c>
      <c r="C1038" t="s">
        <v>18</v>
      </c>
      <c r="D1038">
        <v>39325</v>
      </c>
      <c r="E1038">
        <v>428000</v>
      </c>
      <c r="F1038">
        <v>240000</v>
      </c>
      <c r="G1038" t="s">
        <v>17</v>
      </c>
      <c r="H1038">
        <v>1677.5</v>
      </c>
      <c r="I1038">
        <v>239774.64</v>
      </c>
    </row>
    <row r="1039" spans="1:9" x14ac:dyDescent="0.15">
      <c r="A1039">
        <v>410891717</v>
      </c>
      <c r="B1039" t="s">
        <v>36</v>
      </c>
      <c r="C1039" t="s">
        <v>18</v>
      </c>
      <c r="D1039">
        <v>39339</v>
      </c>
      <c r="E1039">
        <v>215000</v>
      </c>
      <c r="F1039">
        <v>116310</v>
      </c>
      <c r="G1039" t="s">
        <v>17</v>
      </c>
      <c r="H1039">
        <v>921.25</v>
      </c>
      <c r="I1039">
        <v>115769.13</v>
      </c>
    </row>
    <row r="1040" spans="1:9" x14ac:dyDescent="0.15">
      <c r="A1040">
        <v>410891816</v>
      </c>
      <c r="B1040" t="s">
        <v>36</v>
      </c>
      <c r="C1040" t="s">
        <v>16</v>
      </c>
      <c r="D1040">
        <v>39356</v>
      </c>
      <c r="E1040">
        <v>228000</v>
      </c>
      <c r="F1040">
        <v>182400</v>
      </c>
      <c r="G1040" t="s">
        <v>17</v>
      </c>
      <c r="H1040">
        <v>1876.33</v>
      </c>
      <c r="I1040">
        <v>182311.8</v>
      </c>
    </row>
    <row r="1041" spans="1:9" x14ac:dyDescent="0.15">
      <c r="A1041">
        <v>410892798</v>
      </c>
      <c r="B1041" t="s">
        <v>38</v>
      </c>
      <c r="C1041" t="s">
        <v>16</v>
      </c>
      <c r="D1041">
        <v>39329</v>
      </c>
      <c r="E1041">
        <v>186000</v>
      </c>
      <c r="F1041">
        <v>167400</v>
      </c>
      <c r="G1041" t="s">
        <v>20</v>
      </c>
      <c r="H1041">
        <v>1492.65</v>
      </c>
      <c r="I1041">
        <v>167400</v>
      </c>
    </row>
    <row r="1042" spans="1:9" x14ac:dyDescent="0.15">
      <c r="A1042">
        <v>410893010</v>
      </c>
      <c r="B1042" t="s">
        <v>36</v>
      </c>
      <c r="C1042" t="s">
        <v>16</v>
      </c>
      <c r="D1042">
        <v>39323</v>
      </c>
      <c r="E1042">
        <v>239000</v>
      </c>
      <c r="F1042">
        <v>191200</v>
      </c>
      <c r="G1042" t="s">
        <v>20</v>
      </c>
      <c r="H1042">
        <v>1527.13</v>
      </c>
      <c r="I1042">
        <v>191089.26</v>
      </c>
    </row>
    <row r="1043" spans="1:9" x14ac:dyDescent="0.15">
      <c r="A1043">
        <v>410893150</v>
      </c>
      <c r="B1043" t="s">
        <v>35</v>
      </c>
      <c r="C1043" t="s">
        <v>16</v>
      </c>
      <c r="D1043">
        <v>39374</v>
      </c>
      <c r="E1043">
        <v>70000</v>
      </c>
      <c r="F1043">
        <v>59500</v>
      </c>
      <c r="G1043" t="s">
        <v>17</v>
      </c>
      <c r="H1043">
        <v>553.19000000000005</v>
      </c>
      <c r="I1043">
        <v>59337.01</v>
      </c>
    </row>
    <row r="1044" spans="1:9" x14ac:dyDescent="0.15">
      <c r="A1044">
        <v>410893473</v>
      </c>
      <c r="B1044" t="s">
        <v>36</v>
      </c>
      <c r="C1044" t="s">
        <v>18</v>
      </c>
      <c r="D1044">
        <v>39360</v>
      </c>
      <c r="E1044">
        <v>117000</v>
      </c>
      <c r="F1044">
        <v>93600</v>
      </c>
      <c r="G1044" t="s">
        <v>17</v>
      </c>
      <c r="H1044">
        <v>868.14</v>
      </c>
      <c r="I1044">
        <v>93520.57</v>
      </c>
    </row>
    <row r="1045" spans="1:9" x14ac:dyDescent="0.15">
      <c r="A1045">
        <v>410894133</v>
      </c>
      <c r="B1045" t="s">
        <v>36</v>
      </c>
      <c r="C1045" t="s">
        <v>16</v>
      </c>
      <c r="D1045">
        <v>39331</v>
      </c>
      <c r="E1045">
        <v>184000</v>
      </c>
      <c r="F1045">
        <v>174800</v>
      </c>
      <c r="G1045" t="s">
        <v>20</v>
      </c>
      <c r="H1045">
        <v>1831.73</v>
      </c>
      <c r="I1045">
        <v>174458.48</v>
      </c>
    </row>
    <row r="1046" spans="1:9" x14ac:dyDescent="0.15">
      <c r="A1046">
        <v>410894695</v>
      </c>
      <c r="B1046" t="s">
        <v>36</v>
      </c>
      <c r="C1046" t="s">
        <v>18</v>
      </c>
      <c r="D1046">
        <v>39325</v>
      </c>
      <c r="E1046">
        <v>140000</v>
      </c>
      <c r="F1046">
        <v>112000</v>
      </c>
      <c r="G1046" t="s">
        <v>20</v>
      </c>
      <c r="H1046">
        <v>1003.64</v>
      </c>
      <c r="I1046">
        <v>111612.8</v>
      </c>
    </row>
    <row r="1047" spans="1:9" x14ac:dyDescent="0.15">
      <c r="A1047">
        <v>410896500</v>
      </c>
      <c r="B1047" t="s">
        <v>36</v>
      </c>
      <c r="C1047" t="s">
        <v>16</v>
      </c>
      <c r="D1047">
        <v>39337</v>
      </c>
      <c r="E1047">
        <v>380000</v>
      </c>
      <c r="F1047">
        <v>323000</v>
      </c>
      <c r="G1047" t="s">
        <v>20</v>
      </c>
      <c r="H1047">
        <v>2930.49</v>
      </c>
      <c r="I1047">
        <v>322057.68</v>
      </c>
    </row>
    <row r="1048" spans="1:9" x14ac:dyDescent="0.15">
      <c r="A1048">
        <v>410899025</v>
      </c>
      <c r="B1048" t="s">
        <v>35</v>
      </c>
      <c r="C1048" t="s">
        <v>16</v>
      </c>
      <c r="D1048">
        <v>39325</v>
      </c>
      <c r="E1048">
        <v>160000</v>
      </c>
      <c r="F1048">
        <v>120000</v>
      </c>
      <c r="G1048" t="s">
        <v>17</v>
      </c>
      <c r="H1048">
        <v>893.1</v>
      </c>
      <c r="I1048">
        <v>119360.15</v>
      </c>
    </row>
    <row r="1049" spans="1:9" x14ac:dyDescent="0.15">
      <c r="A1049">
        <v>410899736</v>
      </c>
      <c r="B1049" t="s">
        <v>36</v>
      </c>
      <c r="C1049" t="s">
        <v>16</v>
      </c>
      <c r="D1049">
        <v>39339</v>
      </c>
      <c r="E1049">
        <v>238400</v>
      </c>
      <c r="F1049">
        <v>100000</v>
      </c>
      <c r="G1049" t="s">
        <v>17</v>
      </c>
      <c r="H1049">
        <v>733.77</v>
      </c>
      <c r="I1049">
        <v>99520.79</v>
      </c>
    </row>
    <row r="1050" spans="1:9" x14ac:dyDescent="0.15">
      <c r="A1050">
        <v>410901565</v>
      </c>
      <c r="B1050" t="s">
        <v>35</v>
      </c>
      <c r="C1050" t="s">
        <v>16</v>
      </c>
      <c r="D1050">
        <v>39330</v>
      </c>
      <c r="E1050">
        <v>225000</v>
      </c>
      <c r="F1050">
        <v>180000</v>
      </c>
      <c r="G1050" t="s">
        <v>17</v>
      </c>
      <c r="H1050">
        <v>1599.62</v>
      </c>
      <c r="I1050">
        <v>179446.27</v>
      </c>
    </row>
    <row r="1051" spans="1:9" x14ac:dyDescent="0.15">
      <c r="A1051">
        <v>410903629</v>
      </c>
      <c r="B1051" t="s">
        <v>35</v>
      </c>
      <c r="C1051" t="s">
        <v>16</v>
      </c>
      <c r="D1051">
        <v>39343</v>
      </c>
      <c r="E1051">
        <v>260000</v>
      </c>
      <c r="F1051">
        <v>234000</v>
      </c>
      <c r="G1051" t="s">
        <v>17</v>
      </c>
      <c r="H1051">
        <v>1751.13</v>
      </c>
      <c r="I1051">
        <v>233550.79</v>
      </c>
    </row>
    <row r="1052" spans="1:9" x14ac:dyDescent="0.15">
      <c r="A1052">
        <v>410903892</v>
      </c>
      <c r="B1052" t="s">
        <v>37</v>
      </c>
      <c r="C1052" t="s">
        <v>16</v>
      </c>
      <c r="D1052">
        <v>39330</v>
      </c>
      <c r="E1052">
        <v>167000</v>
      </c>
      <c r="F1052">
        <v>133600</v>
      </c>
      <c r="G1052" t="s">
        <v>20</v>
      </c>
      <c r="H1052">
        <v>1074.02</v>
      </c>
      <c r="I1052">
        <v>133076.43</v>
      </c>
    </row>
    <row r="1053" spans="1:9" x14ac:dyDescent="0.15">
      <c r="A1053">
        <v>410910467</v>
      </c>
      <c r="B1053" t="s">
        <v>38</v>
      </c>
      <c r="C1053" t="s">
        <v>16</v>
      </c>
      <c r="D1053">
        <v>39339</v>
      </c>
      <c r="E1053">
        <v>200000</v>
      </c>
      <c r="F1053">
        <v>135405</v>
      </c>
      <c r="G1053" t="s">
        <v>20</v>
      </c>
      <c r="H1053">
        <v>1325.43</v>
      </c>
      <c r="I1053">
        <v>135082.91</v>
      </c>
    </row>
    <row r="1054" spans="1:9" x14ac:dyDescent="0.15">
      <c r="A1054">
        <v>410912356</v>
      </c>
      <c r="B1054" t="s">
        <v>36</v>
      </c>
      <c r="C1054" t="s">
        <v>16</v>
      </c>
      <c r="D1054">
        <v>39330</v>
      </c>
      <c r="E1054">
        <v>153000</v>
      </c>
      <c r="F1054">
        <v>100000</v>
      </c>
      <c r="G1054" t="s">
        <v>20</v>
      </c>
      <c r="H1054">
        <v>723.34</v>
      </c>
      <c r="I1054">
        <v>99425.16</v>
      </c>
    </row>
    <row r="1055" spans="1:9" x14ac:dyDescent="0.15">
      <c r="A1055">
        <v>410913149</v>
      </c>
      <c r="B1055" t="s">
        <v>37</v>
      </c>
      <c r="C1055" t="s">
        <v>16</v>
      </c>
      <c r="D1055">
        <v>39357</v>
      </c>
      <c r="E1055">
        <v>125000</v>
      </c>
      <c r="F1055">
        <v>112500</v>
      </c>
      <c r="G1055" t="s">
        <v>20</v>
      </c>
      <c r="H1055">
        <v>1021.95</v>
      </c>
      <c r="I1055">
        <v>112383.3</v>
      </c>
    </row>
    <row r="1056" spans="1:9" x14ac:dyDescent="0.15">
      <c r="A1056">
        <v>410913230</v>
      </c>
      <c r="B1056" t="s">
        <v>37</v>
      </c>
      <c r="C1056" t="s">
        <v>16</v>
      </c>
      <c r="D1056">
        <v>39343</v>
      </c>
      <c r="E1056">
        <v>389000</v>
      </c>
      <c r="F1056">
        <v>233400</v>
      </c>
      <c r="G1056" t="s">
        <v>21</v>
      </c>
      <c r="H1056">
        <v>1761.67</v>
      </c>
      <c r="I1056">
        <v>231700.38</v>
      </c>
    </row>
    <row r="1057" spans="1:9" x14ac:dyDescent="0.15">
      <c r="A1057">
        <v>410915771</v>
      </c>
      <c r="B1057" t="s">
        <v>35</v>
      </c>
      <c r="C1057" t="s">
        <v>16</v>
      </c>
      <c r="D1057">
        <v>39365</v>
      </c>
      <c r="E1057">
        <v>150000</v>
      </c>
      <c r="F1057">
        <v>112500</v>
      </c>
      <c r="G1057" t="s">
        <v>17</v>
      </c>
      <c r="H1057">
        <v>1003.94</v>
      </c>
      <c r="I1057">
        <v>112207.71</v>
      </c>
    </row>
    <row r="1058" spans="1:9" x14ac:dyDescent="0.15">
      <c r="A1058">
        <v>410916910</v>
      </c>
      <c r="B1058" t="s">
        <v>36</v>
      </c>
      <c r="C1058" t="s">
        <v>16</v>
      </c>
      <c r="D1058">
        <v>39356</v>
      </c>
      <c r="E1058">
        <v>253000</v>
      </c>
      <c r="F1058">
        <v>146000</v>
      </c>
      <c r="G1058" t="s">
        <v>17</v>
      </c>
      <c r="H1058">
        <v>1173.7</v>
      </c>
      <c r="I1058">
        <v>145107.39000000001</v>
      </c>
    </row>
    <row r="1059" spans="1:9" x14ac:dyDescent="0.15">
      <c r="A1059">
        <v>410917058</v>
      </c>
      <c r="B1059" t="s">
        <v>36</v>
      </c>
      <c r="C1059" t="s">
        <v>18</v>
      </c>
      <c r="D1059">
        <v>39342</v>
      </c>
      <c r="E1059">
        <v>175000</v>
      </c>
      <c r="F1059">
        <v>122500</v>
      </c>
      <c r="G1059" t="s">
        <v>17</v>
      </c>
      <c r="H1059">
        <v>1051.57</v>
      </c>
      <c r="I1059">
        <v>122148.72</v>
      </c>
    </row>
    <row r="1060" spans="1:9" x14ac:dyDescent="0.15">
      <c r="A1060">
        <v>410917751</v>
      </c>
      <c r="B1060" t="s">
        <v>38</v>
      </c>
      <c r="C1060" t="s">
        <v>16</v>
      </c>
      <c r="D1060">
        <v>39356</v>
      </c>
      <c r="E1060">
        <v>221000</v>
      </c>
      <c r="F1060">
        <v>187850</v>
      </c>
      <c r="G1060" t="s">
        <v>17</v>
      </c>
      <c r="H1060">
        <v>1525.02</v>
      </c>
      <c r="I1060">
        <v>186639.35</v>
      </c>
    </row>
    <row r="1061" spans="1:9" x14ac:dyDescent="0.15">
      <c r="A1061">
        <v>410921670</v>
      </c>
      <c r="B1061" t="s">
        <v>36</v>
      </c>
      <c r="C1061" t="s">
        <v>16</v>
      </c>
      <c r="D1061">
        <v>39349</v>
      </c>
      <c r="E1061">
        <v>166000</v>
      </c>
      <c r="F1061">
        <v>120000</v>
      </c>
      <c r="G1061" t="s">
        <v>17</v>
      </c>
      <c r="H1061">
        <v>986.1</v>
      </c>
      <c r="I1061">
        <v>119848.69</v>
      </c>
    </row>
    <row r="1062" spans="1:9" x14ac:dyDescent="0.15">
      <c r="A1062">
        <v>410922264</v>
      </c>
      <c r="B1062" t="s">
        <v>38</v>
      </c>
      <c r="C1062" t="s">
        <v>16</v>
      </c>
      <c r="D1062">
        <v>39349</v>
      </c>
      <c r="E1062">
        <v>213000</v>
      </c>
      <c r="F1062">
        <v>170400</v>
      </c>
      <c r="G1062" t="s">
        <v>20</v>
      </c>
      <c r="H1062">
        <v>1561.46</v>
      </c>
      <c r="I1062">
        <v>170250.67</v>
      </c>
    </row>
    <row r="1063" spans="1:9" x14ac:dyDescent="0.15">
      <c r="A1063">
        <v>410926380</v>
      </c>
      <c r="B1063" t="s">
        <v>37</v>
      </c>
      <c r="C1063" t="s">
        <v>16</v>
      </c>
      <c r="D1063">
        <v>39346</v>
      </c>
      <c r="E1063">
        <v>160000</v>
      </c>
      <c r="F1063">
        <v>120000</v>
      </c>
      <c r="G1063" t="s">
        <v>17</v>
      </c>
      <c r="H1063">
        <v>1141.8900000000001</v>
      </c>
      <c r="I1063">
        <v>119644.04</v>
      </c>
    </row>
    <row r="1064" spans="1:9" x14ac:dyDescent="0.15">
      <c r="A1064">
        <v>410927917</v>
      </c>
      <c r="B1064" t="s">
        <v>36</v>
      </c>
      <c r="C1064" t="s">
        <v>18</v>
      </c>
      <c r="D1064">
        <v>39346</v>
      </c>
      <c r="E1064">
        <v>242000</v>
      </c>
      <c r="F1064">
        <v>217800</v>
      </c>
      <c r="G1064" t="s">
        <v>20</v>
      </c>
      <c r="H1064">
        <v>2107.15</v>
      </c>
      <c r="I1064">
        <v>217264.77</v>
      </c>
    </row>
    <row r="1065" spans="1:9" x14ac:dyDescent="0.15">
      <c r="A1065">
        <v>410931315</v>
      </c>
      <c r="B1065" t="s">
        <v>36</v>
      </c>
      <c r="C1065" t="s">
        <v>16</v>
      </c>
      <c r="D1065">
        <v>39342</v>
      </c>
      <c r="E1065">
        <v>208500</v>
      </c>
      <c r="F1065">
        <v>166800</v>
      </c>
      <c r="G1065" t="s">
        <v>20</v>
      </c>
      <c r="H1065">
        <v>1216.47</v>
      </c>
      <c r="I1065">
        <v>166500.29</v>
      </c>
    </row>
    <row r="1066" spans="1:9" x14ac:dyDescent="0.15">
      <c r="A1066">
        <v>410932164</v>
      </c>
      <c r="B1066" t="s">
        <v>38</v>
      </c>
      <c r="C1066" t="s">
        <v>16</v>
      </c>
      <c r="D1066">
        <v>39353</v>
      </c>
      <c r="E1066">
        <v>114000</v>
      </c>
      <c r="F1066">
        <v>73500</v>
      </c>
      <c r="G1066" t="s">
        <v>17</v>
      </c>
      <c r="H1066">
        <v>672.34</v>
      </c>
      <c r="I1066">
        <v>73030.83</v>
      </c>
    </row>
    <row r="1067" spans="1:9" x14ac:dyDescent="0.15">
      <c r="A1067">
        <v>410941850</v>
      </c>
      <c r="B1067" t="s">
        <v>36</v>
      </c>
      <c r="C1067" t="s">
        <v>16</v>
      </c>
      <c r="D1067">
        <v>39343</v>
      </c>
      <c r="E1067">
        <v>329000</v>
      </c>
      <c r="F1067">
        <v>260000</v>
      </c>
      <c r="G1067" t="s">
        <v>17</v>
      </c>
      <c r="H1067">
        <v>2214.7399999999998</v>
      </c>
      <c r="I1067">
        <v>259111.44</v>
      </c>
    </row>
    <row r="1068" spans="1:9" x14ac:dyDescent="0.15">
      <c r="A1068">
        <v>410943872</v>
      </c>
      <c r="B1068" t="s">
        <v>36</v>
      </c>
      <c r="C1068" t="s">
        <v>16</v>
      </c>
      <c r="D1068">
        <v>39377</v>
      </c>
      <c r="E1068">
        <v>214000</v>
      </c>
      <c r="F1068">
        <v>125000</v>
      </c>
      <c r="G1068" t="s">
        <v>20</v>
      </c>
      <c r="H1068">
        <v>1060.2</v>
      </c>
      <c r="I1068">
        <v>124631.49</v>
      </c>
    </row>
    <row r="1069" spans="1:9" x14ac:dyDescent="0.15">
      <c r="A1069">
        <v>410948384</v>
      </c>
      <c r="B1069" t="s">
        <v>35</v>
      </c>
      <c r="C1069" t="s">
        <v>16</v>
      </c>
      <c r="D1069">
        <v>39343</v>
      </c>
      <c r="E1069">
        <v>190000</v>
      </c>
      <c r="F1069">
        <v>171000</v>
      </c>
      <c r="G1069" t="s">
        <v>17</v>
      </c>
      <c r="H1069">
        <v>1551.44</v>
      </c>
      <c r="I1069">
        <v>170501.1</v>
      </c>
    </row>
    <row r="1070" spans="1:9" x14ac:dyDescent="0.15">
      <c r="A1070">
        <v>410949929</v>
      </c>
      <c r="B1070" t="s">
        <v>37</v>
      </c>
      <c r="C1070" t="s">
        <v>16</v>
      </c>
      <c r="D1070">
        <v>39351</v>
      </c>
      <c r="E1070">
        <v>170000</v>
      </c>
      <c r="F1070">
        <v>144500</v>
      </c>
      <c r="G1070" t="s">
        <v>21</v>
      </c>
      <c r="H1070">
        <v>1324.13</v>
      </c>
      <c r="I1070">
        <v>144373.26999999999</v>
      </c>
    </row>
    <row r="1071" spans="1:9" x14ac:dyDescent="0.15">
      <c r="A1071">
        <v>410950406</v>
      </c>
      <c r="B1071" t="s">
        <v>35</v>
      </c>
      <c r="C1071" t="s">
        <v>16</v>
      </c>
      <c r="D1071">
        <v>39353</v>
      </c>
      <c r="E1071">
        <v>220000</v>
      </c>
      <c r="F1071">
        <v>197910</v>
      </c>
      <c r="G1071" t="s">
        <v>20</v>
      </c>
      <c r="H1071">
        <v>1735.34</v>
      </c>
      <c r="I1071">
        <v>197280.27</v>
      </c>
    </row>
    <row r="1072" spans="1:9" x14ac:dyDescent="0.15">
      <c r="A1072">
        <v>410950455</v>
      </c>
      <c r="B1072" t="s">
        <v>35</v>
      </c>
      <c r="C1072" t="s">
        <v>16</v>
      </c>
      <c r="D1072">
        <v>39366</v>
      </c>
      <c r="E1072">
        <v>122000</v>
      </c>
      <c r="F1072">
        <v>91500</v>
      </c>
      <c r="G1072" t="s">
        <v>17</v>
      </c>
      <c r="H1072">
        <v>845.55</v>
      </c>
      <c r="I1072">
        <v>91356.54</v>
      </c>
    </row>
    <row r="1073" spans="1:9" x14ac:dyDescent="0.15">
      <c r="A1073">
        <v>410950521</v>
      </c>
      <c r="B1073" t="s">
        <v>36</v>
      </c>
      <c r="C1073" t="s">
        <v>16</v>
      </c>
      <c r="D1073">
        <v>39386</v>
      </c>
      <c r="E1073">
        <v>160000</v>
      </c>
      <c r="F1073">
        <v>144000</v>
      </c>
      <c r="G1073" t="s">
        <v>21</v>
      </c>
      <c r="H1073">
        <v>1262.47</v>
      </c>
      <c r="I1073">
        <v>143874.5</v>
      </c>
    </row>
    <row r="1074" spans="1:9" x14ac:dyDescent="0.15">
      <c r="A1074">
        <v>410952360</v>
      </c>
      <c r="B1074" t="s">
        <v>36</v>
      </c>
      <c r="C1074" t="s">
        <v>16</v>
      </c>
      <c r="D1074">
        <v>39350</v>
      </c>
      <c r="E1074">
        <v>280000</v>
      </c>
      <c r="F1074">
        <v>210000</v>
      </c>
      <c r="G1074" t="s">
        <v>17</v>
      </c>
      <c r="H1074">
        <v>1791.46</v>
      </c>
      <c r="I1074">
        <v>209765.2</v>
      </c>
    </row>
    <row r="1075" spans="1:9" x14ac:dyDescent="0.15">
      <c r="A1075">
        <v>410952527</v>
      </c>
      <c r="B1075" t="s">
        <v>37</v>
      </c>
      <c r="C1075" t="s">
        <v>16</v>
      </c>
      <c r="D1075">
        <v>39349</v>
      </c>
      <c r="E1075">
        <v>237000</v>
      </c>
      <c r="F1075">
        <v>189500</v>
      </c>
      <c r="G1075" t="s">
        <v>17</v>
      </c>
      <c r="H1075">
        <v>1425.37</v>
      </c>
      <c r="I1075">
        <v>189188.05</v>
      </c>
    </row>
    <row r="1076" spans="1:9" x14ac:dyDescent="0.15">
      <c r="A1076">
        <v>410953954</v>
      </c>
      <c r="B1076" t="s">
        <v>36</v>
      </c>
      <c r="C1076" t="s">
        <v>16</v>
      </c>
      <c r="D1076">
        <v>39342</v>
      </c>
      <c r="E1076">
        <v>93000</v>
      </c>
      <c r="F1076">
        <v>74400</v>
      </c>
      <c r="G1076" t="s">
        <v>17</v>
      </c>
      <c r="H1076">
        <v>759.57</v>
      </c>
      <c r="I1076">
        <v>74243</v>
      </c>
    </row>
    <row r="1077" spans="1:9" x14ac:dyDescent="0.15">
      <c r="A1077">
        <v>410955447</v>
      </c>
      <c r="B1077" t="s">
        <v>36</v>
      </c>
      <c r="C1077" t="s">
        <v>16</v>
      </c>
      <c r="D1077">
        <v>39344</v>
      </c>
      <c r="E1077">
        <v>269000</v>
      </c>
      <c r="F1077">
        <v>218300</v>
      </c>
      <c r="G1077" t="s">
        <v>17</v>
      </c>
      <c r="H1077">
        <v>2153.4899999999998</v>
      </c>
      <c r="I1077">
        <v>217866.51</v>
      </c>
    </row>
    <row r="1078" spans="1:9" x14ac:dyDescent="0.15">
      <c r="A1078">
        <v>410959977</v>
      </c>
      <c r="B1078" t="s">
        <v>35</v>
      </c>
      <c r="C1078" t="s">
        <v>16</v>
      </c>
      <c r="D1078">
        <v>39350</v>
      </c>
      <c r="E1078">
        <v>73000</v>
      </c>
      <c r="F1078">
        <v>58400</v>
      </c>
      <c r="G1078" t="s">
        <v>17</v>
      </c>
      <c r="H1078">
        <v>593.98</v>
      </c>
      <c r="I1078">
        <v>58270.92</v>
      </c>
    </row>
    <row r="1079" spans="1:9" x14ac:dyDescent="0.15">
      <c r="A1079">
        <v>410961098</v>
      </c>
      <c r="B1079" t="s">
        <v>36</v>
      </c>
      <c r="C1079" t="s">
        <v>16</v>
      </c>
      <c r="D1079">
        <v>39344</v>
      </c>
      <c r="E1079">
        <v>186000</v>
      </c>
      <c r="F1079">
        <v>148800</v>
      </c>
      <c r="G1079" t="s">
        <v>20</v>
      </c>
      <c r="H1079">
        <v>1350.02</v>
      </c>
      <c r="I1079">
        <v>148301.74</v>
      </c>
    </row>
    <row r="1080" spans="1:9" x14ac:dyDescent="0.15">
      <c r="A1080">
        <v>410961825</v>
      </c>
      <c r="B1080" t="s">
        <v>37</v>
      </c>
      <c r="C1080" t="s">
        <v>18</v>
      </c>
      <c r="D1080">
        <v>39342</v>
      </c>
      <c r="E1080">
        <v>175000</v>
      </c>
      <c r="F1080">
        <v>100000</v>
      </c>
      <c r="G1080" t="s">
        <v>20</v>
      </c>
      <c r="H1080">
        <v>876.84</v>
      </c>
      <c r="I1080">
        <v>99681.75</v>
      </c>
    </row>
    <row r="1081" spans="1:9" x14ac:dyDescent="0.15">
      <c r="A1081">
        <v>410962013</v>
      </c>
      <c r="B1081" t="s">
        <v>35</v>
      </c>
      <c r="C1081" t="s">
        <v>16</v>
      </c>
      <c r="D1081">
        <v>39356</v>
      </c>
      <c r="E1081">
        <v>103000</v>
      </c>
      <c r="F1081">
        <v>92700</v>
      </c>
      <c r="G1081" t="s">
        <v>17</v>
      </c>
      <c r="H1081">
        <v>957.1</v>
      </c>
      <c r="I1081">
        <v>92510.7</v>
      </c>
    </row>
    <row r="1082" spans="1:9" x14ac:dyDescent="0.15">
      <c r="A1082">
        <v>410963672</v>
      </c>
      <c r="B1082" t="s">
        <v>37</v>
      </c>
      <c r="C1082" t="s">
        <v>16</v>
      </c>
      <c r="D1082">
        <v>39374</v>
      </c>
      <c r="E1082">
        <v>234000</v>
      </c>
      <c r="F1082">
        <v>210600</v>
      </c>
      <c r="G1082" t="s">
        <v>20</v>
      </c>
      <c r="H1082">
        <v>2005.44</v>
      </c>
      <c r="I1082">
        <v>210138.85</v>
      </c>
    </row>
    <row r="1083" spans="1:9" x14ac:dyDescent="0.15">
      <c r="A1083">
        <v>410964290</v>
      </c>
      <c r="B1083" t="s">
        <v>37</v>
      </c>
      <c r="C1083" t="s">
        <v>18</v>
      </c>
      <c r="D1083">
        <v>39370</v>
      </c>
      <c r="E1083">
        <v>185000</v>
      </c>
      <c r="F1083">
        <v>166500</v>
      </c>
      <c r="G1083" t="s">
        <v>17</v>
      </c>
      <c r="H1083">
        <v>1541.75</v>
      </c>
      <c r="I1083">
        <v>165808.34</v>
      </c>
    </row>
    <row r="1084" spans="1:9" x14ac:dyDescent="0.15">
      <c r="A1084">
        <v>410964662</v>
      </c>
      <c r="B1084" t="s">
        <v>36</v>
      </c>
      <c r="C1084" t="s">
        <v>16</v>
      </c>
      <c r="D1084">
        <v>39384</v>
      </c>
      <c r="E1084">
        <v>178000</v>
      </c>
      <c r="F1084">
        <v>93260</v>
      </c>
      <c r="G1084" t="s">
        <v>17</v>
      </c>
      <c r="H1084">
        <v>832.24</v>
      </c>
      <c r="I1084">
        <v>92989.94</v>
      </c>
    </row>
    <row r="1085" spans="1:9" x14ac:dyDescent="0.15">
      <c r="A1085">
        <v>410968580</v>
      </c>
      <c r="B1085" t="s">
        <v>37</v>
      </c>
      <c r="C1085" t="s">
        <v>18</v>
      </c>
      <c r="D1085">
        <v>39353</v>
      </c>
      <c r="E1085">
        <v>155000</v>
      </c>
      <c r="F1085">
        <v>139500</v>
      </c>
      <c r="G1085" t="s">
        <v>17</v>
      </c>
      <c r="H1085">
        <v>1360.21</v>
      </c>
      <c r="I1085">
        <v>139164.56</v>
      </c>
    </row>
    <row r="1086" spans="1:9" x14ac:dyDescent="0.15">
      <c r="A1086">
        <v>410969794</v>
      </c>
      <c r="B1086" t="s">
        <v>35</v>
      </c>
      <c r="C1086" t="s">
        <v>16</v>
      </c>
      <c r="D1086">
        <v>39349</v>
      </c>
      <c r="E1086">
        <v>130000</v>
      </c>
      <c r="F1086">
        <v>104000</v>
      </c>
      <c r="G1086" t="s">
        <v>17</v>
      </c>
      <c r="H1086">
        <v>978.65</v>
      </c>
      <c r="I1086">
        <v>103724.4</v>
      </c>
    </row>
    <row r="1087" spans="1:9" x14ac:dyDescent="0.15">
      <c r="A1087">
        <v>410970412</v>
      </c>
      <c r="B1087" t="s">
        <v>38</v>
      </c>
      <c r="C1087" t="s">
        <v>16</v>
      </c>
      <c r="D1087">
        <v>39359</v>
      </c>
      <c r="E1087">
        <v>235000</v>
      </c>
      <c r="F1087">
        <v>207000</v>
      </c>
      <c r="G1087" t="s">
        <v>17</v>
      </c>
      <c r="H1087">
        <v>1755.7</v>
      </c>
      <c r="I1087">
        <v>206285.13</v>
      </c>
    </row>
    <row r="1088" spans="1:9" x14ac:dyDescent="0.15">
      <c r="A1088">
        <v>410974117</v>
      </c>
      <c r="B1088" t="s">
        <v>35</v>
      </c>
      <c r="C1088" t="s">
        <v>16</v>
      </c>
      <c r="D1088">
        <v>39351</v>
      </c>
      <c r="E1088">
        <v>95000</v>
      </c>
      <c r="F1088">
        <v>80750</v>
      </c>
      <c r="G1088" t="s">
        <v>17</v>
      </c>
      <c r="H1088">
        <v>852.43</v>
      </c>
      <c r="I1088">
        <v>80595.66</v>
      </c>
    </row>
    <row r="1089" spans="1:9" x14ac:dyDescent="0.15">
      <c r="A1089">
        <v>410974653</v>
      </c>
      <c r="B1089" t="s">
        <v>36</v>
      </c>
      <c r="C1089" t="s">
        <v>18</v>
      </c>
      <c r="D1089">
        <v>39364</v>
      </c>
      <c r="E1089">
        <v>195000</v>
      </c>
      <c r="F1089">
        <v>126750</v>
      </c>
      <c r="G1089" t="s">
        <v>17</v>
      </c>
      <c r="H1089">
        <v>948.53</v>
      </c>
      <c r="I1089">
        <v>126599.88</v>
      </c>
    </row>
    <row r="1090" spans="1:9" x14ac:dyDescent="0.15">
      <c r="A1090">
        <v>410974703</v>
      </c>
      <c r="B1090" t="s">
        <v>37</v>
      </c>
      <c r="C1090" t="s">
        <v>18</v>
      </c>
      <c r="D1090">
        <v>39364</v>
      </c>
      <c r="E1090">
        <v>280000</v>
      </c>
      <c r="F1090">
        <v>210000</v>
      </c>
      <c r="G1090" t="s">
        <v>17</v>
      </c>
      <c r="H1090">
        <v>1976.07</v>
      </c>
      <c r="I1090">
        <v>209955.03</v>
      </c>
    </row>
    <row r="1091" spans="1:9" x14ac:dyDescent="0.15">
      <c r="A1091">
        <v>410977524</v>
      </c>
      <c r="B1091" t="s">
        <v>36</v>
      </c>
      <c r="C1091" t="s">
        <v>16</v>
      </c>
      <c r="D1091">
        <v>39356</v>
      </c>
      <c r="E1091">
        <v>198000</v>
      </c>
      <c r="F1091">
        <v>178200</v>
      </c>
      <c r="G1091" t="s">
        <v>17</v>
      </c>
      <c r="H1091">
        <v>1616.76</v>
      </c>
      <c r="I1091">
        <v>177680.11</v>
      </c>
    </row>
    <row r="1092" spans="1:9" x14ac:dyDescent="0.15">
      <c r="A1092">
        <v>410981773</v>
      </c>
      <c r="B1092" t="s">
        <v>35</v>
      </c>
      <c r="C1092" t="s">
        <v>16</v>
      </c>
      <c r="D1092">
        <v>39364</v>
      </c>
      <c r="E1092">
        <v>298000</v>
      </c>
      <c r="F1092">
        <v>267750</v>
      </c>
      <c r="G1092" t="s">
        <v>20</v>
      </c>
      <c r="H1092">
        <v>2359.6</v>
      </c>
      <c r="I1092">
        <v>266908.75</v>
      </c>
    </row>
    <row r="1093" spans="1:9" x14ac:dyDescent="0.15">
      <c r="A1093">
        <v>410986830</v>
      </c>
      <c r="B1093" t="s">
        <v>38</v>
      </c>
      <c r="C1093" t="s">
        <v>16</v>
      </c>
      <c r="D1093">
        <v>39384</v>
      </c>
      <c r="E1093">
        <v>194000</v>
      </c>
      <c r="F1093">
        <v>155200</v>
      </c>
      <c r="G1093" t="s">
        <v>17</v>
      </c>
      <c r="H1093">
        <v>1254.3699999999999</v>
      </c>
      <c r="I1093">
        <v>154686.99</v>
      </c>
    </row>
    <row r="1094" spans="1:9" x14ac:dyDescent="0.15">
      <c r="A1094">
        <v>410989776</v>
      </c>
      <c r="B1094" t="s">
        <v>37</v>
      </c>
      <c r="C1094" t="s">
        <v>16</v>
      </c>
      <c r="D1094">
        <v>39356</v>
      </c>
      <c r="E1094">
        <v>69000</v>
      </c>
      <c r="F1094">
        <v>50000</v>
      </c>
      <c r="G1094" t="s">
        <v>17</v>
      </c>
      <c r="H1094">
        <v>438.42</v>
      </c>
      <c r="I1094">
        <v>49840.86</v>
      </c>
    </row>
    <row r="1095" spans="1:9" x14ac:dyDescent="0.15">
      <c r="A1095">
        <v>410991806</v>
      </c>
      <c r="B1095" t="s">
        <v>37</v>
      </c>
      <c r="C1095" t="s">
        <v>16</v>
      </c>
      <c r="D1095">
        <v>39370</v>
      </c>
      <c r="E1095">
        <v>205000</v>
      </c>
      <c r="F1095">
        <v>135000</v>
      </c>
      <c r="G1095" t="s">
        <v>17</v>
      </c>
      <c r="H1095">
        <v>985.89</v>
      </c>
      <c r="I1095">
        <v>134440.16</v>
      </c>
    </row>
    <row r="1096" spans="1:9" x14ac:dyDescent="0.15">
      <c r="A1096">
        <v>410993109</v>
      </c>
      <c r="B1096" t="s">
        <v>37</v>
      </c>
      <c r="C1096" t="s">
        <v>16</v>
      </c>
      <c r="D1096">
        <v>39356</v>
      </c>
      <c r="E1096">
        <v>170000</v>
      </c>
      <c r="F1096">
        <v>136000</v>
      </c>
      <c r="G1096" t="s">
        <v>20</v>
      </c>
      <c r="H1096">
        <v>1084.52</v>
      </c>
      <c r="I1096">
        <v>135370.81</v>
      </c>
    </row>
    <row r="1097" spans="1:9" x14ac:dyDescent="0.15">
      <c r="A1097">
        <v>410993265</v>
      </c>
      <c r="B1097" t="s">
        <v>35</v>
      </c>
      <c r="C1097" t="s">
        <v>16</v>
      </c>
      <c r="D1097">
        <v>39385</v>
      </c>
      <c r="E1097">
        <v>136000</v>
      </c>
      <c r="F1097">
        <v>108800</v>
      </c>
      <c r="G1097" t="s">
        <v>17</v>
      </c>
      <c r="H1097">
        <v>940.99</v>
      </c>
      <c r="I1097">
        <v>108700.76</v>
      </c>
    </row>
    <row r="1098" spans="1:9" x14ac:dyDescent="0.15">
      <c r="A1098">
        <v>410996847</v>
      </c>
      <c r="B1098" t="s">
        <v>37</v>
      </c>
      <c r="C1098" t="s">
        <v>16</v>
      </c>
      <c r="D1098">
        <v>39399</v>
      </c>
      <c r="E1098">
        <v>157500</v>
      </c>
      <c r="F1098">
        <v>141750</v>
      </c>
      <c r="G1098" t="s">
        <v>17</v>
      </c>
      <c r="H1098">
        <v>1348.85</v>
      </c>
      <c r="I1098">
        <v>141492.03</v>
      </c>
    </row>
    <row r="1099" spans="1:9" x14ac:dyDescent="0.15">
      <c r="A1099">
        <v>410998777</v>
      </c>
      <c r="B1099" t="s">
        <v>35</v>
      </c>
      <c r="C1099" t="s">
        <v>16</v>
      </c>
      <c r="D1099">
        <v>39394</v>
      </c>
      <c r="E1099">
        <v>147000</v>
      </c>
      <c r="F1099">
        <v>120560</v>
      </c>
      <c r="G1099" t="s">
        <v>20</v>
      </c>
      <c r="H1099">
        <v>1198.5</v>
      </c>
      <c r="I1099">
        <v>120405.34</v>
      </c>
    </row>
    <row r="1100" spans="1:9" x14ac:dyDescent="0.15">
      <c r="A1100">
        <v>410998884</v>
      </c>
      <c r="B1100" t="s">
        <v>37</v>
      </c>
      <c r="C1100" t="s">
        <v>16</v>
      </c>
      <c r="D1100">
        <v>39384</v>
      </c>
      <c r="E1100">
        <v>240000</v>
      </c>
      <c r="F1100">
        <v>180000</v>
      </c>
      <c r="G1100" t="s">
        <v>17</v>
      </c>
      <c r="H1100">
        <v>1487.35</v>
      </c>
      <c r="I1100">
        <v>179435.05</v>
      </c>
    </row>
    <row r="1101" spans="1:9" x14ac:dyDescent="0.15">
      <c r="A1101">
        <v>411001902</v>
      </c>
      <c r="B1101" t="s">
        <v>38</v>
      </c>
      <c r="C1101" t="s">
        <v>16</v>
      </c>
      <c r="D1101">
        <v>39377</v>
      </c>
      <c r="E1101">
        <v>191000</v>
      </c>
      <c r="F1101">
        <v>171900</v>
      </c>
      <c r="G1101" t="s">
        <v>21</v>
      </c>
      <c r="H1101">
        <v>1553.2</v>
      </c>
      <c r="I1101">
        <v>170805.48</v>
      </c>
    </row>
    <row r="1102" spans="1:9" x14ac:dyDescent="0.15">
      <c r="A1102">
        <v>411004120</v>
      </c>
      <c r="B1102" t="s">
        <v>37</v>
      </c>
      <c r="C1102" t="s">
        <v>18</v>
      </c>
      <c r="D1102">
        <v>39370</v>
      </c>
      <c r="E1102">
        <v>225000</v>
      </c>
      <c r="F1102">
        <v>142000</v>
      </c>
      <c r="G1102" t="s">
        <v>17</v>
      </c>
      <c r="H1102">
        <v>1168.2</v>
      </c>
      <c r="I1102">
        <v>141549.70000000001</v>
      </c>
    </row>
    <row r="1103" spans="1:9" x14ac:dyDescent="0.15">
      <c r="A1103">
        <v>411011059</v>
      </c>
      <c r="B1103" t="s">
        <v>35</v>
      </c>
      <c r="C1103" t="s">
        <v>16</v>
      </c>
      <c r="D1103">
        <v>39377</v>
      </c>
      <c r="E1103">
        <v>85000</v>
      </c>
      <c r="F1103">
        <v>68000</v>
      </c>
      <c r="G1103" t="s">
        <v>17</v>
      </c>
      <c r="H1103">
        <v>650.16</v>
      </c>
      <c r="I1103">
        <v>67852.69</v>
      </c>
    </row>
    <row r="1104" spans="1:9" x14ac:dyDescent="0.15">
      <c r="A1104">
        <v>411011414</v>
      </c>
      <c r="B1104" t="s">
        <v>35</v>
      </c>
      <c r="C1104" t="s">
        <v>16</v>
      </c>
      <c r="D1104">
        <v>39374</v>
      </c>
      <c r="E1104">
        <v>77500</v>
      </c>
      <c r="F1104">
        <v>62000</v>
      </c>
      <c r="G1104" t="s">
        <v>17</v>
      </c>
      <c r="H1104">
        <v>648.5</v>
      </c>
      <c r="I1104">
        <v>61913.89</v>
      </c>
    </row>
    <row r="1105" spans="1:9" x14ac:dyDescent="0.15">
      <c r="A1105">
        <v>411012404</v>
      </c>
      <c r="B1105" t="s">
        <v>38</v>
      </c>
      <c r="C1105" t="s">
        <v>16</v>
      </c>
      <c r="D1105">
        <v>39423</v>
      </c>
      <c r="E1105">
        <v>235000</v>
      </c>
      <c r="F1105">
        <v>199750</v>
      </c>
      <c r="G1105" t="s">
        <v>17</v>
      </c>
      <c r="H1105">
        <v>1451.55</v>
      </c>
      <c r="I1105">
        <v>199625.69</v>
      </c>
    </row>
    <row r="1106" spans="1:9" x14ac:dyDescent="0.15">
      <c r="A1106">
        <v>411014137</v>
      </c>
      <c r="B1106" t="s">
        <v>35</v>
      </c>
      <c r="C1106" t="s">
        <v>16</v>
      </c>
      <c r="D1106">
        <v>39370</v>
      </c>
      <c r="E1106">
        <v>130000</v>
      </c>
      <c r="F1106">
        <v>104000</v>
      </c>
      <c r="G1106" t="s">
        <v>17</v>
      </c>
      <c r="H1106">
        <v>911.91</v>
      </c>
      <c r="I1106">
        <v>103717.53</v>
      </c>
    </row>
    <row r="1107" spans="1:9" x14ac:dyDescent="0.15">
      <c r="A1107">
        <v>411016702</v>
      </c>
      <c r="B1107" t="s">
        <v>35</v>
      </c>
      <c r="C1107" t="s">
        <v>16</v>
      </c>
      <c r="D1107">
        <v>39365</v>
      </c>
      <c r="E1107">
        <v>250000</v>
      </c>
      <c r="F1107">
        <v>212500</v>
      </c>
      <c r="G1107" t="s">
        <v>20</v>
      </c>
      <c r="H1107">
        <v>2022.09</v>
      </c>
      <c r="I1107">
        <v>211392.98</v>
      </c>
    </row>
    <row r="1108" spans="1:9" x14ac:dyDescent="0.15">
      <c r="A1108">
        <v>411018252</v>
      </c>
      <c r="B1108" t="s">
        <v>38</v>
      </c>
      <c r="C1108" t="s">
        <v>16</v>
      </c>
      <c r="D1108">
        <v>39388</v>
      </c>
      <c r="E1108">
        <v>104000</v>
      </c>
      <c r="F1108">
        <v>88400</v>
      </c>
      <c r="G1108" t="s">
        <v>17</v>
      </c>
      <c r="H1108">
        <v>1038.31</v>
      </c>
      <c r="I1108">
        <v>86308.97</v>
      </c>
    </row>
    <row r="1109" spans="1:9" x14ac:dyDescent="0.15">
      <c r="A1109">
        <v>411018492</v>
      </c>
      <c r="B1109" t="s">
        <v>38</v>
      </c>
      <c r="C1109" t="s">
        <v>18</v>
      </c>
      <c r="D1109">
        <v>39387</v>
      </c>
      <c r="E1109">
        <v>113500</v>
      </c>
      <c r="F1109">
        <v>90800</v>
      </c>
      <c r="G1109" t="s">
        <v>17</v>
      </c>
      <c r="H1109">
        <v>930.49</v>
      </c>
      <c r="I1109">
        <v>90638.38</v>
      </c>
    </row>
    <row r="1110" spans="1:9" x14ac:dyDescent="0.15">
      <c r="A1110">
        <v>411019094</v>
      </c>
      <c r="B1110" t="s">
        <v>38</v>
      </c>
      <c r="C1110" t="s">
        <v>16</v>
      </c>
      <c r="D1110">
        <v>39391</v>
      </c>
      <c r="E1110">
        <v>128000</v>
      </c>
      <c r="F1110">
        <v>100000</v>
      </c>
      <c r="G1110" t="s">
        <v>21</v>
      </c>
      <c r="H1110">
        <v>925.98</v>
      </c>
      <c r="I1110">
        <v>99723.36</v>
      </c>
    </row>
    <row r="1111" spans="1:9" x14ac:dyDescent="0.15">
      <c r="A1111">
        <v>411020951</v>
      </c>
      <c r="B1111" t="s">
        <v>37</v>
      </c>
      <c r="C1111" t="s">
        <v>16</v>
      </c>
      <c r="D1111">
        <v>39405</v>
      </c>
      <c r="E1111">
        <v>214000</v>
      </c>
      <c r="F1111">
        <v>176900</v>
      </c>
      <c r="G1111" t="s">
        <v>20</v>
      </c>
      <c r="H1111">
        <v>1624.8</v>
      </c>
      <c r="I1111">
        <v>176546.07</v>
      </c>
    </row>
    <row r="1112" spans="1:9" x14ac:dyDescent="0.15">
      <c r="A1112">
        <v>411028293</v>
      </c>
      <c r="B1112" t="s">
        <v>36</v>
      </c>
      <c r="C1112" t="s">
        <v>16</v>
      </c>
      <c r="D1112">
        <v>39374</v>
      </c>
      <c r="E1112">
        <v>184000</v>
      </c>
      <c r="F1112">
        <v>112240</v>
      </c>
      <c r="G1112" t="s">
        <v>21</v>
      </c>
      <c r="H1112">
        <v>728.63</v>
      </c>
      <c r="I1112">
        <v>112240</v>
      </c>
    </row>
    <row r="1113" spans="1:9" x14ac:dyDescent="0.15">
      <c r="A1113">
        <v>411028350</v>
      </c>
      <c r="B1113" t="s">
        <v>35</v>
      </c>
      <c r="C1113" t="s">
        <v>16</v>
      </c>
      <c r="D1113">
        <v>39386</v>
      </c>
      <c r="E1113">
        <v>66000</v>
      </c>
      <c r="F1113">
        <v>59400</v>
      </c>
      <c r="G1113" t="s">
        <v>17</v>
      </c>
      <c r="H1113">
        <v>565.24</v>
      </c>
      <c r="I1113">
        <v>59189.75</v>
      </c>
    </row>
    <row r="1114" spans="1:9" x14ac:dyDescent="0.15">
      <c r="A1114">
        <v>411028624</v>
      </c>
      <c r="B1114" t="s">
        <v>35</v>
      </c>
      <c r="C1114" t="s">
        <v>16</v>
      </c>
      <c r="D1114">
        <v>39384</v>
      </c>
      <c r="E1114">
        <v>345000</v>
      </c>
      <c r="F1114">
        <v>293250</v>
      </c>
      <c r="G1114" t="s">
        <v>20</v>
      </c>
      <c r="H1114">
        <v>2726.42</v>
      </c>
      <c r="I1114">
        <v>292565.25</v>
      </c>
    </row>
    <row r="1115" spans="1:9" x14ac:dyDescent="0.15">
      <c r="A1115">
        <v>411030018</v>
      </c>
      <c r="B1115" t="s">
        <v>36</v>
      </c>
      <c r="C1115" t="s">
        <v>18</v>
      </c>
      <c r="D1115">
        <v>39379</v>
      </c>
      <c r="E1115">
        <v>275000</v>
      </c>
      <c r="F1115">
        <v>140000</v>
      </c>
      <c r="G1115" t="s">
        <v>17</v>
      </c>
      <c r="H1115">
        <v>1066.58</v>
      </c>
      <c r="I1115">
        <v>139471.34</v>
      </c>
    </row>
    <row r="1116" spans="1:9" x14ac:dyDescent="0.15">
      <c r="A1116">
        <v>411031586</v>
      </c>
      <c r="B1116" t="s">
        <v>35</v>
      </c>
      <c r="C1116" t="s">
        <v>16</v>
      </c>
      <c r="D1116">
        <v>39407</v>
      </c>
      <c r="E1116">
        <v>145000</v>
      </c>
      <c r="F1116">
        <v>108750</v>
      </c>
      <c r="G1116" t="s">
        <v>20</v>
      </c>
      <c r="H1116">
        <v>864.06</v>
      </c>
      <c r="I1116">
        <v>108642.1</v>
      </c>
    </row>
    <row r="1117" spans="1:9" x14ac:dyDescent="0.15">
      <c r="A1117">
        <v>411031842</v>
      </c>
      <c r="B1117" t="s">
        <v>37</v>
      </c>
      <c r="C1117" t="s">
        <v>18</v>
      </c>
      <c r="D1117">
        <v>39384</v>
      </c>
      <c r="E1117">
        <v>120000</v>
      </c>
      <c r="F1117">
        <v>96000</v>
      </c>
      <c r="G1117" t="s">
        <v>17</v>
      </c>
      <c r="H1117">
        <v>800.14</v>
      </c>
      <c r="I1117">
        <v>95900.3</v>
      </c>
    </row>
    <row r="1118" spans="1:9" x14ac:dyDescent="0.15">
      <c r="A1118">
        <v>411032170</v>
      </c>
      <c r="B1118" t="s">
        <v>36</v>
      </c>
      <c r="C1118" t="s">
        <v>16</v>
      </c>
      <c r="D1118">
        <v>39379</v>
      </c>
      <c r="E1118">
        <v>238000</v>
      </c>
      <c r="F1118">
        <v>166600</v>
      </c>
      <c r="G1118" t="s">
        <v>17</v>
      </c>
      <c r="H1118">
        <v>1542.67</v>
      </c>
      <c r="I1118">
        <v>166206.79999999999</v>
      </c>
    </row>
    <row r="1119" spans="1:9" x14ac:dyDescent="0.15">
      <c r="A1119">
        <v>411036197</v>
      </c>
      <c r="B1119" t="s">
        <v>38</v>
      </c>
      <c r="C1119" t="s">
        <v>16</v>
      </c>
      <c r="D1119">
        <v>39405</v>
      </c>
      <c r="E1119">
        <v>309000</v>
      </c>
      <c r="F1119">
        <v>278100</v>
      </c>
      <c r="G1119" t="s">
        <v>20</v>
      </c>
      <c r="H1119">
        <v>2438.48</v>
      </c>
      <c r="I1119">
        <v>277473.17</v>
      </c>
    </row>
    <row r="1120" spans="1:9" x14ac:dyDescent="0.15">
      <c r="A1120">
        <v>411036858</v>
      </c>
      <c r="B1120" t="s">
        <v>35</v>
      </c>
      <c r="C1120" t="s">
        <v>16</v>
      </c>
      <c r="D1120">
        <v>39377</v>
      </c>
      <c r="E1120">
        <v>100000</v>
      </c>
      <c r="F1120">
        <v>85000</v>
      </c>
      <c r="G1120" t="s">
        <v>17</v>
      </c>
      <c r="H1120">
        <v>799.86</v>
      </c>
      <c r="I1120">
        <v>84905.04</v>
      </c>
    </row>
    <row r="1121" spans="1:9" x14ac:dyDescent="0.15">
      <c r="A1121">
        <v>411038896</v>
      </c>
      <c r="B1121" t="s">
        <v>37</v>
      </c>
      <c r="C1121" t="s">
        <v>18</v>
      </c>
      <c r="D1121">
        <v>39402</v>
      </c>
      <c r="E1121">
        <v>318000</v>
      </c>
      <c r="F1121">
        <v>243225</v>
      </c>
      <c r="G1121" t="s">
        <v>20</v>
      </c>
      <c r="H1121">
        <v>1970.28</v>
      </c>
      <c r="I1121">
        <v>242997.69</v>
      </c>
    </row>
    <row r="1122" spans="1:9" x14ac:dyDescent="0.15">
      <c r="A1122">
        <v>411039662</v>
      </c>
      <c r="B1122" t="s">
        <v>36</v>
      </c>
      <c r="C1122" t="s">
        <v>16</v>
      </c>
      <c r="D1122">
        <v>39385</v>
      </c>
      <c r="E1122">
        <v>315000</v>
      </c>
      <c r="F1122">
        <v>204750</v>
      </c>
      <c r="G1122" t="s">
        <v>20</v>
      </c>
      <c r="H1122">
        <v>1684.43</v>
      </c>
      <c r="I1122">
        <v>203989.56</v>
      </c>
    </row>
    <row r="1123" spans="1:9" x14ac:dyDescent="0.15">
      <c r="A1123">
        <v>411040538</v>
      </c>
      <c r="B1123" t="s">
        <v>35</v>
      </c>
      <c r="C1123" t="s">
        <v>16</v>
      </c>
      <c r="D1123">
        <v>39385</v>
      </c>
      <c r="E1123">
        <v>168000</v>
      </c>
      <c r="F1123">
        <v>151200</v>
      </c>
      <c r="G1123" t="s">
        <v>20</v>
      </c>
      <c r="H1123">
        <v>1383.09</v>
      </c>
      <c r="I1123">
        <v>151018.14000000001</v>
      </c>
    </row>
    <row r="1124" spans="1:9" x14ac:dyDescent="0.15">
      <c r="A1124">
        <v>411042658</v>
      </c>
      <c r="B1124" t="s">
        <v>37</v>
      </c>
      <c r="C1124" t="s">
        <v>16</v>
      </c>
      <c r="D1124">
        <v>39378</v>
      </c>
      <c r="E1124">
        <v>129000</v>
      </c>
      <c r="F1124">
        <v>109650</v>
      </c>
      <c r="G1124" t="s">
        <v>17</v>
      </c>
      <c r="H1124">
        <v>938.04</v>
      </c>
      <c r="I1124">
        <v>109333.45</v>
      </c>
    </row>
    <row r="1125" spans="1:9" x14ac:dyDescent="0.15">
      <c r="A1125">
        <v>411046527</v>
      </c>
      <c r="B1125" t="s">
        <v>35</v>
      </c>
      <c r="C1125" t="s">
        <v>16</v>
      </c>
      <c r="D1125">
        <v>39378</v>
      </c>
      <c r="E1125">
        <v>350000</v>
      </c>
      <c r="F1125">
        <v>262500</v>
      </c>
      <c r="G1125" t="s">
        <v>17</v>
      </c>
      <c r="H1125">
        <v>2313.34</v>
      </c>
      <c r="I1125">
        <v>261915.48</v>
      </c>
    </row>
    <row r="1126" spans="1:9" x14ac:dyDescent="0.15">
      <c r="A1126">
        <v>411047004</v>
      </c>
      <c r="B1126" t="s">
        <v>37</v>
      </c>
      <c r="C1126" t="s">
        <v>16</v>
      </c>
      <c r="D1126">
        <v>39399</v>
      </c>
      <c r="E1126">
        <v>119000</v>
      </c>
      <c r="F1126">
        <v>95200</v>
      </c>
      <c r="G1126" t="s">
        <v>20</v>
      </c>
      <c r="H1126">
        <v>895.84</v>
      </c>
      <c r="I1126">
        <v>94984.75</v>
      </c>
    </row>
    <row r="1127" spans="1:9" x14ac:dyDescent="0.15">
      <c r="A1127">
        <v>411047574</v>
      </c>
      <c r="B1127" t="s">
        <v>38</v>
      </c>
      <c r="C1127" t="s">
        <v>16</v>
      </c>
      <c r="D1127">
        <v>39391</v>
      </c>
      <c r="E1127">
        <v>165000</v>
      </c>
      <c r="F1127">
        <v>130000</v>
      </c>
      <c r="G1127" t="s">
        <v>17</v>
      </c>
      <c r="H1127">
        <v>1179.46</v>
      </c>
      <c r="I1127">
        <v>129947.21</v>
      </c>
    </row>
    <row r="1128" spans="1:9" x14ac:dyDescent="0.15">
      <c r="A1128">
        <v>411053507</v>
      </c>
      <c r="B1128" t="s">
        <v>35</v>
      </c>
      <c r="C1128" t="s">
        <v>16</v>
      </c>
      <c r="D1128">
        <v>39381</v>
      </c>
      <c r="E1128">
        <v>117000</v>
      </c>
      <c r="F1128">
        <v>92400</v>
      </c>
      <c r="G1128" t="s">
        <v>17</v>
      </c>
      <c r="H1128">
        <v>834.88</v>
      </c>
      <c r="I1128">
        <v>92074.87</v>
      </c>
    </row>
    <row r="1129" spans="1:9" x14ac:dyDescent="0.15">
      <c r="A1129">
        <v>411055338</v>
      </c>
      <c r="B1129" t="s">
        <v>35</v>
      </c>
      <c r="C1129" t="s">
        <v>16</v>
      </c>
      <c r="D1129">
        <v>39412</v>
      </c>
      <c r="E1129">
        <v>353000</v>
      </c>
      <c r="F1129">
        <v>264750</v>
      </c>
      <c r="G1129" t="s">
        <v>17</v>
      </c>
      <c r="H1129">
        <v>1905.5</v>
      </c>
      <c r="I1129">
        <v>263040.94</v>
      </c>
    </row>
    <row r="1130" spans="1:9" x14ac:dyDescent="0.15">
      <c r="A1130">
        <v>411057375</v>
      </c>
      <c r="B1130" t="s">
        <v>37</v>
      </c>
      <c r="C1130" t="s">
        <v>16</v>
      </c>
      <c r="D1130">
        <v>39379</v>
      </c>
      <c r="E1130">
        <v>90000</v>
      </c>
      <c r="F1130">
        <v>67500</v>
      </c>
      <c r="G1130" t="s">
        <v>17</v>
      </c>
      <c r="H1130">
        <v>750.34</v>
      </c>
      <c r="I1130">
        <v>66035.38</v>
      </c>
    </row>
    <row r="1131" spans="1:9" x14ac:dyDescent="0.15">
      <c r="A1131">
        <v>411058852</v>
      </c>
      <c r="B1131" t="s">
        <v>35</v>
      </c>
      <c r="C1131" t="s">
        <v>16</v>
      </c>
      <c r="D1131">
        <v>39395</v>
      </c>
      <c r="E1131">
        <v>165000</v>
      </c>
      <c r="F1131">
        <v>140250</v>
      </c>
      <c r="G1131" t="s">
        <v>17</v>
      </c>
      <c r="H1131">
        <v>1251.58</v>
      </c>
      <c r="I1131">
        <v>139885.60999999999</v>
      </c>
    </row>
    <row r="1132" spans="1:9" x14ac:dyDescent="0.15">
      <c r="A1132">
        <v>411059082</v>
      </c>
      <c r="B1132" t="s">
        <v>36</v>
      </c>
      <c r="C1132" t="s">
        <v>18</v>
      </c>
      <c r="D1132">
        <v>39384</v>
      </c>
      <c r="E1132">
        <v>243000</v>
      </c>
      <c r="F1132">
        <v>218700</v>
      </c>
      <c r="G1132" t="s">
        <v>17</v>
      </c>
      <c r="H1132">
        <v>1830.98</v>
      </c>
      <c r="I1132">
        <v>217920.75</v>
      </c>
    </row>
    <row r="1133" spans="1:9" x14ac:dyDescent="0.15">
      <c r="A1133">
        <v>411059850</v>
      </c>
      <c r="B1133" t="s">
        <v>37</v>
      </c>
      <c r="C1133" t="s">
        <v>16</v>
      </c>
      <c r="D1133">
        <v>39391</v>
      </c>
      <c r="E1133">
        <v>91000</v>
      </c>
      <c r="F1133">
        <v>77350</v>
      </c>
      <c r="G1133" t="s">
        <v>17</v>
      </c>
      <c r="H1133">
        <v>794.15</v>
      </c>
      <c r="I1133">
        <v>77212.69</v>
      </c>
    </row>
    <row r="1134" spans="1:9" x14ac:dyDescent="0.15">
      <c r="A1134">
        <v>411060031</v>
      </c>
      <c r="B1134" t="s">
        <v>36</v>
      </c>
      <c r="C1134" t="s">
        <v>16</v>
      </c>
      <c r="D1134">
        <v>39379</v>
      </c>
      <c r="E1134">
        <v>170000</v>
      </c>
      <c r="F1134">
        <v>153000</v>
      </c>
      <c r="G1134" t="s">
        <v>17</v>
      </c>
      <c r="H1134">
        <v>1371.04</v>
      </c>
      <c r="I1134">
        <v>152539.18</v>
      </c>
    </row>
    <row r="1135" spans="1:9" x14ac:dyDescent="0.15">
      <c r="A1135">
        <v>411060288</v>
      </c>
      <c r="B1135" t="s">
        <v>37</v>
      </c>
      <c r="C1135" t="s">
        <v>16</v>
      </c>
      <c r="D1135">
        <v>39381</v>
      </c>
      <c r="E1135">
        <v>325000</v>
      </c>
      <c r="F1135">
        <v>188500</v>
      </c>
      <c r="G1135" t="s">
        <v>17</v>
      </c>
      <c r="H1135">
        <v>1515.36</v>
      </c>
      <c r="I1135">
        <v>187869.21</v>
      </c>
    </row>
    <row r="1136" spans="1:9" x14ac:dyDescent="0.15">
      <c r="A1136">
        <v>411062060</v>
      </c>
      <c r="B1136" t="s">
        <v>36</v>
      </c>
      <c r="C1136" t="s">
        <v>18</v>
      </c>
      <c r="D1136">
        <v>39393</v>
      </c>
      <c r="E1136">
        <v>268000</v>
      </c>
      <c r="F1136">
        <v>201000</v>
      </c>
      <c r="G1136" t="s">
        <v>20</v>
      </c>
      <c r="H1136">
        <v>1922.09</v>
      </c>
      <c r="I1136">
        <v>200893.17</v>
      </c>
    </row>
    <row r="1137" spans="1:9" x14ac:dyDescent="0.15">
      <c r="A1137">
        <v>411063035</v>
      </c>
      <c r="B1137" t="s">
        <v>38</v>
      </c>
      <c r="C1137" t="s">
        <v>18</v>
      </c>
      <c r="D1137">
        <v>39428</v>
      </c>
      <c r="E1137">
        <v>320000</v>
      </c>
      <c r="F1137">
        <v>272000</v>
      </c>
      <c r="G1137" t="s">
        <v>20</v>
      </c>
      <c r="H1137">
        <v>2528.86</v>
      </c>
      <c r="I1137">
        <v>271580.32</v>
      </c>
    </row>
    <row r="1138" spans="1:9" x14ac:dyDescent="0.15">
      <c r="A1138">
        <v>411063274</v>
      </c>
      <c r="B1138" t="s">
        <v>37</v>
      </c>
      <c r="C1138" t="s">
        <v>16</v>
      </c>
      <c r="D1138">
        <v>39393</v>
      </c>
      <c r="E1138">
        <v>185000</v>
      </c>
      <c r="F1138">
        <v>135000</v>
      </c>
      <c r="G1138" t="s">
        <v>17</v>
      </c>
      <c r="H1138">
        <v>1219.79</v>
      </c>
      <c r="I1138">
        <v>134717.25</v>
      </c>
    </row>
    <row r="1139" spans="1:9" x14ac:dyDescent="0.15">
      <c r="A1139">
        <v>411065121</v>
      </c>
      <c r="B1139" t="s">
        <v>36</v>
      </c>
      <c r="C1139" t="s">
        <v>16</v>
      </c>
      <c r="D1139">
        <v>39399</v>
      </c>
      <c r="E1139">
        <v>270000</v>
      </c>
      <c r="F1139">
        <v>229500</v>
      </c>
      <c r="G1139" t="s">
        <v>17</v>
      </c>
      <c r="H1139">
        <v>2281.48</v>
      </c>
      <c r="I1139">
        <v>229130.23</v>
      </c>
    </row>
    <row r="1140" spans="1:9" x14ac:dyDescent="0.15">
      <c r="A1140">
        <v>411065535</v>
      </c>
      <c r="B1140" t="s">
        <v>35</v>
      </c>
      <c r="C1140" t="s">
        <v>16</v>
      </c>
      <c r="D1140">
        <v>39392</v>
      </c>
      <c r="E1140">
        <v>275000</v>
      </c>
      <c r="F1140">
        <v>247500</v>
      </c>
      <c r="G1140" t="s">
        <v>20</v>
      </c>
      <c r="H1140">
        <v>2034.33</v>
      </c>
      <c r="I1140">
        <v>246847.12</v>
      </c>
    </row>
    <row r="1141" spans="1:9" x14ac:dyDescent="0.15">
      <c r="A1141">
        <v>411066442</v>
      </c>
      <c r="B1141" t="s">
        <v>36</v>
      </c>
      <c r="C1141" t="s">
        <v>16</v>
      </c>
      <c r="D1141">
        <v>39385</v>
      </c>
      <c r="E1141">
        <v>155000</v>
      </c>
      <c r="F1141">
        <v>123750</v>
      </c>
      <c r="G1141" t="s">
        <v>17</v>
      </c>
      <c r="H1141">
        <v>985.95</v>
      </c>
      <c r="I1141">
        <v>123327.22</v>
      </c>
    </row>
    <row r="1142" spans="1:9" x14ac:dyDescent="0.15">
      <c r="A1142">
        <v>411069941</v>
      </c>
      <c r="B1142" t="s">
        <v>36</v>
      </c>
      <c r="C1142" t="s">
        <v>16</v>
      </c>
      <c r="D1142">
        <v>39407</v>
      </c>
      <c r="E1142">
        <v>285000</v>
      </c>
      <c r="F1142">
        <v>197000</v>
      </c>
      <c r="G1142" t="s">
        <v>17</v>
      </c>
      <c r="H1142">
        <v>1809.41</v>
      </c>
      <c r="I1142">
        <v>196573.54</v>
      </c>
    </row>
    <row r="1143" spans="1:9" x14ac:dyDescent="0.15">
      <c r="A1143">
        <v>411070428</v>
      </c>
      <c r="B1143" t="s">
        <v>36</v>
      </c>
      <c r="C1143" t="s">
        <v>16</v>
      </c>
      <c r="D1143">
        <v>39393</v>
      </c>
      <c r="E1143">
        <v>165000</v>
      </c>
      <c r="F1143">
        <v>100000</v>
      </c>
      <c r="G1143" t="s">
        <v>17</v>
      </c>
      <c r="H1143">
        <v>758.31</v>
      </c>
      <c r="I1143">
        <v>99683.24</v>
      </c>
    </row>
    <row r="1144" spans="1:9" x14ac:dyDescent="0.15">
      <c r="A1144">
        <v>411070824</v>
      </c>
      <c r="B1144" t="s">
        <v>36</v>
      </c>
      <c r="C1144" t="s">
        <v>16</v>
      </c>
      <c r="D1144">
        <v>39416</v>
      </c>
      <c r="E1144">
        <v>135000</v>
      </c>
      <c r="F1144">
        <v>108000</v>
      </c>
      <c r="G1144" t="s">
        <v>20</v>
      </c>
      <c r="H1144">
        <v>921.32</v>
      </c>
      <c r="I1144">
        <v>107931.83</v>
      </c>
    </row>
    <row r="1145" spans="1:9" x14ac:dyDescent="0.15">
      <c r="A1145">
        <v>411073125</v>
      </c>
      <c r="B1145" t="s">
        <v>37</v>
      </c>
      <c r="C1145" t="s">
        <v>16</v>
      </c>
      <c r="D1145">
        <v>39387</v>
      </c>
      <c r="E1145">
        <v>238000</v>
      </c>
      <c r="F1145">
        <v>187600</v>
      </c>
      <c r="G1145" t="s">
        <v>17</v>
      </c>
      <c r="H1145">
        <v>1879.29</v>
      </c>
      <c r="I1145">
        <v>187364.57</v>
      </c>
    </row>
    <row r="1146" spans="1:9" x14ac:dyDescent="0.15">
      <c r="A1146">
        <v>411073331</v>
      </c>
      <c r="B1146" t="s">
        <v>37</v>
      </c>
      <c r="C1146" t="s">
        <v>16</v>
      </c>
      <c r="D1146">
        <v>39423</v>
      </c>
      <c r="E1146">
        <v>160000</v>
      </c>
      <c r="F1146">
        <v>140250</v>
      </c>
      <c r="G1146" t="s">
        <v>20</v>
      </c>
      <c r="H1146">
        <v>1251.58</v>
      </c>
      <c r="I1146">
        <v>139947.64000000001</v>
      </c>
    </row>
    <row r="1147" spans="1:9" x14ac:dyDescent="0.15">
      <c r="A1147">
        <v>411074214</v>
      </c>
      <c r="B1147" t="s">
        <v>38</v>
      </c>
      <c r="C1147" t="s">
        <v>16</v>
      </c>
      <c r="D1147">
        <v>39393</v>
      </c>
      <c r="E1147">
        <v>150000</v>
      </c>
      <c r="F1147">
        <v>100000</v>
      </c>
      <c r="G1147" t="s">
        <v>17</v>
      </c>
      <c r="H1147">
        <v>822.68</v>
      </c>
      <c r="I1147">
        <v>99736.74</v>
      </c>
    </row>
    <row r="1148" spans="1:9" x14ac:dyDescent="0.15">
      <c r="A1148">
        <v>411075716</v>
      </c>
      <c r="B1148" t="s">
        <v>36</v>
      </c>
      <c r="C1148" t="s">
        <v>16</v>
      </c>
      <c r="D1148">
        <v>39401</v>
      </c>
      <c r="E1148">
        <v>322000</v>
      </c>
      <c r="F1148">
        <v>289800</v>
      </c>
      <c r="G1148" t="s">
        <v>17</v>
      </c>
      <c r="H1148">
        <v>2361.0500000000002</v>
      </c>
      <c r="I1148">
        <v>289491.34999999998</v>
      </c>
    </row>
    <row r="1149" spans="1:9" x14ac:dyDescent="0.15">
      <c r="A1149">
        <v>411078462</v>
      </c>
      <c r="B1149" t="s">
        <v>37</v>
      </c>
      <c r="C1149" t="s">
        <v>16</v>
      </c>
      <c r="D1149">
        <v>39399</v>
      </c>
      <c r="E1149">
        <v>256500</v>
      </c>
      <c r="F1149">
        <v>230850</v>
      </c>
      <c r="G1149" t="s">
        <v>17</v>
      </c>
      <c r="H1149">
        <v>2330.23</v>
      </c>
      <c r="I1149">
        <v>230493.98</v>
      </c>
    </row>
    <row r="1150" spans="1:9" x14ac:dyDescent="0.15">
      <c r="A1150">
        <v>411080039</v>
      </c>
      <c r="B1150" t="s">
        <v>35</v>
      </c>
      <c r="C1150" t="s">
        <v>16</v>
      </c>
      <c r="D1150">
        <v>39392</v>
      </c>
      <c r="E1150">
        <v>150000</v>
      </c>
      <c r="F1150">
        <v>130500</v>
      </c>
      <c r="G1150" t="s">
        <v>17</v>
      </c>
      <c r="H1150">
        <v>1145.24</v>
      </c>
      <c r="I1150">
        <v>130206.44</v>
      </c>
    </row>
    <row r="1151" spans="1:9" x14ac:dyDescent="0.15">
      <c r="A1151">
        <v>411080187</v>
      </c>
      <c r="B1151" t="s">
        <v>35</v>
      </c>
      <c r="C1151" t="s">
        <v>16</v>
      </c>
      <c r="D1151">
        <v>39391</v>
      </c>
      <c r="E1151">
        <v>100000</v>
      </c>
      <c r="F1151">
        <v>80000</v>
      </c>
      <c r="G1151" t="s">
        <v>17</v>
      </c>
      <c r="H1151">
        <v>640.83000000000004</v>
      </c>
      <c r="I1151">
        <v>79730.039999999994</v>
      </c>
    </row>
    <row r="1152" spans="1:9" x14ac:dyDescent="0.15">
      <c r="A1152">
        <v>411082555</v>
      </c>
      <c r="B1152" t="s">
        <v>35</v>
      </c>
      <c r="C1152" t="s">
        <v>16</v>
      </c>
      <c r="D1152">
        <v>39386</v>
      </c>
      <c r="E1152">
        <v>120000</v>
      </c>
      <c r="F1152">
        <v>104940</v>
      </c>
      <c r="G1152" t="s">
        <v>20</v>
      </c>
      <c r="H1152">
        <v>995.41</v>
      </c>
      <c r="I1152">
        <v>104746.75</v>
      </c>
    </row>
    <row r="1153" spans="1:9" x14ac:dyDescent="0.15">
      <c r="A1153">
        <v>411086119</v>
      </c>
      <c r="B1153" t="s">
        <v>37</v>
      </c>
      <c r="C1153" t="s">
        <v>16</v>
      </c>
      <c r="D1153">
        <v>39421</v>
      </c>
      <c r="E1153">
        <v>152000</v>
      </c>
      <c r="F1153">
        <v>116000</v>
      </c>
      <c r="G1153" t="s">
        <v>17</v>
      </c>
      <c r="H1153">
        <v>904.31</v>
      </c>
      <c r="I1153">
        <v>115558.65</v>
      </c>
    </row>
    <row r="1154" spans="1:9" x14ac:dyDescent="0.15">
      <c r="A1154">
        <v>411086648</v>
      </c>
      <c r="B1154" t="s">
        <v>35</v>
      </c>
      <c r="C1154" t="s">
        <v>16</v>
      </c>
      <c r="D1154">
        <v>39420</v>
      </c>
      <c r="E1154">
        <v>270000</v>
      </c>
      <c r="F1154">
        <v>194000</v>
      </c>
      <c r="G1154" t="s">
        <v>17</v>
      </c>
      <c r="H1154">
        <v>1688.18</v>
      </c>
      <c r="I1154">
        <v>193494.23</v>
      </c>
    </row>
    <row r="1155" spans="1:9" x14ac:dyDescent="0.15">
      <c r="A1155">
        <v>411088479</v>
      </c>
      <c r="B1155" t="s">
        <v>37</v>
      </c>
      <c r="C1155" t="s">
        <v>18</v>
      </c>
      <c r="D1155">
        <v>39401</v>
      </c>
      <c r="E1155">
        <v>194000</v>
      </c>
      <c r="F1155">
        <v>135700</v>
      </c>
      <c r="G1155" t="s">
        <v>17</v>
      </c>
      <c r="H1155">
        <v>1087</v>
      </c>
      <c r="I1155">
        <v>135187.19</v>
      </c>
    </row>
    <row r="1156" spans="1:9" x14ac:dyDescent="0.15">
      <c r="A1156">
        <v>411088826</v>
      </c>
      <c r="B1156" t="s">
        <v>38</v>
      </c>
      <c r="C1156" t="s">
        <v>16</v>
      </c>
      <c r="D1156">
        <v>39405</v>
      </c>
      <c r="E1156">
        <v>137000</v>
      </c>
      <c r="F1156">
        <v>123300</v>
      </c>
      <c r="G1156" t="s">
        <v>17</v>
      </c>
      <c r="H1156">
        <v>1082.05</v>
      </c>
      <c r="I1156">
        <v>123022.67</v>
      </c>
    </row>
    <row r="1157" spans="1:9" x14ac:dyDescent="0.15">
      <c r="A1157">
        <v>411091598</v>
      </c>
      <c r="B1157" t="s">
        <v>37</v>
      </c>
      <c r="C1157" t="s">
        <v>18</v>
      </c>
      <c r="D1157">
        <v>39401</v>
      </c>
      <c r="E1157">
        <v>251000</v>
      </c>
      <c r="F1157">
        <v>200800</v>
      </c>
      <c r="G1157" t="s">
        <v>17</v>
      </c>
      <c r="H1157">
        <v>1747.35</v>
      </c>
      <c r="I1157">
        <v>200244.15</v>
      </c>
    </row>
    <row r="1158" spans="1:9" x14ac:dyDescent="0.15">
      <c r="A1158">
        <v>411092471</v>
      </c>
      <c r="B1158" t="s">
        <v>37</v>
      </c>
      <c r="C1158" t="s">
        <v>16</v>
      </c>
      <c r="D1158">
        <v>39393</v>
      </c>
      <c r="E1158">
        <v>81000</v>
      </c>
      <c r="F1158">
        <v>72900</v>
      </c>
      <c r="G1158" t="s">
        <v>17</v>
      </c>
      <c r="H1158">
        <v>758.29</v>
      </c>
      <c r="I1158">
        <v>72797.039999999994</v>
      </c>
    </row>
    <row r="1159" spans="1:9" x14ac:dyDescent="0.15">
      <c r="A1159">
        <v>411096597</v>
      </c>
      <c r="B1159" t="s">
        <v>36</v>
      </c>
      <c r="C1159" t="s">
        <v>18</v>
      </c>
      <c r="D1159">
        <v>39399</v>
      </c>
      <c r="E1159">
        <v>330000</v>
      </c>
      <c r="F1159">
        <v>175000</v>
      </c>
      <c r="G1159" t="s">
        <v>17</v>
      </c>
      <c r="H1159">
        <v>1274.96</v>
      </c>
      <c r="I1159">
        <v>174395.92</v>
      </c>
    </row>
    <row r="1160" spans="1:9" x14ac:dyDescent="0.15">
      <c r="A1160">
        <v>411099518</v>
      </c>
      <c r="B1160" t="s">
        <v>37</v>
      </c>
      <c r="C1160" t="s">
        <v>16</v>
      </c>
      <c r="D1160">
        <v>39421</v>
      </c>
      <c r="E1160">
        <v>205000</v>
      </c>
      <c r="F1160">
        <v>150000</v>
      </c>
      <c r="G1160" t="s">
        <v>17</v>
      </c>
      <c r="H1160">
        <v>1427.36</v>
      </c>
      <c r="I1160">
        <v>149782.59</v>
      </c>
    </row>
    <row r="1161" spans="1:9" x14ac:dyDescent="0.15">
      <c r="A1161">
        <v>411100100</v>
      </c>
      <c r="B1161" t="s">
        <v>37</v>
      </c>
      <c r="C1161" t="s">
        <v>16</v>
      </c>
      <c r="D1161">
        <v>39437</v>
      </c>
      <c r="E1161">
        <v>136000</v>
      </c>
      <c r="F1161">
        <v>115600</v>
      </c>
      <c r="G1161" t="s">
        <v>21</v>
      </c>
      <c r="H1161">
        <v>976.25</v>
      </c>
      <c r="I1161">
        <v>115314.15</v>
      </c>
    </row>
    <row r="1162" spans="1:9" x14ac:dyDescent="0.15">
      <c r="A1162">
        <v>411103260</v>
      </c>
      <c r="B1162" t="s">
        <v>37</v>
      </c>
      <c r="C1162" t="s">
        <v>16</v>
      </c>
      <c r="D1162">
        <v>39407</v>
      </c>
      <c r="E1162">
        <v>83000</v>
      </c>
      <c r="F1162">
        <v>62250</v>
      </c>
      <c r="G1162" t="s">
        <v>17</v>
      </c>
      <c r="H1162">
        <v>592.36</v>
      </c>
      <c r="I1162">
        <v>62136.68</v>
      </c>
    </row>
    <row r="1163" spans="1:9" x14ac:dyDescent="0.15">
      <c r="A1163">
        <v>411103476</v>
      </c>
      <c r="B1163" t="s">
        <v>35</v>
      </c>
      <c r="C1163" t="s">
        <v>16</v>
      </c>
      <c r="D1163">
        <v>39406</v>
      </c>
      <c r="E1163">
        <v>132000</v>
      </c>
      <c r="F1163">
        <v>112200</v>
      </c>
      <c r="G1163" t="s">
        <v>17</v>
      </c>
      <c r="H1163">
        <v>1055.81</v>
      </c>
      <c r="I1163">
        <v>111946.31</v>
      </c>
    </row>
    <row r="1164" spans="1:9" x14ac:dyDescent="0.15">
      <c r="A1164">
        <v>411103849</v>
      </c>
      <c r="B1164" t="s">
        <v>35</v>
      </c>
      <c r="C1164" t="s">
        <v>16</v>
      </c>
      <c r="D1164">
        <v>39399</v>
      </c>
      <c r="E1164">
        <v>224000</v>
      </c>
      <c r="F1164">
        <v>182000</v>
      </c>
      <c r="G1164" t="s">
        <v>20</v>
      </c>
      <c r="H1164">
        <v>1510.48</v>
      </c>
      <c r="I1164">
        <v>181073.29</v>
      </c>
    </row>
    <row r="1165" spans="1:9" x14ac:dyDescent="0.15">
      <c r="A1165">
        <v>411107717</v>
      </c>
      <c r="B1165" t="s">
        <v>36</v>
      </c>
      <c r="C1165" t="s">
        <v>16</v>
      </c>
      <c r="D1165">
        <v>39405</v>
      </c>
      <c r="E1165">
        <v>127000</v>
      </c>
      <c r="F1165">
        <v>88900</v>
      </c>
      <c r="G1165" t="s">
        <v>17</v>
      </c>
      <c r="H1165">
        <v>731.58</v>
      </c>
      <c r="I1165">
        <v>88871.73</v>
      </c>
    </row>
    <row r="1166" spans="1:9" x14ac:dyDescent="0.15">
      <c r="A1166">
        <v>411109101</v>
      </c>
      <c r="B1166" t="s">
        <v>37</v>
      </c>
      <c r="C1166" t="s">
        <v>16</v>
      </c>
      <c r="D1166">
        <v>39412</v>
      </c>
      <c r="E1166">
        <v>77000</v>
      </c>
      <c r="F1166">
        <v>65450</v>
      </c>
      <c r="G1166" t="s">
        <v>17</v>
      </c>
      <c r="H1166">
        <v>673.61</v>
      </c>
      <c r="I1166">
        <v>64591.37</v>
      </c>
    </row>
    <row r="1167" spans="1:9" x14ac:dyDescent="0.15">
      <c r="A1167">
        <v>411109432</v>
      </c>
      <c r="B1167" t="s">
        <v>37</v>
      </c>
      <c r="C1167" t="s">
        <v>16</v>
      </c>
      <c r="D1167">
        <v>39428</v>
      </c>
      <c r="E1167">
        <v>145000</v>
      </c>
      <c r="F1167">
        <v>108750</v>
      </c>
      <c r="G1167" t="s">
        <v>17</v>
      </c>
      <c r="H1167">
        <v>912.45</v>
      </c>
      <c r="I1167">
        <v>107452.95</v>
      </c>
    </row>
    <row r="1168" spans="1:9" x14ac:dyDescent="0.15">
      <c r="A1168">
        <v>411109747</v>
      </c>
      <c r="B1168" t="s">
        <v>38</v>
      </c>
      <c r="C1168" t="s">
        <v>16</v>
      </c>
      <c r="D1168">
        <v>39428</v>
      </c>
      <c r="E1168">
        <v>100000</v>
      </c>
      <c r="F1168">
        <v>85000</v>
      </c>
      <c r="G1168" t="s">
        <v>17</v>
      </c>
      <c r="H1168">
        <v>873.67</v>
      </c>
      <c r="I1168">
        <v>84875.64</v>
      </c>
    </row>
    <row r="1169" spans="1:9" x14ac:dyDescent="0.15">
      <c r="A1169">
        <v>411110356</v>
      </c>
      <c r="B1169" t="s">
        <v>38</v>
      </c>
      <c r="C1169" t="s">
        <v>16</v>
      </c>
      <c r="D1169">
        <v>39428</v>
      </c>
      <c r="E1169">
        <v>265000</v>
      </c>
      <c r="F1169">
        <v>212000</v>
      </c>
      <c r="G1169" t="s">
        <v>17</v>
      </c>
      <c r="H1169">
        <v>1682.97</v>
      </c>
      <c r="I1169">
        <v>211516.81</v>
      </c>
    </row>
    <row r="1170" spans="1:9" x14ac:dyDescent="0.15">
      <c r="A1170">
        <v>411110539</v>
      </c>
      <c r="B1170" t="s">
        <v>35</v>
      </c>
      <c r="C1170" t="s">
        <v>16</v>
      </c>
      <c r="D1170">
        <v>39426</v>
      </c>
      <c r="E1170">
        <v>155000</v>
      </c>
      <c r="F1170">
        <v>119300</v>
      </c>
      <c r="G1170" t="s">
        <v>20</v>
      </c>
      <c r="H1170">
        <v>1064.6199999999999</v>
      </c>
      <c r="I1170">
        <v>118932.44</v>
      </c>
    </row>
    <row r="1171" spans="1:9" x14ac:dyDescent="0.15">
      <c r="A1171">
        <v>411111115</v>
      </c>
      <c r="B1171" t="s">
        <v>38</v>
      </c>
      <c r="C1171" t="s">
        <v>16</v>
      </c>
      <c r="D1171">
        <v>39416</v>
      </c>
      <c r="E1171">
        <v>121000</v>
      </c>
      <c r="F1171">
        <v>102850</v>
      </c>
      <c r="G1171" t="s">
        <v>17</v>
      </c>
      <c r="H1171">
        <v>991.14</v>
      </c>
      <c r="I1171">
        <v>102669.22</v>
      </c>
    </row>
    <row r="1172" spans="1:9" x14ac:dyDescent="0.15">
      <c r="A1172">
        <v>411112071</v>
      </c>
      <c r="B1172" t="s">
        <v>37</v>
      </c>
      <c r="C1172" t="s">
        <v>18</v>
      </c>
      <c r="D1172">
        <v>39421</v>
      </c>
      <c r="E1172">
        <v>155000</v>
      </c>
      <c r="F1172">
        <v>103200</v>
      </c>
      <c r="G1172" t="s">
        <v>17</v>
      </c>
      <c r="H1172">
        <v>822.96</v>
      </c>
      <c r="I1172">
        <v>102907.89</v>
      </c>
    </row>
    <row r="1173" spans="1:9" x14ac:dyDescent="0.15">
      <c r="A1173">
        <v>411118649</v>
      </c>
      <c r="B1173" t="s">
        <v>37</v>
      </c>
      <c r="C1173" t="s">
        <v>18</v>
      </c>
      <c r="D1173">
        <v>39421</v>
      </c>
      <c r="E1173">
        <v>125000</v>
      </c>
      <c r="F1173">
        <v>93750</v>
      </c>
      <c r="G1173" t="s">
        <v>17</v>
      </c>
      <c r="H1173">
        <v>866.55</v>
      </c>
      <c r="I1173">
        <v>93693.58</v>
      </c>
    </row>
    <row r="1174" spans="1:9" x14ac:dyDescent="0.15">
      <c r="A1174">
        <v>411119498</v>
      </c>
      <c r="B1174" t="s">
        <v>36</v>
      </c>
      <c r="C1174" t="s">
        <v>16</v>
      </c>
      <c r="D1174">
        <v>39407</v>
      </c>
      <c r="E1174">
        <v>195000</v>
      </c>
      <c r="F1174">
        <v>146250</v>
      </c>
      <c r="G1174" t="s">
        <v>17</v>
      </c>
      <c r="H1174">
        <v>1272.6600000000001</v>
      </c>
      <c r="I1174">
        <v>146050.07</v>
      </c>
    </row>
    <row r="1175" spans="1:9" x14ac:dyDescent="0.15">
      <c r="A1175">
        <v>411120231</v>
      </c>
      <c r="B1175" t="s">
        <v>35</v>
      </c>
      <c r="C1175" t="s">
        <v>16</v>
      </c>
      <c r="D1175">
        <v>39419</v>
      </c>
      <c r="E1175">
        <v>170000</v>
      </c>
      <c r="F1175">
        <v>144500</v>
      </c>
      <c r="G1175" t="s">
        <v>17</v>
      </c>
      <c r="H1175">
        <v>1403.48</v>
      </c>
      <c r="I1175">
        <v>144251.42000000001</v>
      </c>
    </row>
    <row r="1176" spans="1:9" x14ac:dyDescent="0.15">
      <c r="A1176">
        <v>411120587</v>
      </c>
      <c r="B1176" t="s">
        <v>37</v>
      </c>
      <c r="C1176" t="s">
        <v>16</v>
      </c>
      <c r="D1176">
        <v>39442</v>
      </c>
      <c r="E1176">
        <v>309000</v>
      </c>
      <c r="F1176">
        <v>156000</v>
      </c>
      <c r="G1176" t="s">
        <v>17</v>
      </c>
      <c r="H1176">
        <v>1317.43</v>
      </c>
      <c r="I1176">
        <v>155692.64000000001</v>
      </c>
    </row>
    <row r="1177" spans="1:9" x14ac:dyDescent="0.15">
      <c r="A1177">
        <v>411121841</v>
      </c>
      <c r="B1177" t="s">
        <v>38</v>
      </c>
      <c r="C1177" t="s">
        <v>16</v>
      </c>
      <c r="D1177">
        <v>39412</v>
      </c>
      <c r="E1177">
        <v>180000</v>
      </c>
      <c r="F1177">
        <v>144000</v>
      </c>
      <c r="G1177" t="s">
        <v>20</v>
      </c>
      <c r="H1177">
        <v>1355.05</v>
      </c>
      <c r="I1177">
        <v>143784.91</v>
      </c>
    </row>
    <row r="1178" spans="1:9" x14ac:dyDescent="0.15">
      <c r="A1178">
        <v>411125313</v>
      </c>
      <c r="B1178" t="s">
        <v>37</v>
      </c>
      <c r="C1178" t="s">
        <v>16</v>
      </c>
      <c r="D1178">
        <v>39401</v>
      </c>
      <c r="E1178">
        <v>280000</v>
      </c>
      <c r="F1178">
        <v>203000</v>
      </c>
      <c r="G1178" t="s">
        <v>21</v>
      </c>
      <c r="H1178">
        <v>1145.3699999999999</v>
      </c>
      <c r="I1178">
        <v>202512.29</v>
      </c>
    </row>
    <row r="1179" spans="1:9" x14ac:dyDescent="0.15">
      <c r="A1179">
        <v>411125867</v>
      </c>
      <c r="B1179" t="s">
        <v>36</v>
      </c>
      <c r="C1179" t="s">
        <v>16</v>
      </c>
      <c r="D1179">
        <v>39443</v>
      </c>
      <c r="E1179">
        <v>240000</v>
      </c>
      <c r="F1179">
        <v>165000</v>
      </c>
      <c r="G1179" t="s">
        <v>17</v>
      </c>
      <c r="H1179">
        <v>1375.39</v>
      </c>
      <c r="I1179">
        <v>164578.04</v>
      </c>
    </row>
    <row r="1180" spans="1:9" x14ac:dyDescent="0.15">
      <c r="A1180">
        <v>411125974</v>
      </c>
      <c r="B1180" t="s">
        <v>35</v>
      </c>
      <c r="C1180" t="s">
        <v>16</v>
      </c>
      <c r="D1180">
        <v>39413</v>
      </c>
      <c r="E1180">
        <v>90000</v>
      </c>
      <c r="F1180">
        <v>76500</v>
      </c>
      <c r="G1180" t="s">
        <v>17</v>
      </c>
      <c r="H1180">
        <v>640.47</v>
      </c>
      <c r="I1180">
        <v>76306.259999999995</v>
      </c>
    </row>
    <row r="1181" spans="1:9" x14ac:dyDescent="0.15">
      <c r="A1181">
        <v>411126626</v>
      </c>
      <c r="B1181" t="s">
        <v>36</v>
      </c>
      <c r="C1181" t="s">
        <v>16</v>
      </c>
      <c r="D1181">
        <v>39416</v>
      </c>
      <c r="E1181">
        <v>264000</v>
      </c>
      <c r="F1181">
        <v>211200</v>
      </c>
      <c r="G1181" t="s">
        <v>17</v>
      </c>
      <c r="H1181">
        <v>1737.5</v>
      </c>
      <c r="I1181">
        <v>210644</v>
      </c>
    </row>
    <row r="1182" spans="1:9" x14ac:dyDescent="0.15">
      <c r="A1182">
        <v>411127707</v>
      </c>
      <c r="B1182" t="s">
        <v>36</v>
      </c>
      <c r="C1182" t="s">
        <v>16</v>
      </c>
      <c r="D1182">
        <v>39412</v>
      </c>
      <c r="E1182">
        <v>159000</v>
      </c>
      <c r="F1182">
        <v>119250</v>
      </c>
      <c r="G1182" t="s">
        <v>17</v>
      </c>
      <c r="H1182">
        <v>1003.26</v>
      </c>
      <c r="I1182">
        <v>119111.13</v>
      </c>
    </row>
    <row r="1183" spans="1:9" x14ac:dyDescent="0.15">
      <c r="A1183">
        <v>411128945</v>
      </c>
      <c r="B1183" t="s">
        <v>37</v>
      </c>
      <c r="C1183" t="s">
        <v>16</v>
      </c>
      <c r="D1183">
        <v>39415</v>
      </c>
      <c r="E1183">
        <v>162000</v>
      </c>
      <c r="F1183">
        <v>140850</v>
      </c>
      <c r="G1183" t="s">
        <v>17</v>
      </c>
      <c r="H1183">
        <v>1437.97</v>
      </c>
      <c r="I1183">
        <v>140608.47</v>
      </c>
    </row>
    <row r="1184" spans="1:9" x14ac:dyDescent="0.15">
      <c r="A1184">
        <v>411129430</v>
      </c>
      <c r="B1184" t="s">
        <v>37</v>
      </c>
      <c r="C1184" t="s">
        <v>16</v>
      </c>
      <c r="D1184">
        <v>39427</v>
      </c>
      <c r="E1184">
        <v>475000</v>
      </c>
      <c r="F1184">
        <v>185000</v>
      </c>
      <c r="G1184" t="s">
        <v>20</v>
      </c>
      <c r="H1184">
        <v>1603.04</v>
      </c>
      <c r="I1184">
        <v>184570.51</v>
      </c>
    </row>
    <row r="1185" spans="1:9" x14ac:dyDescent="0.15">
      <c r="A1185">
        <v>411129927</v>
      </c>
      <c r="B1185" t="s">
        <v>36</v>
      </c>
      <c r="C1185" t="s">
        <v>16</v>
      </c>
      <c r="D1185">
        <v>39419</v>
      </c>
      <c r="E1185">
        <v>263000</v>
      </c>
      <c r="F1185">
        <v>236700</v>
      </c>
      <c r="G1185" t="s">
        <v>17</v>
      </c>
      <c r="H1185">
        <v>2156.35</v>
      </c>
      <c r="I1185">
        <v>236216.21</v>
      </c>
    </row>
    <row r="1186" spans="1:9" x14ac:dyDescent="0.15">
      <c r="A1186">
        <v>411130602</v>
      </c>
      <c r="B1186" t="s">
        <v>37</v>
      </c>
      <c r="C1186" t="s">
        <v>16</v>
      </c>
      <c r="D1186">
        <v>39437</v>
      </c>
      <c r="E1186">
        <v>310000</v>
      </c>
      <c r="F1186">
        <v>248000</v>
      </c>
      <c r="G1186" t="s">
        <v>17</v>
      </c>
      <c r="H1186">
        <v>2153.5100000000002</v>
      </c>
      <c r="I1186">
        <v>247543.7</v>
      </c>
    </row>
    <row r="1187" spans="1:9" x14ac:dyDescent="0.15">
      <c r="A1187">
        <v>411130818</v>
      </c>
      <c r="B1187" t="s">
        <v>36</v>
      </c>
      <c r="C1187" t="s">
        <v>18</v>
      </c>
      <c r="D1187">
        <v>39435</v>
      </c>
      <c r="E1187">
        <v>160000</v>
      </c>
      <c r="F1187">
        <v>125000</v>
      </c>
      <c r="G1187" t="s">
        <v>17</v>
      </c>
      <c r="H1187">
        <v>974.47</v>
      </c>
      <c r="I1187">
        <v>124703.09</v>
      </c>
    </row>
    <row r="1188" spans="1:9" x14ac:dyDescent="0.15">
      <c r="A1188">
        <v>411131154</v>
      </c>
      <c r="B1188" t="s">
        <v>36</v>
      </c>
      <c r="C1188" t="s">
        <v>18</v>
      </c>
      <c r="D1188">
        <v>39428</v>
      </c>
      <c r="E1188">
        <v>229000</v>
      </c>
      <c r="F1188">
        <v>194650</v>
      </c>
      <c r="G1188" t="s">
        <v>20</v>
      </c>
      <c r="H1188">
        <v>1955.87</v>
      </c>
      <c r="I1188">
        <v>194407.88</v>
      </c>
    </row>
    <row r="1189" spans="1:9" x14ac:dyDescent="0.15">
      <c r="A1189">
        <v>411132061</v>
      </c>
      <c r="B1189" t="s">
        <v>38</v>
      </c>
      <c r="C1189" t="s">
        <v>16</v>
      </c>
      <c r="D1189">
        <v>39443</v>
      </c>
      <c r="E1189">
        <v>225000</v>
      </c>
      <c r="F1189">
        <v>140000</v>
      </c>
      <c r="G1189" t="s">
        <v>17</v>
      </c>
      <c r="H1189">
        <v>1192.55</v>
      </c>
      <c r="I1189">
        <v>139729.04</v>
      </c>
    </row>
    <row r="1190" spans="1:9" x14ac:dyDescent="0.15">
      <c r="A1190">
        <v>411133200</v>
      </c>
      <c r="B1190" t="s">
        <v>37</v>
      </c>
      <c r="C1190" t="s">
        <v>16</v>
      </c>
      <c r="D1190">
        <v>39443</v>
      </c>
      <c r="E1190">
        <v>250000</v>
      </c>
      <c r="F1190">
        <v>225000</v>
      </c>
      <c r="G1190" t="s">
        <v>21</v>
      </c>
      <c r="H1190">
        <v>1900.14</v>
      </c>
      <c r="I1190">
        <v>224556.67</v>
      </c>
    </row>
    <row r="1191" spans="1:9" x14ac:dyDescent="0.15">
      <c r="A1191">
        <v>411135783</v>
      </c>
      <c r="B1191" t="s">
        <v>38</v>
      </c>
      <c r="C1191" t="s">
        <v>16</v>
      </c>
      <c r="D1191">
        <v>39419</v>
      </c>
      <c r="E1191">
        <v>320500</v>
      </c>
      <c r="F1191">
        <v>256400</v>
      </c>
      <c r="G1191" t="s">
        <v>17</v>
      </c>
      <c r="H1191">
        <v>2184.0700000000002</v>
      </c>
      <c r="I1191">
        <v>255905.32</v>
      </c>
    </row>
    <row r="1192" spans="1:9" x14ac:dyDescent="0.15">
      <c r="A1192">
        <v>411138118</v>
      </c>
      <c r="B1192" t="s">
        <v>35</v>
      </c>
      <c r="C1192" t="s">
        <v>16</v>
      </c>
      <c r="D1192">
        <v>39426</v>
      </c>
      <c r="E1192">
        <v>185000</v>
      </c>
      <c r="F1192">
        <v>138750</v>
      </c>
      <c r="G1192" t="s">
        <v>17</v>
      </c>
      <c r="H1192">
        <v>1238.19</v>
      </c>
      <c r="I1192">
        <v>138545.51</v>
      </c>
    </row>
    <row r="1193" spans="1:9" x14ac:dyDescent="0.15">
      <c r="A1193">
        <v>411138951</v>
      </c>
      <c r="B1193" t="s">
        <v>37</v>
      </c>
      <c r="C1193" t="s">
        <v>18</v>
      </c>
      <c r="D1193">
        <v>39426</v>
      </c>
      <c r="E1193">
        <v>140000</v>
      </c>
      <c r="F1193">
        <v>119000</v>
      </c>
      <c r="G1193" t="s">
        <v>17</v>
      </c>
      <c r="H1193">
        <v>1155.81</v>
      </c>
      <c r="I1193">
        <v>118631.31</v>
      </c>
    </row>
    <row r="1194" spans="1:9" x14ac:dyDescent="0.15">
      <c r="A1194">
        <v>411139397</v>
      </c>
      <c r="B1194" t="s">
        <v>35</v>
      </c>
      <c r="C1194" t="s">
        <v>16</v>
      </c>
      <c r="D1194">
        <v>39419</v>
      </c>
      <c r="E1194">
        <v>111000</v>
      </c>
      <c r="F1194">
        <v>88800</v>
      </c>
      <c r="G1194" t="s">
        <v>17</v>
      </c>
      <c r="H1194">
        <v>910</v>
      </c>
      <c r="I1194">
        <v>88668.91</v>
      </c>
    </row>
    <row r="1195" spans="1:9" x14ac:dyDescent="0.15">
      <c r="A1195">
        <v>411139983</v>
      </c>
      <c r="B1195" t="s">
        <v>37</v>
      </c>
      <c r="C1195" t="s">
        <v>16</v>
      </c>
      <c r="D1195">
        <v>39449</v>
      </c>
      <c r="E1195">
        <v>247000</v>
      </c>
      <c r="F1195">
        <v>209950</v>
      </c>
      <c r="G1195" t="s">
        <v>20</v>
      </c>
      <c r="H1195">
        <v>2035.98</v>
      </c>
      <c r="I1195">
        <v>209661.18</v>
      </c>
    </row>
    <row r="1196" spans="1:9" x14ac:dyDescent="0.15">
      <c r="A1196">
        <v>411142532</v>
      </c>
      <c r="B1196" t="s">
        <v>36</v>
      </c>
      <c r="C1196" t="s">
        <v>16</v>
      </c>
      <c r="D1196">
        <v>39413</v>
      </c>
      <c r="E1196">
        <v>500000</v>
      </c>
      <c r="F1196">
        <v>450000</v>
      </c>
      <c r="G1196" t="s">
        <v>17</v>
      </c>
      <c r="H1196">
        <v>3572.34</v>
      </c>
      <c r="I1196">
        <v>448713.22</v>
      </c>
    </row>
    <row r="1197" spans="1:9" x14ac:dyDescent="0.15">
      <c r="A1197">
        <v>411142763</v>
      </c>
      <c r="B1197" t="s">
        <v>35</v>
      </c>
      <c r="C1197" t="s">
        <v>16</v>
      </c>
      <c r="D1197">
        <v>39443</v>
      </c>
      <c r="E1197">
        <v>135000</v>
      </c>
      <c r="F1197">
        <v>121500</v>
      </c>
      <c r="G1197" t="s">
        <v>17</v>
      </c>
      <c r="H1197">
        <v>1147.9100000000001</v>
      </c>
      <c r="I1197">
        <v>121455.71</v>
      </c>
    </row>
    <row r="1198" spans="1:9" x14ac:dyDescent="0.15">
      <c r="A1198">
        <v>411143092</v>
      </c>
      <c r="B1198" t="s">
        <v>37</v>
      </c>
      <c r="C1198" t="s">
        <v>16</v>
      </c>
      <c r="D1198">
        <v>39426</v>
      </c>
      <c r="E1198">
        <v>130000</v>
      </c>
      <c r="F1198">
        <v>110250</v>
      </c>
      <c r="G1198" t="s">
        <v>17</v>
      </c>
      <c r="H1198">
        <v>847.73</v>
      </c>
      <c r="I1198">
        <v>109979.98</v>
      </c>
    </row>
    <row r="1199" spans="1:9" x14ac:dyDescent="0.15">
      <c r="A1199">
        <v>411143621</v>
      </c>
      <c r="B1199" t="s">
        <v>36</v>
      </c>
      <c r="C1199" t="s">
        <v>16</v>
      </c>
      <c r="D1199">
        <v>39434</v>
      </c>
      <c r="E1199">
        <v>242000</v>
      </c>
      <c r="F1199">
        <v>181500</v>
      </c>
      <c r="G1199" t="s">
        <v>21</v>
      </c>
      <c r="H1199">
        <v>1395.58</v>
      </c>
      <c r="I1199">
        <v>180942.38</v>
      </c>
    </row>
    <row r="1200" spans="1:9" x14ac:dyDescent="0.15">
      <c r="A1200">
        <v>411144470</v>
      </c>
      <c r="B1200" t="s">
        <v>38</v>
      </c>
      <c r="C1200" t="s">
        <v>16</v>
      </c>
      <c r="D1200">
        <v>39443</v>
      </c>
      <c r="E1200">
        <v>100000</v>
      </c>
      <c r="F1200">
        <v>85000</v>
      </c>
      <c r="G1200" t="s">
        <v>20</v>
      </c>
      <c r="H1200">
        <v>854.75</v>
      </c>
      <c r="I1200">
        <v>84867.44</v>
      </c>
    </row>
    <row r="1201" spans="1:9" x14ac:dyDescent="0.15">
      <c r="A1201">
        <v>411146822</v>
      </c>
      <c r="B1201" t="s">
        <v>36</v>
      </c>
      <c r="C1201" t="s">
        <v>16</v>
      </c>
      <c r="D1201">
        <v>39419</v>
      </c>
      <c r="E1201">
        <v>282000</v>
      </c>
      <c r="F1201">
        <v>211000</v>
      </c>
      <c r="G1201" t="s">
        <v>17</v>
      </c>
      <c r="H1201">
        <v>1600.04</v>
      </c>
      <c r="I1201">
        <v>210331.61</v>
      </c>
    </row>
    <row r="1202" spans="1:9" x14ac:dyDescent="0.15">
      <c r="A1202">
        <v>411147754</v>
      </c>
      <c r="B1202" t="s">
        <v>37</v>
      </c>
      <c r="C1202" t="s">
        <v>16</v>
      </c>
      <c r="D1202">
        <v>39437</v>
      </c>
      <c r="E1202">
        <v>145000</v>
      </c>
      <c r="F1202">
        <v>108750</v>
      </c>
      <c r="G1202" t="s">
        <v>17</v>
      </c>
      <c r="H1202">
        <v>871.12</v>
      </c>
      <c r="I1202">
        <v>108445.35</v>
      </c>
    </row>
    <row r="1203" spans="1:9" x14ac:dyDescent="0.15">
      <c r="A1203">
        <v>411147994</v>
      </c>
      <c r="B1203" t="s">
        <v>38</v>
      </c>
      <c r="C1203" t="s">
        <v>16</v>
      </c>
      <c r="D1203">
        <v>39419</v>
      </c>
      <c r="E1203">
        <v>350000</v>
      </c>
      <c r="F1203">
        <v>280000</v>
      </c>
      <c r="G1203" t="s">
        <v>17</v>
      </c>
      <c r="H1203">
        <v>2498.69</v>
      </c>
      <c r="I1203">
        <v>279393.68</v>
      </c>
    </row>
    <row r="1204" spans="1:9" x14ac:dyDescent="0.15">
      <c r="A1204">
        <v>411148281</v>
      </c>
      <c r="B1204" t="s">
        <v>35</v>
      </c>
      <c r="C1204" t="s">
        <v>16</v>
      </c>
      <c r="D1204">
        <v>39433</v>
      </c>
      <c r="E1204">
        <v>135000</v>
      </c>
      <c r="F1204">
        <v>67500</v>
      </c>
      <c r="G1204" t="s">
        <v>17</v>
      </c>
      <c r="H1204">
        <v>552.87</v>
      </c>
      <c r="I1204">
        <v>67320.42</v>
      </c>
    </row>
    <row r="1205" spans="1:9" x14ac:dyDescent="0.15">
      <c r="A1205">
        <v>411148414</v>
      </c>
      <c r="B1205" t="s">
        <v>38</v>
      </c>
      <c r="C1205" t="s">
        <v>18</v>
      </c>
      <c r="D1205">
        <v>39419</v>
      </c>
      <c r="E1205">
        <v>137500</v>
      </c>
      <c r="F1205">
        <v>103125</v>
      </c>
      <c r="G1205" t="s">
        <v>17</v>
      </c>
      <c r="H1205">
        <v>947.19</v>
      </c>
      <c r="I1205">
        <v>102960.19</v>
      </c>
    </row>
    <row r="1206" spans="1:9" x14ac:dyDescent="0.15">
      <c r="A1206">
        <v>411148489</v>
      </c>
      <c r="B1206" t="s">
        <v>37</v>
      </c>
      <c r="C1206" t="s">
        <v>16</v>
      </c>
      <c r="D1206">
        <v>39430</v>
      </c>
      <c r="E1206">
        <v>250000</v>
      </c>
      <c r="F1206">
        <v>200000</v>
      </c>
      <c r="G1206" t="s">
        <v>17</v>
      </c>
      <c r="H1206">
        <v>1934.94</v>
      </c>
      <c r="I1206">
        <v>199508.92</v>
      </c>
    </row>
    <row r="1207" spans="1:9" x14ac:dyDescent="0.15">
      <c r="A1207">
        <v>411150162</v>
      </c>
      <c r="B1207" t="s">
        <v>36</v>
      </c>
      <c r="C1207" t="s">
        <v>18</v>
      </c>
      <c r="D1207">
        <v>39426</v>
      </c>
      <c r="E1207">
        <v>138000</v>
      </c>
      <c r="F1207">
        <v>103500</v>
      </c>
      <c r="G1207" t="s">
        <v>17</v>
      </c>
      <c r="H1207">
        <v>881.64</v>
      </c>
      <c r="I1207">
        <v>103300.3</v>
      </c>
    </row>
    <row r="1208" spans="1:9" x14ac:dyDescent="0.15">
      <c r="A1208">
        <v>411152713</v>
      </c>
      <c r="B1208" t="s">
        <v>38</v>
      </c>
      <c r="C1208" t="s">
        <v>18</v>
      </c>
      <c r="D1208">
        <v>39433</v>
      </c>
      <c r="E1208">
        <v>235000</v>
      </c>
      <c r="F1208">
        <v>211500</v>
      </c>
      <c r="G1208" t="s">
        <v>17</v>
      </c>
      <c r="H1208">
        <v>1840.46</v>
      </c>
      <c r="I1208">
        <v>211210.88</v>
      </c>
    </row>
    <row r="1209" spans="1:9" x14ac:dyDescent="0.15">
      <c r="A1209">
        <v>411153810</v>
      </c>
      <c r="B1209" t="s">
        <v>37</v>
      </c>
      <c r="C1209" t="s">
        <v>16</v>
      </c>
      <c r="D1209">
        <v>39449</v>
      </c>
      <c r="E1209">
        <v>114000</v>
      </c>
      <c r="F1209">
        <v>85500</v>
      </c>
      <c r="G1209" t="s">
        <v>17</v>
      </c>
      <c r="H1209">
        <v>747.17</v>
      </c>
      <c r="I1209">
        <v>85384.35</v>
      </c>
    </row>
    <row r="1210" spans="1:9" x14ac:dyDescent="0.15">
      <c r="A1210">
        <v>411155518</v>
      </c>
      <c r="B1210" t="s">
        <v>35</v>
      </c>
      <c r="C1210" t="s">
        <v>16</v>
      </c>
      <c r="D1210">
        <v>39428</v>
      </c>
      <c r="E1210">
        <v>73000</v>
      </c>
      <c r="F1210">
        <v>52000</v>
      </c>
      <c r="G1210" t="s">
        <v>17</v>
      </c>
      <c r="H1210">
        <v>533.63</v>
      </c>
      <c r="I1210">
        <v>51314.76</v>
      </c>
    </row>
    <row r="1211" spans="1:9" x14ac:dyDescent="0.15">
      <c r="A1211">
        <v>411157076</v>
      </c>
      <c r="B1211" t="s">
        <v>35</v>
      </c>
      <c r="C1211" t="s">
        <v>16</v>
      </c>
      <c r="D1211">
        <v>39478</v>
      </c>
      <c r="E1211">
        <v>100000</v>
      </c>
      <c r="F1211">
        <v>85000</v>
      </c>
      <c r="G1211" t="s">
        <v>20</v>
      </c>
      <c r="H1211">
        <v>808.84</v>
      </c>
      <c r="I1211">
        <v>84876.800000000003</v>
      </c>
    </row>
    <row r="1212" spans="1:9" x14ac:dyDescent="0.15">
      <c r="A1212">
        <v>411157837</v>
      </c>
      <c r="B1212" t="s">
        <v>35</v>
      </c>
      <c r="C1212" t="s">
        <v>16</v>
      </c>
      <c r="D1212">
        <v>39427</v>
      </c>
      <c r="E1212">
        <v>110000</v>
      </c>
      <c r="F1212">
        <v>88000</v>
      </c>
      <c r="G1212" t="s">
        <v>17</v>
      </c>
      <c r="H1212">
        <v>878.18</v>
      </c>
      <c r="I1212">
        <v>87859.75</v>
      </c>
    </row>
    <row r="1213" spans="1:9" x14ac:dyDescent="0.15">
      <c r="A1213">
        <v>411158454</v>
      </c>
      <c r="B1213" t="s">
        <v>35</v>
      </c>
      <c r="C1213" t="s">
        <v>16</v>
      </c>
      <c r="D1213">
        <v>39450</v>
      </c>
      <c r="E1213">
        <v>76000</v>
      </c>
      <c r="F1213">
        <v>60800</v>
      </c>
      <c r="G1213" t="s">
        <v>17</v>
      </c>
      <c r="H1213">
        <v>620.73</v>
      </c>
      <c r="I1213">
        <v>60800</v>
      </c>
    </row>
    <row r="1214" spans="1:9" x14ac:dyDescent="0.15">
      <c r="A1214">
        <v>411159775</v>
      </c>
      <c r="B1214" t="s">
        <v>38</v>
      </c>
      <c r="C1214" t="s">
        <v>16</v>
      </c>
      <c r="D1214">
        <v>39436</v>
      </c>
      <c r="E1214">
        <v>138500</v>
      </c>
      <c r="F1214">
        <v>102750</v>
      </c>
      <c r="G1214" t="s">
        <v>17</v>
      </c>
      <c r="H1214">
        <v>963.02</v>
      </c>
      <c r="I1214">
        <v>102594.85</v>
      </c>
    </row>
    <row r="1215" spans="1:9" x14ac:dyDescent="0.15">
      <c r="A1215">
        <v>411159932</v>
      </c>
      <c r="B1215" t="s">
        <v>35</v>
      </c>
      <c r="C1215" t="s">
        <v>16</v>
      </c>
      <c r="D1215">
        <v>39435</v>
      </c>
      <c r="E1215">
        <v>68000</v>
      </c>
      <c r="F1215">
        <v>62700</v>
      </c>
      <c r="G1215" t="s">
        <v>17</v>
      </c>
      <c r="H1215">
        <v>596.64</v>
      </c>
      <c r="I1215">
        <v>62463.85</v>
      </c>
    </row>
    <row r="1216" spans="1:9" x14ac:dyDescent="0.15">
      <c r="A1216">
        <v>411160492</v>
      </c>
      <c r="B1216" t="s">
        <v>35</v>
      </c>
      <c r="C1216" t="s">
        <v>16</v>
      </c>
      <c r="D1216">
        <v>39440</v>
      </c>
      <c r="E1216">
        <v>110000</v>
      </c>
      <c r="F1216">
        <v>85700</v>
      </c>
      <c r="G1216" t="s">
        <v>17</v>
      </c>
      <c r="H1216">
        <v>726.88</v>
      </c>
      <c r="I1216">
        <v>85532.89</v>
      </c>
    </row>
    <row r="1217" spans="1:9" x14ac:dyDescent="0.15">
      <c r="A1217">
        <v>411161680</v>
      </c>
      <c r="B1217" t="s">
        <v>37</v>
      </c>
      <c r="C1217" t="s">
        <v>18</v>
      </c>
      <c r="D1217">
        <v>39443</v>
      </c>
      <c r="E1217">
        <v>190000</v>
      </c>
      <c r="F1217">
        <v>169200</v>
      </c>
      <c r="G1217" t="s">
        <v>17</v>
      </c>
      <c r="H1217">
        <v>1649.81</v>
      </c>
      <c r="I1217">
        <v>168904.51</v>
      </c>
    </row>
    <row r="1218" spans="1:9" x14ac:dyDescent="0.15">
      <c r="A1218">
        <v>411161847</v>
      </c>
      <c r="B1218" t="s">
        <v>37</v>
      </c>
      <c r="C1218" t="s">
        <v>16</v>
      </c>
      <c r="D1218">
        <v>39437</v>
      </c>
      <c r="E1218">
        <v>129000</v>
      </c>
      <c r="F1218">
        <v>116100</v>
      </c>
      <c r="G1218" t="s">
        <v>17</v>
      </c>
      <c r="H1218">
        <v>1114.43</v>
      </c>
      <c r="I1218">
        <v>115935.72</v>
      </c>
    </row>
    <row r="1219" spans="1:9" x14ac:dyDescent="0.15">
      <c r="A1219">
        <v>411164395</v>
      </c>
      <c r="B1219" t="s">
        <v>35</v>
      </c>
      <c r="C1219" t="s">
        <v>16</v>
      </c>
      <c r="D1219">
        <v>39454</v>
      </c>
      <c r="E1219">
        <v>122000</v>
      </c>
      <c r="F1219">
        <v>100000</v>
      </c>
      <c r="G1219" t="s">
        <v>17</v>
      </c>
      <c r="H1219">
        <v>751.27</v>
      </c>
      <c r="I1219">
        <v>99807.37</v>
      </c>
    </row>
    <row r="1220" spans="1:9" x14ac:dyDescent="0.15">
      <c r="A1220">
        <v>411166622</v>
      </c>
      <c r="B1220" t="s">
        <v>35</v>
      </c>
      <c r="C1220" t="s">
        <v>16</v>
      </c>
      <c r="D1220">
        <v>39433</v>
      </c>
      <c r="E1220">
        <v>105000</v>
      </c>
      <c r="F1220">
        <v>89250</v>
      </c>
      <c r="G1220" t="s">
        <v>17</v>
      </c>
      <c r="H1220">
        <v>686.26</v>
      </c>
      <c r="I1220">
        <v>89031.4</v>
      </c>
    </row>
    <row r="1221" spans="1:9" x14ac:dyDescent="0.15">
      <c r="A1221">
        <v>411166697</v>
      </c>
      <c r="B1221" t="s">
        <v>35</v>
      </c>
      <c r="C1221" t="s">
        <v>16</v>
      </c>
      <c r="D1221">
        <v>39429</v>
      </c>
      <c r="E1221">
        <v>265000</v>
      </c>
      <c r="F1221">
        <v>212000</v>
      </c>
      <c r="G1221" t="s">
        <v>17</v>
      </c>
      <c r="H1221">
        <v>1736.4</v>
      </c>
      <c r="I1221">
        <v>211543.14</v>
      </c>
    </row>
    <row r="1222" spans="1:9" x14ac:dyDescent="0.15">
      <c r="A1222">
        <v>411169758</v>
      </c>
      <c r="B1222" t="s">
        <v>36</v>
      </c>
      <c r="C1222" t="s">
        <v>16</v>
      </c>
      <c r="D1222">
        <v>39423</v>
      </c>
      <c r="E1222">
        <v>435000</v>
      </c>
      <c r="F1222">
        <v>306000</v>
      </c>
      <c r="G1222" t="s">
        <v>17</v>
      </c>
      <c r="H1222">
        <v>2891.02</v>
      </c>
      <c r="I1222">
        <v>305547.8</v>
      </c>
    </row>
    <row r="1223" spans="1:9" x14ac:dyDescent="0.15">
      <c r="A1223">
        <v>411169931</v>
      </c>
      <c r="B1223" t="s">
        <v>36</v>
      </c>
      <c r="C1223" t="s">
        <v>16</v>
      </c>
      <c r="D1223">
        <v>39443</v>
      </c>
      <c r="E1223">
        <v>165000</v>
      </c>
      <c r="F1223">
        <v>102000</v>
      </c>
      <c r="G1223" t="s">
        <v>17</v>
      </c>
      <c r="H1223">
        <v>675.19</v>
      </c>
      <c r="I1223">
        <v>101572.88</v>
      </c>
    </row>
    <row r="1224" spans="1:9" x14ac:dyDescent="0.15">
      <c r="A1224">
        <v>411170129</v>
      </c>
      <c r="B1224" t="s">
        <v>37</v>
      </c>
      <c r="C1224" t="s">
        <v>18</v>
      </c>
      <c r="D1224">
        <v>39444</v>
      </c>
      <c r="E1224">
        <v>142000</v>
      </c>
      <c r="F1224">
        <v>118150</v>
      </c>
      <c r="G1224" t="s">
        <v>17</v>
      </c>
      <c r="H1224">
        <v>1147.55</v>
      </c>
      <c r="I1224">
        <v>117946.75</v>
      </c>
    </row>
    <row r="1225" spans="1:9" x14ac:dyDescent="0.15">
      <c r="A1225">
        <v>411170798</v>
      </c>
      <c r="B1225" t="s">
        <v>36</v>
      </c>
      <c r="C1225" t="s">
        <v>16</v>
      </c>
      <c r="D1225">
        <v>39433</v>
      </c>
      <c r="E1225">
        <v>137000</v>
      </c>
      <c r="F1225">
        <v>116450</v>
      </c>
      <c r="G1225" t="s">
        <v>17</v>
      </c>
      <c r="H1225">
        <v>1026.24</v>
      </c>
      <c r="I1225">
        <v>116243.54</v>
      </c>
    </row>
    <row r="1226" spans="1:9" x14ac:dyDescent="0.15">
      <c r="A1226">
        <v>411171051</v>
      </c>
      <c r="B1226" t="s">
        <v>36</v>
      </c>
      <c r="C1226" t="s">
        <v>16</v>
      </c>
      <c r="D1226">
        <v>39434</v>
      </c>
      <c r="E1226">
        <v>250000</v>
      </c>
      <c r="F1226">
        <v>204000</v>
      </c>
      <c r="G1226" t="s">
        <v>17</v>
      </c>
      <c r="H1226">
        <v>1479.29</v>
      </c>
      <c r="I1226">
        <v>203432.97</v>
      </c>
    </row>
    <row r="1227" spans="1:9" x14ac:dyDescent="0.15">
      <c r="A1227">
        <v>411171069</v>
      </c>
      <c r="B1227" t="s">
        <v>37</v>
      </c>
      <c r="C1227" t="s">
        <v>18</v>
      </c>
      <c r="D1227">
        <v>39430</v>
      </c>
      <c r="E1227">
        <v>77000</v>
      </c>
      <c r="F1227">
        <v>65450</v>
      </c>
      <c r="G1227" t="s">
        <v>17</v>
      </c>
      <c r="H1227">
        <v>665.68</v>
      </c>
      <c r="I1227">
        <v>65371.4</v>
      </c>
    </row>
    <row r="1228" spans="1:9" x14ac:dyDescent="0.15">
      <c r="A1228">
        <v>411174097</v>
      </c>
      <c r="B1228" t="s">
        <v>35</v>
      </c>
      <c r="C1228" t="s">
        <v>16</v>
      </c>
      <c r="D1228">
        <v>39433</v>
      </c>
      <c r="E1228">
        <v>75000</v>
      </c>
      <c r="F1228">
        <v>63750</v>
      </c>
      <c r="G1228" t="s">
        <v>17</v>
      </c>
      <c r="H1228">
        <v>636.17999999999995</v>
      </c>
      <c r="I1228">
        <v>63669.120000000003</v>
      </c>
    </row>
    <row r="1229" spans="1:9" x14ac:dyDescent="0.15">
      <c r="A1229">
        <v>411174238</v>
      </c>
      <c r="B1229" t="s">
        <v>36</v>
      </c>
      <c r="C1229" t="s">
        <v>16</v>
      </c>
      <c r="D1229">
        <v>39428</v>
      </c>
      <c r="E1229">
        <v>269600</v>
      </c>
      <c r="F1229">
        <v>165000</v>
      </c>
      <c r="G1229" t="s">
        <v>17</v>
      </c>
      <c r="H1229">
        <v>1262.8699999999999</v>
      </c>
      <c r="I1229">
        <v>164591.74</v>
      </c>
    </row>
    <row r="1230" spans="1:9" x14ac:dyDescent="0.15">
      <c r="A1230">
        <v>411174329</v>
      </c>
      <c r="B1230" t="s">
        <v>37</v>
      </c>
      <c r="C1230" t="s">
        <v>18</v>
      </c>
      <c r="D1230">
        <v>39435</v>
      </c>
      <c r="E1230">
        <v>168750</v>
      </c>
      <c r="F1230">
        <v>135000</v>
      </c>
      <c r="G1230" t="s">
        <v>17</v>
      </c>
      <c r="H1230">
        <v>1164.82</v>
      </c>
      <c r="I1230">
        <v>134683.26999999999</v>
      </c>
    </row>
    <row r="1231" spans="1:9" x14ac:dyDescent="0.15">
      <c r="A1231">
        <v>411174907</v>
      </c>
      <c r="B1231" t="s">
        <v>37</v>
      </c>
      <c r="C1231" t="s">
        <v>16</v>
      </c>
      <c r="D1231">
        <v>39434</v>
      </c>
      <c r="E1231">
        <v>250000</v>
      </c>
      <c r="F1231">
        <v>225000</v>
      </c>
      <c r="G1231" t="s">
        <v>17</v>
      </c>
      <c r="H1231">
        <v>2075.0100000000002</v>
      </c>
      <c r="I1231">
        <v>224554.66</v>
      </c>
    </row>
    <row r="1232" spans="1:9" x14ac:dyDescent="0.15">
      <c r="A1232">
        <v>411174923</v>
      </c>
      <c r="B1232" t="s">
        <v>37</v>
      </c>
      <c r="C1232" t="s">
        <v>16</v>
      </c>
      <c r="D1232">
        <v>39435</v>
      </c>
      <c r="E1232">
        <v>162000</v>
      </c>
      <c r="F1232">
        <v>137700</v>
      </c>
      <c r="G1232" t="s">
        <v>20</v>
      </c>
      <c r="H1232">
        <v>1269.9100000000001</v>
      </c>
      <c r="I1232">
        <v>137482.91</v>
      </c>
    </row>
    <row r="1233" spans="1:9" x14ac:dyDescent="0.15">
      <c r="A1233">
        <v>411176910</v>
      </c>
      <c r="B1233" t="s">
        <v>36</v>
      </c>
      <c r="C1233" t="s">
        <v>18</v>
      </c>
      <c r="D1233">
        <v>39443</v>
      </c>
      <c r="E1233">
        <v>157500</v>
      </c>
      <c r="F1233">
        <v>109000</v>
      </c>
      <c r="G1233" t="s">
        <v>20</v>
      </c>
      <c r="H1233">
        <v>955.75</v>
      </c>
      <c r="I1233">
        <v>108754.33</v>
      </c>
    </row>
    <row r="1234" spans="1:9" x14ac:dyDescent="0.15">
      <c r="A1234">
        <v>411177546</v>
      </c>
      <c r="B1234" t="s">
        <v>37</v>
      </c>
      <c r="C1234" t="s">
        <v>18</v>
      </c>
      <c r="D1234">
        <v>39435</v>
      </c>
      <c r="E1234">
        <v>130000</v>
      </c>
      <c r="F1234">
        <v>110500</v>
      </c>
      <c r="G1234" t="s">
        <v>17</v>
      </c>
      <c r="H1234">
        <v>1140.8800000000001</v>
      </c>
      <c r="I1234">
        <v>110405.22</v>
      </c>
    </row>
    <row r="1235" spans="1:9" x14ac:dyDescent="0.15">
      <c r="A1235">
        <v>411178817</v>
      </c>
      <c r="B1235" t="s">
        <v>38</v>
      </c>
      <c r="C1235" t="s">
        <v>16</v>
      </c>
      <c r="D1235">
        <v>39433</v>
      </c>
      <c r="E1235">
        <v>67500</v>
      </c>
      <c r="F1235">
        <v>60750</v>
      </c>
      <c r="G1235" t="s">
        <v>17</v>
      </c>
      <c r="H1235">
        <v>585.44000000000005</v>
      </c>
      <c r="I1235">
        <v>60462.39</v>
      </c>
    </row>
    <row r="1236" spans="1:9" x14ac:dyDescent="0.15">
      <c r="A1236">
        <v>411178874</v>
      </c>
      <c r="B1236" t="s">
        <v>36</v>
      </c>
      <c r="C1236" t="s">
        <v>18</v>
      </c>
      <c r="D1236">
        <v>39442</v>
      </c>
      <c r="E1236">
        <v>230000</v>
      </c>
      <c r="F1236">
        <v>139000</v>
      </c>
      <c r="G1236" t="s">
        <v>17</v>
      </c>
      <c r="H1236">
        <v>1024.79</v>
      </c>
      <c r="I1236">
        <v>138626.95000000001</v>
      </c>
    </row>
    <row r="1237" spans="1:9" x14ac:dyDescent="0.15">
      <c r="A1237">
        <v>411179252</v>
      </c>
      <c r="B1237" t="s">
        <v>35</v>
      </c>
      <c r="C1237" t="s">
        <v>16</v>
      </c>
      <c r="D1237">
        <v>39443</v>
      </c>
      <c r="E1237">
        <v>80000</v>
      </c>
      <c r="F1237">
        <v>64000</v>
      </c>
      <c r="G1237" t="s">
        <v>17</v>
      </c>
      <c r="H1237">
        <v>597.42999999999995</v>
      </c>
      <c r="I1237">
        <v>63902.31</v>
      </c>
    </row>
    <row r="1238" spans="1:9" x14ac:dyDescent="0.15">
      <c r="A1238">
        <v>411179898</v>
      </c>
      <c r="B1238" t="s">
        <v>36</v>
      </c>
      <c r="C1238" t="s">
        <v>16</v>
      </c>
      <c r="D1238">
        <v>39471</v>
      </c>
      <c r="E1238">
        <v>308000</v>
      </c>
      <c r="F1238">
        <v>251600</v>
      </c>
      <c r="G1238" t="s">
        <v>17</v>
      </c>
      <c r="H1238">
        <v>2022.63</v>
      </c>
      <c r="I1238">
        <v>251034.61</v>
      </c>
    </row>
    <row r="1239" spans="1:9" x14ac:dyDescent="0.15">
      <c r="A1239">
        <v>411181654</v>
      </c>
      <c r="B1239" t="s">
        <v>35</v>
      </c>
      <c r="C1239" t="s">
        <v>16</v>
      </c>
      <c r="D1239">
        <v>39434</v>
      </c>
      <c r="E1239">
        <v>207000</v>
      </c>
      <c r="F1239">
        <v>165600</v>
      </c>
      <c r="G1239" t="s">
        <v>17</v>
      </c>
      <c r="H1239">
        <v>1552.08</v>
      </c>
      <c r="I1239">
        <v>165349.92000000001</v>
      </c>
    </row>
    <row r="1240" spans="1:9" x14ac:dyDescent="0.15">
      <c r="A1240">
        <v>411182413</v>
      </c>
      <c r="B1240" t="s">
        <v>37</v>
      </c>
      <c r="C1240" t="s">
        <v>18</v>
      </c>
      <c r="D1240">
        <v>39436</v>
      </c>
      <c r="E1240">
        <v>139900</v>
      </c>
      <c r="F1240">
        <v>125910</v>
      </c>
      <c r="G1240" t="s">
        <v>17</v>
      </c>
      <c r="H1240">
        <v>1058.72</v>
      </c>
      <c r="I1240">
        <v>125659.31</v>
      </c>
    </row>
    <row r="1241" spans="1:9" x14ac:dyDescent="0.15">
      <c r="A1241">
        <v>411183973</v>
      </c>
      <c r="B1241" t="s">
        <v>36</v>
      </c>
      <c r="C1241" t="s">
        <v>18</v>
      </c>
      <c r="D1241">
        <v>39434</v>
      </c>
      <c r="E1241">
        <v>154000</v>
      </c>
      <c r="F1241">
        <v>130900</v>
      </c>
      <c r="G1241" t="s">
        <v>17</v>
      </c>
      <c r="H1241">
        <v>1052.31</v>
      </c>
      <c r="I1241">
        <v>130536.34</v>
      </c>
    </row>
    <row r="1242" spans="1:9" x14ac:dyDescent="0.15">
      <c r="A1242">
        <v>411184393</v>
      </c>
      <c r="B1242" t="s">
        <v>35</v>
      </c>
      <c r="C1242" t="s">
        <v>16</v>
      </c>
      <c r="D1242">
        <v>39490</v>
      </c>
      <c r="E1242">
        <v>250000</v>
      </c>
      <c r="F1242">
        <v>225000</v>
      </c>
      <c r="G1242" t="s">
        <v>17</v>
      </c>
      <c r="H1242">
        <v>1966.23</v>
      </c>
      <c r="I1242">
        <v>224695.67999999999</v>
      </c>
    </row>
    <row r="1243" spans="1:9" x14ac:dyDescent="0.15">
      <c r="A1243">
        <v>411184765</v>
      </c>
      <c r="B1243" t="s">
        <v>35</v>
      </c>
      <c r="C1243" t="s">
        <v>16</v>
      </c>
      <c r="D1243">
        <v>39444</v>
      </c>
      <c r="E1243">
        <v>84000</v>
      </c>
      <c r="F1243">
        <v>75600</v>
      </c>
      <c r="G1243" t="s">
        <v>17</v>
      </c>
      <c r="H1243">
        <v>757.33</v>
      </c>
      <c r="I1243">
        <v>75505.100000000006</v>
      </c>
    </row>
    <row r="1244" spans="1:9" x14ac:dyDescent="0.15">
      <c r="A1244">
        <v>411187099</v>
      </c>
      <c r="B1244" t="s">
        <v>36</v>
      </c>
      <c r="C1244" t="s">
        <v>16</v>
      </c>
      <c r="D1244">
        <v>39443</v>
      </c>
      <c r="E1244">
        <v>340000</v>
      </c>
      <c r="F1244">
        <v>289000</v>
      </c>
      <c r="G1244" t="s">
        <v>20</v>
      </c>
      <c r="H1244">
        <v>2579</v>
      </c>
      <c r="I1244">
        <v>288629.37</v>
      </c>
    </row>
    <row r="1245" spans="1:9" x14ac:dyDescent="0.15">
      <c r="A1245">
        <v>411189939</v>
      </c>
      <c r="B1245" t="s">
        <v>36</v>
      </c>
      <c r="C1245" t="s">
        <v>18</v>
      </c>
      <c r="D1245">
        <v>39435</v>
      </c>
      <c r="E1245">
        <v>166000</v>
      </c>
      <c r="F1245">
        <v>146000</v>
      </c>
      <c r="G1245" t="s">
        <v>17</v>
      </c>
      <c r="H1245">
        <v>1254.3699999999999</v>
      </c>
      <c r="I1245">
        <v>145109.85</v>
      </c>
    </row>
    <row r="1246" spans="1:9" x14ac:dyDescent="0.15">
      <c r="A1246">
        <v>411190622</v>
      </c>
      <c r="B1246" t="s">
        <v>35</v>
      </c>
      <c r="C1246" t="s">
        <v>16</v>
      </c>
      <c r="D1246">
        <v>39447</v>
      </c>
      <c r="E1246">
        <v>123000</v>
      </c>
      <c r="F1246">
        <v>110700</v>
      </c>
      <c r="G1246" t="s">
        <v>17</v>
      </c>
      <c r="H1246">
        <v>967.39</v>
      </c>
      <c r="I1246">
        <v>110497.04</v>
      </c>
    </row>
    <row r="1247" spans="1:9" x14ac:dyDescent="0.15">
      <c r="A1247">
        <v>411196793</v>
      </c>
      <c r="B1247" t="s">
        <v>36</v>
      </c>
      <c r="C1247" t="s">
        <v>16</v>
      </c>
      <c r="D1247">
        <v>39440</v>
      </c>
      <c r="E1247">
        <v>207500</v>
      </c>
      <c r="F1247">
        <v>186000</v>
      </c>
      <c r="G1247" t="s">
        <v>17</v>
      </c>
      <c r="H1247">
        <v>1598.03</v>
      </c>
      <c r="I1247">
        <v>185648.62</v>
      </c>
    </row>
    <row r="1248" spans="1:9" x14ac:dyDescent="0.15">
      <c r="A1248">
        <v>411198567</v>
      </c>
      <c r="B1248" t="s">
        <v>35</v>
      </c>
      <c r="C1248" t="s">
        <v>16</v>
      </c>
      <c r="D1248">
        <v>39443</v>
      </c>
      <c r="E1248">
        <v>320000</v>
      </c>
      <c r="F1248">
        <v>145000</v>
      </c>
      <c r="G1248" t="s">
        <v>17</v>
      </c>
      <c r="H1248">
        <v>1216.5999999999999</v>
      </c>
      <c r="I1248">
        <v>144709.17000000001</v>
      </c>
    </row>
    <row r="1249" spans="1:9" x14ac:dyDescent="0.15">
      <c r="A1249">
        <v>411200595</v>
      </c>
      <c r="B1249" t="s">
        <v>37</v>
      </c>
      <c r="C1249" t="s">
        <v>16</v>
      </c>
      <c r="D1249">
        <v>39463</v>
      </c>
      <c r="E1249">
        <v>194000</v>
      </c>
      <c r="F1249">
        <v>174600</v>
      </c>
      <c r="G1249" t="s">
        <v>20</v>
      </c>
      <c r="H1249">
        <v>1661.44</v>
      </c>
      <c r="I1249">
        <v>174300.49</v>
      </c>
    </row>
    <row r="1250" spans="1:9" x14ac:dyDescent="0.15">
      <c r="A1250">
        <v>411200769</v>
      </c>
      <c r="B1250" t="s">
        <v>36</v>
      </c>
      <c r="C1250" t="s">
        <v>18</v>
      </c>
      <c r="D1250">
        <v>39450</v>
      </c>
      <c r="E1250">
        <v>171000</v>
      </c>
      <c r="F1250">
        <v>145350</v>
      </c>
      <c r="G1250" t="s">
        <v>20</v>
      </c>
      <c r="H1250">
        <v>1389.7</v>
      </c>
      <c r="I1250">
        <v>145194.76999999999</v>
      </c>
    </row>
    <row r="1251" spans="1:9" x14ac:dyDescent="0.15">
      <c r="A1251">
        <v>411201197</v>
      </c>
      <c r="B1251" t="s">
        <v>35</v>
      </c>
      <c r="C1251" t="s">
        <v>16</v>
      </c>
      <c r="D1251">
        <v>39443</v>
      </c>
      <c r="E1251">
        <v>100000</v>
      </c>
      <c r="F1251">
        <v>85000</v>
      </c>
      <c r="G1251" t="s">
        <v>17</v>
      </c>
      <c r="H1251">
        <v>848.24</v>
      </c>
      <c r="I1251">
        <v>84892.160000000003</v>
      </c>
    </row>
    <row r="1252" spans="1:9" x14ac:dyDescent="0.15">
      <c r="A1252">
        <v>411202559</v>
      </c>
      <c r="B1252" t="s">
        <v>37</v>
      </c>
      <c r="C1252" t="s">
        <v>18</v>
      </c>
      <c r="D1252">
        <v>39462</v>
      </c>
      <c r="E1252">
        <v>162000</v>
      </c>
      <c r="F1252">
        <v>137700</v>
      </c>
      <c r="G1252" t="s">
        <v>17</v>
      </c>
      <c r="H1252">
        <v>1337.43</v>
      </c>
      <c r="I1252">
        <v>137559.21</v>
      </c>
    </row>
    <row r="1253" spans="1:9" x14ac:dyDescent="0.15">
      <c r="A1253">
        <v>411203771</v>
      </c>
      <c r="B1253" t="s">
        <v>38</v>
      </c>
      <c r="C1253" t="s">
        <v>16</v>
      </c>
      <c r="D1253">
        <v>39443</v>
      </c>
      <c r="E1253">
        <v>122000</v>
      </c>
      <c r="F1253">
        <v>103700</v>
      </c>
      <c r="G1253" t="s">
        <v>20</v>
      </c>
      <c r="H1253">
        <v>1026.94</v>
      </c>
      <c r="I1253">
        <v>103565.48</v>
      </c>
    </row>
    <row r="1254" spans="1:9" x14ac:dyDescent="0.15">
      <c r="A1254">
        <v>411205073</v>
      </c>
      <c r="B1254" t="s">
        <v>37</v>
      </c>
      <c r="C1254" t="s">
        <v>16</v>
      </c>
      <c r="D1254">
        <v>39451</v>
      </c>
      <c r="E1254">
        <v>302000</v>
      </c>
      <c r="F1254">
        <v>114500</v>
      </c>
      <c r="G1254" t="s">
        <v>17</v>
      </c>
      <c r="H1254">
        <v>950.28</v>
      </c>
      <c r="I1254">
        <v>114264.74</v>
      </c>
    </row>
    <row r="1255" spans="1:9" x14ac:dyDescent="0.15">
      <c r="A1255">
        <v>411205453</v>
      </c>
      <c r="B1255" t="s">
        <v>35</v>
      </c>
      <c r="C1255" t="s">
        <v>16</v>
      </c>
      <c r="D1255">
        <v>39447</v>
      </c>
      <c r="E1255">
        <v>94500</v>
      </c>
      <c r="F1255">
        <v>85050</v>
      </c>
      <c r="G1255" t="s">
        <v>20</v>
      </c>
      <c r="H1255">
        <v>829.29</v>
      </c>
      <c r="I1255">
        <v>84934.78</v>
      </c>
    </row>
    <row r="1256" spans="1:9" x14ac:dyDescent="0.15">
      <c r="A1256">
        <v>411207863</v>
      </c>
      <c r="B1256" t="s">
        <v>36</v>
      </c>
      <c r="C1256" t="s">
        <v>16</v>
      </c>
      <c r="D1256">
        <v>39447</v>
      </c>
      <c r="E1256">
        <v>135000</v>
      </c>
      <c r="F1256">
        <v>108000</v>
      </c>
      <c r="G1256" t="s">
        <v>17</v>
      </c>
      <c r="H1256">
        <v>959.78</v>
      </c>
      <c r="I1256">
        <v>107810.65</v>
      </c>
    </row>
    <row r="1257" spans="1:9" x14ac:dyDescent="0.15">
      <c r="A1257">
        <v>411209273</v>
      </c>
      <c r="B1257" t="s">
        <v>37</v>
      </c>
      <c r="C1257" t="s">
        <v>16</v>
      </c>
      <c r="D1257">
        <v>39470</v>
      </c>
      <c r="E1257">
        <v>190000</v>
      </c>
      <c r="F1257">
        <v>161210</v>
      </c>
      <c r="G1257" t="s">
        <v>17</v>
      </c>
      <c r="H1257">
        <v>1480.69</v>
      </c>
      <c r="I1257">
        <v>161018.17000000001</v>
      </c>
    </row>
    <row r="1258" spans="1:9" x14ac:dyDescent="0.15">
      <c r="A1258">
        <v>411209364</v>
      </c>
      <c r="B1258" t="s">
        <v>37</v>
      </c>
      <c r="C1258" t="s">
        <v>18</v>
      </c>
      <c r="D1258">
        <v>39469</v>
      </c>
      <c r="E1258">
        <v>152000</v>
      </c>
      <c r="F1258">
        <v>129200</v>
      </c>
      <c r="G1258" t="s">
        <v>17</v>
      </c>
      <c r="H1258">
        <v>1002.61</v>
      </c>
      <c r="I1258">
        <v>128889.97</v>
      </c>
    </row>
    <row r="1259" spans="1:9" x14ac:dyDescent="0.15">
      <c r="A1259">
        <v>411210222</v>
      </c>
      <c r="B1259" t="s">
        <v>36</v>
      </c>
      <c r="C1259" t="s">
        <v>18</v>
      </c>
      <c r="D1259">
        <v>39443</v>
      </c>
      <c r="E1259">
        <v>184000</v>
      </c>
      <c r="F1259">
        <v>147200</v>
      </c>
      <c r="G1259" t="s">
        <v>17</v>
      </c>
      <c r="H1259">
        <v>1183.3499999999999</v>
      </c>
      <c r="I1259">
        <v>146854.43</v>
      </c>
    </row>
    <row r="1260" spans="1:9" x14ac:dyDescent="0.15">
      <c r="A1260">
        <v>411210644</v>
      </c>
      <c r="B1260" t="s">
        <v>36</v>
      </c>
      <c r="C1260" t="s">
        <v>18</v>
      </c>
      <c r="D1260">
        <v>39443</v>
      </c>
      <c r="E1260">
        <v>150000</v>
      </c>
      <c r="F1260">
        <v>65000</v>
      </c>
      <c r="G1260" t="s">
        <v>20</v>
      </c>
      <c r="H1260">
        <v>582.47</v>
      </c>
      <c r="I1260">
        <v>64861.34</v>
      </c>
    </row>
    <row r="1261" spans="1:9" x14ac:dyDescent="0.15">
      <c r="A1261">
        <v>411210719</v>
      </c>
      <c r="B1261" t="s">
        <v>37</v>
      </c>
      <c r="C1261" t="s">
        <v>16</v>
      </c>
      <c r="D1261">
        <v>39461</v>
      </c>
      <c r="E1261">
        <v>122500</v>
      </c>
      <c r="F1261">
        <v>104125</v>
      </c>
      <c r="G1261" t="s">
        <v>17</v>
      </c>
      <c r="H1261">
        <v>936.94</v>
      </c>
      <c r="I1261">
        <v>103989.82</v>
      </c>
    </row>
    <row r="1262" spans="1:9" x14ac:dyDescent="0.15">
      <c r="A1262">
        <v>411210982</v>
      </c>
      <c r="B1262" t="s">
        <v>35</v>
      </c>
      <c r="C1262" t="s">
        <v>16</v>
      </c>
      <c r="D1262">
        <v>39456</v>
      </c>
      <c r="E1262">
        <v>246000</v>
      </c>
      <c r="F1262">
        <v>209100</v>
      </c>
      <c r="G1262" t="s">
        <v>17</v>
      </c>
      <c r="H1262">
        <v>1881.53</v>
      </c>
      <c r="I1262">
        <v>208925.74</v>
      </c>
    </row>
    <row r="1263" spans="1:9" x14ac:dyDescent="0.15">
      <c r="A1263">
        <v>411211329</v>
      </c>
      <c r="B1263" t="s">
        <v>37</v>
      </c>
      <c r="C1263" t="s">
        <v>16</v>
      </c>
      <c r="D1263">
        <v>39462</v>
      </c>
      <c r="E1263">
        <v>188000</v>
      </c>
      <c r="F1263">
        <v>159800</v>
      </c>
      <c r="G1263" t="s">
        <v>20</v>
      </c>
      <c r="H1263">
        <v>1461.76</v>
      </c>
      <c r="I1263">
        <v>159607.79</v>
      </c>
    </row>
    <row r="1264" spans="1:9" x14ac:dyDescent="0.15">
      <c r="A1264">
        <v>411212020</v>
      </c>
      <c r="B1264" t="s">
        <v>36</v>
      </c>
      <c r="C1264" t="s">
        <v>16</v>
      </c>
      <c r="D1264">
        <v>39458</v>
      </c>
      <c r="E1264">
        <v>190000</v>
      </c>
      <c r="F1264">
        <v>132500</v>
      </c>
      <c r="G1264" t="s">
        <v>17</v>
      </c>
      <c r="H1264">
        <v>995.43</v>
      </c>
      <c r="I1264">
        <v>132244.78</v>
      </c>
    </row>
    <row r="1265" spans="1:9" x14ac:dyDescent="0.15">
      <c r="A1265">
        <v>411212590</v>
      </c>
      <c r="B1265" t="s">
        <v>36</v>
      </c>
      <c r="C1265" t="s">
        <v>16</v>
      </c>
      <c r="D1265">
        <v>39477</v>
      </c>
      <c r="E1265">
        <v>278000</v>
      </c>
      <c r="F1265">
        <v>236300</v>
      </c>
      <c r="G1265" t="s">
        <v>17</v>
      </c>
      <c r="H1265">
        <v>1986.94</v>
      </c>
      <c r="I1265">
        <v>235948.54</v>
      </c>
    </row>
    <row r="1266" spans="1:9" x14ac:dyDescent="0.15">
      <c r="A1266">
        <v>411212863</v>
      </c>
      <c r="B1266" t="s">
        <v>38</v>
      </c>
      <c r="C1266" t="s">
        <v>16</v>
      </c>
      <c r="D1266">
        <v>39471</v>
      </c>
      <c r="E1266">
        <v>155000</v>
      </c>
      <c r="F1266">
        <v>139500</v>
      </c>
      <c r="G1266" t="s">
        <v>17</v>
      </c>
      <c r="H1266">
        <v>1097.58</v>
      </c>
      <c r="I1266">
        <v>139415.10999999999</v>
      </c>
    </row>
    <row r="1267" spans="1:9" x14ac:dyDescent="0.15">
      <c r="A1267">
        <v>411213077</v>
      </c>
      <c r="B1267" t="s">
        <v>36</v>
      </c>
      <c r="C1267" t="s">
        <v>16</v>
      </c>
      <c r="D1267">
        <v>39461</v>
      </c>
      <c r="E1267">
        <v>160000</v>
      </c>
      <c r="F1267">
        <v>144000</v>
      </c>
      <c r="G1267" t="s">
        <v>17</v>
      </c>
      <c r="H1267">
        <v>1318.31</v>
      </c>
      <c r="I1267">
        <v>143827.17000000001</v>
      </c>
    </row>
    <row r="1268" spans="1:9" x14ac:dyDescent="0.15">
      <c r="A1268">
        <v>411213325</v>
      </c>
      <c r="B1268" t="s">
        <v>37</v>
      </c>
      <c r="C1268" t="s">
        <v>16</v>
      </c>
      <c r="D1268">
        <v>39449</v>
      </c>
      <c r="E1268">
        <v>177000</v>
      </c>
      <c r="F1268">
        <v>159300</v>
      </c>
      <c r="G1268" t="s">
        <v>17</v>
      </c>
      <c r="H1268">
        <v>1614.1</v>
      </c>
      <c r="I1268">
        <v>159155.64000000001</v>
      </c>
    </row>
    <row r="1269" spans="1:9" x14ac:dyDescent="0.15">
      <c r="A1269">
        <v>411214406</v>
      </c>
      <c r="B1269" t="s">
        <v>36</v>
      </c>
      <c r="C1269" t="s">
        <v>16</v>
      </c>
      <c r="D1269">
        <v>39465</v>
      </c>
      <c r="E1269">
        <v>161500</v>
      </c>
      <c r="F1269">
        <v>137275</v>
      </c>
      <c r="G1269" t="s">
        <v>17</v>
      </c>
      <c r="H1269">
        <v>1449.78</v>
      </c>
      <c r="I1269">
        <v>136816.53</v>
      </c>
    </row>
    <row r="1270" spans="1:9" x14ac:dyDescent="0.15">
      <c r="A1270">
        <v>411215106</v>
      </c>
      <c r="B1270" t="s">
        <v>38</v>
      </c>
      <c r="C1270" t="s">
        <v>16</v>
      </c>
      <c r="D1270">
        <v>39461</v>
      </c>
      <c r="E1270">
        <v>190000</v>
      </c>
      <c r="F1270">
        <v>148000</v>
      </c>
      <c r="G1270" t="s">
        <v>17</v>
      </c>
      <c r="H1270">
        <v>1239.07</v>
      </c>
      <c r="I1270">
        <v>147777.54999999999</v>
      </c>
    </row>
    <row r="1271" spans="1:9" x14ac:dyDescent="0.15">
      <c r="A1271">
        <v>411215338</v>
      </c>
      <c r="B1271" t="s">
        <v>35</v>
      </c>
      <c r="C1271" t="s">
        <v>16</v>
      </c>
      <c r="D1271">
        <v>39475</v>
      </c>
      <c r="E1271">
        <v>121000</v>
      </c>
      <c r="F1271">
        <v>96800</v>
      </c>
      <c r="G1271" t="s">
        <v>20</v>
      </c>
      <c r="H1271">
        <v>950.49</v>
      </c>
      <c r="I1271">
        <v>96704</v>
      </c>
    </row>
    <row r="1272" spans="1:9" x14ac:dyDescent="0.15">
      <c r="A1272">
        <v>411220155</v>
      </c>
      <c r="B1272" t="s">
        <v>37</v>
      </c>
      <c r="C1272" t="s">
        <v>16</v>
      </c>
      <c r="D1272">
        <v>39471</v>
      </c>
      <c r="E1272">
        <v>327500</v>
      </c>
      <c r="F1272">
        <v>150000</v>
      </c>
      <c r="G1272" t="s">
        <v>17</v>
      </c>
      <c r="H1272">
        <v>1250.3599999999999</v>
      </c>
      <c r="I1272">
        <v>149772.14000000001</v>
      </c>
    </row>
    <row r="1273" spans="1:9" x14ac:dyDescent="0.15">
      <c r="A1273">
        <v>411223761</v>
      </c>
      <c r="B1273" t="s">
        <v>37</v>
      </c>
      <c r="C1273" t="s">
        <v>16</v>
      </c>
      <c r="D1273">
        <v>39471</v>
      </c>
      <c r="E1273">
        <v>63000</v>
      </c>
      <c r="F1273">
        <v>53550</v>
      </c>
      <c r="G1273" t="s">
        <v>17</v>
      </c>
      <c r="H1273">
        <v>544.65</v>
      </c>
      <c r="I1273">
        <v>53500.94</v>
      </c>
    </row>
    <row r="1274" spans="1:9" x14ac:dyDescent="0.15">
      <c r="A1274">
        <v>411224744</v>
      </c>
      <c r="B1274" t="s">
        <v>38</v>
      </c>
      <c r="C1274" t="s">
        <v>18</v>
      </c>
      <c r="D1274">
        <v>39493</v>
      </c>
      <c r="E1274">
        <v>82500</v>
      </c>
      <c r="F1274">
        <v>58000</v>
      </c>
      <c r="G1274" t="s">
        <v>17</v>
      </c>
      <c r="H1274">
        <v>543.61</v>
      </c>
      <c r="I1274">
        <v>57950.2</v>
      </c>
    </row>
    <row r="1275" spans="1:9" x14ac:dyDescent="0.15">
      <c r="A1275">
        <v>411225642</v>
      </c>
      <c r="B1275" t="s">
        <v>37</v>
      </c>
      <c r="C1275" t="s">
        <v>16</v>
      </c>
      <c r="D1275">
        <v>39484</v>
      </c>
      <c r="E1275">
        <v>265000</v>
      </c>
      <c r="F1275">
        <v>198750</v>
      </c>
      <c r="G1275" t="s">
        <v>17</v>
      </c>
      <c r="H1275">
        <v>1393.1</v>
      </c>
      <c r="I1275">
        <v>198286.07999999999</v>
      </c>
    </row>
    <row r="1276" spans="1:9" x14ac:dyDescent="0.15">
      <c r="A1276">
        <v>411226004</v>
      </c>
      <c r="B1276" t="s">
        <v>36</v>
      </c>
      <c r="C1276" t="s">
        <v>16</v>
      </c>
      <c r="D1276">
        <v>39471</v>
      </c>
      <c r="E1276">
        <v>120000</v>
      </c>
      <c r="F1276">
        <v>96000</v>
      </c>
      <c r="G1276" t="s">
        <v>17</v>
      </c>
      <c r="H1276">
        <v>914.24</v>
      </c>
      <c r="I1276">
        <v>95896.34</v>
      </c>
    </row>
    <row r="1277" spans="1:9" x14ac:dyDescent="0.15">
      <c r="A1277">
        <v>411226640</v>
      </c>
      <c r="B1277" t="s">
        <v>37</v>
      </c>
      <c r="C1277" t="s">
        <v>16</v>
      </c>
      <c r="D1277">
        <v>39469</v>
      </c>
      <c r="E1277">
        <v>153000</v>
      </c>
      <c r="F1277">
        <v>125000</v>
      </c>
      <c r="G1277" t="s">
        <v>17</v>
      </c>
      <c r="H1277">
        <v>1028.3499999999999</v>
      </c>
      <c r="I1277">
        <v>124800.76</v>
      </c>
    </row>
    <row r="1278" spans="1:9" x14ac:dyDescent="0.15">
      <c r="A1278">
        <v>411226756</v>
      </c>
      <c r="B1278" t="s">
        <v>35</v>
      </c>
      <c r="C1278" t="s">
        <v>16</v>
      </c>
      <c r="D1278">
        <v>39476</v>
      </c>
      <c r="E1278">
        <v>172000</v>
      </c>
      <c r="F1278">
        <v>129000</v>
      </c>
      <c r="G1278" t="s">
        <v>17</v>
      </c>
      <c r="H1278">
        <v>1033.33</v>
      </c>
      <c r="I1278">
        <v>128696.82</v>
      </c>
    </row>
    <row r="1279" spans="1:9" x14ac:dyDescent="0.15">
      <c r="A1279">
        <v>411227309</v>
      </c>
      <c r="B1279" t="s">
        <v>37</v>
      </c>
      <c r="C1279" t="s">
        <v>16</v>
      </c>
      <c r="D1279">
        <v>39493</v>
      </c>
      <c r="E1279">
        <v>180000</v>
      </c>
      <c r="F1279">
        <v>162000</v>
      </c>
      <c r="G1279" t="s">
        <v>17</v>
      </c>
      <c r="H1279">
        <v>1545.83</v>
      </c>
      <c r="I1279">
        <v>161884.57</v>
      </c>
    </row>
    <row r="1280" spans="1:9" x14ac:dyDescent="0.15">
      <c r="A1280">
        <v>411228109</v>
      </c>
      <c r="B1280" t="s">
        <v>36</v>
      </c>
      <c r="C1280" t="s">
        <v>18</v>
      </c>
      <c r="D1280">
        <v>39462</v>
      </c>
      <c r="E1280">
        <v>243000</v>
      </c>
      <c r="F1280">
        <v>206550</v>
      </c>
      <c r="G1280" t="s">
        <v>17</v>
      </c>
      <c r="H1280">
        <v>1759.44</v>
      </c>
      <c r="I1280">
        <v>206150.24</v>
      </c>
    </row>
    <row r="1281" spans="1:9" x14ac:dyDescent="0.15">
      <c r="A1281">
        <v>411228315</v>
      </c>
      <c r="B1281" t="s">
        <v>35</v>
      </c>
      <c r="C1281" t="s">
        <v>16</v>
      </c>
      <c r="D1281">
        <v>39463</v>
      </c>
      <c r="E1281">
        <v>240000</v>
      </c>
      <c r="F1281">
        <v>192000</v>
      </c>
      <c r="G1281" t="s">
        <v>17</v>
      </c>
      <c r="H1281">
        <v>1756.3</v>
      </c>
      <c r="I1281">
        <v>191437.92</v>
      </c>
    </row>
    <row r="1282" spans="1:9" x14ac:dyDescent="0.15">
      <c r="A1282">
        <v>411228851</v>
      </c>
      <c r="B1282" t="s">
        <v>35</v>
      </c>
      <c r="C1282" t="s">
        <v>16</v>
      </c>
      <c r="D1282">
        <v>39463</v>
      </c>
      <c r="E1282">
        <v>125000</v>
      </c>
      <c r="F1282">
        <v>90500</v>
      </c>
      <c r="G1282" t="s">
        <v>17</v>
      </c>
      <c r="H1282">
        <v>800.57</v>
      </c>
      <c r="I1282">
        <v>90341.05</v>
      </c>
    </row>
    <row r="1283" spans="1:9" x14ac:dyDescent="0.15">
      <c r="A1283">
        <v>411231350</v>
      </c>
      <c r="B1283" t="s">
        <v>36</v>
      </c>
      <c r="C1283" t="s">
        <v>16</v>
      </c>
      <c r="D1283">
        <v>39462</v>
      </c>
      <c r="E1283">
        <v>165000</v>
      </c>
      <c r="F1283">
        <v>100000</v>
      </c>
      <c r="G1283" t="s">
        <v>17</v>
      </c>
      <c r="H1283">
        <v>790.28</v>
      </c>
      <c r="I1283">
        <v>99827.91</v>
      </c>
    </row>
    <row r="1284" spans="1:9" x14ac:dyDescent="0.15">
      <c r="A1284">
        <v>411231731</v>
      </c>
      <c r="B1284" t="s">
        <v>37</v>
      </c>
      <c r="C1284" t="s">
        <v>16</v>
      </c>
      <c r="D1284">
        <v>39471</v>
      </c>
      <c r="E1284">
        <v>165000</v>
      </c>
      <c r="F1284">
        <v>140250</v>
      </c>
      <c r="G1284" t="s">
        <v>17</v>
      </c>
      <c r="H1284">
        <v>1274.03</v>
      </c>
      <c r="I1284">
        <v>140196.66</v>
      </c>
    </row>
    <row r="1285" spans="1:9" x14ac:dyDescent="0.15">
      <c r="A1285">
        <v>411232762</v>
      </c>
      <c r="B1285" t="s">
        <v>37</v>
      </c>
      <c r="C1285" t="s">
        <v>16</v>
      </c>
      <c r="D1285">
        <v>39493</v>
      </c>
      <c r="E1285">
        <v>177650</v>
      </c>
      <c r="F1285">
        <v>133230</v>
      </c>
      <c r="G1285" t="s">
        <v>17</v>
      </c>
      <c r="H1285">
        <v>1029.1500000000001</v>
      </c>
      <c r="I1285">
        <v>133069.65</v>
      </c>
    </row>
    <row r="1286" spans="1:9" x14ac:dyDescent="0.15">
      <c r="A1286">
        <v>411233646</v>
      </c>
      <c r="B1286" t="s">
        <v>36</v>
      </c>
      <c r="C1286" t="s">
        <v>16</v>
      </c>
      <c r="D1286">
        <v>39476</v>
      </c>
      <c r="E1286">
        <v>515000</v>
      </c>
      <c r="F1286">
        <v>463500</v>
      </c>
      <c r="G1286" t="s">
        <v>17</v>
      </c>
      <c r="H1286">
        <v>3813.11</v>
      </c>
      <c r="I1286">
        <v>462375.94</v>
      </c>
    </row>
    <row r="1287" spans="1:9" x14ac:dyDescent="0.15">
      <c r="A1287">
        <v>411235526</v>
      </c>
      <c r="B1287" t="s">
        <v>36</v>
      </c>
      <c r="C1287" t="s">
        <v>16</v>
      </c>
      <c r="D1287">
        <v>39497</v>
      </c>
      <c r="E1287">
        <v>219000</v>
      </c>
      <c r="F1287">
        <v>197100</v>
      </c>
      <c r="G1287" t="s">
        <v>17</v>
      </c>
      <c r="H1287">
        <v>1657.33</v>
      </c>
      <c r="I1287">
        <v>196897.93</v>
      </c>
    </row>
    <row r="1288" spans="1:9" x14ac:dyDescent="0.15">
      <c r="A1288">
        <v>411237845</v>
      </c>
      <c r="B1288" t="s">
        <v>36</v>
      </c>
      <c r="C1288" t="s">
        <v>16</v>
      </c>
      <c r="D1288">
        <v>39461</v>
      </c>
      <c r="E1288">
        <v>288000</v>
      </c>
      <c r="F1288">
        <v>272840</v>
      </c>
      <c r="G1288" t="s">
        <v>20</v>
      </c>
      <c r="H1288">
        <v>2444.9299999999998</v>
      </c>
      <c r="I1288">
        <v>272493.8</v>
      </c>
    </row>
    <row r="1289" spans="1:9" x14ac:dyDescent="0.15">
      <c r="A1289">
        <v>411238405</v>
      </c>
      <c r="B1289" t="s">
        <v>36</v>
      </c>
      <c r="C1289" t="s">
        <v>16</v>
      </c>
      <c r="D1289">
        <v>39482</v>
      </c>
      <c r="E1289">
        <v>169000</v>
      </c>
      <c r="F1289">
        <v>120000</v>
      </c>
      <c r="G1289" t="s">
        <v>17</v>
      </c>
      <c r="H1289">
        <v>1002.99</v>
      </c>
      <c r="I1289">
        <v>119383.94</v>
      </c>
    </row>
    <row r="1290" spans="1:9" x14ac:dyDescent="0.15">
      <c r="A1290">
        <v>411238694</v>
      </c>
      <c r="B1290" t="s">
        <v>38</v>
      </c>
      <c r="C1290" t="s">
        <v>18</v>
      </c>
      <c r="D1290">
        <v>39486</v>
      </c>
      <c r="E1290">
        <v>141000</v>
      </c>
      <c r="F1290">
        <v>126900</v>
      </c>
      <c r="G1290" t="s">
        <v>17</v>
      </c>
      <c r="H1290">
        <v>1207.54</v>
      </c>
      <c r="I1290">
        <v>126634.16</v>
      </c>
    </row>
    <row r="1291" spans="1:9" x14ac:dyDescent="0.15">
      <c r="A1291">
        <v>411239577</v>
      </c>
      <c r="B1291" t="s">
        <v>37</v>
      </c>
      <c r="C1291" t="s">
        <v>18</v>
      </c>
      <c r="D1291">
        <v>39471</v>
      </c>
      <c r="E1291">
        <v>141225.24</v>
      </c>
      <c r="F1291">
        <v>104000</v>
      </c>
      <c r="G1291" t="s">
        <v>17</v>
      </c>
      <c r="H1291">
        <v>825.61</v>
      </c>
      <c r="I1291">
        <v>103762.95</v>
      </c>
    </row>
    <row r="1292" spans="1:9" x14ac:dyDescent="0.15">
      <c r="A1292">
        <v>411241136</v>
      </c>
      <c r="B1292" t="s">
        <v>36</v>
      </c>
      <c r="C1292" t="s">
        <v>16</v>
      </c>
      <c r="D1292">
        <v>39476</v>
      </c>
      <c r="E1292">
        <v>120000</v>
      </c>
      <c r="F1292">
        <v>84700</v>
      </c>
      <c r="G1292" t="s">
        <v>17</v>
      </c>
      <c r="H1292">
        <v>693.74</v>
      </c>
      <c r="I1292">
        <v>84565.86</v>
      </c>
    </row>
    <row r="1293" spans="1:9" x14ac:dyDescent="0.15">
      <c r="A1293">
        <v>411243025</v>
      </c>
      <c r="B1293" t="s">
        <v>38</v>
      </c>
      <c r="C1293" t="s">
        <v>18</v>
      </c>
      <c r="D1293">
        <v>39476</v>
      </c>
      <c r="E1293">
        <v>289000</v>
      </c>
      <c r="F1293">
        <v>260000</v>
      </c>
      <c r="G1293" t="s">
        <v>17</v>
      </c>
      <c r="H1293">
        <v>2545.0500000000002</v>
      </c>
      <c r="I1293">
        <v>259739.9</v>
      </c>
    </row>
    <row r="1294" spans="1:9" x14ac:dyDescent="0.15">
      <c r="A1294">
        <v>411244767</v>
      </c>
      <c r="B1294" t="s">
        <v>37</v>
      </c>
      <c r="C1294" t="s">
        <v>18</v>
      </c>
      <c r="D1294">
        <v>39463</v>
      </c>
      <c r="E1294">
        <v>127000</v>
      </c>
      <c r="F1294">
        <v>114300</v>
      </c>
      <c r="G1294" t="s">
        <v>17</v>
      </c>
      <c r="H1294">
        <v>998.85</v>
      </c>
      <c r="I1294">
        <v>114088.34</v>
      </c>
    </row>
    <row r="1295" spans="1:9" x14ac:dyDescent="0.15">
      <c r="A1295">
        <v>411247141</v>
      </c>
      <c r="B1295" t="s">
        <v>36</v>
      </c>
      <c r="C1295" t="s">
        <v>16</v>
      </c>
      <c r="D1295">
        <v>39475</v>
      </c>
      <c r="E1295">
        <v>398000</v>
      </c>
      <c r="F1295">
        <v>315000</v>
      </c>
      <c r="G1295" t="s">
        <v>17</v>
      </c>
      <c r="H1295">
        <v>2724.37</v>
      </c>
      <c r="I1295">
        <v>314905.86</v>
      </c>
    </row>
    <row r="1296" spans="1:9" x14ac:dyDescent="0.15">
      <c r="A1296">
        <v>411249048</v>
      </c>
      <c r="B1296" t="s">
        <v>35</v>
      </c>
      <c r="C1296" t="s">
        <v>16</v>
      </c>
      <c r="D1296">
        <v>39489</v>
      </c>
      <c r="E1296">
        <v>170000</v>
      </c>
      <c r="F1296">
        <v>122000</v>
      </c>
      <c r="G1296" t="s">
        <v>17</v>
      </c>
      <c r="H1296">
        <v>1025.8499999999999</v>
      </c>
      <c r="I1296">
        <v>121879.49</v>
      </c>
    </row>
    <row r="1297" spans="1:9" x14ac:dyDescent="0.15">
      <c r="A1297">
        <v>411249295</v>
      </c>
      <c r="B1297" t="s">
        <v>35</v>
      </c>
      <c r="C1297" t="s">
        <v>16</v>
      </c>
      <c r="D1297">
        <v>39471</v>
      </c>
      <c r="E1297">
        <v>110000</v>
      </c>
      <c r="F1297">
        <v>90900</v>
      </c>
      <c r="G1297" t="s">
        <v>20</v>
      </c>
      <c r="H1297">
        <v>921.04</v>
      </c>
      <c r="I1297">
        <v>90817.62</v>
      </c>
    </row>
    <row r="1298" spans="1:9" x14ac:dyDescent="0.15">
      <c r="A1298">
        <v>411249907</v>
      </c>
      <c r="B1298" t="s">
        <v>35</v>
      </c>
      <c r="C1298" t="s">
        <v>16</v>
      </c>
      <c r="D1298">
        <v>39505</v>
      </c>
      <c r="E1298">
        <v>400000</v>
      </c>
      <c r="F1298">
        <v>319500</v>
      </c>
      <c r="G1298" t="s">
        <v>17</v>
      </c>
      <c r="H1298">
        <v>2355.5300000000002</v>
      </c>
      <c r="I1298">
        <v>319074.14</v>
      </c>
    </row>
    <row r="1299" spans="1:9" x14ac:dyDescent="0.15">
      <c r="A1299">
        <v>411249915</v>
      </c>
      <c r="B1299" t="s">
        <v>36</v>
      </c>
      <c r="C1299" t="s">
        <v>16</v>
      </c>
      <c r="D1299">
        <v>39471</v>
      </c>
      <c r="E1299">
        <v>175000</v>
      </c>
      <c r="F1299">
        <v>115000</v>
      </c>
      <c r="G1299" t="s">
        <v>17</v>
      </c>
      <c r="H1299">
        <v>1043.3699999999999</v>
      </c>
      <c r="I1299">
        <v>114767.16</v>
      </c>
    </row>
    <row r="1300" spans="1:9" x14ac:dyDescent="0.15">
      <c r="A1300">
        <v>411250731</v>
      </c>
      <c r="B1300" t="s">
        <v>35</v>
      </c>
      <c r="C1300" t="s">
        <v>16</v>
      </c>
      <c r="D1300">
        <v>39479</v>
      </c>
      <c r="E1300">
        <v>160000</v>
      </c>
      <c r="F1300">
        <v>136000</v>
      </c>
      <c r="G1300" t="s">
        <v>17</v>
      </c>
      <c r="H1300">
        <v>1218.7</v>
      </c>
      <c r="I1300">
        <v>135827.44</v>
      </c>
    </row>
    <row r="1301" spans="1:9" x14ac:dyDescent="0.15">
      <c r="A1301">
        <v>411250822</v>
      </c>
      <c r="B1301" t="s">
        <v>38</v>
      </c>
      <c r="C1301" t="s">
        <v>18</v>
      </c>
      <c r="D1301">
        <v>39469</v>
      </c>
      <c r="E1301">
        <v>91000</v>
      </c>
      <c r="F1301">
        <v>63000</v>
      </c>
      <c r="G1301" t="s">
        <v>17</v>
      </c>
      <c r="H1301">
        <v>516.01</v>
      </c>
      <c r="I1301">
        <v>62639.23</v>
      </c>
    </row>
    <row r="1302" spans="1:9" x14ac:dyDescent="0.15">
      <c r="A1302">
        <v>411251374</v>
      </c>
      <c r="B1302" t="s">
        <v>35</v>
      </c>
      <c r="C1302" t="s">
        <v>16</v>
      </c>
      <c r="D1302">
        <v>39471</v>
      </c>
      <c r="E1302">
        <v>133000</v>
      </c>
      <c r="F1302">
        <v>113050</v>
      </c>
      <c r="G1302" t="s">
        <v>17</v>
      </c>
      <c r="H1302">
        <v>1118.67</v>
      </c>
      <c r="I1302">
        <v>112940.31</v>
      </c>
    </row>
    <row r="1303" spans="1:9" x14ac:dyDescent="0.15">
      <c r="A1303">
        <v>411252745</v>
      </c>
      <c r="B1303" t="s">
        <v>36</v>
      </c>
      <c r="C1303" t="s">
        <v>16</v>
      </c>
      <c r="D1303">
        <v>39477</v>
      </c>
      <c r="E1303">
        <v>287000</v>
      </c>
      <c r="F1303">
        <v>248850</v>
      </c>
      <c r="G1303" t="s">
        <v>17</v>
      </c>
      <c r="H1303">
        <v>2182</v>
      </c>
      <c r="I1303">
        <v>248362.78</v>
      </c>
    </row>
    <row r="1304" spans="1:9" x14ac:dyDescent="0.15">
      <c r="A1304">
        <v>411253040</v>
      </c>
      <c r="B1304" t="s">
        <v>35</v>
      </c>
      <c r="C1304" t="s">
        <v>16</v>
      </c>
      <c r="D1304">
        <v>39490</v>
      </c>
      <c r="E1304">
        <v>72000</v>
      </c>
      <c r="F1304">
        <v>64800</v>
      </c>
      <c r="G1304" t="s">
        <v>17</v>
      </c>
      <c r="H1304">
        <v>614.66</v>
      </c>
      <c r="I1304">
        <v>64729.279999999999</v>
      </c>
    </row>
    <row r="1305" spans="1:9" x14ac:dyDescent="0.15">
      <c r="A1305">
        <v>411253065</v>
      </c>
      <c r="B1305" t="s">
        <v>37</v>
      </c>
      <c r="C1305" t="s">
        <v>18</v>
      </c>
      <c r="D1305">
        <v>39475</v>
      </c>
      <c r="E1305">
        <v>169000</v>
      </c>
      <c r="F1305">
        <v>131820</v>
      </c>
      <c r="G1305" t="s">
        <v>17</v>
      </c>
      <c r="H1305">
        <v>1197.94</v>
      </c>
      <c r="I1305">
        <v>131766.70000000001</v>
      </c>
    </row>
    <row r="1306" spans="1:9" x14ac:dyDescent="0.15">
      <c r="A1306">
        <v>411253198</v>
      </c>
      <c r="B1306" t="s">
        <v>36</v>
      </c>
      <c r="C1306" t="s">
        <v>16</v>
      </c>
      <c r="D1306">
        <v>39490</v>
      </c>
      <c r="E1306">
        <v>425000</v>
      </c>
      <c r="F1306">
        <v>318750</v>
      </c>
      <c r="G1306" t="s">
        <v>20</v>
      </c>
      <c r="H1306">
        <v>2794.91</v>
      </c>
      <c r="I1306">
        <v>318322.51</v>
      </c>
    </row>
    <row r="1307" spans="1:9" x14ac:dyDescent="0.15">
      <c r="A1307">
        <v>411253867</v>
      </c>
      <c r="B1307" t="s">
        <v>36</v>
      </c>
      <c r="C1307" t="s">
        <v>18</v>
      </c>
      <c r="D1307">
        <v>39491</v>
      </c>
      <c r="E1307">
        <v>260000</v>
      </c>
      <c r="F1307">
        <v>247000</v>
      </c>
      <c r="G1307" t="s">
        <v>17</v>
      </c>
      <c r="H1307">
        <v>2149.38</v>
      </c>
      <c r="I1307">
        <v>246775.82</v>
      </c>
    </row>
    <row r="1308" spans="1:9" x14ac:dyDescent="0.15">
      <c r="A1308">
        <v>411254014</v>
      </c>
      <c r="B1308" t="s">
        <v>36</v>
      </c>
      <c r="C1308" t="s">
        <v>16</v>
      </c>
      <c r="D1308">
        <v>39504</v>
      </c>
      <c r="E1308">
        <v>137500</v>
      </c>
      <c r="F1308">
        <v>123750</v>
      </c>
      <c r="G1308" t="s">
        <v>17</v>
      </c>
      <c r="H1308">
        <v>1063.21</v>
      </c>
      <c r="I1308">
        <v>123634.03</v>
      </c>
    </row>
    <row r="1309" spans="1:9" x14ac:dyDescent="0.15">
      <c r="A1309">
        <v>411254188</v>
      </c>
      <c r="B1309" t="s">
        <v>36</v>
      </c>
      <c r="C1309" t="s">
        <v>16</v>
      </c>
      <c r="D1309">
        <v>39478</v>
      </c>
      <c r="E1309">
        <v>352000</v>
      </c>
      <c r="F1309">
        <v>272000</v>
      </c>
      <c r="G1309" t="s">
        <v>17</v>
      </c>
      <c r="H1309">
        <v>2437.4</v>
      </c>
      <c r="I1309">
        <v>270879.05</v>
      </c>
    </row>
    <row r="1310" spans="1:9" x14ac:dyDescent="0.15">
      <c r="A1310">
        <v>411254402</v>
      </c>
      <c r="B1310" t="s">
        <v>38</v>
      </c>
      <c r="C1310" t="s">
        <v>18</v>
      </c>
      <c r="D1310">
        <v>39469</v>
      </c>
      <c r="E1310">
        <v>130000</v>
      </c>
      <c r="F1310">
        <v>110500</v>
      </c>
      <c r="G1310" t="s">
        <v>17</v>
      </c>
      <c r="H1310">
        <v>1047.73</v>
      </c>
      <c r="I1310">
        <v>110379.27</v>
      </c>
    </row>
    <row r="1311" spans="1:9" x14ac:dyDescent="0.15">
      <c r="A1311">
        <v>411255995</v>
      </c>
      <c r="B1311" t="s">
        <v>36</v>
      </c>
      <c r="C1311" t="s">
        <v>16</v>
      </c>
      <c r="D1311">
        <v>39475</v>
      </c>
      <c r="E1311">
        <v>404000</v>
      </c>
      <c r="F1311">
        <v>300000</v>
      </c>
      <c r="G1311" t="s">
        <v>17</v>
      </c>
      <c r="H1311">
        <v>2233.58</v>
      </c>
      <c r="I1311">
        <v>299785.21999999997</v>
      </c>
    </row>
    <row r="1312" spans="1:9" x14ac:dyDescent="0.15">
      <c r="A1312">
        <v>411257728</v>
      </c>
      <c r="B1312" t="s">
        <v>37</v>
      </c>
      <c r="C1312" t="s">
        <v>16</v>
      </c>
      <c r="D1312">
        <v>39477</v>
      </c>
      <c r="E1312">
        <v>230000</v>
      </c>
      <c r="F1312">
        <v>195500</v>
      </c>
      <c r="G1312" t="s">
        <v>17</v>
      </c>
      <c r="H1312">
        <v>1906.25</v>
      </c>
      <c r="I1312">
        <v>195235.12</v>
      </c>
    </row>
    <row r="1313" spans="1:9" x14ac:dyDescent="0.15">
      <c r="A1313">
        <v>411259286</v>
      </c>
      <c r="B1313" t="s">
        <v>36</v>
      </c>
      <c r="C1313" t="s">
        <v>16</v>
      </c>
      <c r="D1313">
        <v>39477</v>
      </c>
      <c r="E1313">
        <v>185000</v>
      </c>
      <c r="F1313">
        <v>138750</v>
      </c>
      <c r="G1313" t="s">
        <v>17</v>
      </c>
      <c r="H1313">
        <v>1232.9000000000001</v>
      </c>
      <c r="I1313">
        <v>138692.99</v>
      </c>
    </row>
    <row r="1314" spans="1:9" x14ac:dyDescent="0.15">
      <c r="A1314">
        <v>411259997</v>
      </c>
      <c r="B1314" t="s">
        <v>38</v>
      </c>
      <c r="C1314" t="s">
        <v>16</v>
      </c>
      <c r="D1314">
        <v>39507</v>
      </c>
      <c r="E1314">
        <v>238000</v>
      </c>
      <c r="F1314">
        <v>190400</v>
      </c>
      <c r="G1314" t="s">
        <v>17</v>
      </c>
      <c r="H1314">
        <v>1518.33</v>
      </c>
      <c r="I1314">
        <v>190079.04</v>
      </c>
    </row>
    <row r="1315" spans="1:9" x14ac:dyDescent="0.15">
      <c r="A1315">
        <v>411260177</v>
      </c>
      <c r="B1315" t="s">
        <v>36</v>
      </c>
      <c r="C1315" t="s">
        <v>16</v>
      </c>
      <c r="D1315">
        <v>39476</v>
      </c>
      <c r="E1315">
        <v>250000</v>
      </c>
      <c r="F1315">
        <v>212500</v>
      </c>
      <c r="G1315" t="s">
        <v>17</v>
      </c>
      <c r="H1315">
        <v>2112.48</v>
      </c>
      <c r="I1315">
        <v>212281.55</v>
      </c>
    </row>
    <row r="1316" spans="1:9" x14ac:dyDescent="0.15">
      <c r="A1316">
        <v>411261282</v>
      </c>
      <c r="B1316" t="s">
        <v>38</v>
      </c>
      <c r="C1316" t="s">
        <v>16</v>
      </c>
      <c r="D1316">
        <v>39479</v>
      </c>
      <c r="E1316">
        <v>120000</v>
      </c>
      <c r="F1316">
        <v>102000</v>
      </c>
      <c r="G1316" t="s">
        <v>20</v>
      </c>
      <c r="H1316">
        <v>990.69</v>
      </c>
      <c r="I1316">
        <v>101930.48</v>
      </c>
    </row>
    <row r="1317" spans="1:9" x14ac:dyDescent="0.15">
      <c r="A1317">
        <v>411261670</v>
      </c>
      <c r="B1317" t="s">
        <v>35</v>
      </c>
      <c r="C1317" t="s">
        <v>16</v>
      </c>
      <c r="D1317">
        <v>39472</v>
      </c>
      <c r="E1317">
        <v>65000</v>
      </c>
      <c r="F1317">
        <v>52000</v>
      </c>
      <c r="G1317" t="s">
        <v>17</v>
      </c>
      <c r="H1317">
        <v>460.19</v>
      </c>
      <c r="I1317">
        <v>51908.77</v>
      </c>
    </row>
    <row r="1318" spans="1:9" x14ac:dyDescent="0.15">
      <c r="A1318">
        <v>411262280</v>
      </c>
      <c r="B1318" t="s">
        <v>37</v>
      </c>
      <c r="C1318" t="s">
        <v>18</v>
      </c>
      <c r="D1318">
        <v>39503</v>
      </c>
      <c r="E1318">
        <v>165000</v>
      </c>
      <c r="F1318">
        <v>148500</v>
      </c>
      <c r="G1318" t="s">
        <v>17</v>
      </c>
      <c r="H1318">
        <v>1281.31</v>
      </c>
      <c r="I1318">
        <v>148362.32</v>
      </c>
    </row>
    <row r="1319" spans="1:9" x14ac:dyDescent="0.15">
      <c r="A1319">
        <v>411263759</v>
      </c>
      <c r="B1319" t="s">
        <v>35</v>
      </c>
      <c r="C1319" t="s">
        <v>16</v>
      </c>
      <c r="D1319">
        <v>39482</v>
      </c>
      <c r="E1319">
        <v>199900</v>
      </c>
      <c r="F1319">
        <v>137900</v>
      </c>
      <c r="G1319" t="s">
        <v>17</v>
      </c>
      <c r="H1319">
        <v>964.22</v>
      </c>
      <c r="I1319">
        <v>137486.76999999999</v>
      </c>
    </row>
    <row r="1320" spans="1:9" x14ac:dyDescent="0.15">
      <c r="A1320">
        <v>411264302</v>
      </c>
      <c r="B1320" t="s">
        <v>36</v>
      </c>
      <c r="C1320" t="s">
        <v>16</v>
      </c>
      <c r="D1320">
        <v>39483</v>
      </c>
      <c r="E1320">
        <v>170000</v>
      </c>
      <c r="F1320">
        <v>153000</v>
      </c>
      <c r="G1320" t="s">
        <v>20</v>
      </c>
      <c r="H1320">
        <v>1140.3</v>
      </c>
      <c r="I1320">
        <v>152926.03</v>
      </c>
    </row>
    <row r="1321" spans="1:9" x14ac:dyDescent="0.15">
      <c r="A1321">
        <v>411269202</v>
      </c>
      <c r="B1321" t="s">
        <v>35</v>
      </c>
      <c r="C1321" t="s">
        <v>16</v>
      </c>
      <c r="D1321">
        <v>39482</v>
      </c>
      <c r="E1321">
        <v>170000</v>
      </c>
      <c r="F1321">
        <v>144500</v>
      </c>
      <c r="G1321" t="s">
        <v>17</v>
      </c>
      <c r="H1321">
        <v>1458.6</v>
      </c>
      <c r="I1321">
        <v>144319.73000000001</v>
      </c>
    </row>
    <row r="1322" spans="1:9" x14ac:dyDescent="0.15">
      <c r="A1322">
        <v>411269392</v>
      </c>
      <c r="B1322" t="s">
        <v>36</v>
      </c>
      <c r="C1322" t="s">
        <v>16</v>
      </c>
      <c r="D1322">
        <v>39505</v>
      </c>
      <c r="E1322">
        <v>163000</v>
      </c>
      <c r="F1322">
        <v>128000</v>
      </c>
      <c r="G1322" t="s">
        <v>17</v>
      </c>
      <c r="H1322">
        <v>1071.6300000000001</v>
      </c>
      <c r="I1322">
        <v>127872.24</v>
      </c>
    </row>
    <row r="1323" spans="1:9" x14ac:dyDescent="0.15">
      <c r="A1323">
        <v>411270671</v>
      </c>
      <c r="B1323" t="s">
        <v>36</v>
      </c>
      <c r="C1323" t="s">
        <v>18</v>
      </c>
      <c r="D1323">
        <v>39482</v>
      </c>
      <c r="E1323">
        <v>345000</v>
      </c>
      <c r="F1323">
        <v>272000</v>
      </c>
      <c r="G1323" t="s">
        <v>20</v>
      </c>
      <c r="H1323">
        <v>2139.83</v>
      </c>
      <c r="I1323">
        <v>271685.86</v>
      </c>
    </row>
    <row r="1324" spans="1:9" x14ac:dyDescent="0.15">
      <c r="A1324">
        <v>411270812</v>
      </c>
      <c r="B1324" t="s">
        <v>35</v>
      </c>
      <c r="C1324" t="s">
        <v>16</v>
      </c>
      <c r="D1324">
        <v>39483</v>
      </c>
      <c r="E1324">
        <v>145000</v>
      </c>
      <c r="F1324">
        <v>123250</v>
      </c>
      <c r="G1324" t="s">
        <v>17</v>
      </c>
      <c r="H1324">
        <v>991.7</v>
      </c>
      <c r="I1324">
        <v>122394.44</v>
      </c>
    </row>
    <row r="1325" spans="1:9" x14ac:dyDescent="0.15">
      <c r="A1325">
        <v>411270838</v>
      </c>
      <c r="B1325" t="s">
        <v>36</v>
      </c>
      <c r="C1325" t="s">
        <v>16</v>
      </c>
      <c r="D1325">
        <v>39489</v>
      </c>
      <c r="E1325">
        <v>330000</v>
      </c>
      <c r="F1325">
        <v>227500</v>
      </c>
      <c r="G1325" t="s">
        <v>17</v>
      </c>
      <c r="H1325">
        <v>1455.26</v>
      </c>
      <c r="I1325">
        <v>227337.95</v>
      </c>
    </row>
    <row r="1326" spans="1:9" x14ac:dyDescent="0.15">
      <c r="A1326">
        <v>411276140</v>
      </c>
      <c r="B1326" t="s">
        <v>38</v>
      </c>
      <c r="C1326" t="s">
        <v>16</v>
      </c>
      <c r="D1326">
        <v>39483</v>
      </c>
      <c r="E1326">
        <v>175000</v>
      </c>
      <c r="F1326">
        <v>120000</v>
      </c>
      <c r="G1326" t="s">
        <v>17</v>
      </c>
      <c r="H1326">
        <v>868.01</v>
      </c>
      <c r="I1326">
        <v>119664.69</v>
      </c>
    </row>
    <row r="1327" spans="1:9" x14ac:dyDescent="0.15">
      <c r="A1327">
        <v>411277460</v>
      </c>
      <c r="B1327" t="s">
        <v>36</v>
      </c>
      <c r="C1327" t="s">
        <v>18</v>
      </c>
      <c r="D1327">
        <v>39499</v>
      </c>
      <c r="E1327">
        <v>300000</v>
      </c>
      <c r="F1327">
        <v>135000</v>
      </c>
      <c r="G1327" t="s">
        <v>17</v>
      </c>
      <c r="H1327">
        <v>1014.21</v>
      </c>
      <c r="I1327">
        <v>134739.97</v>
      </c>
    </row>
    <row r="1328" spans="1:9" x14ac:dyDescent="0.15">
      <c r="A1328">
        <v>411277510</v>
      </c>
      <c r="B1328" t="s">
        <v>36</v>
      </c>
      <c r="C1328" t="s">
        <v>16</v>
      </c>
      <c r="D1328">
        <v>39479</v>
      </c>
      <c r="E1328">
        <v>307000</v>
      </c>
      <c r="F1328">
        <v>272700</v>
      </c>
      <c r="G1328" t="s">
        <v>17</v>
      </c>
      <c r="H1328">
        <v>2428.48</v>
      </c>
      <c r="I1328">
        <v>272142.03000000003</v>
      </c>
    </row>
    <row r="1329" spans="1:9" x14ac:dyDescent="0.15">
      <c r="A1329">
        <v>411278393</v>
      </c>
      <c r="B1329" t="s">
        <v>37</v>
      </c>
      <c r="C1329" t="s">
        <v>16</v>
      </c>
      <c r="D1329">
        <v>39498</v>
      </c>
      <c r="E1329">
        <v>360000</v>
      </c>
      <c r="F1329">
        <v>270000</v>
      </c>
      <c r="G1329" t="s">
        <v>17</v>
      </c>
      <c r="H1329">
        <v>2409.4499999999998</v>
      </c>
      <c r="I1329">
        <v>269770.13</v>
      </c>
    </row>
    <row r="1330" spans="1:9" x14ac:dyDescent="0.15">
      <c r="A1330">
        <v>411279326</v>
      </c>
      <c r="B1330" t="s">
        <v>36</v>
      </c>
      <c r="C1330" t="s">
        <v>16</v>
      </c>
      <c r="D1330">
        <v>39489</v>
      </c>
      <c r="E1330">
        <v>135800</v>
      </c>
      <c r="F1330">
        <v>100000</v>
      </c>
      <c r="G1330" t="s">
        <v>17</v>
      </c>
      <c r="H1330">
        <v>709.52</v>
      </c>
      <c r="I1330">
        <v>99770.25</v>
      </c>
    </row>
    <row r="1331" spans="1:9" x14ac:dyDescent="0.15">
      <c r="A1331">
        <v>411281918</v>
      </c>
      <c r="B1331" t="s">
        <v>37</v>
      </c>
      <c r="C1331" t="s">
        <v>16</v>
      </c>
      <c r="D1331">
        <v>39493</v>
      </c>
      <c r="E1331">
        <v>123000</v>
      </c>
      <c r="F1331">
        <v>82500</v>
      </c>
      <c r="G1331" t="s">
        <v>17</v>
      </c>
      <c r="H1331">
        <v>754.66</v>
      </c>
      <c r="I1331">
        <v>82428.759999999995</v>
      </c>
    </row>
    <row r="1332" spans="1:9" x14ac:dyDescent="0.15">
      <c r="A1332">
        <v>411283914</v>
      </c>
      <c r="B1332" t="s">
        <v>37</v>
      </c>
      <c r="C1332" t="s">
        <v>18</v>
      </c>
      <c r="D1332">
        <v>39489</v>
      </c>
      <c r="E1332">
        <v>116000</v>
      </c>
      <c r="F1332">
        <v>103410</v>
      </c>
      <c r="G1332" t="s">
        <v>17</v>
      </c>
      <c r="H1332">
        <v>862</v>
      </c>
      <c r="I1332">
        <v>103305.68</v>
      </c>
    </row>
    <row r="1333" spans="1:9" x14ac:dyDescent="0.15">
      <c r="A1333">
        <v>411284912</v>
      </c>
      <c r="B1333" t="s">
        <v>38</v>
      </c>
      <c r="C1333" t="s">
        <v>18</v>
      </c>
      <c r="D1333">
        <v>39483</v>
      </c>
      <c r="E1333">
        <v>145000</v>
      </c>
      <c r="F1333">
        <v>108750</v>
      </c>
      <c r="G1333" t="s">
        <v>17</v>
      </c>
      <c r="H1333">
        <v>953.56</v>
      </c>
      <c r="I1333">
        <v>108653.16</v>
      </c>
    </row>
    <row r="1334" spans="1:9" x14ac:dyDescent="0.15">
      <c r="A1334">
        <v>411286172</v>
      </c>
      <c r="B1334" t="s">
        <v>35</v>
      </c>
      <c r="C1334" t="s">
        <v>16</v>
      </c>
      <c r="D1334">
        <v>39486</v>
      </c>
      <c r="E1334">
        <v>115000</v>
      </c>
      <c r="F1334">
        <v>86250</v>
      </c>
      <c r="G1334" t="s">
        <v>17</v>
      </c>
      <c r="H1334">
        <v>874.81</v>
      </c>
      <c r="I1334">
        <v>85767.64</v>
      </c>
    </row>
    <row r="1335" spans="1:9" x14ac:dyDescent="0.15">
      <c r="A1335">
        <v>411287063</v>
      </c>
      <c r="B1335" t="s">
        <v>36</v>
      </c>
      <c r="C1335" t="s">
        <v>18</v>
      </c>
      <c r="D1335">
        <v>39497</v>
      </c>
      <c r="E1335">
        <v>161000</v>
      </c>
      <c r="F1335">
        <v>120000</v>
      </c>
      <c r="G1335" t="s">
        <v>17</v>
      </c>
      <c r="H1335">
        <v>974.2</v>
      </c>
      <c r="I1335">
        <v>119871.11</v>
      </c>
    </row>
    <row r="1336" spans="1:9" x14ac:dyDescent="0.15">
      <c r="A1336">
        <v>411287774</v>
      </c>
      <c r="B1336" t="s">
        <v>38</v>
      </c>
      <c r="C1336" t="s">
        <v>18</v>
      </c>
      <c r="D1336">
        <v>39498</v>
      </c>
      <c r="E1336">
        <v>125000</v>
      </c>
      <c r="F1336">
        <v>100000</v>
      </c>
      <c r="G1336" t="s">
        <v>17</v>
      </c>
      <c r="H1336">
        <v>896.11</v>
      </c>
      <c r="I1336">
        <v>99915.76</v>
      </c>
    </row>
    <row r="1337" spans="1:9" x14ac:dyDescent="0.15">
      <c r="A1337">
        <v>411291388</v>
      </c>
      <c r="B1337" t="s">
        <v>37</v>
      </c>
      <c r="C1337" t="s">
        <v>18</v>
      </c>
      <c r="D1337">
        <v>39491</v>
      </c>
      <c r="E1337">
        <v>282000</v>
      </c>
      <c r="F1337">
        <v>225600</v>
      </c>
      <c r="G1337" t="s">
        <v>17</v>
      </c>
      <c r="H1337">
        <v>1921.71</v>
      </c>
      <c r="I1337">
        <v>225274.87</v>
      </c>
    </row>
    <row r="1338" spans="1:9" x14ac:dyDescent="0.15">
      <c r="A1338">
        <v>411292212</v>
      </c>
      <c r="B1338" t="s">
        <v>37</v>
      </c>
      <c r="C1338" t="s">
        <v>16</v>
      </c>
      <c r="D1338">
        <v>39507</v>
      </c>
      <c r="E1338">
        <v>75000</v>
      </c>
      <c r="F1338">
        <v>63750</v>
      </c>
      <c r="G1338" t="s">
        <v>17</v>
      </c>
      <c r="H1338">
        <v>535.12</v>
      </c>
      <c r="I1338">
        <v>63686.77</v>
      </c>
    </row>
    <row r="1339" spans="1:9" x14ac:dyDescent="0.15">
      <c r="A1339">
        <v>411292303</v>
      </c>
      <c r="B1339" t="s">
        <v>38</v>
      </c>
      <c r="C1339" t="s">
        <v>18</v>
      </c>
      <c r="D1339">
        <v>39498</v>
      </c>
      <c r="E1339">
        <v>104000</v>
      </c>
      <c r="F1339">
        <v>97420</v>
      </c>
      <c r="G1339" t="s">
        <v>17</v>
      </c>
      <c r="H1339">
        <v>862.14</v>
      </c>
      <c r="I1339">
        <v>97292.37</v>
      </c>
    </row>
    <row r="1340" spans="1:9" x14ac:dyDescent="0.15">
      <c r="A1340">
        <v>411293541</v>
      </c>
      <c r="B1340" t="s">
        <v>36</v>
      </c>
      <c r="C1340" t="s">
        <v>18</v>
      </c>
      <c r="D1340">
        <v>39489</v>
      </c>
      <c r="E1340">
        <v>169500</v>
      </c>
      <c r="F1340">
        <v>134000</v>
      </c>
      <c r="G1340" t="s">
        <v>17</v>
      </c>
      <c r="H1340">
        <v>1077.24</v>
      </c>
      <c r="I1340">
        <v>133852.73000000001</v>
      </c>
    </row>
    <row r="1341" spans="1:9" x14ac:dyDescent="0.15">
      <c r="A1341">
        <v>411297765</v>
      </c>
      <c r="B1341" t="s">
        <v>38</v>
      </c>
      <c r="C1341" t="s">
        <v>16</v>
      </c>
      <c r="D1341">
        <v>39503</v>
      </c>
      <c r="E1341">
        <v>260000</v>
      </c>
      <c r="F1341">
        <v>206250</v>
      </c>
      <c r="G1341" t="s">
        <v>20</v>
      </c>
      <c r="H1341">
        <v>1658.95</v>
      </c>
      <c r="I1341">
        <v>206023.63</v>
      </c>
    </row>
    <row r="1342" spans="1:9" x14ac:dyDescent="0.15">
      <c r="A1342">
        <v>411297815</v>
      </c>
      <c r="B1342" t="s">
        <v>37</v>
      </c>
      <c r="C1342" t="s">
        <v>16</v>
      </c>
      <c r="D1342">
        <v>39484</v>
      </c>
      <c r="E1342">
        <v>210000</v>
      </c>
      <c r="F1342">
        <v>129600</v>
      </c>
      <c r="G1342" t="s">
        <v>17</v>
      </c>
      <c r="H1342">
        <v>1061.5</v>
      </c>
      <c r="I1342">
        <v>129463.67999999999</v>
      </c>
    </row>
    <row r="1343" spans="1:9" x14ac:dyDescent="0.15">
      <c r="A1343">
        <v>411298961</v>
      </c>
      <c r="B1343" t="s">
        <v>35</v>
      </c>
      <c r="C1343" t="s">
        <v>16</v>
      </c>
      <c r="D1343">
        <v>39489</v>
      </c>
      <c r="E1343">
        <v>160000</v>
      </c>
      <c r="F1343">
        <v>143910</v>
      </c>
      <c r="G1343" t="s">
        <v>20</v>
      </c>
      <c r="H1343">
        <v>1343.38</v>
      </c>
      <c r="I1343">
        <v>143745.98000000001</v>
      </c>
    </row>
    <row r="1344" spans="1:9" x14ac:dyDescent="0.15">
      <c r="A1344">
        <v>411300080</v>
      </c>
      <c r="B1344" t="s">
        <v>37</v>
      </c>
      <c r="C1344" t="s">
        <v>16</v>
      </c>
      <c r="D1344">
        <v>39485</v>
      </c>
      <c r="E1344">
        <v>347000</v>
      </c>
      <c r="F1344">
        <v>277600</v>
      </c>
      <c r="G1344" t="s">
        <v>17</v>
      </c>
      <c r="H1344">
        <v>2313.9899999999998</v>
      </c>
      <c r="I1344">
        <v>277028.53999999998</v>
      </c>
    </row>
    <row r="1345" spans="1:9" x14ac:dyDescent="0.15">
      <c r="A1345">
        <v>411300452</v>
      </c>
      <c r="B1345" t="s">
        <v>38</v>
      </c>
      <c r="C1345" t="s">
        <v>16</v>
      </c>
      <c r="D1345">
        <v>39503</v>
      </c>
      <c r="E1345">
        <v>255000</v>
      </c>
      <c r="F1345">
        <v>229500</v>
      </c>
      <c r="G1345" t="s">
        <v>20</v>
      </c>
      <c r="H1345">
        <v>2031.01</v>
      </c>
      <c r="I1345">
        <v>229300.4</v>
      </c>
    </row>
    <row r="1346" spans="1:9" x14ac:dyDescent="0.15">
      <c r="A1346">
        <v>411303027</v>
      </c>
      <c r="B1346" t="s">
        <v>35</v>
      </c>
      <c r="C1346" t="s">
        <v>16</v>
      </c>
      <c r="D1346">
        <v>39500</v>
      </c>
      <c r="E1346">
        <v>205000</v>
      </c>
      <c r="F1346">
        <v>153750</v>
      </c>
      <c r="G1346" t="s">
        <v>17</v>
      </c>
      <c r="H1346">
        <v>1276.03</v>
      </c>
      <c r="I1346">
        <v>153647.97</v>
      </c>
    </row>
    <row r="1347" spans="1:9" x14ac:dyDescent="0.15">
      <c r="A1347">
        <v>411304603</v>
      </c>
      <c r="B1347" t="s">
        <v>35</v>
      </c>
      <c r="C1347" t="s">
        <v>16</v>
      </c>
      <c r="D1347">
        <v>39499</v>
      </c>
      <c r="E1347">
        <v>215000</v>
      </c>
      <c r="F1347">
        <v>172000</v>
      </c>
      <c r="G1347" t="s">
        <v>17</v>
      </c>
      <c r="H1347">
        <v>1365.43</v>
      </c>
      <c r="I1347">
        <v>171805.43</v>
      </c>
    </row>
    <row r="1348" spans="1:9" x14ac:dyDescent="0.15">
      <c r="A1348">
        <v>411304884</v>
      </c>
      <c r="B1348" t="s">
        <v>35</v>
      </c>
      <c r="C1348" t="s">
        <v>16</v>
      </c>
      <c r="D1348">
        <v>39493</v>
      </c>
      <c r="E1348">
        <v>135000</v>
      </c>
      <c r="F1348">
        <v>119700</v>
      </c>
      <c r="G1348" t="s">
        <v>17</v>
      </c>
      <c r="H1348">
        <v>1032.81</v>
      </c>
      <c r="I1348">
        <v>119532.86</v>
      </c>
    </row>
    <row r="1349" spans="1:9" x14ac:dyDescent="0.15">
      <c r="A1349">
        <v>411306228</v>
      </c>
      <c r="B1349" t="s">
        <v>37</v>
      </c>
      <c r="C1349" t="s">
        <v>16</v>
      </c>
      <c r="D1349">
        <v>39497</v>
      </c>
      <c r="E1349">
        <v>164000</v>
      </c>
      <c r="F1349">
        <v>137700</v>
      </c>
      <c r="G1349" t="s">
        <v>17</v>
      </c>
      <c r="H1349">
        <v>1172.96</v>
      </c>
      <c r="I1349">
        <v>137490.37</v>
      </c>
    </row>
    <row r="1350" spans="1:9" x14ac:dyDescent="0.15">
      <c r="A1350">
        <v>411308778</v>
      </c>
      <c r="B1350" t="s">
        <v>35</v>
      </c>
      <c r="C1350" t="s">
        <v>16</v>
      </c>
      <c r="D1350">
        <v>39503</v>
      </c>
      <c r="E1350">
        <v>145000</v>
      </c>
      <c r="F1350">
        <v>116000</v>
      </c>
      <c r="G1350" t="s">
        <v>17</v>
      </c>
      <c r="H1350">
        <v>932.53</v>
      </c>
      <c r="I1350">
        <v>115808.08</v>
      </c>
    </row>
    <row r="1351" spans="1:9" x14ac:dyDescent="0.15">
      <c r="A1351">
        <v>411308877</v>
      </c>
      <c r="B1351" t="s">
        <v>35</v>
      </c>
      <c r="C1351" t="s">
        <v>16</v>
      </c>
      <c r="D1351">
        <v>39504</v>
      </c>
      <c r="E1351">
        <v>152000</v>
      </c>
      <c r="F1351">
        <v>112500</v>
      </c>
      <c r="G1351" t="s">
        <v>17</v>
      </c>
      <c r="H1351">
        <v>937.77</v>
      </c>
      <c r="I1351">
        <v>112329.11</v>
      </c>
    </row>
    <row r="1352" spans="1:9" x14ac:dyDescent="0.15">
      <c r="A1352">
        <v>411310451</v>
      </c>
      <c r="B1352" t="s">
        <v>37</v>
      </c>
      <c r="C1352" t="s">
        <v>16</v>
      </c>
      <c r="D1352">
        <v>39507</v>
      </c>
      <c r="E1352">
        <v>198000</v>
      </c>
      <c r="F1352">
        <v>178200</v>
      </c>
      <c r="G1352" t="s">
        <v>21</v>
      </c>
      <c r="H1352">
        <v>1567.13</v>
      </c>
      <c r="I1352">
        <v>178042.51</v>
      </c>
    </row>
    <row r="1353" spans="1:9" x14ac:dyDescent="0.15">
      <c r="A1353">
        <v>411310550</v>
      </c>
      <c r="B1353" t="s">
        <v>36</v>
      </c>
      <c r="C1353" t="s">
        <v>16</v>
      </c>
      <c r="D1353">
        <v>39499</v>
      </c>
      <c r="E1353">
        <v>140000</v>
      </c>
      <c r="F1353">
        <v>100000</v>
      </c>
      <c r="G1353" t="s">
        <v>17</v>
      </c>
      <c r="H1353">
        <v>801.03</v>
      </c>
      <c r="I1353">
        <v>99889.19</v>
      </c>
    </row>
    <row r="1354" spans="1:9" x14ac:dyDescent="0.15">
      <c r="A1354">
        <v>411311459</v>
      </c>
      <c r="B1354" t="s">
        <v>35</v>
      </c>
      <c r="C1354" t="s">
        <v>16</v>
      </c>
      <c r="D1354">
        <v>39498</v>
      </c>
      <c r="E1354">
        <v>195000</v>
      </c>
      <c r="F1354">
        <v>165750</v>
      </c>
      <c r="G1354" t="s">
        <v>17</v>
      </c>
      <c r="H1354">
        <v>1454.58</v>
      </c>
      <c r="I1354">
        <v>165602.73000000001</v>
      </c>
    </row>
    <row r="1355" spans="1:9" x14ac:dyDescent="0.15">
      <c r="A1355">
        <v>411314438</v>
      </c>
      <c r="B1355" t="s">
        <v>36</v>
      </c>
      <c r="C1355" t="s">
        <v>16</v>
      </c>
      <c r="D1355">
        <v>39504</v>
      </c>
      <c r="E1355">
        <v>273000</v>
      </c>
      <c r="F1355">
        <v>218400</v>
      </c>
      <c r="G1355" t="s">
        <v>17</v>
      </c>
      <c r="H1355">
        <v>1892.46</v>
      </c>
      <c r="I1355">
        <v>218199.66</v>
      </c>
    </row>
    <row r="1356" spans="1:9" x14ac:dyDescent="0.15">
      <c r="A1356">
        <v>411320963</v>
      </c>
      <c r="B1356" t="s">
        <v>37</v>
      </c>
      <c r="C1356" t="s">
        <v>18</v>
      </c>
      <c r="D1356">
        <v>39507</v>
      </c>
      <c r="E1356">
        <v>215000</v>
      </c>
      <c r="F1356">
        <v>135000</v>
      </c>
      <c r="G1356" t="s">
        <v>17</v>
      </c>
      <c r="H1356">
        <v>1149.96</v>
      </c>
      <c r="I1356">
        <v>134805.45000000001</v>
      </c>
    </row>
    <row r="1357" spans="1:9" x14ac:dyDescent="0.15">
      <c r="A1357">
        <v>411322860</v>
      </c>
      <c r="B1357" t="s">
        <v>38</v>
      </c>
      <c r="C1357" t="s">
        <v>16</v>
      </c>
      <c r="D1357">
        <v>39505</v>
      </c>
      <c r="E1357">
        <v>185000</v>
      </c>
      <c r="F1357">
        <v>133700</v>
      </c>
      <c r="G1357" t="s">
        <v>17</v>
      </c>
      <c r="H1357">
        <v>1013.86</v>
      </c>
      <c r="I1357">
        <v>133447.66</v>
      </c>
    </row>
  </sheetData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11E64-60F0-7A4F-8D9B-6FEACB8302D0}">
  <sheetPr codeName="Sheet5"/>
  <dimension ref="A1:K1493"/>
  <sheetViews>
    <sheetView tabSelected="1" workbookViewId="0"/>
  </sheetViews>
  <sheetFormatPr baseColWidth="10" defaultRowHeight="13" x14ac:dyDescent="0.15"/>
  <cols>
    <col min="1" max="8" width="8.83203125" customWidth="1"/>
    <col min="9" max="9" width="24.83203125" bestFit="1" customWidth="1"/>
    <col min="10" max="256" width="8.83203125" customWidth="1"/>
  </cols>
  <sheetData>
    <row r="1" spans="1:11" x14ac:dyDescent="0.15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0</v>
      </c>
      <c r="J1" t="s">
        <v>1</v>
      </c>
      <c r="K1" t="s">
        <v>2</v>
      </c>
    </row>
    <row r="2" spans="1:11" x14ac:dyDescent="0.15">
      <c r="A2">
        <v>1018918</v>
      </c>
      <c r="B2" s="54" t="s">
        <v>94</v>
      </c>
      <c r="C2" s="54" t="s">
        <v>95</v>
      </c>
      <c r="D2" s="54" t="s">
        <v>96</v>
      </c>
      <c r="E2" s="54" t="s">
        <v>97</v>
      </c>
      <c r="F2" t="s">
        <v>35</v>
      </c>
      <c r="G2">
        <v>38340</v>
      </c>
      <c r="H2">
        <v>360</v>
      </c>
      <c r="I2" t="str">
        <f>CONCATENATE(B2," ",C2)</f>
        <v>AAA BBB</v>
      </c>
      <c r="J2" t="str">
        <f>D2</f>
        <v>XXX</v>
      </c>
      <c r="K2" t="str">
        <f>CONCATENATE(E2,","," ",F2,","," ",G2)</f>
        <v>ZZZ, TN, 38340</v>
      </c>
    </row>
    <row r="3" spans="1:11" x14ac:dyDescent="0.15">
      <c r="A3">
        <v>1018918</v>
      </c>
      <c r="B3" s="54" t="s">
        <v>94</v>
      </c>
      <c r="C3" s="54" t="s">
        <v>95</v>
      </c>
      <c r="D3" s="54" t="s">
        <v>96</v>
      </c>
      <c r="E3" s="54" t="s">
        <v>97</v>
      </c>
      <c r="F3" t="s">
        <v>35</v>
      </c>
      <c r="G3">
        <v>38340</v>
      </c>
      <c r="H3">
        <v>360</v>
      </c>
      <c r="I3" t="str">
        <f t="shared" ref="I3:I66" si="0">CONCATENATE(B3," ",C3)</f>
        <v>AAA BBB</v>
      </c>
      <c r="J3" t="str">
        <f t="shared" ref="J3:J66" si="1">D3</f>
        <v>XXX</v>
      </c>
      <c r="K3" t="str">
        <f t="shared" ref="K3:K66" si="2">CONCATENATE(E3,","," ",F3,","," ",G3)</f>
        <v>ZZZ, TN, 38340</v>
      </c>
    </row>
    <row r="4" spans="1:11" x14ac:dyDescent="0.15">
      <c r="A4">
        <v>1018918</v>
      </c>
      <c r="B4" s="54" t="s">
        <v>94</v>
      </c>
      <c r="C4" s="54" t="s">
        <v>95</v>
      </c>
      <c r="D4" s="54" t="s">
        <v>96</v>
      </c>
      <c r="E4" s="54" t="s">
        <v>97</v>
      </c>
      <c r="F4" t="s">
        <v>35</v>
      </c>
      <c r="G4">
        <v>38340</v>
      </c>
      <c r="H4">
        <v>360</v>
      </c>
      <c r="I4" t="str">
        <f t="shared" si="0"/>
        <v>AAA BBB</v>
      </c>
      <c r="J4" t="str">
        <f t="shared" si="1"/>
        <v>XXX</v>
      </c>
      <c r="K4" t="str">
        <f t="shared" si="2"/>
        <v>ZZZ, TN, 38340</v>
      </c>
    </row>
    <row r="5" spans="1:11" x14ac:dyDescent="0.15">
      <c r="A5">
        <v>1018918</v>
      </c>
      <c r="B5" s="54" t="s">
        <v>94</v>
      </c>
      <c r="C5" s="54" t="s">
        <v>95</v>
      </c>
      <c r="D5" s="54" t="s">
        <v>96</v>
      </c>
      <c r="E5" s="54" t="s">
        <v>97</v>
      </c>
      <c r="F5" t="s">
        <v>35</v>
      </c>
      <c r="G5">
        <v>38340</v>
      </c>
      <c r="H5">
        <v>360</v>
      </c>
      <c r="I5" t="str">
        <f t="shared" si="0"/>
        <v>AAA BBB</v>
      </c>
      <c r="J5" t="str">
        <f t="shared" si="1"/>
        <v>XXX</v>
      </c>
      <c r="K5" t="str">
        <f t="shared" si="2"/>
        <v>ZZZ, TN, 38340</v>
      </c>
    </row>
    <row r="6" spans="1:11" x14ac:dyDescent="0.15">
      <c r="A6">
        <v>1018918</v>
      </c>
      <c r="B6" s="54" t="s">
        <v>94</v>
      </c>
      <c r="C6" s="54" t="s">
        <v>95</v>
      </c>
      <c r="D6" s="54" t="s">
        <v>96</v>
      </c>
      <c r="E6" s="54" t="s">
        <v>97</v>
      </c>
      <c r="F6" t="s">
        <v>35</v>
      </c>
      <c r="G6">
        <v>38340</v>
      </c>
      <c r="H6">
        <v>360</v>
      </c>
      <c r="I6" t="str">
        <f t="shared" si="0"/>
        <v>AAA BBB</v>
      </c>
      <c r="J6" t="str">
        <f t="shared" si="1"/>
        <v>XXX</v>
      </c>
      <c r="K6" t="str">
        <f t="shared" si="2"/>
        <v>ZZZ, TN, 38340</v>
      </c>
    </row>
    <row r="7" spans="1:11" x14ac:dyDescent="0.15">
      <c r="A7">
        <v>1018918</v>
      </c>
      <c r="B7" s="54" t="s">
        <v>94</v>
      </c>
      <c r="C7" s="54" t="s">
        <v>95</v>
      </c>
      <c r="D7" s="54" t="s">
        <v>96</v>
      </c>
      <c r="E7" s="54" t="s">
        <v>97</v>
      </c>
      <c r="F7" t="s">
        <v>35</v>
      </c>
      <c r="G7">
        <v>38340</v>
      </c>
      <c r="H7">
        <v>360</v>
      </c>
      <c r="I7" t="str">
        <f t="shared" si="0"/>
        <v>AAA BBB</v>
      </c>
      <c r="J7" t="str">
        <f t="shared" si="1"/>
        <v>XXX</v>
      </c>
      <c r="K7" t="str">
        <f t="shared" si="2"/>
        <v>ZZZ, TN, 38340</v>
      </c>
    </row>
    <row r="8" spans="1:11" x14ac:dyDescent="0.15">
      <c r="A8">
        <v>1018918</v>
      </c>
      <c r="B8" s="54" t="s">
        <v>94</v>
      </c>
      <c r="C8" s="54" t="s">
        <v>95</v>
      </c>
      <c r="D8" s="54" t="s">
        <v>96</v>
      </c>
      <c r="E8" s="54" t="s">
        <v>97</v>
      </c>
      <c r="F8" t="s">
        <v>35</v>
      </c>
      <c r="G8">
        <v>38340</v>
      </c>
      <c r="H8">
        <v>360</v>
      </c>
      <c r="I8" t="str">
        <f t="shared" si="0"/>
        <v>AAA BBB</v>
      </c>
      <c r="J8" t="str">
        <f t="shared" si="1"/>
        <v>XXX</v>
      </c>
      <c r="K8" t="str">
        <f t="shared" si="2"/>
        <v>ZZZ, TN, 38340</v>
      </c>
    </row>
    <row r="9" spans="1:11" x14ac:dyDescent="0.15">
      <c r="A9">
        <v>1018918</v>
      </c>
      <c r="B9" s="54" t="s">
        <v>94</v>
      </c>
      <c r="C9" s="54" t="s">
        <v>95</v>
      </c>
      <c r="D9" s="54" t="s">
        <v>96</v>
      </c>
      <c r="E9" s="54" t="s">
        <v>97</v>
      </c>
      <c r="F9" t="s">
        <v>35</v>
      </c>
      <c r="G9">
        <v>38340</v>
      </c>
      <c r="H9">
        <v>360</v>
      </c>
      <c r="I9" t="str">
        <f t="shared" si="0"/>
        <v>AAA BBB</v>
      </c>
      <c r="J9" t="str">
        <f t="shared" si="1"/>
        <v>XXX</v>
      </c>
      <c r="K9" t="str">
        <f t="shared" si="2"/>
        <v>ZZZ, TN, 38340</v>
      </c>
    </row>
    <row r="10" spans="1:11" x14ac:dyDescent="0.15">
      <c r="A10">
        <v>1018918</v>
      </c>
      <c r="B10" s="54" t="s">
        <v>94</v>
      </c>
      <c r="C10" s="54" t="s">
        <v>95</v>
      </c>
      <c r="D10" s="54" t="s">
        <v>96</v>
      </c>
      <c r="E10" s="54" t="s">
        <v>97</v>
      </c>
      <c r="F10" t="s">
        <v>35</v>
      </c>
      <c r="G10">
        <v>38340</v>
      </c>
      <c r="H10">
        <v>360</v>
      </c>
      <c r="I10" t="str">
        <f t="shared" si="0"/>
        <v>AAA BBB</v>
      </c>
      <c r="J10" t="str">
        <f t="shared" si="1"/>
        <v>XXX</v>
      </c>
      <c r="K10" t="str">
        <f t="shared" si="2"/>
        <v>ZZZ, TN, 38340</v>
      </c>
    </row>
    <row r="11" spans="1:11" x14ac:dyDescent="0.15">
      <c r="A11">
        <v>1018918</v>
      </c>
      <c r="B11" s="54" t="s">
        <v>94</v>
      </c>
      <c r="C11" s="54" t="s">
        <v>95</v>
      </c>
      <c r="D11" s="54" t="s">
        <v>96</v>
      </c>
      <c r="E11" s="54" t="s">
        <v>97</v>
      </c>
      <c r="F11" t="s">
        <v>35</v>
      </c>
      <c r="G11">
        <v>38340</v>
      </c>
      <c r="H11">
        <v>360</v>
      </c>
      <c r="I11" t="str">
        <f t="shared" si="0"/>
        <v>AAA BBB</v>
      </c>
      <c r="J11" t="str">
        <f t="shared" si="1"/>
        <v>XXX</v>
      </c>
      <c r="K11" t="str">
        <f t="shared" si="2"/>
        <v>ZZZ, TN, 38340</v>
      </c>
    </row>
    <row r="12" spans="1:11" x14ac:dyDescent="0.15">
      <c r="A12">
        <v>1018918</v>
      </c>
      <c r="B12" s="54" t="s">
        <v>94</v>
      </c>
      <c r="C12" s="54" t="s">
        <v>95</v>
      </c>
      <c r="D12" s="54" t="s">
        <v>96</v>
      </c>
      <c r="E12" s="54" t="s">
        <v>97</v>
      </c>
      <c r="F12" t="s">
        <v>35</v>
      </c>
      <c r="G12">
        <v>38340</v>
      </c>
      <c r="H12">
        <v>360</v>
      </c>
      <c r="I12" t="str">
        <f t="shared" si="0"/>
        <v>AAA BBB</v>
      </c>
      <c r="J12" t="str">
        <f t="shared" si="1"/>
        <v>XXX</v>
      </c>
      <c r="K12" t="str">
        <f t="shared" si="2"/>
        <v>ZZZ, TN, 38340</v>
      </c>
    </row>
    <row r="13" spans="1:11" x14ac:dyDescent="0.15">
      <c r="A13">
        <v>1018918</v>
      </c>
      <c r="B13" s="54" t="s">
        <v>94</v>
      </c>
      <c r="C13" s="54" t="s">
        <v>95</v>
      </c>
      <c r="D13" s="54" t="s">
        <v>96</v>
      </c>
      <c r="E13" s="54" t="s">
        <v>97</v>
      </c>
      <c r="F13" t="s">
        <v>35</v>
      </c>
      <c r="G13">
        <v>38340</v>
      </c>
      <c r="H13">
        <v>360</v>
      </c>
      <c r="I13" t="str">
        <f t="shared" si="0"/>
        <v>AAA BBB</v>
      </c>
      <c r="J13" t="str">
        <f t="shared" si="1"/>
        <v>XXX</v>
      </c>
      <c r="K13" t="str">
        <f t="shared" si="2"/>
        <v>ZZZ, TN, 38340</v>
      </c>
    </row>
    <row r="14" spans="1:11" x14ac:dyDescent="0.15">
      <c r="A14">
        <v>1018918</v>
      </c>
      <c r="B14" s="54" t="s">
        <v>94</v>
      </c>
      <c r="C14" s="54" t="s">
        <v>95</v>
      </c>
      <c r="D14" s="54" t="s">
        <v>96</v>
      </c>
      <c r="E14" s="54" t="s">
        <v>97</v>
      </c>
      <c r="F14" t="s">
        <v>35</v>
      </c>
      <c r="G14">
        <v>38340</v>
      </c>
      <c r="H14">
        <v>360</v>
      </c>
      <c r="I14" t="str">
        <f t="shared" si="0"/>
        <v>AAA BBB</v>
      </c>
      <c r="J14" t="str">
        <f t="shared" si="1"/>
        <v>XXX</v>
      </c>
      <c r="K14" t="str">
        <f t="shared" si="2"/>
        <v>ZZZ, TN, 38340</v>
      </c>
    </row>
    <row r="15" spans="1:11" x14ac:dyDescent="0.15">
      <c r="A15">
        <v>1018918</v>
      </c>
      <c r="B15" s="54" t="s">
        <v>94</v>
      </c>
      <c r="C15" s="54" t="s">
        <v>95</v>
      </c>
      <c r="D15" s="54" t="s">
        <v>96</v>
      </c>
      <c r="E15" s="54" t="s">
        <v>97</v>
      </c>
      <c r="F15" t="s">
        <v>35</v>
      </c>
      <c r="G15">
        <v>38340</v>
      </c>
      <c r="H15">
        <v>360</v>
      </c>
      <c r="I15" t="str">
        <f t="shared" si="0"/>
        <v>AAA BBB</v>
      </c>
      <c r="J15" t="str">
        <f t="shared" si="1"/>
        <v>XXX</v>
      </c>
      <c r="K15" t="str">
        <f t="shared" si="2"/>
        <v>ZZZ, TN, 38340</v>
      </c>
    </row>
    <row r="16" spans="1:11" x14ac:dyDescent="0.15">
      <c r="A16">
        <v>1018918</v>
      </c>
      <c r="B16" s="54" t="s">
        <v>94</v>
      </c>
      <c r="C16" s="54" t="s">
        <v>95</v>
      </c>
      <c r="D16" s="54" t="s">
        <v>96</v>
      </c>
      <c r="E16" s="54" t="s">
        <v>97</v>
      </c>
      <c r="F16" t="s">
        <v>35</v>
      </c>
      <c r="G16">
        <v>38340</v>
      </c>
      <c r="H16">
        <v>360</v>
      </c>
      <c r="I16" t="str">
        <f t="shared" si="0"/>
        <v>AAA BBB</v>
      </c>
      <c r="J16" t="str">
        <f t="shared" si="1"/>
        <v>XXX</v>
      </c>
      <c r="K16" t="str">
        <f t="shared" si="2"/>
        <v>ZZZ, TN, 38340</v>
      </c>
    </row>
    <row r="17" spans="1:11" x14ac:dyDescent="0.15">
      <c r="A17">
        <v>1018918</v>
      </c>
      <c r="B17" s="54" t="s">
        <v>94</v>
      </c>
      <c r="C17" s="54" t="s">
        <v>95</v>
      </c>
      <c r="D17" s="54" t="s">
        <v>96</v>
      </c>
      <c r="E17" s="54" t="s">
        <v>97</v>
      </c>
      <c r="F17" t="s">
        <v>35</v>
      </c>
      <c r="G17">
        <v>38340</v>
      </c>
      <c r="H17">
        <v>360</v>
      </c>
      <c r="I17" t="str">
        <f t="shared" si="0"/>
        <v>AAA BBB</v>
      </c>
      <c r="J17" t="str">
        <f t="shared" si="1"/>
        <v>XXX</v>
      </c>
      <c r="K17" t="str">
        <f t="shared" si="2"/>
        <v>ZZZ, TN, 38340</v>
      </c>
    </row>
    <row r="18" spans="1:11" x14ac:dyDescent="0.15">
      <c r="A18">
        <v>1018918</v>
      </c>
      <c r="B18" s="54" t="s">
        <v>94</v>
      </c>
      <c r="C18" s="54" t="s">
        <v>95</v>
      </c>
      <c r="D18" s="54" t="s">
        <v>96</v>
      </c>
      <c r="E18" s="54" t="s">
        <v>97</v>
      </c>
      <c r="F18" t="s">
        <v>35</v>
      </c>
      <c r="G18">
        <v>38340</v>
      </c>
      <c r="H18">
        <v>360</v>
      </c>
      <c r="I18" t="str">
        <f t="shared" si="0"/>
        <v>AAA BBB</v>
      </c>
      <c r="J18" t="str">
        <f t="shared" si="1"/>
        <v>XXX</v>
      </c>
      <c r="K18" t="str">
        <f t="shared" si="2"/>
        <v>ZZZ, TN, 38340</v>
      </c>
    </row>
    <row r="19" spans="1:11" x14ac:dyDescent="0.15">
      <c r="A19">
        <v>1018918</v>
      </c>
      <c r="B19" s="54" t="s">
        <v>94</v>
      </c>
      <c r="C19" s="54" t="s">
        <v>95</v>
      </c>
      <c r="D19" s="54" t="s">
        <v>96</v>
      </c>
      <c r="E19" s="54" t="s">
        <v>97</v>
      </c>
      <c r="F19" t="s">
        <v>35</v>
      </c>
      <c r="G19">
        <v>38340</v>
      </c>
      <c r="H19">
        <v>360</v>
      </c>
      <c r="I19" t="str">
        <f t="shared" si="0"/>
        <v>AAA BBB</v>
      </c>
      <c r="J19" t="str">
        <f t="shared" si="1"/>
        <v>XXX</v>
      </c>
      <c r="K19" t="str">
        <f t="shared" si="2"/>
        <v>ZZZ, TN, 38340</v>
      </c>
    </row>
    <row r="20" spans="1:11" x14ac:dyDescent="0.15">
      <c r="A20">
        <v>1018918</v>
      </c>
      <c r="B20" s="54" t="s">
        <v>94</v>
      </c>
      <c r="C20" s="54" t="s">
        <v>95</v>
      </c>
      <c r="D20" s="54" t="s">
        <v>96</v>
      </c>
      <c r="E20" s="54" t="s">
        <v>97</v>
      </c>
      <c r="F20" t="s">
        <v>35</v>
      </c>
      <c r="G20">
        <v>38340</v>
      </c>
      <c r="H20">
        <v>360</v>
      </c>
      <c r="I20" t="str">
        <f t="shared" si="0"/>
        <v>AAA BBB</v>
      </c>
      <c r="J20" t="str">
        <f t="shared" si="1"/>
        <v>XXX</v>
      </c>
      <c r="K20" t="str">
        <f t="shared" si="2"/>
        <v>ZZZ, TN, 38340</v>
      </c>
    </row>
    <row r="21" spans="1:11" x14ac:dyDescent="0.15">
      <c r="A21">
        <v>1018918</v>
      </c>
      <c r="B21" s="54" t="s">
        <v>94</v>
      </c>
      <c r="C21" s="54" t="s">
        <v>95</v>
      </c>
      <c r="D21" s="54" t="s">
        <v>96</v>
      </c>
      <c r="E21" s="54" t="s">
        <v>97</v>
      </c>
      <c r="F21" t="s">
        <v>35</v>
      </c>
      <c r="G21">
        <v>38340</v>
      </c>
      <c r="H21">
        <v>360</v>
      </c>
      <c r="I21" t="str">
        <f t="shared" si="0"/>
        <v>AAA BBB</v>
      </c>
      <c r="J21" t="str">
        <f t="shared" si="1"/>
        <v>XXX</v>
      </c>
      <c r="K21" t="str">
        <f t="shared" si="2"/>
        <v>ZZZ, TN, 38340</v>
      </c>
    </row>
    <row r="22" spans="1:11" x14ac:dyDescent="0.15">
      <c r="A22">
        <v>1018918</v>
      </c>
      <c r="B22" s="54" t="s">
        <v>94</v>
      </c>
      <c r="C22" s="54" t="s">
        <v>95</v>
      </c>
      <c r="D22" s="54" t="s">
        <v>96</v>
      </c>
      <c r="E22" s="54" t="s">
        <v>97</v>
      </c>
      <c r="F22" t="s">
        <v>35</v>
      </c>
      <c r="G22">
        <v>38340</v>
      </c>
      <c r="H22">
        <v>360</v>
      </c>
      <c r="I22" t="str">
        <f t="shared" si="0"/>
        <v>AAA BBB</v>
      </c>
      <c r="J22" t="str">
        <f t="shared" si="1"/>
        <v>XXX</v>
      </c>
      <c r="K22" t="str">
        <f t="shared" si="2"/>
        <v>ZZZ, TN, 38340</v>
      </c>
    </row>
    <row r="23" spans="1:11" x14ac:dyDescent="0.15">
      <c r="A23">
        <v>1018918</v>
      </c>
      <c r="B23" s="54" t="s">
        <v>94</v>
      </c>
      <c r="C23" s="54" t="s">
        <v>95</v>
      </c>
      <c r="D23" s="54" t="s">
        <v>96</v>
      </c>
      <c r="E23" s="54" t="s">
        <v>97</v>
      </c>
      <c r="F23" t="s">
        <v>35</v>
      </c>
      <c r="G23">
        <v>38340</v>
      </c>
      <c r="H23">
        <v>360</v>
      </c>
      <c r="I23" t="str">
        <f t="shared" si="0"/>
        <v>AAA BBB</v>
      </c>
      <c r="J23" t="str">
        <f t="shared" si="1"/>
        <v>XXX</v>
      </c>
      <c r="K23" t="str">
        <f t="shared" si="2"/>
        <v>ZZZ, TN, 38340</v>
      </c>
    </row>
    <row r="24" spans="1:11" x14ac:dyDescent="0.15">
      <c r="A24">
        <v>1018918</v>
      </c>
      <c r="B24" s="54" t="s">
        <v>94</v>
      </c>
      <c r="C24" s="54" t="s">
        <v>95</v>
      </c>
      <c r="D24" s="54" t="s">
        <v>96</v>
      </c>
      <c r="E24" s="54" t="s">
        <v>97</v>
      </c>
      <c r="F24" t="s">
        <v>35</v>
      </c>
      <c r="G24">
        <v>38340</v>
      </c>
      <c r="H24">
        <v>360</v>
      </c>
      <c r="I24" t="str">
        <f t="shared" si="0"/>
        <v>AAA BBB</v>
      </c>
      <c r="J24" t="str">
        <f t="shared" si="1"/>
        <v>XXX</v>
      </c>
      <c r="K24" t="str">
        <f t="shared" si="2"/>
        <v>ZZZ, TN, 38340</v>
      </c>
    </row>
    <row r="25" spans="1:11" x14ac:dyDescent="0.15">
      <c r="A25">
        <v>1018918</v>
      </c>
      <c r="B25" s="54" t="s">
        <v>94</v>
      </c>
      <c r="C25" s="54" t="s">
        <v>95</v>
      </c>
      <c r="D25" s="54" t="s">
        <v>96</v>
      </c>
      <c r="E25" s="54" t="s">
        <v>97</v>
      </c>
      <c r="F25" t="s">
        <v>35</v>
      </c>
      <c r="G25">
        <v>38340</v>
      </c>
      <c r="H25">
        <v>360</v>
      </c>
      <c r="I25" t="str">
        <f t="shared" si="0"/>
        <v>AAA BBB</v>
      </c>
      <c r="J25" t="str">
        <f t="shared" si="1"/>
        <v>XXX</v>
      </c>
      <c r="K25" t="str">
        <f t="shared" si="2"/>
        <v>ZZZ, TN, 38340</v>
      </c>
    </row>
    <row r="26" spans="1:11" x14ac:dyDescent="0.15">
      <c r="A26">
        <v>1018918</v>
      </c>
      <c r="B26" s="54" t="s">
        <v>94</v>
      </c>
      <c r="C26" s="54" t="s">
        <v>95</v>
      </c>
      <c r="D26" s="54" t="s">
        <v>96</v>
      </c>
      <c r="E26" s="54" t="s">
        <v>97</v>
      </c>
      <c r="F26" t="s">
        <v>35</v>
      </c>
      <c r="G26">
        <v>38340</v>
      </c>
      <c r="H26">
        <v>360</v>
      </c>
      <c r="I26" t="str">
        <f t="shared" si="0"/>
        <v>AAA BBB</v>
      </c>
      <c r="J26" t="str">
        <f t="shared" si="1"/>
        <v>XXX</v>
      </c>
      <c r="K26" t="str">
        <f t="shared" si="2"/>
        <v>ZZZ, TN, 38340</v>
      </c>
    </row>
    <row r="27" spans="1:11" x14ac:dyDescent="0.15">
      <c r="A27">
        <v>1018918</v>
      </c>
      <c r="B27" s="54" t="s">
        <v>94</v>
      </c>
      <c r="C27" s="54" t="s">
        <v>95</v>
      </c>
      <c r="D27" s="54" t="s">
        <v>96</v>
      </c>
      <c r="E27" s="54" t="s">
        <v>97</v>
      </c>
      <c r="F27" t="s">
        <v>35</v>
      </c>
      <c r="G27">
        <v>38340</v>
      </c>
      <c r="H27">
        <v>360</v>
      </c>
      <c r="I27" t="str">
        <f t="shared" si="0"/>
        <v>AAA BBB</v>
      </c>
      <c r="J27" t="str">
        <f t="shared" si="1"/>
        <v>XXX</v>
      </c>
      <c r="K27" t="str">
        <f t="shared" si="2"/>
        <v>ZZZ, TN, 38340</v>
      </c>
    </row>
    <row r="28" spans="1:11" x14ac:dyDescent="0.15">
      <c r="A28">
        <v>1018918</v>
      </c>
      <c r="B28" s="54" t="s">
        <v>94</v>
      </c>
      <c r="C28" s="54" t="s">
        <v>95</v>
      </c>
      <c r="D28" s="54" t="s">
        <v>96</v>
      </c>
      <c r="E28" s="54" t="s">
        <v>97</v>
      </c>
      <c r="F28" t="s">
        <v>35</v>
      </c>
      <c r="G28">
        <v>38340</v>
      </c>
      <c r="H28">
        <v>360</v>
      </c>
      <c r="I28" t="str">
        <f t="shared" si="0"/>
        <v>AAA BBB</v>
      </c>
      <c r="J28" t="str">
        <f t="shared" si="1"/>
        <v>XXX</v>
      </c>
      <c r="K28" t="str">
        <f t="shared" si="2"/>
        <v>ZZZ, TN, 38340</v>
      </c>
    </row>
    <row r="29" spans="1:11" x14ac:dyDescent="0.15">
      <c r="A29">
        <v>1018918</v>
      </c>
      <c r="B29" s="54" t="s">
        <v>94</v>
      </c>
      <c r="C29" s="54" t="s">
        <v>95</v>
      </c>
      <c r="D29" s="54" t="s">
        <v>96</v>
      </c>
      <c r="E29" s="54" t="s">
        <v>97</v>
      </c>
      <c r="F29" t="s">
        <v>35</v>
      </c>
      <c r="G29">
        <v>38340</v>
      </c>
      <c r="H29">
        <v>360</v>
      </c>
      <c r="I29" t="str">
        <f t="shared" si="0"/>
        <v>AAA BBB</v>
      </c>
      <c r="J29" t="str">
        <f t="shared" si="1"/>
        <v>XXX</v>
      </c>
      <c r="K29" t="str">
        <f t="shared" si="2"/>
        <v>ZZZ, TN, 38340</v>
      </c>
    </row>
    <row r="30" spans="1:11" x14ac:dyDescent="0.15">
      <c r="A30">
        <v>1018918</v>
      </c>
      <c r="B30" s="54" t="s">
        <v>94</v>
      </c>
      <c r="C30" s="54" t="s">
        <v>95</v>
      </c>
      <c r="D30" s="54" t="s">
        <v>96</v>
      </c>
      <c r="E30" s="54" t="s">
        <v>97</v>
      </c>
      <c r="F30" t="s">
        <v>35</v>
      </c>
      <c r="G30">
        <v>38340</v>
      </c>
      <c r="H30">
        <v>360</v>
      </c>
      <c r="I30" t="str">
        <f t="shared" si="0"/>
        <v>AAA BBB</v>
      </c>
      <c r="J30" t="str">
        <f t="shared" si="1"/>
        <v>XXX</v>
      </c>
      <c r="K30" t="str">
        <f t="shared" si="2"/>
        <v>ZZZ, TN, 38340</v>
      </c>
    </row>
    <row r="31" spans="1:11" x14ac:dyDescent="0.15">
      <c r="A31">
        <v>1018918</v>
      </c>
      <c r="B31" s="54" t="s">
        <v>94</v>
      </c>
      <c r="C31" s="54" t="s">
        <v>95</v>
      </c>
      <c r="D31" s="54" t="s">
        <v>96</v>
      </c>
      <c r="E31" s="54" t="s">
        <v>97</v>
      </c>
      <c r="F31" t="s">
        <v>35</v>
      </c>
      <c r="G31">
        <v>38340</v>
      </c>
      <c r="H31">
        <v>360</v>
      </c>
      <c r="I31" t="str">
        <f t="shared" si="0"/>
        <v>AAA BBB</v>
      </c>
      <c r="J31" t="str">
        <f t="shared" si="1"/>
        <v>XXX</v>
      </c>
      <c r="K31" t="str">
        <f t="shared" si="2"/>
        <v>ZZZ, TN, 38340</v>
      </c>
    </row>
    <row r="32" spans="1:11" x14ac:dyDescent="0.15">
      <c r="A32">
        <v>1018918</v>
      </c>
      <c r="B32" s="54" t="s">
        <v>94</v>
      </c>
      <c r="C32" s="54" t="s">
        <v>95</v>
      </c>
      <c r="D32" s="54" t="s">
        <v>96</v>
      </c>
      <c r="E32" s="54" t="s">
        <v>97</v>
      </c>
      <c r="F32" t="s">
        <v>35</v>
      </c>
      <c r="G32">
        <v>38340</v>
      </c>
      <c r="H32">
        <v>360</v>
      </c>
      <c r="I32" t="str">
        <f t="shared" si="0"/>
        <v>AAA BBB</v>
      </c>
      <c r="J32" t="str">
        <f t="shared" si="1"/>
        <v>XXX</v>
      </c>
      <c r="K32" t="str">
        <f t="shared" si="2"/>
        <v>ZZZ, TN, 38340</v>
      </c>
    </row>
    <row r="33" spans="1:11" x14ac:dyDescent="0.15">
      <c r="A33">
        <v>1018918</v>
      </c>
      <c r="B33" s="54" t="s">
        <v>94</v>
      </c>
      <c r="C33" s="54" t="s">
        <v>95</v>
      </c>
      <c r="D33" s="54" t="s">
        <v>96</v>
      </c>
      <c r="E33" s="54" t="s">
        <v>97</v>
      </c>
      <c r="F33" t="s">
        <v>35</v>
      </c>
      <c r="G33">
        <v>38340</v>
      </c>
      <c r="H33">
        <v>360</v>
      </c>
      <c r="I33" t="str">
        <f t="shared" si="0"/>
        <v>AAA BBB</v>
      </c>
      <c r="J33" t="str">
        <f t="shared" si="1"/>
        <v>XXX</v>
      </c>
      <c r="K33" t="str">
        <f t="shared" si="2"/>
        <v>ZZZ, TN, 38340</v>
      </c>
    </row>
    <row r="34" spans="1:11" x14ac:dyDescent="0.15">
      <c r="A34">
        <v>1018918</v>
      </c>
      <c r="B34" s="54" t="s">
        <v>94</v>
      </c>
      <c r="C34" s="54" t="s">
        <v>95</v>
      </c>
      <c r="D34" s="54" t="s">
        <v>96</v>
      </c>
      <c r="E34" s="54" t="s">
        <v>97</v>
      </c>
      <c r="F34" t="s">
        <v>35</v>
      </c>
      <c r="G34">
        <v>38340</v>
      </c>
      <c r="H34">
        <v>360</v>
      </c>
      <c r="I34" t="str">
        <f t="shared" si="0"/>
        <v>AAA BBB</v>
      </c>
      <c r="J34" t="str">
        <f t="shared" si="1"/>
        <v>XXX</v>
      </c>
      <c r="K34" t="str">
        <f t="shared" si="2"/>
        <v>ZZZ, TN, 38340</v>
      </c>
    </row>
    <row r="35" spans="1:11" x14ac:dyDescent="0.15">
      <c r="A35">
        <v>1018918</v>
      </c>
      <c r="B35" s="54" t="s">
        <v>94</v>
      </c>
      <c r="C35" s="54" t="s">
        <v>95</v>
      </c>
      <c r="D35" s="54" t="s">
        <v>96</v>
      </c>
      <c r="E35" s="54" t="s">
        <v>97</v>
      </c>
      <c r="F35" t="s">
        <v>35</v>
      </c>
      <c r="G35">
        <v>38340</v>
      </c>
      <c r="H35">
        <v>360</v>
      </c>
      <c r="I35" t="str">
        <f t="shared" si="0"/>
        <v>AAA BBB</v>
      </c>
      <c r="J35" t="str">
        <f t="shared" si="1"/>
        <v>XXX</v>
      </c>
      <c r="K35" t="str">
        <f t="shared" si="2"/>
        <v>ZZZ, TN, 38340</v>
      </c>
    </row>
    <row r="36" spans="1:11" x14ac:dyDescent="0.15">
      <c r="A36">
        <v>1018918</v>
      </c>
      <c r="B36" s="54" t="s">
        <v>94</v>
      </c>
      <c r="C36" s="54" t="s">
        <v>95</v>
      </c>
      <c r="D36" s="54" t="s">
        <v>96</v>
      </c>
      <c r="E36" s="54" t="s">
        <v>97</v>
      </c>
      <c r="F36" t="s">
        <v>35</v>
      </c>
      <c r="G36">
        <v>38340</v>
      </c>
      <c r="H36">
        <v>360</v>
      </c>
      <c r="I36" t="str">
        <f t="shared" si="0"/>
        <v>AAA BBB</v>
      </c>
      <c r="J36" t="str">
        <f t="shared" si="1"/>
        <v>XXX</v>
      </c>
      <c r="K36" t="str">
        <f t="shared" si="2"/>
        <v>ZZZ, TN, 38340</v>
      </c>
    </row>
    <row r="37" spans="1:11" x14ac:dyDescent="0.15">
      <c r="A37">
        <v>1018918</v>
      </c>
      <c r="B37" s="54" t="s">
        <v>94</v>
      </c>
      <c r="C37" s="54" t="s">
        <v>95</v>
      </c>
      <c r="D37" s="54" t="s">
        <v>96</v>
      </c>
      <c r="E37" s="54" t="s">
        <v>97</v>
      </c>
      <c r="F37" t="s">
        <v>35</v>
      </c>
      <c r="G37">
        <v>38340</v>
      </c>
      <c r="H37">
        <v>360</v>
      </c>
      <c r="I37" t="str">
        <f t="shared" si="0"/>
        <v>AAA BBB</v>
      </c>
      <c r="J37" t="str">
        <f t="shared" si="1"/>
        <v>XXX</v>
      </c>
      <c r="K37" t="str">
        <f t="shared" si="2"/>
        <v>ZZZ, TN, 38340</v>
      </c>
    </row>
    <row r="38" spans="1:11" x14ac:dyDescent="0.15">
      <c r="A38">
        <v>1018918</v>
      </c>
      <c r="B38" s="54" t="s">
        <v>94</v>
      </c>
      <c r="C38" s="54" t="s">
        <v>95</v>
      </c>
      <c r="D38" s="54" t="s">
        <v>96</v>
      </c>
      <c r="E38" s="54" t="s">
        <v>97</v>
      </c>
      <c r="F38" t="s">
        <v>35</v>
      </c>
      <c r="G38">
        <v>38340</v>
      </c>
      <c r="H38">
        <v>360</v>
      </c>
      <c r="I38" t="str">
        <f t="shared" si="0"/>
        <v>AAA BBB</v>
      </c>
      <c r="J38" t="str">
        <f t="shared" si="1"/>
        <v>XXX</v>
      </c>
      <c r="K38" t="str">
        <f t="shared" si="2"/>
        <v>ZZZ, TN, 38340</v>
      </c>
    </row>
    <row r="39" spans="1:11" x14ac:dyDescent="0.15">
      <c r="A39">
        <v>1018918</v>
      </c>
      <c r="B39" s="54" t="s">
        <v>94</v>
      </c>
      <c r="C39" s="54" t="s">
        <v>95</v>
      </c>
      <c r="D39" s="54" t="s">
        <v>96</v>
      </c>
      <c r="E39" s="54" t="s">
        <v>97</v>
      </c>
      <c r="F39" t="s">
        <v>35</v>
      </c>
      <c r="G39">
        <v>38340</v>
      </c>
      <c r="H39">
        <v>360</v>
      </c>
      <c r="I39" t="str">
        <f t="shared" si="0"/>
        <v>AAA BBB</v>
      </c>
      <c r="J39" t="str">
        <f t="shared" si="1"/>
        <v>XXX</v>
      </c>
      <c r="K39" t="str">
        <f t="shared" si="2"/>
        <v>ZZZ, TN, 38340</v>
      </c>
    </row>
    <row r="40" spans="1:11" x14ac:dyDescent="0.15">
      <c r="A40">
        <v>1018918</v>
      </c>
      <c r="B40" s="54" t="s">
        <v>94</v>
      </c>
      <c r="C40" s="54" t="s">
        <v>95</v>
      </c>
      <c r="D40" s="54" t="s">
        <v>96</v>
      </c>
      <c r="E40" s="54" t="s">
        <v>97</v>
      </c>
      <c r="F40" t="s">
        <v>35</v>
      </c>
      <c r="G40">
        <v>38340</v>
      </c>
      <c r="H40">
        <v>360</v>
      </c>
      <c r="I40" t="str">
        <f t="shared" si="0"/>
        <v>AAA BBB</v>
      </c>
      <c r="J40" t="str">
        <f t="shared" si="1"/>
        <v>XXX</v>
      </c>
      <c r="K40" t="str">
        <f t="shared" si="2"/>
        <v>ZZZ, TN, 38340</v>
      </c>
    </row>
    <row r="41" spans="1:11" x14ac:dyDescent="0.15">
      <c r="A41">
        <v>1018918</v>
      </c>
      <c r="B41" s="54" t="s">
        <v>94</v>
      </c>
      <c r="C41" s="54" t="s">
        <v>95</v>
      </c>
      <c r="D41" s="54" t="s">
        <v>96</v>
      </c>
      <c r="E41" s="54" t="s">
        <v>97</v>
      </c>
      <c r="F41" t="s">
        <v>35</v>
      </c>
      <c r="G41">
        <v>38340</v>
      </c>
      <c r="H41">
        <v>360</v>
      </c>
      <c r="I41" t="str">
        <f t="shared" si="0"/>
        <v>AAA BBB</v>
      </c>
      <c r="J41" t="str">
        <f t="shared" si="1"/>
        <v>XXX</v>
      </c>
      <c r="K41" t="str">
        <f t="shared" si="2"/>
        <v>ZZZ, TN, 38340</v>
      </c>
    </row>
    <row r="42" spans="1:11" x14ac:dyDescent="0.15">
      <c r="A42">
        <v>1018918</v>
      </c>
      <c r="B42" s="54" t="s">
        <v>94</v>
      </c>
      <c r="C42" s="54" t="s">
        <v>95</v>
      </c>
      <c r="D42" s="54" t="s">
        <v>96</v>
      </c>
      <c r="E42" s="54" t="s">
        <v>97</v>
      </c>
      <c r="F42" t="s">
        <v>35</v>
      </c>
      <c r="G42">
        <v>38340</v>
      </c>
      <c r="H42">
        <v>360</v>
      </c>
      <c r="I42" t="str">
        <f t="shared" si="0"/>
        <v>AAA BBB</v>
      </c>
      <c r="J42" t="str">
        <f t="shared" si="1"/>
        <v>XXX</v>
      </c>
      <c r="K42" t="str">
        <f t="shared" si="2"/>
        <v>ZZZ, TN, 38340</v>
      </c>
    </row>
    <row r="43" spans="1:11" x14ac:dyDescent="0.15">
      <c r="A43">
        <v>1018918</v>
      </c>
      <c r="B43" s="54" t="s">
        <v>94</v>
      </c>
      <c r="C43" s="54" t="s">
        <v>95</v>
      </c>
      <c r="D43" s="54" t="s">
        <v>96</v>
      </c>
      <c r="E43" s="54" t="s">
        <v>97</v>
      </c>
      <c r="F43" t="s">
        <v>35</v>
      </c>
      <c r="G43">
        <v>38340</v>
      </c>
      <c r="H43">
        <v>360</v>
      </c>
      <c r="I43" t="str">
        <f t="shared" si="0"/>
        <v>AAA BBB</v>
      </c>
      <c r="J43" t="str">
        <f t="shared" si="1"/>
        <v>XXX</v>
      </c>
      <c r="K43" t="str">
        <f t="shared" si="2"/>
        <v>ZZZ, TN, 38340</v>
      </c>
    </row>
    <row r="44" spans="1:11" x14ac:dyDescent="0.15">
      <c r="A44">
        <v>1018918</v>
      </c>
      <c r="B44" s="54" t="s">
        <v>94</v>
      </c>
      <c r="C44" s="54" t="s">
        <v>95</v>
      </c>
      <c r="D44" s="54" t="s">
        <v>96</v>
      </c>
      <c r="E44" s="54" t="s">
        <v>97</v>
      </c>
      <c r="F44" t="s">
        <v>35</v>
      </c>
      <c r="G44">
        <v>38340</v>
      </c>
      <c r="H44">
        <v>360</v>
      </c>
      <c r="I44" t="str">
        <f t="shared" si="0"/>
        <v>AAA BBB</v>
      </c>
      <c r="J44" t="str">
        <f t="shared" si="1"/>
        <v>XXX</v>
      </c>
      <c r="K44" t="str">
        <f t="shared" si="2"/>
        <v>ZZZ, TN, 38340</v>
      </c>
    </row>
    <row r="45" spans="1:11" x14ac:dyDescent="0.15">
      <c r="A45">
        <v>1018918</v>
      </c>
      <c r="B45" s="54" t="s">
        <v>94</v>
      </c>
      <c r="C45" s="54" t="s">
        <v>95</v>
      </c>
      <c r="D45" s="54" t="s">
        <v>96</v>
      </c>
      <c r="E45" s="54" t="s">
        <v>97</v>
      </c>
      <c r="F45" t="s">
        <v>35</v>
      </c>
      <c r="G45">
        <v>38340</v>
      </c>
      <c r="H45">
        <v>360</v>
      </c>
      <c r="I45" t="str">
        <f t="shared" si="0"/>
        <v>AAA BBB</v>
      </c>
      <c r="J45" t="str">
        <f t="shared" si="1"/>
        <v>XXX</v>
      </c>
      <c r="K45" t="str">
        <f t="shared" si="2"/>
        <v>ZZZ, TN, 38340</v>
      </c>
    </row>
    <row r="46" spans="1:11" x14ac:dyDescent="0.15">
      <c r="A46">
        <v>1018918</v>
      </c>
      <c r="B46" s="54" t="s">
        <v>94</v>
      </c>
      <c r="C46" s="54" t="s">
        <v>95</v>
      </c>
      <c r="D46" s="54" t="s">
        <v>96</v>
      </c>
      <c r="E46" s="54" t="s">
        <v>97</v>
      </c>
      <c r="F46" t="s">
        <v>35</v>
      </c>
      <c r="G46">
        <v>38340</v>
      </c>
      <c r="H46">
        <v>360</v>
      </c>
      <c r="I46" t="str">
        <f t="shared" si="0"/>
        <v>AAA BBB</v>
      </c>
      <c r="J46" t="str">
        <f t="shared" si="1"/>
        <v>XXX</v>
      </c>
      <c r="K46" t="str">
        <f t="shared" si="2"/>
        <v>ZZZ, TN, 38340</v>
      </c>
    </row>
    <row r="47" spans="1:11" x14ac:dyDescent="0.15">
      <c r="A47">
        <v>1018918</v>
      </c>
      <c r="B47" s="54" t="s">
        <v>94</v>
      </c>
      <c r="C47" s="54" t="s">
        <v>95</v>
      </c>
      <c r="D47" s="54" t="s">
        <v>96</v>
      </c>
      <c r="E47" s="54" t="s">
        <v>97</v>
      </c>
      <c r="F47" t="s">
        <v>35</v>
      </c>
      <c r="G47">
        <v>38340</v>
      </c>
      <c r="H47">
        <v>360</v>
      </c>
      <c r="I47" t="str">
        <f t="shared" si="0"/>
        <v>AAA BBB</v>
      </c>
      <c r="J47" t="str">
        <f t="shared" si="1"/>
        <v>XXX</v>
      </c>
      <c r="K47" t="str">
        <f t="shared" si="2"/>
        <v>ZZZ, TN, 38340</v>
      </c>
    </row>
    <row r="48" spans="1:11" x14ac:dyDescent="0.15">
      <c r="A48">
        <v>1018918</v>
      </c>
      <c r="B48" s="54" t="s">
        <v>94</v>
      </c>
      <c r="C48" s="54" t="s">
        <v>95</v>
      </c>
      <c r="D48" s="54" t="s">
        <v>96</v>
      </c>
      <c r="E48" s="54" t="s">
        <v>97</v>
      </c>
      <c r="F48" t="s">
        <v>35</v>
      </c>
      <c r="G48">
        <v>38340</v>
      </c>
      <c r="H48">
        <v>360</v>
      </c>
      <c r="I48" t="str">
        <f t="shared" si="0"/>
        <v>AAA BBB</v>
      </c>
      <c r="J48" t="str">
        <f t="shared" si="1"/>
        <v>XXX</v>
      </c>
      <c r="K48" t="str">
        <f t="shared" si="2"/>
        <v>ZZZ, TN, 38340</v>
      </c>
    </row>
    <row r="49" spans="1:11" x14ac:dyDescent="0.15">
      <c r="A49">
        <v>1018918</v>
      </c>
      <c r="B49" s="54" t="s">
        <v>94</v>
      </c>
      <c r="C49" s="54" t="s">
        <v>95</v>
      </c>
      <c r="D49" s="54" t="s">
        <v>96</v>
      </c>
      <c r="E49" s="54" t="s">
        <v>97</v>
      </c>
      <c r="F49" t="s">
        <v>35</v>
      </c>
      <c r="G49">
        <v>38340</v>
      </c>
      <c r="H49">
        <v>360</v>
      </c>
      <c r="I49" t="str">
        <f t="shared" si="0"/>
        <v>AAA BBB</v>
      </c>
      <c r="J49" t="str">
        <f t="shared" si="1"/>
        <v>XXX</v>
      </c>
      <c r="K49" t="str">
        <f t="shared" si="2"/>
        <v>ZZZ, TN, 38340</v>
      </c>
    </row>
    <row r="50" spans="1:11" x14ac:dyDescent="0.15">
      <c r="A50">
        <v>1018918</v>
      </c>
      <c r="B50" s="54" t="s">
        <v>94</v>
      </c>
      <c r="C50" s="54" t="s">
        <v>95</v>
      </c>
      <c r="D50" s="54" t="s">
        <v>96</v>
      </c>
      <c r="E50" s="54" t="s">
        <v>97</v>
      </c>
      <c r="F50" t="s">
        <v>35</v>
      </c>
      <c r="G50">
        <v>38340</v>
      </c>
      <c r="H50">
        <v>360</v>
      </c>
      <c r="I50" t="str">
        <f t="shared" si="0"/>
        <v>AAA BBB</v>
      </c>
      <c r="J50" t="str">
        <f t="shared" si="1"/>
        <v>XXX</v>
      </c>
      <c r="K50" t="str">
        <f t="shared" si="2"/>
        <v>ZZZ, TN, 38340</v>
      </c>
    </row>
    <row r="51" spans="1:11" x14ac:dyDescent="0.15">
      <c r="A51">
        <v>1018918</v>
      </c>
      <c r="B51" s="54" t="s">
        <v>94</v>
      </c>
      <c r="C51" s="54" t="s">
        <v>95</v>
      </c>
      <c r="D51" s="54" t="s">
        <v>96</v>
      </c>
      <c r="E51" s="54" t="s">
        <v>97</v>
      </c>
      <c r="F51" t="s">
        <v>35</v>
      </c>
      <c r="G51">
        <v>38340</v>
      </c>
      <c r="H51">
        <v>360</v>
      </c>
      <c r="I51" t="str">
        <f t="shared" si="0"/>
        <v>AAA BBB</v>
      </c>
      <c r="J51" t="str">
        <f t="shared" si="1"/>
        <v>XXX</v>
      </c>
      <c r="K51" t="str">
        <f t="shared" si="2"/>
        <v>ZZZ, TN, 38340</v>
      </c>
    </row>
    <row r="52" spans="1:11" x14ac:dyDescent="0.15">
      <c r="A52">
        <v>1018918</v>
      </c>
      <c r="B52" s="54" t="s">
        <v>94</v>
      </c>
      <c r="C52" s="54" t="s">
        <v>95</v>
      </c>
      <c r="D52" s="54" t="s">
        <v>96</v>
      </c>
      <c r="E52" s="54" t="s">
        <v>97</v>
      </c>
      <c r="F52" t="s">
        <v>35</v>
      </c>
      <c r="G52">
        <v>38340</v>
      </c>
      <c r="H52">
        <v>360</v>
      </c>
      <c r="I52" t="str">
        <f t="shared" si="0"/>
        <v>AAA BBB</v>
      </c>
      <c r="J52" t="str">
        <f t="shared" si="1"/>
        <v>XXX</v>
      </c>
      <c r="K52" t="str">
        <f t="shared" si="2"/>
        <v>ZZZ, TN, 38340</v>
      </c>
    </row>
    <row r="53" spans="1:11" x14ac:dyDescent="0.15">
      <c r="A53">
        <v>1018918</v>
      </c>
      <c r="B53" s="54" t="s">
        <v>94</v>
      </c>
      <c r="C53" s="54" t="s">
        <v>95</v>
      </c>
      <c r="D53" s="54" t="s">
        <v>96</v>
      </c>
      <c r="E53" s="54" t="s">
        <v>97</v>
      </c>
      <c r="F53" t="s">
        <v>35</v>
      </c>
      <c r="G53">
        <v>38340</v>
      </c>
      <c r="H53">
        <v>360</v>
      </c>
      <c r="I53" t="str">
        <f t="shared" si="0"/>
        <v>AAA BBB</v>
      </c>
      <c r="J53" t="str">
        <f t="shared" si="1"/>
        <v>XXX</v>
      </c>
      <c r="K53" t="str">
        <f t="shared" si="2"/>
        <v>ZZZ, TN, 38340</v>
      </c>
    </row>
    <row r="54" spans="1:11" x14ac:dyDescent="0.15">
      <c r="A54">
        <v>1018918</v>
      </c>
      <c r="B54" s="54" t="s">
        <v>94</v>
      </c>
      <c r="C54" s="54" t="s">
        <v>95</v>
      </c>
      <c r="D54" s="54" t="s">
        <v>96</v>
      </c>
      <c r="E54" s="54" t="s">
        <v>97</v>
      </c>
      <c r="F54" t="s">
        <v>35</v>
      </c>
      <c r="G54">
        <v>38340</v>
      </c>
      <c r="H54">
        <v>360</v>
      </c>
      <c r="I54" t="str">
        <f t="shared" si="0"/>
        <v>AAA BBB</v>
      </c>
      <c r="J54" t="str">
        <f t="shared" si="1"/>
        <v>XXX</v>
      </c>
      <c r="K54" t="str">
        <f t="shared" si="2"/>
        <v>ZZZ, TN, 38340</v>
      </c>
    </row>
    <row r="55" spans="1:11" x14ac:dyDescent="0.15">
      <c r="A55">
        <v>1018918</v>
      </c>
      <c r="B55" s="54" t="s">
        <v>94</v>
      </c>
      <c r="C55" s="54" t="s">
        <v>95</v>
      </c>
      <c r="D55" s="54" t="s">
        <v>96</v>
      </c>
      <c r="E55" s="54" t="s">
        <v>97</v>
      </c>
      <c r="F55" t="s">
        <v>35</v>
      </c>
      <c r="G55">
        <v>38340</v>
      </c>
      <c r="H55">
        <v>360</v>
      </c>
      <c r="I55" t="str">
        <f t="shared" si="0"/>
        <v>AAA BBB</v>
      </c>
      <c r="J55" t="str">
        <f t="shared" si="1"/>
        <v>XXX</v>
      </c>
      <c r="K55" t="str">
        <f t="shared" si="2"/>
        <v>ZZZ, TN, 38340</v>
      </c>
    </row>
    <row r="56" spans="1:11" x14ac:dyDescent="0.15">
      <c r="A56">
        <v>1018918</v>
      </c>
      <c r="B56" s="54" t="s">
        <v>94</v>
      </c>
      <c r="C56" s="54" t="s">
        <v>95</v>
      </c>
      <c r="D56" s="54" t="s">
        <v>96</v>
      </c>
      <c r="E56" s="54" t="s">
        <v>97</v>
      </c>
      <c r="F56" t="s">
        <v>35</v>
      </c>
      <c r="G56">
        <v>38340</v>
      </c>
      <c r="H56">
        <v>360</v>
      </c>
      <c r="I56" t="str">
        <f t="shared" si="0"/>
        <v>AAA BBB</v>
      </c>
      <c r="J56" t="str">
        <f t="shared" si="1"/>
        <v>XXX</v>
      </c>
      <c r="K56" t="str">
        <f t="shared" si="2"/>
        <v>ZZZ, TN, 38340</v>
      </c>
    </row>
    <row r="57" spans="1:11" x14ac:dyDescent="0.15">
      <c r="A57">
        <v>1018918</v>
      </c>
      <c r="B57" s="54" t="s">
        <v>94</v>
      </c>
      <c r="C57" s="54" t="s">
        <v>95</v>
      </c>
      <c r="D57" s="54" t="s">
        <v>96</v>
      </c>
      <c r="E57" s="54" t="s">
        <v>97</v>
      </c>
      <c r="F57" t="s">
        <v>35</v>
      </c>
      <c r="G57">
        <v>38340</v>
      </c>
      <c r="H57">
        <v>360</v>
      </c>
      <c r="I57" t="str">
        <f t="shared" si="0"/>
        <v>AAA BBB</v>
      </c>
      <c r="J57" t="str">
        <f t="shared" si="1"/>
        <v>XXX</v>
      </c>
      <c r="K57" t="str">
        <f t="shared" si="2"/>
        <v>ZZZ, TN, 38340</v>
      </c>
    </row>
    <row r="58" spans="1:11" x14ac:dyDescent="0.15">
      <c r="A58">
        <v>1018918</v>
      </c>
      <c r="B58" s="54" t="s">
        <v>94</v>
      </c>
      <c r="C58" s="54" t="s">
        <v>95</v>
      </c>
      <c r="D58" s="54" t="s">
        <v>96</v>
      </c>
      <c r="E58" s="54" t="s">
        <v>97</v>
      </c>
      <c r="F58" t="s">
        <v>35</v>
      </c>
      <c r="G58">
        <v>38340</v>
      </c>
      <c r="H58">
        <v>360</v>
      </c>
      <c r="I58" t="str">
        <f t="shared" si="0"/>
        <v>AAA BBB</v>
      </c>
      <c r="J58" t="str">
        <f t="shared" si="1"/>
        <v>XXX</v>
      </c>
      <c r="K58" t="str">
        <f t="shared" si="2"/>
        <v>ZZZ, TN, 38340</v>
      </c>
    </row>
    <row r="59" spans="1:11" x14ac:dyDescent="0.15">
      <c r="A59">
        <v>1018918</v>
      </c>
      <c r="B59" s="54" t="s">
        <v>94</v>
      </c>
      <c r="C59" s="54" t="s">
        <v>95</v>
      </c>
      <c r="D59" s="54" t="s">
        <v>96</v>
      </c>
      <c r="E59" s="54" t="s">
        <v>97</v>
      </c>
      <c r="F59" t="s">
        <v>35</v>
      </c>
      <c r="G59">
        <v>38340</v>
      </c>
      <c r="H59">
        <v>360</v>
      </c>
      <c r="I59" t="str">
        <f t="shared" si="0"/>
        <v>AAA BBB</v>
      </c>
      <c r="J59" t="str">
        <f t="shared" si="1"/>
        <v>XXX</v>
      </c>
      <c r="K59" t="str">
        <f t="shared" si="2"/>
        <v>ZZZ, TN, 38340</v>
      </c>
    </row>
    <row r="60" spans="1:11" x14ac:dyDescent="0.15">
      <c r="A60">
        <v>1018918</v>
      </c>
      <c r="B60" s="54" t="s">
        <v>94</v>
      </c>
      <c r="C60" s="54" t="s">
        <v>95</v>
      </c>
      <c r="D60" s="54" t="s">
        <v>96</v>
      </c>
      <c r="E60" s="54" t="s">
        <v>97</v>
      </c>
      <c r="F60" t="s">
        <v>35</v>
      </c>
      <c r="G60">
        <v>38340</v>
      </c>
      <c r="H60">
        <v>360</v>
      </c>
      <c r="I60" t="str">
        <f t="shared" si="0"/>
        <v>AAA BBB</v>
      </c>
      <c r="J60" t="str">
        <f t="shared" si="1"/>
        <v>XXX</v>
      </c>
      <c r="K60" t="str">
        <f t="shared" si="2"/>
        <v>ZZZ, TN, 38340</v>
      </c>
    </row>
    <row r="61" spans="1:11" x14ac:dyDescent="0.15">
      <c r="A61">
        <v>1018918</v>
      </c>
      <c r="B61" s="54" t="s">
        <v>94</v>
      </c>
      <c r="C61" s="54" t="s">
        <v>95</v>
      </c>
      <c r="D61" s="54" t="s">
        <v>96</v>
      </c>
      <c r="E61" s="54" t="s">
        <v>97</v>
      </c>
      <c r="F61" t="s">
        <v>35</v>
      </c>
      <c r="G61">
        <v>38340</v>
      </c>
      <c r="H61">
        <v>360</v>
      </c>
      <c r="I61" t="str">
        <f t="shared" si="0"/>
        <v>AAA BBB</v>
      </c>
      <c r="J61" t="str">
        <f t="shared" si="1"/>
        <v>XXX</v>
      </c>
      <c r="K61" t="str">
        <f t="shared" si="2"/>
        <v>ZZZ, TN, 38340</v>
      </c>
    </row>
    <row r="62" spans="1:11" x14ac:dyDescent="0.15">
      <c r="A62">
        <v>1018918</v>
      </c>
      <c r="B62" s="54" t="s">
        <v>94</v>
      </c>
      <c r="C62" s="54" t="s">
        <v>95</v>
      </c>
      <c r="D62" s="54" t="s">
        <v>96</v>
      </c>
      <c r="E62" s="54" t="s">
        <v>97</v>
      </c>
      <c r="F62" t="s">
        <v>35</v>
      </c>
      <c r="G62">
        <v>38340</v>
      </c>
      <c r="H62">
        <v>360</v>
      </c>
      <c r="I62" t="str">
        <f t="shared" si="0"/>
        <v>AAA BBB</v>
      </c>
      <c r="J62" t="str">
        <f t="shared" si="1"/>
        <v>XXX</v>
      </c>
      <c r="K62" t="str">
        <f t="shared" si="2"/>
        <v>ZZZ, TN, 38340</v>
      </c>
    </row>
    <row r="63" spans="1:11" x14ac:dyDescent="0.15">
      <c r="A63">
        <v>1018918</v>
      </c>
      <c r="B63" s="54" t="s">
        <v>94</v>
      </c>
      <c r="C63" s="54" t="s">
        <v>95</v>
      </c>
      <c r="D63" s="54" t="s">
        <v>96</v>
      </c>
      <c r="E63" s="54" t="s">
        <v>97</v>
      </c>
      <c r="F63" t="s">
        <v>35</v>
      </c>
      <c r="G63">
        <v>38340</v>
      </c>
      <c r="H63">
        <v>360</v>
      </c>
      <c r="I63" t="str">
        <f t="shared" si="0"/>
        <v>AAA BBB</v>
      </c>
      <c r="J63" t="str">
        <f t="shared" si="1"/>
        <v>XXX</v>
      </c>
      <c r="K63" t="str">
        <f t="shared" si="2"/>
        <v>ZZZ, TN, 38340</v>
      </c>
    </row>
    <row r="64" spans="1:11" x14ac:dyDescent="0.15">
      <c r="A64">
        <v>1018918</v>
      </c>
      <c r="B64" s="54" t="s">
        <v>94</v>
      </c>
      <c r="C64" s="54" t="s">
        <v>95</v>
      </c>
      <c r="D64" s="54" t="s">
        <v>96</v>
      </c>
      <c r="E64" s="54" t="s">
        <v>97</v>
      </c>
      <c r="F64" t="s">
        <v>35</v>
      </c>
      <c r="G64">
        <v>38340</v>
      </c>
      <c r="H64">
        <v>360</v>
      </c>
      <c r="I64" t="str">
        <f t="shared" si="0"/>
        <v>AAA BBB</v>
      </c>
      <c r="J64" t="str">
        <f t="shared" si="1"/>
        <v>XXX</v>
      </c>
      <c r="K64" t="str">
        <f t="shared" si="2"/>
        <v>ZZZ, TN, 38340</v>
      </c>
    </row>
    <row r="65" spans="1:11" x14ac:dyDescent="0.15">
      <c r="A65">
        <v>1018918</v>
      </c>
      <c r="B65" s="54" t="s">
        <v>94</v>
      </c>
      <c r="C65" s="54" t="s">
        <v>95</v>
      </c>
      <c r="D65" s="54" t="s">
        <v>96</v>
      </c>
      <c r="E65" s="54" t="s">
        <v>97</v>
      </c>
      <c r="F65" t="s">
        <v>35</v>
      </c>
      <c r="G65">
        <v>38340</v>
      </c>
      <c r="H65">
        <v>360</v>
      </c>
      <c r="I65" t="str">
        <f t="shared" si="0"/>
        <v>AAA BBB</v>
      </c>
      <c r="J65" t="str">
        <f t="shared" si="1"/>
        <v>XXX</v>
      </c>
      <c r="K65" t="str">
        <f t="shared" si="2"/>
        <v>ZZZ, TN, 38340</v>
      </c>
    </row>
    <row r="66" spans="1:11" x14ac:dyDescent="0.15">
      <c r="A66">
        <v>1018918</v>
      </c>
      <c r="B66" s="54" t="s">
        <v>94</v>
      </c>
      <c r="C66" s="54" t="s">
        <v>95</v>
      </c>
      <c r="D66" s="54" t="s">
        <v>96</v>
      </c>
      <c r="E66" s="54" t="s">
        <v>97</v>
      </c>
      <c r="F66" t="s">
        <v>35</v>
      </c>
      <c r="G66">
        <v>38340</v>
      </c>
      <c r="H66">
        <v>360</v>
      </c>
      <c r="I66" t="str">
        <f t="shared" si="0"/>
        <v>AAA BBB</v>
      </c>
      <c r="J66" t="str">
        <f t="shared" si="1"/>
        <v>XXX</v>
      </c>
      <c r="K66" t="str">
        <f t="shared" si="2"/>
        <v>ZZZ, TN, 38340</v>
      </c>
    </row>
    <row r="67" spans="1:11" x14ac:dyDescent="0.15">
      <c r="A67">
        <v>1018918</v>
      </c>
      <c r="B67" s="54" t="s">
        <v>94</v>
      </c>
      <c r="C67" s="54" t="s">
        <v>95</v>
      </c>
      <c r="D67" s="54" t="s">
        <v>96</v>
      </c>
      <c r="E67" s="54" t="s">
        <v>97</v>
      </c>
      <c r="F67" t="s">
        <v>35</v>
      </c>
      <c r="G67">
        <v>38340</v>
      </c>
      <c r="H67">
        <v>360</v>
      </c>
      <c r="I67" t="str">
        <f t="shared" ref="I67:I130" si="3">CONCATENATE(B67," ",C67)</f>
        <v>AAA BBB</v>
      </c>
      <c r="J67" t="str">
        <f t="shared" ref="J67:J130" si="4">D67</f>
        <v>XXX</v>
      </c>
      <c r="K67" t="str">
        <f t="shared" ref="K67:K130" si="5">CONCATENATE(E67,","," ",F67,","," ",G67)</f>
        <v>ZZZ, TN, 38340</v>
      </c>
    </row>
    <row r="68" spans="1:11" x14ac:dyDescent="0.15">
      <c r="A68">
        <v>1018918</v>
      </c>
      <c r="B68" s="54" t="s">
        <v>94</v>
      </c>
      <c r="C68" s="54" t="s">
        <v>95</v>
      </c>
      <c r="D68" s="54" t="s">
        <v>96</v>
      </c>
      <c r="E68" s="54" t="s">
        <v>97</v>
      </c>
      <c r="F68" t="s">
        <v>35</v>
      </c>
      <c r="G68">
        <v>38340</v>
      </c>
      <c r="H68">
        <v>360</v>
      </c>
      <c r="I68" t="str">
        <f t="shared" si="3"/>
        <v>AAA BBB</v>
      </c>
      <c r="J68" t="str">
        <f t="shared" si="4"/>
        <v>XXX</v>
      </c>
      <c r="K68" t="str">
        <f t="shared" si="5"/>
        <v>ZZZ, TN, 38340</v>
      </c>
    </row>
    <row r="69" spans="1:11" x14ac:dyDescent="0.15">
      <c r="A69">
        <v>1018918</v>
      </c>
      <c r="B69" s="54" t="s">
        <v>94</v>
      </c>
      <c r="C69" s="54" t="s">
        <v>95</v>
      </c>
      <c r="D69" s="54" t="s">
        <v>96</v>
      </c>
      <c r="E69" s="54" t="s">
        <v>97</v>
      </c>
      <c r="F69" t="s">
        <v>35</v>
      </c>
      <c r="G69">
        <v>38340</v>
      </c>
      <c r="H69">
        <v>360</v>
      </c>
      <c r="I69" t="str">
        <f t="shared" si="3"/>
        <v>AAA BBB</v>
      </c>
      <c r="J69" t="str">
        <f t="shared" si="4"/>
        <v>XXX</v>
      </c>
      <c r="K69" t="str">
        <f t="shared" si="5"/>
        <v>ZZZ, TN, 38340</v>
      </c>
    </row>
    <row r="70" spans="1:11" x14ac:dyDescent="0.15">
      <c r="A70">
        <v>1018918</v>
      </c>
      <c r="B70" s="54" t="s">
        <v>94</v>
      </c>
      <c r="C70" s="54" t="s">
        <v>95</v>
      </c>
      <c r="D70" s="54" t="s">
        <v>96</v>
      </c>
      <c r="E70" s="54" t="s">
        <v>97</v>
      </c>
      <c r="F70" t="s">
        <v>35</v>
      </c>
      <c r="G70">
        <v>38340</v>
      </c>
      <c r="H70">
        <v>360</v>
      </c>
      <c r="I70" t="str">
        <f t="shared" si="3"/>
        <v>AAA BBB</v>
      </c>
      <c r="J70" t="str">
        <f t="shared" si="4"/>
        <v>XXX</v>
      </c>
      <c r="K70" t="str">
        <f t="shared" si="5"/>
        <v>ZZZ, TN, 38340</v>
      </c>
    </row>
    <row r="71" spans="1:11" x14ac:dyDescent="0.15">
      <c r="A71">
        <v>1018918</v>
      </c>
      <c r="B71" s="54" t="s">
        <v>94</v>
      </c>
      <c r="C71" s="54" t="s">
        <v>95</v>
      </c>
      <c r="D71" s="54" t="s">
        <v>96</v>
      </c>
      <c r="E71" s="54" t="s">
        <v>97</v>
      </c>
      <c r="F71" t="s">
        <v>35</v>
      </c>
      <c r="G71">
        <v>38340</v>
      </c>
      <c r="H71">
        <v>360</v>
      </c>
      <c r="I71" t="str">
        <f t="shared" si="3"/>
        <v>AAA BBB</v>
      </c>
      <c r="J71" t="str">
        <f t="shared" si="4"/>
        <v>XXX</v>
      </c>
      <c r="K71" t="str">
        <f t="shared" si="5"/>
        <v>ZZZ, TN, 38340</v>
      </c>
    </row>
    <row r="72" spans="1:11" x14ac:dyDescent="0.15">
      <c r="A72">
        <v>1018918</v>
      </c>
      <c r="B72" s="54" t="s">
        <v>94</v>
      </c>
      <c r="C72" s="54" t="s">
        <v>95</v>
      </c>
      <c r="D72" s="54" t="s">
        <v>96</v>
      </c>
      <c r="E72" s="54" t="s">
        <v>97</v>
      </c>
      <c r="F72" t="s">
        <v>35</v>
      </c>
      <c r="G72">
        <v>38340</v>
      </c>
      <c r="H72">
        <v>360</v>
      </c>
      <c r="I72" t="str">
        <f t="shared" si="3"/>
        <v>AAA BBB</v>
      </c>
      <c r="J72" t="str">
        <f t="shared" si="4"/>
        <v>XXX</v>
      </c>
      <c r="K72" t="str">
        <f t="shared" si="5"/>
        <v>ZZZ, TN, 38340</v>
      </c>
    </row>
    <row r="73" spans="1:11" x14ac:dyDescent="0.15">
      <c r="A73">
        <v>1018918</v>
      </c>
      <c r="B73" s="54" t="s">
        <v>94</v>
      </c>
      <c r="C73" s="54" t="s">
        <v>95</v>
      </c>
      <c r="D73" s="54" t="s">
        <v>96</v>
      </c>
      <c r="E73" s="54" t="s">
        <v>97</v>
      </c>
      <c r="F73" t="s">
        <v>35</v>
      </c>
      <c r="G73">
        <v>38340</v>
      </c>
      <c r="H73">
        <v>360</v>
      </c>
      <c r="I73" t="str">
        <f t="shared" si="3"/>
        <v>AAA BBB</v>
      </c>
      <c r="J73" t="str">
        <f t="shared" si="4"/>
        <v>XXX</v>
      </c>
      <c r="K73" t="str">
        <f t="shared" si="5"/>
        <v>ZZZ, TN, 38340</v>
      </c>
    </row>
    <row r="74" spans="1:11" x14ac:dyDescent="0.15">
      <c r="A74">
        <v>1018918</v>
      </c>
      <c r="B74" s="54" t="s">
        <v>94</v>
      </c>
      <c r="C74" s="54" t="s">
        <v>95</v>
      </c>
      <c r="D74" s="54" t="s">
        <v>96</v>
      </c>
      <c r="E74" s="54" t="s">
        <v>97</v>
      </c>
      <c r="F74" t="s">
        <v>35</v>
      </c>
      <c r="G74">
        <v>38340</v>
      </c>
      <c r="H74">
        <v>360</v>
      </c>
      <c r="I74" t="str">
        <f t="shared" si="3"/>
        <v>AAA BBB</v>
      </c>
      <c r="J74" t="str">
        <f t="shared" si="4"/>
        <v>XXX</v>
      </c>
      <c r="K74" t="str">
        <f t="shared" si="5"/>
        <v>ZZZ, TN, 38340</v>
      </c>
    </row>
    <row r="75" spans="1:11" x14ac:dyDescent="0.15">
      <c r="A75">
        <v>1018918</v>
      </c>
      <c r="B75" s="54" t="s">
        <v>94</v>
      </c>
      <c r="C75" s="54" t="s">
        <v>95</v>
      </c>
      <c r="D75" s="54" t="s">
        <v>96</v>
      </c>
      <c r="E75" s="54" t="s">
        <v>97</v>
      </c>
      <c r="F75" t="s">
        <v>35</v>
      </c>
      <c r="G75">
        <v>38340</v>
      </c>
      <c r="H75">
        <v>360</v>
      </c>
      <c r="I75" t="str">
        <f t="shared" si="3"/>
        <v>AAA BBB</v>
      </c>
      <c r="J75" t="str">
        <f t="shared" si="4"/>
        <v>XXX</v>
      </c>
      <c r="K75" t="str">
        <f t="shared" si="5"/>
        <v>ZZZ, TN, 38340</v>
      </c>
    </row>
    <row r="76" spans="1:11" x14ac:dyDescent="0.15">
      <c r="A76">
        <v>1018918</v>
      </c>
      <c r="B76" s="54" t="s">
        <v>94</v>
      </c>
      <c r="C76" s="54" t="s">
        <v>95</v>
      </c>
      <c r="D76" s="54" t="s">
        <v>96</v>
      </c>
      <c r="E76" s="54" t="s">
        <v>97</v>
      </c>
      <c r="F76" t="s">
        <v>35</v>
      </c>
      <c r="G76">
        <v>38340</v>
      </c>
      <c r="H76">
        <v>360</v>
      </c>
      <c r="I76" t="str">
        <f t="shared" si="3"/>
        <v>AAA BBB</v>
      </c>
      <c r="J76" t="str">
        <f t="shared" si="4"/>
        <v>XXX</v>
      </c>
      <c r="K76" t="str">
        <f t="shared" si="5"/>
        <v>ZZZ, TN, 38340</v>
      </c>
    </row>
    <row r="77" spans="1:11" x14ac:dyDescent="0.15">
      <c r="A77">
        <v>1018918</v>
      </c>
      <c r="B77" s="54" t="s">
        <v>94</v>
      </c>
      <c r="C77" s="54" t="s">
        <v>95</v>
      </c>
      <c r="D77" s="54" t="s">
        <v>96</v>
      </c>
      <c r="E77" s="54" t="s">
        <v>97</v>
      </c>
      <c r="F77" t="s">
        <v>35</v>
      </c>
      <c r="G77">
        <v>38340</v>
      </c>
      <c r="H77">
        <v>360</v>
      </c>
      <c r="I77" t="str">
        <f t="shared" si="3"/>
        <v>AAA BBB</v>
      </c>
      <c r="J77" t="str">
        <f t="shared" si="4"/>
        <v>XXX</v>
      </c>
      <c r="K77" t="str">
        <f t="shared" si="5"/>
        <v>ZZZ, TN, 38340</v>
      </c>
    </row>
    <row r="78" spans="1:11" x14ac:dyDescent="0.15">
      <c r="A78">
        <v>1018918</v>
      </c>
      <c r="B78" s="54" t="s">
        <v>94</v>
      </c>
      <c r="C78" s="54" t="s">
        <v>95</v>
      </c>
      <c r="D78" s="54" t="s">
        <v>96</v>
      </c>
      <c r="E78" s="54" t="s">
        <v>97</v>
      </c>
      <c r="F78" t="s">
        <v>35</v>
      </c>
      <c r="G78">
        <v>38340</v>
      </c>
      <c r="H78">
        <v>360</v>
      </c>
      <c r="I78" t="str">
        <f t="shared" si="3"/>
        <v>AAA BBB</v>
      </c>
      <c r="J78" t="str">
        <f t="shared" si="4"/>
        <v>XXX</v>
      </c>
      <c r="K78" t="str">
        <f t="shared" si="5"/>
        <v>ZZZ, TN, 38340</v>
      </c>
    </row>
    <row r="79" spans="1:11" x14ac:dyDescent="0.15">
      <c r="A79">
        <v>1018918</v>
      </c>
      <c r="B79" s="54" t="s">
        <v>94</v>
      </c>
      <c r="C79" s="54" t="s">
        <v>95</v>
      </c>
      <c r="D79" s="54" t="s">
        <v>96</v>
      </c>
      <c r="E79" s="54" t="s">
        <v>97</v>
      </c>
      <c r="F79" t="s">
        <v>35</v>
      </c>
      <c r="G79">
        <v>38340</v>
      </c>
      <c r="H79">
        <v>360</v>
      </c>
      <c r="I79" t="str">
        <f t="shared" si="3"/>
        <v>AAA BBB</v>
      </c>
      <c r="J79" t="str">
        <f t="shared" si="4"/>
        <v>XXX</v>
      </c>
      <c r="K79" t="str">
        <f t="shared" si="5"/>
        <v>ZZZ, TN, 38340</v>
      </c>
    </row>
    <row r="80" spans="1:11" x14ac:dyDescent="0.15">
      <c r="A80">
        <v>1018918</v>
      </c>
      <c r="B80" s="54" t="s">
        <v>94</v>
      </c>
      <c r="C80" s="54" t="s">
        <v>95</v>
      </c>
      <c r="D80" s="54" t="s">
        <v>96</v>
      </c>
      <c r="E80" s="54" t="s">
        <v>97</v>
      </c>
      <c r="F80" t="s">
        <v>35</v>
      </c>
      <c r="G80">
        <v>38340</v>
      </c>
      <c r="H80">
        <v>360</v>
      </c>
      <c r="I80" t="str">
        <f t="shared" si="3"/>
        <v>AAA BBB</v>
      </c>
      <c r="J80" t="str">
        <f t="shared" si="4"/>
        <v>XXX</v>
      </c>
      <c r="K80" t="str">
        <f t="shared" si="5"/>
        <v>ZZZ, TN, 38340</v>
      </c>
    </row>
    <row r="81" spans="1:11" x14ac:dyDescent="0.15">
      <c r="A81">
        <v>1018918</v>
      </c>
      <c r="B81" s="54" t="s">
        <v>94</v>
      </c>
      <c r="C81" s="54" t="s">
        <v>95</v>
      </c>
      <c r="D81" s="54" t="s">
        <v>96</v>
      </c>
      <c r="E81" s="54" t="s">
        <v>97</v>
      </c>
      <c r="F81" t="s">
        <v>35</v>
      </c>
      <c r="G81">
        <v>38340</v>
      </c>
      <c r="H81">
        <v>360</v>
      </c>
      <c r="I81" t="str">
        <f t="shared" si="3"/>
        <v>AAA BBB</v>
      </c>
      <c r="J81" t="str">
        <f t="shared" si="4"/>
        <v>XXX</v>
      </c>
      <c r="K81" t="str">
        <f t="shared" si="5"/>
        <v>ZZZ, TN, 38340</v>
      </c>
    </row>
    <row r="82" spans="1:11" x14ac:dyDescent="0.15">
      <c r="A82">
        <v>1018918</v>
      </c>
      <c r="B82" s="54" t="s">
        <v>94</v>
      </c>
      <c r="C82" s="54" t="s">
        <v>95</v>
      </c>
      <c r="D82" s="54" t="s">
        <v>96</v>
      </c>
      <c r="E82" s="54" t="s">
        <v>97</v>
      </c>
      <c r="F82" t="s">
        <v>35</v>
      </c>
      <c r="G82">
        <v>38340</v>
      </c>
      <c r="H82">
        <v>360</v>
      </c>
      <c r="I82" t="str">
        <f t="shared" si="3"/>
        <v>AAA BBB</v>
      </c>
      <c r="J82" t="str">
        <f t="shared" si="4"/>
        <v>XXX</v>
      </c>
      <c r="K82" t="str">
        <f t="shared" si="5"/>
        <v>ZZZ, TN, 38340</v>
      </c>
    </row>
    <row r="83" spans="1:11" x14ac:dyDescent="0.15">
      <c r="A83">
        <v>1018918</v>
      </c>
      <c r="B83" s="54" t="s">
        <v>94</v>
      </c>
      <c r="C83" s="54" t="s">
        <v>95</v>
      </c>
      <c r="D83" s="54" t="s">
        <v>96</v>
      </c>
      <c r="E83" s="54" t="s">
        <v>97</v>
      </c>
      <c r="F83" t="s">
        <v>35</v>
      </c>
      <c r="G83">
        <v>38340</v>
      </c>
      <c r="H83">
        <v>360</v>
      </c>
      <c r="I83" t="str">
        <f t="shared" si="3"/>
        <v>AAA BBB</v>
      </c>
      <c r="J83" t="str">
        <f t="shared" si="4"/>
        <v>XXX</v>
      </c>
      <c r="K83" t="str">
        <f t="shared" si="5"/>
        <v>ZZZ, TN, 38340</v>
      </c>
    </row>
    <row r="84" spans="1:11" x14ac:dyDescent="0.15">
      <c r="A84">
        <v>1018918</v>
      </c>
      <c r="B84" s="54" t="s">
        <v>94</v>
      </c>
      <c r="C84" s="54" t="s">
        <v>95</v>
      </c>
      <c r="D84" s="54" t="s">
        <v>96</v>
      </c>
      <c r="E84" s="54" t="s">
        <v>97</v>
      </c>
      <c r="F84" t="s">
        <v>35</v>
      </c>
      <c r="G84">
        <v>38340</v>
      </c>
      <c r="H84">
        <v>360</v>
      </c>
      <c r="I84" t="str">
        <f t="shared" si="3"/>
        <v>AAA BBB</v>
      </c>
      <c r="J84" t="str">
        <f t="shared" si="4"/>
        <v>XXX</v>
      </c>
      <c r="K84" t="str">
        <f t="shared" si="5"/>
        <v>ZZZ, TN, 38340</v>
      </c>
    </row>
    <row r="85" spans="1:11" x14ac:dyDescent="0.15">
      <c r="A85">
        <v>1018918</v>
      </c>
      <c r="B85" s="54" t="s">
        <v>94</v>
      </c>
      <c r="C85" s="54" t="s">
        <v>95</v>
      </c>
      <c r="D85" s="54" t="s">
        <v>96</v>
      </c>
      <c r="E85" s="54" t="s">
        <v>97</v>
      </c>
      <c r="F85" t="s">
        <v>35</v>
      </c>
      <c r="G85">
        <v>38340</v>
      </c>
      <c r="H85">
        <v>360</v>
      </c>
      <c r="I85" t="str">
        <f t="shared" si="3"/>
        <v>AAA BBB</v>
      </c>
      <c r="J85" t="str">
        <f t="shared" si="4"/>
        <v>XXX</v>
      </c>
      <c r="K85" t="str">
        <f t="shared" si="5"/>
        <v>ZZZ, TN, 38340</v>
      </c>
    </row>
    <row r="86" spans="1:11" x14ac:dyDescent="0.15">
      <c r="A86">
        <v>1018918</v>
      </c>
      <c r="B86" s="54" t="s">
        <v>94</v>
      </c>
      <c r="C86" s="54" t="s">
        <v>95</v>
      </c>
      <c r="D86" s="54" t="s">
        <v>96</v>
      </c>
      <c r="E86" s="54" t="s">
        <v>97</v>
      </c>
      <c r="F86" t="s">
        <v>35</v>
      </c>
      <c r="G86">
        <v>38340</v>
      </c>
      <c r="H86">
        <v>360</v>
      </c>
      <c r="I86" t="str">
        <f t="shared" si="3"/>
        <v>AAA BBB</v>
      </c>
      <c r="J86" t="str">
        <f t="shared" si="4"/>
        <v>XXX</v>
      </c>
      <c r="K86" t="str">
        <f t="shared" si="5"/>
        <v>ZZZ, TN, 38340</v>
      </c>
    </row>
    <row r="87" spans="1:11" x14ac:dyDescent="0.15">
      <c r="A87">
        <v>1018918</v>
      </c>
      <c r="B87" s="54" t="s">
        <v>94</v>
      </c>
      <c r="C87" s="54" t="s">
        <v>95</v>
      </c>
      <c r="D87" s="54" t="s">
        <v>96</v>
      </c>
      <c r="E87" s="54" t="s">
        <v>97</v>
      </c>
      <c r="F87" t="s">
        <v>35</v>
      </c>
      <c r="G87">
        <v>38340</v>
      </c>
      <c r="H87">
        <v>360</v>
      </c>
      <c r="I87" t="str">
        <f t="shared" si="3"/>
        <v>AAA BBB</v>
      </c>
      <c r="J87" t="str">
        <f t="shared" si="4"/>
        <v>XXX</v>
      </c>
      <c r="K87" t="str">
        <f t="shared" si="5"/>
        <v>ZZZ, TN, 38340</v>
      </c>
    </row>
    <row r="88" spans="1:11" x14ac:dyDescent="0.15">
      <c r="A88">
        <v>1018918</v>
      </c>
      <c r="B88" s="54" t="s">
        <v>94</v>
      </c>
      <c r="C88" s="54" t="s">
        <v>95</v>
      </c>
      <c r="D88" s="54" t="s">
        <v>96</v>
      </c>
      <c r="E88" s="54" t="s">
        <v>97</v>
      </c>
      <c r="F88" t="s">
        <v>35</v>
      </c>
      <c r="G88">
        <v>38340</v>
      </c>
      <c r="H88">
        <v>360</v>
      </c>
      <c r="I88" t="str">
        <f t="shared" si="3"/>
        <v>AAA BBB</v>
      </c>
      <c r="J88" t="str">
        <f t="shared" si="4"/>
        <v>XXX</v>
      </c>
      <c r="K88" t="str">
        <f t="shared" si="5"/>
        <v>ZZZ, TN, 38340</v>
      </c>
    </row>
    <row r="89" spans="1:11" x14ac:dyDescent="0.15">
      <c r="A89">
        <v>1018918</v>
      </c>
      <c r="B89" s="54" t="s">
        <v>94</v>
      </c>
      <c r="C89" s="54" t="s">
        <v>95</v>
      </c>
      <c r="D89" s="54" t="s">
        <v>96</v>
      </c>
      <c r="E89" s="54" t="s">
        <v>97</v>
      </c>
      <c r="F89" t="s">
        <v>35</v>
      </c>
      <c r="G89">
        <v>38340</v>
      </c>
      <c r="H89">
        <v>360</v>
      </c>
      <c r="I89" t="str">
        <f t="shared" si="3"/>
        <v>AAA BBB</v>
      </c>
      <c r="J89" t="str">
        <f t="shared" si="4"/>
        <v>XXX</v>
      </c>
      <c r="K89" t="str">
        <f t="shared" si="5"/>
        <v>ZZZ, TN, 38340</v>
      </c>
    </row>
    <row r="90" spans="1:11" x14ac:dyDescent="0.15">
      <c r="A90">
        <v>1018918</v>
      </c>
      <c r="B90" s="54" t="s">
        <v>94</v>
      </c>
      <c r="C90" s="54" t="s">
        <v>95</v>
      </c>
      <c r="D90" s="54" t="s">
        <v>96</v>
      </c>
      <c r="E90" s="54" t="s">
        <v>97</v>
      </c>
      <c r="F90" t="s">
        <v>35</v>
      </c>
      <c r="G90">
        <v>38340</v>
      </c>
      <c r="H90">
        <v>360</v>
      </c>
      <c r="I90" t="str">
        <f t="shared" si="3"/>
        <v>AAA BBB</v>
      </c>
      <c r="J90" t="str">
        <f t="shared" si="4"/>
        <v>XXX</v>
      </c>
      <c r="K90" t="str">
        <f t="shared" si="5"/>
        <v>ZZZ, TN, 38340</v>
      </c>
    </row>
    <row r="91" spans="1:11" x14ac:dyDescent="0.15">
      <c r="A91">
        <v>1018918</v>
      </c>
      <c r="B91" s="54" t="s">
        <v>94</v>
      </c>
      <c r="C91" s="54" t="s">
        <v>95</v>
      </c>
      <c r="D91" s="54" t="s">
        <v>96</v>
      </c>
      <c r="E91" s="54" t="s">
        <v>97</v>
      </c>
      <c r="F91" t="s">
        <v>35</v>
      </c>
      <c r="G91">
        <v>38340</v>
      </c>
      <c r="H91">
        <v>360</v>
      </c>
      <c r="I91" t="str">
        <f t="shared" si="3"/>
        <v>AAA BBB</v>
      </c>
      <c r="J91" t="str">
        <f t="shared" si="4"/>
        <v>XXX</v>
      </c>
      <c r="K91" t="str">
        <f t="shared" si="5"/>
        <v>ZZZ, TN, 38340</v>
      </c>
    </row>
    <row r="92" spans="1:11" x14ac:dyDescent="0.15">
      <c r="A92">
        <v>1018918</v>
      </c>
      <c r="B92" s="54" t="s">
        <v>94</v>
      </c>
      <c r="C92" s="54" t="s">
        <v>95</v>
      </c>
      <c r="D92" s="54" t="s">
        <v>96</v>
      </c>
      <c r="E92" s="54" t="s">
        <v>97</v>
      </c>
      <c r="F92" t="s">
        <v>35</v>
      </c>
      <c r="G92">
        <v>38340</v>
      </c>
      <c r="H92">
        <v>360</v>
      </c>
      <c r="I92" t="str">
        <f t="shared" si="3"/>
        <v>AAA BBB</v>
      </c>
      <c r="J92" t="str">
        <f t="shared" si="4"/>
        <v>XXX</v>
      </c>
      <c r="K92" t="str">
        <f t="shared" si="5"/>
        <v>ZZZ, TN, 38340</v>
      </c>
    </row>
    <row r="93" spans="1:11" x14ac:dyDescent="0.15">
      <c r="A93">
        <v>1018918</v>
      </c>
      <c r="B93" s="54" t="s">
        <v>94</v>
      </c>
      <c r="C93" s="54" t="s">
        <v>95</v>
      </c>
      <c r="D93" s="54" t="s">
        <v>96</v>
      </c>
      <c r="E93" s="54" t="s">
        <v>97</v>
      </c>
      <c r="F93" t="s">
        <v>35</v>
      </c>
      <c r="G93">
        <v>38340</v>
      </c>
      <c r="H93">
        <v>360</v>
      </c>
      <c r="I93" t="str">
        <f t="shared" si="3"/>
        <v>AAA BBB</v>
      </c>
      <c r="J93" t="str">
        <f t="shared" si="4"/>
        <v>XXX</v>
      </c>
      <c r="K93" t="str">
        <f t="shared" si="5"/>
        <v>ZZZ, TN, 38340</v>
      </c>
    </row>
    <row r="94" spans="1:11" x14ac:dyDescent="0.15">
      <c r="A94">
        <v>1018918</v>
      </c>
      <c r="B94" s="54" t="s">
        <v>94</v>
      </c>
      <c r="C94" s="54" t="s">
        <v>95</v>
      </c>
      <c r="D94" s="54" t="s">
        <v>96</v>
      </c>
      <c r="E94" s="54" t="s">
        <v>97</v>
      </c>
      <c r="F94" t="s">
        <v>35</v>
      </c>
      <c r="G94">
        <v>38340</v>
      </c>
      <c r="H94">
        <v>360</v>
      </c>
      <c r="I94" t="str">
        <f t="shared" si="3"/>
        <v>AAA BBB</v>
      </c>
      <c r="J94" t="str">
        <f t="shared" si="4"/>
        <v>XXX</v>
      </c>
      <c r="K94" t="str">
        <f t="shared" si="5"/>
        <v>ZZZ, TN, 38340</v>
      </c>
    </row>
    <row r="95" spans="1:11" x14ac:dyDescent="0.15">
      <c r="A95">
        <v>1018918</v>
      </c>
      <c r="B95" s="54" t="s">
        <v>94</v>
      </c>
      <c r="C95" s="54" t="s">
        <v>95</v>
      </c>
      <c r="D95" s="54" t="s">
        <v>96</v>
      </c>
      <c r="E95" s="54" t="s">
        <v>97</v>
      </c>
      <c r="F95" t="s">
        <v>35</v>
      </c>
      <c r="G95">
        <v>38340</v>
      </c>
      <c r="H95">
        <v>360</v>
      </c>
      <c r="I95" t="str">
        <f t="shared" si="3"/>
        <v>AAA BBB</v>
      </c>
      <c r="J95" t="str">
        <f t="shared" si="4"/>
        <v>XXX</v>
      </c>
      <c r="K95" t="str">
        <f t="shared" si="5"/>
        <v>ZZZ, TN, 38340</v>
      </c>
    </row>
    <row r="96" spans="1:11" x14ac:dyDescent="0.15">
      <c r="A96">
        <v>1018918</v>
      </c>
      <c r="B96" s="54" t="s">
        <v>94</v>
      </c>
      <c r="C96" s="54" t="s">
        <v>95</v>
      </c>
      <c r="D96" s="54" t="s">
        <v>96</v>
      </c>
      <c r="E96" s="54" t="s">
        <v>97</v>
      </c>
      <c r="F96" t="s">
        <v>35</v>
      </c>
      <c r="G96">
        <v>38340</v>
      </c>
      <c r="H96">
        <v>360</v>
      </c>
      <c r="I96" t="str">
        <f t="shared" si="3"/>
        <v>AAA BBB</v>
      </c>
      <c r="J96" t="str">
        <f t="shared" si="4"/>
        <v>XXX</v>
      </c>
      <c r="K96" t="str">
        <f t="shared" si="5"/>
        <v>ZZZ, TN, 38340</v>
      </c>
    </row>
    <row r="97" spans="1:11" x14ac:dyDescent="0.15">
      <c r="A97">
        <v>1018918</v>
      </c>
      <c r="B97" s="54" t="s">
        <v>94</v>
      </c>
      <c r="C97" s="54" t="s">
        <v>95</v>
      </c>
      <c r="D97" s="54" t="s">
        <v>96</v>
      </c>
      <c r="E97" s="54" t="s">
        <v>97</v>
      </c>
      <c r="F97" t="s">
        <v>35</v>
      </c>
      <c r="G97">
        <v>38340</v>
      </c>
      <c r="H97">
        <v>360</v>
      </c>
      <c r="I97" t="str">
        <f t="shared" si="3"/>
        <v>AAA BBB</v>
      </c>
      <c r="J97" t="str">
        <f t="shared" si="4"/>
        <v>XXX</v>
      </c>
      <c r="K97" t="str">
        <f t="shared" si="5"/>
        <v>ZZZ, TN, 38340</v>
      </c>
    </row>
    <row r="98" spans="1:11" x14ac:dyDescent="0.15">
      <c r="A98">
        <v>1018918</v>
      </c>
      <c r="B98" s="54" t="s">
        <v>94</v>
      </c>
      <c r="C98" s="54" t="s">
        <v>95</v>
      </c>
      <c r="D98" s="54" t="s">
        <v>96</v>
      </c>
      <c r="E98" s="54" t="s">
        <v>97</v>
      </c>
      <c r="F98" t="s">
        <v>35</v>
      </c>
      <c r="G98">
        <v>38340</v>
      </c>
      <c r="H98">
        <v>360</v>
      </c>
      <c r="I98" t="str">
        <f t="shared" si="3"/>
        <v>AAA BBB</v>
      </c>
      <c r="J98" t="str">
        <f t="shared" si="4"/>
        <v>XXX</v>
      </c>
      <c r="K98" t="str">
        <f t="shared" si="5"/>
        <v>ZZZ, TN, 38340</v>
      </c>
    </row>
    <row r="99" spans="1:11" x14ac:dyDescent="0.15">
      <c r="A99">
        <v>1018918</v>
      </c>
      <c r="B99" s="54" t="s">
        <v>94</v>
      </c>
      <c r="C99" s="54" t="s">
        <v>95</v>
      </c>
      <c r="D99" s="54" t="s">
        <v>96</v>
      </c>
      <c r="E99" s="54" t="s">
        <v>97</v>
      </c>
      <c r="F99" t="s">
        <v>35</v>
      </c>
      <c r="G99">
        <v>38340</v>
      </c>
      <c r="H99">
        <v>360</v>
      </c>
      <c r="I99" t="str">
        <f t="shared" si="3"/>
        <v>AAA BBB</v>
      </c>
      <c r="J99" t="str">
        <f t="shared" si="4"/>
        <v>XXX</v>
      </c>
      <c r="K99" t="str">
        <f t="shared" si="5"/>
        <v>ZZZ, TN, 38340</v>
      </c>
    </row>
    <row r="100" spans="1:11" x14ac:dyDescent="0.15">
      <c r="A100">
        <v>1018918</v>
      </c>
      <c r="B100" s="54" t="s">
        <v>94</v>
      </c>
      <c r="C100" s="54" t="s">
        <v>95</v>
      </c>
      <c r="D100" s="54" t="s">
        <v>96</v>
      </c>
      <c r="E100" s="54" t="s">
        <v>97</v>
      </c>
      <c r="F100" t="s">
        <v>35</v>
      </c>
      <c r="G100">
        <v>38340</v>
      </c>
      <c r="H100">
        <v>360</v>
      </c>
      <c r="I100" t="str">
        <f t="shared" si="3"/>
        <v>AAA BBB</v>
      </c>
      <c r="J100" t="str">
        <f t="shared" si="4"/>
        <v>XXX</v>
      </c>
      <c r="K100" t="str">
        <f t="shared" si="5"/>
        <v>ZZZ, TN, 38340</v>
      </c>
    </row>
    <row r="101" spans="1:11" x14ac:dyDescent="0.15">
      <c r="A101">
        <v>1018918</v>
      </c>
      <c r="B101" s="54" t="s">
        <v>94</v>
      </c>
      <c r="C101" s="54" t="s">
        <v>95</v>
      </c>
      <c r="D101" s="54" t="s">
        <v>96</v>
      </c>
      <c r="E101" s="54" t="s">
        <v>97</v>
      </c>
      <c r="F101" t="s">
        <v>35</v>
      </c>
      <c r="G101">
        <v>38340</v>
      </c>
      <c r="H101">
        <v>360</v>
      </c>
      <c r="I101" t="str">
        <f t="shared" si="3"/>
        <v>AAA BBB</v>
      </c>
      <c r="J101" t="str">
        <f t="shared" si="4"/>
        <v>XXX</v>
      </c>
      <c r="K101" t="str">
        <f t="shared" si="5"/>
        <v>ZZZ, TN, 38340</v>
      </c>
    </row>
    <row r="102" spans="1:11" x14ac:dyDescent="0.15">
      <c r="A102">
        <v>1018918</v>
      </c>
      <c r="B102" s="54" t="s">
        <v>94</v>
      </c>
      <c r="C102" s="54" t="s">
        <v>95</v>
      </c>
      <c r="D102" s="54" t="s">
        <v>96</v>
      </c>
      <c r="E102" s="54" t="s">
        <v>97</v>
      </c>
      <c r="F102" t="s">
        <v>35</v>
      </c>
      <c r="G102">
        <v>38340</v>
      </c>
      <c r="H102">
        <v>360</v>
      </c>
      <c r="I102" t="str">
        <f t="shared" si="3"/>
        <v>AAA BBB</v>
      </c>
      <c r="J102" t="str">
        <f t="shared" si="4"/>
        <v>XXX</v>
      </c>
      <c r="K102" t="str">
        <f t="shared" si="5"/>
        <v>ZZZ, TN, 38340</v>
      </c>
    </row>
    <row r="103" spans="1:11" x14ac:dyDescent="0.15">
      <c r="A103">
        <v>1018918</v>
      </c>
      <c r="B103" s="54" t="s">
        <v>94</v>
      </c>
      <c r="C103" s="54" t="s">
        <v>95</v>
      </c>
      <c r="D103" s="54" t="s">
        <v>96</v>
      </c>
      <c r="E103" s="54" t="s">
        <v>97</v>
      </c>
      <c r="F103" t="s">
        <v>35</v>
      </c>
      <c r="G103">
        <v>38340</v>
      </c>
      <c r="H103">
        <v>360</v>
      </c>
      <c r="I103" t="str">
        <f t="shared" si="3"/>
        <v>AAA BBB</v>
      </c>
      <c r="J103" t="str">
        <f t="shared" si="4"/>
        <v>XXX</v>
      </c>
      <c r="K103" t="str">
        <f t="shared" si="5"/>
        <v>ZZZ, TN, 38340</v>
      </c>
    </row>
    <row r="104" spans="1:11" x14ac:dyDescent="0.15">
      <c r="A104">
        <v>1018918</v>
      </c>
      <c r="B104" s="54" t="s">
        <v>94</v>
      </c>
      <c r="C104" s="54" t="s">
        <v>95</v>
      </c>
      <c r="D104" s="54" t="s">
        <v>96</v>
      </c>
      <c r="E104" s="54" t="s">
        <v>97</v>
      </c>
      <c r="F104" t="s">
        <v>35</v>
      </c>
      <c r="G104">
        <v>38340</v>
      </c>
      <c r="H104">
        <v>360</v>
      </c>
      <c r="I104" t="str">
        <f t="shared" si="3"/>
        <v>AAA BBB</v>
      </c>
      <c r="J104" t="str">
        <f t="shared" si="4"/>
        <v>XXX</v>
      </c>
      <c r="K104" t="str">
        <f t="shared" si="5"/>
        <v>ZZZ, TN, 38340</v>
      </c>
    </row>
    <row r="105" spans="1:11" x14ac:dyDescent="0.15">
      <c r="A105">
        <v>1018918</v>
      </c>
      <c r="B105" s="54" t="s">
        <v>94</v>
      </c>
      <c r="C105" s="54" t="s">
        <v>95</v>
      </c>
      <c r="D105" s="54" t="s">
        <v>96</v>
      </c>
      <c r="E105" s="54" t="s">
        <v>97</v>
      </c>
      <c r="F105" t="s">
        <v>35</v>
      </c>
      <c r="G105">
        <v>38340</v>
      </c>
      <c r="H105">
        <v>360</v>
      </c>
      <c r="I105" t="str">
        <f t="shared" si="3"/>
        <v>AAA BBB</v>
      </c>
      <c r="J105" t="str">
        <f t="shared" si="4"/>
        <v>XXX</v>
      </c>
      <c r="K105" t="str">
        <f t="shared" si="5"/>
        <v>ZZZ, TN, 38340</v>
      </c>
    </row>
    <row r="106" spans="1:11" x14ac:dyDescent="0.15">
      <c r="A106">
        <v>1018918</v>
      </c>
      <c r="B106" s="54" t="s">
        <v>94</v>
      </c>
      <c r="C106" s="54" t="s">
        <v>95</v>
      </c>
      <c r="D106" s="54" t="s">
        <v>96</v>
      </c>
      <c r="E106" s="54" t="s">
        <v>97</v>
      </c>
      <c r="F106" t="s">
        <v>35</v>
      </c>
      <c r="G106">
        <v>38340</v>
      </c>
      <c r="H106">
        <v>360</v>
      </c>
      <c r="I106" t="str">
        <f t="shared" si="3"/>
        <v>AAA BBB</v>
      </c>
      <c r="J106" t="str">
        <f t="shared" si="4"/>
        <v>XXX</v>
      </c>
      <c r="K106" t="str">
        <f t="shared" si="5"/>
        <v>ZZZ, TN, 38340</v>
      </c>
    </row>
    <row r="107" spans="1:11" x14ac:dyDescent="0.15">
      <c r="A107">
        <v>1018918</v>
      </c>
      <c r="B107" s="54" t="s">
        <v>94</v>
      </c>
      <c r="C107" s="54" t="s">
        <v>95</v>
      </c>
      <c r="D107" s="54" t="s">
        <v>96</v>
      </c>
      <c r="E107" s="54" t="s">
        <v>97</v>
      </c>
      <c r="F107" t="s">
        <v>35</v>
      </c>
      <c r="G107">
        <v>38340</v>
      </c>
      <c r="H107">
        <v>360</v>
      </c>
      <c r="I107" t="str">
        <f t="shared" si="3"/>
        <v>AAA BBB</v>
      </c>
      <c r="J107" t="str">
        <f t="shared" si="4"/>
        <v>XXX</v>
      </c>
      <c r="K107" t="str">
        <f t="shared" si="5"/>
        <v>ZZZ, TN, 38340</v>
      </c>
    </row>
    <row r="108" spans="1:11" x14ac:dyDescent="0.15">
      <c r="A108">
        <v>1018918</v>
      </c>
      <c r="B108" s="54" t="s">
        <v>94</v>
      </c>
      <c r="C108" s="54" t="s">
        <v>95</v>
      </c>
      <c r="D108" s="54" t="s">
        <v>96</v>
      </c>
      <c r="E108" s="54" t="s">
        <v>97</v>
      </c>
      <c r="F108" t="s">
        <v>35</v>
      </c>
      <c r="G108">
        <v>38340</v>
      </c>
      <c r="H108">
        <v>360</v>
      </c>
      <c r="I108" t="str">
        <f t="shared" si="3"/>
        <v>AAA BBB</v>
      </c>
      <c r="J108" t="str">
        <f t="shared" si="4"/>
        <v>XXX</v>
      </c>
      <c r="K108" t="str">
        <f t="shared" si="5"/>
        <v>ZZZ, TN, 38340</v>
      </c>
    </row>
    <row r="109" spans="1:11" x14ac:dyDescent="0.15">
      <c r="A109">
        <v>1018918</v>
      </c>
      <c r="B109" s="54" t="s">
        <v>94</v>
      </c>
      <c r="C109" s="54" t="s">
        <v>95</v>
      </c>
      <c r="D109" s="54" t="s">
        <v>96</v>
      </c>
      <c r="E109" s="54" t="s">
        <v>97</v>
      </c>
      <c r="F109" t="s">
        <v>35</v>
      </c>
      <c r="G109">
        <v>38340</v>
      </c>
      <c r="H109">
        <v>360</v>
      </c>
      <c r="I109" t="str">
        <f t="shared" si="3"/>
        <v>AAA BBB</v>
      </c>
      <c r="J109" t="str">
        <f t="shared" si="4"/>
        <v>XXX</v>
      </c>
      <c r="K109" t="str">
        <f t="shared" si="5"/>
        <v>ZZZ, TN, 38340</v>
      </c>
    </row>
    <row r="110" spans="1:11" x14ac:dyDescent="0.15">
      <c r="A110">
        <v>1018918</v>
      </c>
      <c r="B110" s="54" t="s">
        <v>94</v>
      </c>
      <c r="C110" s="54" t="s">
        <v>95</v>
      </c>
      <c r="D110" s="54" t="s">
        <v>96</v>
      </c>
      <c r="E110" s="54" t="s">
        <v>97</v>
      </c>
      <c r="F110" t="s">
        <v>35</v>
      </c>
      <c r="G110">
        <v>38340</v>
      </c>
      <c r="H110">
        <v>360</v>
      </c>
      <c r="I110" t="str">
        <f t="shared" si="3"/>
        <v>AAA BBB</v>
      </c>
      <c r="J110" t="str">
        <f t="shared" si="4"/>
        <v>XXX</v>
      </c>
      <c r="K110" t="str">
        <f t="shared" si="5"/>
        <v>ZZZ, TN, 38340</v>
      </c>
    </row>
    <row r="111" spans="1:11" x14ac:dyDescent="0.15">
      <c r="A111">
        <v>1018918</v>
      </c>
      <c r="B111" s="54" t="s">
        <v>94</v>
      </c>
      <c r="C111" s="54" t="s">
        <v>95</v>
      </c>
      <c r="D111" s="54" t="s">
        <v>96</v>
      </c>
      <c r="E111" s="54" t="s">
        <v>97</v>
      </c>
      <c r="F111" t="s">
        <v>35</v>
      </c>
      <c r="G111">
        <v>38340</v>
      </c>
      <c r="H111">
        <v>360</v>
      </c>
      <c r="I111" t="str">
        <f t="shared" si="3"/>
        <v>AAA BBB</v>
      </c>
      <c r="J111" t="str">
        <f t="shared" si="4"/>
        <v>XXX</v>
      </c>
      <c r="K111" t="str">
        <f t="shared" si="5"/>
        <v>ZZZ, TN, 38340</v>
      </c>
    </row>
    <row r="112" spans="1:11" x14ac:dyDescent="0.15">
      <c r="A112">
        <v>1018918</v>
      </c>
      <c r="B112" s="54" t="s">
        <v>94</v>
      </c>
      <c r="C112" s="54" t="s">
        <v>95</v>
      </c>
      <c r="D112" s="54" t="s">
        <v>96</v>
      </c>
      <c r="E112" s="54" t="s">
        <v>97</v>
      </c>
      <c r="F112" t="s">
        <v>35</v>
      </c>
      <c r="G112">
        <v>38340</v>
      </c>
      <c r="H112">
        <v>360</v>
      </c>
      <c r="I112" t="str">
        <f t="shared" si="3"/>
        <v>AAA BBB</v>
      </c>
      <c r="J112" t="str">
        <f t="shared" si="4"/>
        <v>XXX</v>
      </c>
      <c r="K112" t="str">
        <f t="shared" si="5"/>
        <v>ZZZ, TN, 38340</v>
      </c>
    </row>
    <row r="113" spans="1:11" x14ac:dyDescent="0.15">
      <c r="A113">
        <v>1018918</v>
      </c>
      <c r="B113" s="54" t="s">
        <v>94</v>
      </c>
      <c r="C113" s="54" t="s">
        <v>95</v>
      </c>
      <c r="D113" s="54" t="s">
        <v>96</v>
      </c>
      <c r="E113" s="54" t="s">
        <v>97</v>
      </c>
      <c r="F113" t="s">
        <v>35</v>
      </c>
      <c r="G113">
        <v>38340</v>
      </c>
      <c r="H113">
        <v>360</v>
      </c>
      <c r="I113" t="str">
        <f t="shared" si="3"/>
        <v>AAA BBB</v>
      </c>
      <c r="J113" t="str">
        <f t="shared" si="4"/>
        <v>XXX</v>
      </c>
      <c r="K113" t="str">
        <f t="shared" si="5"/>
        <v>ZZZ, TN, 38340</v>
      </c>
    </row>
    <row r="114" spans="1:11" x14ac:dyDescent="0.15">
      <c r="A114">
        <v>1018918</v>
      </c>
      <c r="B114" s="54" t="s">
        <v>94</v>
      </c>
      <c r="C114" s="54" t="s">
        <v>95</v>
      </c>
      <c r="D114" s="54" t="s">
        <v>96</v>
      </c>
      <c r="E114" s="54" t="s">
        <v>97</v>
      </c>
      <c r="F114" t="s">
        <v>35</v>
      </c>
      <c r="G114">
        <v>38340</v>
      </c>
      <c r="H114">
        <v>360</v>
      </c>
      <c r="I114" t="str">
        <f t="shared" si="3"/>
        <v>AAA BBB</v>
      </c>
      <c r="J114" t="str">
        <f t="shared" si="4"/>
        <v>XXX</v>
      </c>
      <c r="K114" t="str">
        <f t="shared" si="5"/>
        <v>ZZZ, TN, 38340</v>
      </c>
    </row>
    <row r="115" spans="1:11" x14ac:dyDescent="0.15">
      <c r="A115">
        <v>1018918</v>
      </c>
      <c r="B115" s="54" t="s">
        <v>94</v>
      </c>
      <c r="C115" s="54" t="s">
        <v>95</v>
      </c>
      <c r="D115" s="54" t="s">
        <v>96</v>
      </c>
      <c r="E115" s="54" t="s">
        <v>97</v>
      </c>
      <c r="F115" t="s">
        <v>35</v>
      </c>
      <c r="G115">
        <v>38340</v>
      </c>
      <c r="H115">
        <v>360</v>
      </c>
      <c r="I115" t="str">
        <f t="shared" si="3"/>
        <v>AAA BBB</v>
      </c>
      <c r="J115" t="str">
        <f t="shared" si="4"/>
        <v>XXX</v>
      </c>
      <c r="K115" t="str">
        <f t="shared" si="5"/>
        <v>ZZZ, TN, 38340</v>
      </c>
    </row>
    <row r="116" spans="1:11" x14ac:dyDescent="0.15">
      <c r="A116">
        <v>1018918</v>
      </c>
      <c r="B116" s="54" t="s">
        <v>94</v>
      </c>
      <c r="C116" s="54" t="s">
        <v>95</v>
      </c>
      <c r="D116" s="54" t="s">
        <v>96</v>
      </c>
      <c r="E116" s="54" t="s">
        <v>97</v>
      </c>
      <c r="F116" t="s">
        <v>35</v>
      </c>
      <c r="G116">
        <v>38340</v>
      </c>
      <c r="H116">
        <v>360</v>
      </c>
      <c r="I116" t="str">
        <f t="shared" si="3"/>
        <v>AAA BBB</v>
      </c>
      <c r="J116" t="str">
        <f t="shared" si="4"/>
        <v>XXX</v>
      </c>
      <c r="K116" t="str">
        <f t="shared" si="5"/>
        <v>ZZZ, TN, 38340</v>
      </c>
    </row>
    <row r="117" spans="1:11" x14ac:dyDescent="0.15">
      <c r="A117">
        <v>1018918</v>
      </c>
      <c r="B117" s="54" t="s">
        <v>94</v>
      </c>
      <c r="C117" s="54" t="s">
        <v>95</v>
      </c>
      <c r="D117" s="54" t="s">
        <v>96</v>
      </c>
      <c r="E117" s="54" t="s">
        <v>97</v>
      </c>
      <c r="F117" t="s">
        <v>35</v>
      </c>
      <c r="G117">
        <v>38340</v>
      </c>
      <c r="H117">
        <v>360</v>
      </c>
      <c r="I117" t="str">
        <f t="shared" si="3"/>
        <v>AAA BBB</v>
      </c>
      <c r="J117" t="str">
        <f t="shared" si="4"/>
        <v>XXX</v>
      </c>
      <c r="K117" t="str">
        <f t="shared" si="5"/>
        <v>ZZZ, TN, 38340</v>
      </c>
    </row>
    <row r="118" spans="1:11" x14ac:dyDescent="0.15">
      <c r="A118">
        <v>1018918</v>
      </c>
      <c r="B118" s="54" t="s">
        <v>94</v>
      </c>
      <c r="C118" s="54" t="s">
        <v>95</v>
      </c>
      <c r="D118" s="54" t="s">
        <v>96</v>
      </c>
      <c r="E118" s="54" t="s">
        <v>97</v>
      </c>
      <c r="F118" t="s">
        <v>35</v>
      </c>
      <c r="G118">
        <v>38340</v>
      </c>
      <c r="H118">
        <v>360</v>
      </c>
      <c r="I118" t="str">
        <f t="shared" si="3"/>
        <v>AAA BBB</v>
      </c>
      <c r="J118" t="str">
        <f t="shared" si="4"/>
        <v>XXX</v>
      </c>
      <c r="K118" t="str">
        <f t="shared" si="5"/>
        <v>ZZZ, TN, 38340</v>
      </c>
    </row>
    <row r="119" spans="1:11" x14ac:dyDescent="0.15">
      <c r="A119">
        <v>1018918</v>
      </c>
      <c r="B119" s="54" t="s">
        <v>94</v>
      </c>
      <c r="C119" s="54" t="s">
        <v>95</v>
      </c>
      <c r="D119" s="54" t="s">
        <v>96</v>
      </c>
      <c r="E119" s="54" t="s">
        <v>97</v>
      </c>
      <c r="F119" t="s">
        <v>35</v>
      </c>
      <c r="G119">
        <v>38340</v>
      </c>
      <c r="H119">
        <v>360</v>
      </c>
      <c r="I119" t="str">
        <f t="shared" si="3"/>
        <v>AAA BBB</v>
      </c>
      <c r="J119" t="str">
        <f t="shared" si="4"/>
        <v>XXX</v>
      </c>
      <c r="K119" t="str">
        <f t="shared" si="5"/>
        <v>ZZZ, TN, 38340</v>
      </c>
    </row>
    <row r="120" spans="1:11" x14ac:dyDescent="0.15">
      <c r="A120">
        <v>1018918</v>
      </c>
      <c r="B120" s="54" t="s">
        <v>94</v>
      </c>
      <c r="C120" s="54" t="s">
        <v>95</v>
      </c>
      <c r="D120" s="54" t="s">
        <v>96</v>
      </c>
      <c r="E120" s="54" t="s">
        <v>97</v>
      </c>
      <c r="F120" t="s">
        <v>35</v>
      </c>
      <c r="G120">
        <v>38340</v>
      </c>
      <c r="H120">
        <v>360</v>
      </c>
      <c r="I120" t="str">
        <f t="shared" si="3"/>
        <v>AAA BBB</v>
      </c>
      <c r="J120" t="str">
        <f t="shared" si="4"/>
        <v>XXX</v>
      </c>
      <c r="K120" t="str">
        <f t="shared" si="5"/>
        <v>ZZZ, TN, 38340</v>
      </c>
    </row>
    <row r="121" spans="1:11" x14ac:dyDescent="0.15">
      <c r="A121">
        <v>1018918</v>
      </c>
      <c r="B121" s="54" t="s">
        <v>94</v>
      </c>
      <c r="C121" s="54" t="s">
        <v>95</v>
      </c>
      <c r="D121" s="54" t="s">
        <v>96</v>
      </c>
      <c r="E121" s="54" t="s">
        <v>97</v>
      </c>
      <c r="F121" t="s">
        <v>35</v>
      </c>
      <c r="G121">
        <v>38340</v>
      </c>
      <c r="H121">
        <v>360</v>
      </c>
      <c r="I121" t="str">
        <f t="shared" si="3"/>
        <v>AAA BBB</v>
      </c>
      <c r="J121" t="str">
        <f t="shared" si="4"/>
        <v>XXX</v>
      </c>
      <c r="K121" t="str">
        <f t="shared" si="5"/>
        <v>ZZZ, TN, 38340</v>
      </c>
    </row>
    <row r="122" spans="1:11" x14ac:dyDescent="0.15">
      <c r="A122">
        <v>1018918</v>
      </c>
      <c r="B122" s="54" t="s">
        <v>94</v>
      </c>
      <c r="C122" s="54" t="s">
        <v>95</v>
      </c>
      <c r="D122" s="54" t="s">
        <v>96</v>
      </c>
      <c r="E122" s="54" t="s">
        <v>97</v>
      </c>
      <c r="F122" t="s">
        <v>35</v>
      </c>
      <c r="G122">
        <v>38340</v>
      </c>
      <c r="H122">
        <v>360</v>
      </c>
      <c r="I122" t="str">
        <f t="shared" si="3"/>
        <v>AAA BBB</v>
      </c>
      <c r="J122" t="str">
        <f t="shared" si="4"/>
        <v>XXX</v>
      </c>
      <c r="K122" t="str">
        <f t="shared" si="5"/>
        <v>ZZZ, TN, 38340</v>
      </c>
    </row>
    <row r="123" spans="1:11" x14ac:dyDescent="0.15">
      <c r="A123">
        <v>1018918</v>
      </c>
      <c r="B123" s="54" t="s">
        <v>94</v>
      </c>
      <c r="C123" s="54" t="s">
        <v>95</v>
      </c>
      <c r="D123" s="54" t="s">
        <v>96</v>
      </c>
      <c r="E123" s="54" t="s">
        <v>97</v>
      </c>
      <c r="F123" t="s">
        <v>35</v>
      </c>
      <c r="G123">
        <v>38340</v>
      </c>
      <c r="H123">
        <v>360</v>
      </c>
      <c r="I123" t="str">
        <f t="shared" si="3"/>
        <v>AAA BBB</v>
      </c>
      <c r="J123" t="str">
        <f t="shared" si="4"/>
        <v>XXX</v>
      </c>
      <c r="K123" t="str">
        <f t="shared" si="5"/>
        <v>ZZZ, TN, 38340</v>
      </c>
    </row>
    <row r="124" spans="1:11" x14ac:dyDescent="0.15">
      <c r="A124">
        <v>1018918</v>
      </c>
      <c r="B124" s="54" t="s">
        <v>94</v>
      </c>
      <c r="C124" s="54" t="s">
        <v>95</v>
      </c>
      <c r="D124" s="54" t="s">
        <v>96</v>
      </c>
      <c r="E124" s="54" t="s">
        <v>97</v>
      </c>
      <c r="F124" t="s">
        <v>35</v>
      </c>
      <c r="G124">
        <v>38340</v>
      </c>
      <c r="H124">
        <v>360</v>
      </c>
      <c r="I124" t="str">
        <f t="shared" si="3"/>
        <v>AAA BBB</v>
      </c>
      <c r="J124" t="str">
        <f t="shared" si="4"/>
        <v>XXX</v>
      </c>
      <c r="K124" t="str">
        <f t="shared" si="5"/>
        <v>ZZZ, TN, 38340</v>
      </c>
    </row>
    <row r="125" spans="1:11" x14ac:dyDescent="0.15">
      <c r="A125">
        <v>1018918</v>
      </c>
      <c r="B125" s="54" t="s">
        <v>94</v>
      </c>
      <c r="C125" s="54" t="s">
        <v>95</v>
      </c>
      <c r="D125" s="54" t="s">
        <v>96</v>
      </c>
      <c r="E125" s="54" t="s">
        <v>97</v>
      </c>
      <c r="F125" t="s">
        <v>35</v>
      </c>
      <c r="G125">
        <v>38340</v>
      </c>
      <c r="H125">
        <v>360</v>
      </c>
      <c r="I125" t="str">
        <f t="shared" si="3"/>
        <v>AAA BBB</v>
      </c>
      <c r="J125" t="str">
        <f t="shared" si="4"/>
        <v>XXX</v>
      </c>
      <c r="K125" t="str">
        <f t="shared" si="5"/>
        <v>ZZZ, TN, 38340</v>
      </c>
    </row>
    <row r="126" spans="1:11" x14ac:dyDescent="0.15">
      <c r="A126">
        <v>1018918</v>
      </c>
      <c r="B126" s="54" t="s">
        <v>94</v>
      </c>
      <c r="C126" s="54" t="s">
        <v>95</v>
      </c>
      <c r="D126" s="54" t="s">
        <v>96</v>
      </c>
      <c r="E126" s="54" t="s">
        <v>97</v>
      </c>
      <c r="F126" t="s">
        <v>35</v>
      </c>
      <c r="G126">
        <v>38340</v>
      </c>
      <c r="H126">
        <v>360</v>
      </c>
      <c r="I126" t="str">
        <f t="shared" si="3"/>
        <v>AAA BBB</v>
      </c>
      <c r="J126" t="str">
        <f t="shared" si="4"/>
        <v>XXX</v>
      </c>
      <c r="K126" t="str">
        <f t="shared" si="5"/>
        <v>ZZZ, TN, 38340</v>
      </c>
    </row>
    <row r="127" spans="1:11" x14ac:dyDescent="0.15">
      <c r="A127">
        <v>1018918</v>
      </c>
      <c r="B127" s="54" t="s">
        <v>94</v>
      </c>
      <c r="C127" s="54" t="s">
        <v>95</v>
      </c>
      <c r="D127" s="54" t="s">
        <v>96</v>
      </c>
      <c r="E127" s="54" t="s">
        <v>97</v>
      </c>
      <c r="F127" t="s">
        <v>35</v>
      </c>
      <c r="G127">
        <v>38340</v>
      </c>
      <c r="H127">
        <v>360</v>
      </c>
      <c r="I127" t="str">
        <f t="shared" si="3"/>
        <v>AAA BBB</v>
      </c>
      <c r="J127" t="str">
        <f t="shared" si="4"/>
        <v>XXX</v>
      </c>
      <c r="K127" t="str">
        <f t="shared" si="5"/>
        <v>ZZZ, TN, 38340</v>
      </c>
    </row>
    <row r="128" spans="1:11" x14ac:dyDescent="0.15">
      <c r="A128">
        <v>1018918</v>
      </c>
      <c r="B128" s="54" t="s">
        <v>94</v>
      </c>
      <c r="C128" s="54" t="s">
        <v>95</v>
      </c>
      <c r="D128" s="54" t="s">
        <v>96</v>
      </c>
      <c r="E128" s="54" t="s">
        <v>97</v>
      </c>
      <c r="F128" t="s">
        <v>35</v>
      </c>
      <c r="G128">
        <v>38340</v>
      </c>
      <c r="H128">
        <v>360</v>
      </c>
      <c r="I128" t="str">
        <f t="shared" si="3"/>
        <v>AAA BBB</v>
      </c>
      <c r="J128" t="str">
        <f t="shared" si="4"/>
        <v>XXX</v>
      </c>
      <c r="K128" t="str">
        <f t="shared" si="5"/>
        <v>ZZZ, TN, 38340</v>
      </c>
    </row>
    <row r="129" spans="1:11" x14ac:dyDescent="0.15">
      <c r="A129">
        <v>1018918</v>
      </c>
      <c r="B129" s="54" t="s">
        <v>94</v>
      </c>
      <c r="C129" s="54" t="s">
        <v>95</v>
      </c>
      <c r="D129" s="54" t="s">
        <v>96</v>
      </c>
      <c r="E129" s="54" t="s">
        <v>97</v>
      </c>
      <c r="F129" t="s">
        <v>35</v>
      </c>
      <c r="G129">
        <v>38340</v>
      </c>
      <c r="H129">
        <v>360</v>
      </c>
      <c r="I129" t="str">
        <f t="shared" si="3"/>
        <v>AAA BBB</v>
      </c>
      <c r="J129" t="str">
        <f t="shared" si="4"/>
        <v>XXX</v>
      </c>
      <c r="K129" t="str">
        <f t="shared" si="5"/>
        <v>ZZZ, TN, 38340</v>
      </c>
    </row>
    <row r="130" spans="1:11" x14ac:dyDescent="0.15">
      <c r="A130">
        <v>1018918</v>
      </c>
      <c r="B130" s="54" t="s">
        <v>94</v>
      </c>
      <c r="C130" s="54" t="s">
        <v>95</v>
      </c>
      <c r="D130" s="54" t="s">
        <v>96</v>
      </c>
      <c r="E130" s="54" t="s">
        <v>97</v>
      </c>
      <c r="F130" t="s">
        <v>35</v>
      </c>
      <c r="G130">
        <v>38340</v>
      </c>
      <c r="H130">
        <v>360</v>
      </c>
      <c r="I130" t="str">
        <f t="shared" si="3"/>
        <v>AAA BBB</v>
      </c>
      <c r="J130" t="str">
        <f t="shared" si="4"/>
        <v>XXX</v>
      </c>
      <c r="K130" t="str">
        <f t="shared" si="5"/>
        <v>ZZZ, TN, 38340</v>
      </c>
    </row>
    <row r="131" spans="1:11" x14ac:dyDescent="0.15">
      <c r="A131">
        <v>1018918</v>
      </c>
      <c r="B131" s="54" t="s">
        <v>94</v>
      </c>
      <c r="C131" s="54" t="s">
        <v>95</v>
      </c>
      <c r="D131" s="54" t="s">
        <v>96</v>
      </c>
      <c r="E131" s="54" t="s">
        <v>97</v>
      </c>
      <c r="F131" t="s">
        <v>35</v>
      </c>
      <c r="G131">
        <v>38340</v>
      </c>
      <c r="H131">
        <v>360</v>
      </c>
      <c r="I131" t="str">
        <f t="shared" ref="I131:I194" si="6">CONCATENATE(B131," ",C131)</f>
        <v>AAA BBB</v>
      </c>
      <c r="J131" t="str">
        <f t="shared" ref="J131:J194" si="7">D131</f>
        <v>XXX</v>
      </c>
      <c r="K131" t="str">
        <f t="shared" ref="K131:K194" si="8">CONCATENATE(E131,","," ",F131,","," ",G131)</f>
        <v>ZZZ, TN, 38340</v>
      </c>
    </row>
    <row r="132" spans="1:11" x14ac:dyDescent="0.15">
      <c r="A132">
        <v>1018918</v>
      </c>
      <c r="B132" s="54" t="s">
        <v>94</v>
      </c>
      <c r="C132" s="54" t="s">
        <v>95</v>
      </c>
      <c r="D132" s="54" t="s">
        <v>96</v>
      </c>
      <c r="E132" s="54" t="s">
        <v>97</v>
      </c>
      <c r="F132" t="s">
        <v>35</v>
      </c>
      <c r="G132">
        <v>38340</v>
      </c>
      <c r="H132">
        <v>360</v>
      </c>
      <c r="I132" t="str">
        <f t="shared" si="6"/>
        <v>AAA BBB</v>
      </c>
      <c r="J132" t="str">
        <f t="shared" si="7"/>
        <v>XXX</v>
      </c>
      <c r="K132" t="str">
        <f t="shared" si="8"/>
        <v>ZZZ, TN, 38340</v>
      </c>
    </row>
    <row r="133" spans="1:11" x14ac:dyDescent="0.15">
      <c r="A133">
        <v>1018918</v>
      </c>
      <c r="B133" s="54" t="s">
        <v>94</v>
      </c>
      <c r="C133" s="54" t="s">
        <v>95</v>
      </c>
      <c r="D133" s="54" t="s">
        <v>96</v>
      </c>
      <c r="E133" s="54" t="s">
        <v>97</v>
      </c>
      <c r="F133" t="s">
        <v>35</v>
      </c>
      <c r="G133">
        <v>38340</v>
      </c>
      <c r="H133">
        <v>360</v>
      </c>
      <c r="I133" t="str">
        <f t="shared" si="6"/>
        <v>AAA BBB</v>
      </c>
      <c r="J133" t="str">
        <f t="shared" si="7"/>
        <v>XXX</v>
      </c>
      <c r="K133" t="str">
        <f t="shared" si="8"/>
        <v>ZZZ, TN, 38340</v>
      </c>
    </row>
    <row r="134" spans="1:11" x14ac:dyDescent="0.15">
      <c r="A134">
        <v>1018918</v>
      </c>
      <c r="B134" s="54" t="s">
        <v>94</v>
      </c>
      <c r="C134" s="54" t="s">
        <v>95</v>
      </c>
      <c r="D134" s="54" t="s">
        <v>96</v>
      </c>
      <c r="E134" s="54" t="s">
        <v>97</v>
      </c>
      <c r="F134" t="s">
        <v>35</v>
      </c>
      <c r="G134">
        <v>38340</v>
      </c>
      <c r="H134">
        <v>360</v>
      </c>
      <c r="I134" t="str">
        <f t="shared" si="6"/>
        <v>AAA BBB</v>
      </c>
      <c r="J134" t="str">
        <f t="shared" si="7"/>
        <v>XXX</v>
      </c>
      <c r="K134" t="str">
        <f t="shared" si="8"/>
        <v>ZZZ, TN, 38340</v>
      </c>
    </row>
    <row r="135" spans="1:11" x14ac:dyDescent="0.15">
      <c r="A135">
        <v>1018918</v>
      </c>
      <c r="B135" s="54" t="s">
        <v>94</v>
      </c>
      <c r="C135" s="54" t="s">
        <v>95</v>
      </c>
      <c r="D135" s="54" t="s">
        <v>96</v>
      </c>
      <c r="E135" s="54" t="s">
        <v>97</v>
      </c>
      <c r="F135" t="s">
        <v>35</v>
      </c>
      <c r="G135">
        <v>38340</v>
      </c>
      <c r="H135">
        <v>360</v>
      </c>
      <c r="I135" t="str">
        <f t="shared" si="6"/>
        <v>AAA BBB</v>
      </c>
      <c r="J135" t="str">
        <f t="shared" si="7"/>
        <v>XXX</v>
      </c>
      <c r="K135" t="str">
        <f t="shared" si="8"/>
        <v>ZZZ, TN, 38340</v>
      </c>
    </row>
    <row r="136" spans="1:11" x14ac:dyDescent="0.15">
      <c r="A136">
        <v>1018918</v>
      </c>
      <c r="B136" s="54" t="s">
        <v>94</v>
      </c>
      <c r="C136" s="54" t="s">
        <v>95</v>
      </c>
      <c r="D136" s="54" t="s">
        <v>96</v>
      </c>
      <c r="E136" s="54" t="s">
        <v>97</v>
      </c>
      <c r="F136" t="s">
        <v>35</v>
      </c>
      <c r="G136">
        <v>38340</v>
      </c>
      <c r="H136">
        <v>360</v>
      </c>
      <c r="I136" t="str">
        <f t="shared" si="6"/>
        <v>AAA BBB</v>
      </c>
      <c r="J136" t="str">
        <f t="shared" si="7"/>
        <v>XXX</v>
      </c>
      <c r="K136" t="str">
        <f t="shared" si="8"/>
        <v>ZZZ, TN, 38340</v>
      </c>
    </row>
    <row r="137" spans="1:11" x14ac:dyDescent="0.15">
      <c r="A137">
        <v>1018918</v>
      </c>
      <c r="B137" s="54" t="s">
        <v>94</v>
      </c>
      <c r="C137" s="54" t="s">
        <v>95</v>
      </c>
      <c r="D137" s="54" t="s">
        <v>96</v>
      </c>
      <c r="E137" s="54" t="s">
        <v>97</v>
      </c>
      <c r="F137" t="s">
        <v>35</v>
      </c>
      <c r="G137">
        <v>38340</v>
      </c>
      <c r="H137">
        <v>360</v>
      </c>
      <c r="I137" t="str">
        <f t="shared" si="6"/>
        <v>AAA BBB</v>
      </c>
      <c r="J137" t="str">
        <f t="shared" si="7"/>
        <v>XXX</v>
      </c>
      <c r="K137" t="str">
        <f t="shared" si="8"/>
        <v>ZZZ, TN, 38340</v>
      </c>
    </row>
    <row r="138" spans="1:11" x14ac:dyDescent="0.15">
      <c r="A138">
        <v>1018918</v>
      </c>
      <c r="B138" s="54" t="s">
        <v>94</v>
      </c>
      <c r="C138" s="54" t="s">
        <v>95</v>
      </c>
      <c r="D138" s="54" t="s">
        <v>96</v>
      </c>
      <c r="E138" s="54" t="s">
        <v>97</v>
      </c>
      <c r="F138" t="s">
        <v>35</v>
      </c>
      <c r="G138">
        <v>38340</v>
      </c>
      <c r="H138">
        <v>360</v>
      </c>
      <c r="I138" t="str">
        <f t="shared" si="6"/>
        <v>AAA BBB</v>
      </c>
      <c r="J138" t="str">
        <f t="shared" si="7"/>
        <v>XXX</v>
      </c>
      <c r="K138" t="str">
        <f t="shared" si="8"/>
        <v>ZZZ, TN, 38340</v>
      </c>
    </row>
    <row r="139" spans="1:11" x14ac:dyDescent="0.15">
      <c r="A139">
        <v>1018918</v>
      </c>
      <c r="B139" s="54" t="s">
        <v>94</v>
      </c>
      <c r="C139" s="54" t="s">
        <v>95</v>
      </c>
      <c r="D139" s="54" t="s">
        <v>96</v>
      </c>
      <c r="E139" s="54" t="s">
        <v>97</v>
      </c>
      <c r="F139" t="s">
        <v>35</v>
      </c>
      <c r="G139">
        <v>38340</v>
      </c>
      <c r="H139">
        <v>360</v>
      </c>
      <c r="I139" t="str">
        <f t="shared" si="6"/>
        <v>AAA BBB</v>
      </c>
      <c r="J139" t="str">
        <f t="shared" si="7"/>
        <v>XXX</v>
      </c>
      <c r="K139" t="str">
        <f t="shared" si="8"/>
        <v>ZZZ, TN, 38340</v>
      </c>
    </row>
    <row r="140" spans="1:11" x14ac:dyDescent="0.15">
      <c r="A140">
        <v>1018918</v>
      </c>
      <c r="B140" s="54" t="s">
        <v>94</v>
      </c>
      <c r="C140" s="54" t="s">
        <v>95</v>
      </c>
      <c r="D140" s="54" t="s">
        <v>96</v>
      </c>
      <c r="E140" s="54" t="s">
        <v>97</v>
      </c>
      <c r="F140" t="s">
        <v>35</v>
      </c>
      <c r="G140">
        <v>38340</v>
      </c>
      <c r="H140">
        <v>360</v>
      </c>
      <c r="I140" t="str">
        <f t="shared" si="6"/>
        <v>AAA BBB</v>
      </c>
      <c r="J140" t="str">
        <f t="shared" si="7"/>
        <v>XXX</v>
      </c>
      <c r="K140" t="str">
        <f t="shared" si="8"/>
        <v>ZZZ, TN, 38340</v>
      </c>
    </row>
    <row r="141" spans="1:11" x14ac:dyDescent="0.15">
      <c r="A141">
        <v>1018918</v>
      </c>
      <c r="B141" s="54" t="s">
        <v>94</v>
      </c>
      <c r="C141" s="54" t="s">
        <v>95</v>
      </c>
      <c r="D141" s="54" t="s">
        <v>96</v>
      </c>
      <c r="E141" s="54" t="s">
        <v>97</v>
      </c>
      <c r="F141" t="s">
        <v>35</v>
      </c>
      <c r="G141">
        <v>38340</v>
      </c>
      <c r="H141">
        <v>360</v>
      </c>
      <c r="I141" t="str">
        <f t="shared" si="6"/>
        <v>AAA BBB</v>
      </c>
      <c r="J141" t="str">
        <f t="shared" si="7"/>
        <v>XXX</v>
      </c>
      <c r="K141" t="str">
        <f t="shared" si="8"/>
        <v>ZZZ, TN, 38340</v>
      </c>
    </row>
    <row r="142" spans="1:11" x14ac:dyDescent="0.15">
      <c r="A142">
        <v>1018918</v>
      </c>
      <c r="B142" s="54" t="s">
        <v>94</v>
      </c>
      <c r="C142" s="54" t="s">
        <v>95</v>
      </c>
      <c r="D142" s="54" t="s">
        <v>96</v>
      </c>
      <c r="E142" s="54" t="s">
        <v>97</v>
      </c>
      <c r="F142" t="s">
        <v>35</v>
      </c>
      <c r="G142">
        <v>38340</v>
      </c>
      <c r="H142">
        <v>360</v>
      </c>
      <c r="I142" t="str">
        <f t="shared" si="6"/>
        <v>AAA BBB</v>
      </c>
      <c r="J142" t="str">
        <f t="shared" si="7"/>
        <v>XXX</v>
      </c>
      <c r="K142" t="str">
        <f t="shared" si="8"/>
        <v>ZZZ, TN, 38340</v>
      </c>
    </row>
    <row r="143" spans="1:11" x14ac:dyDescent="0.15">
      <c r="A143">
        <v>1018918</v>
      </c>
      <c r="B143" s="54" t="s">
        <v>94</v>
      </c>
      <c r="C143" s="54" t="s">
        <v>95</v>
      </c>
      <c r="D143" s="54" t="s">
        <v>96</v>
      </c>
      <c r="E143" s="54" t="s">
        <v>97</v>
      </c>
      <c r="F143" t="s">
        <v>35</v>
      </c>
      <c r="G143">
        <v>38340</v>
      </c>
      <c r="H143">
        <v>360</v>
      </c>
      <c r="I143" t="str">
        <f t="shared" si="6"/>
        <v>AAA BBB</v>
      </c>
      <c r="J143" t="str">
        <f t="shared" si="7"/>
        <v>XXX</v>
      </c>
      <c r="K143" t="str">
        <f t="shared" si="8"/>
        <v>ZZZ, TN, 38340</v>
      </c>
    </row>
    <row r="144" spans="1:11" x14ac:dyDescent="0.15">
      <c r="A144">
        <v>1018918</v>
      </c>
      <c r="B144" s="54" t="s">
        <v>94</v>
      </c>
      <c r="C144" s="54" t="s">
        <v>95</v>
      </c>
      <c r="D144" s="54" t="s">
        <v>96</v>
      </c>
      <c r="E144" s="54" t="s">
        <v>97</v>
      </c>
      <c r="F144" t="s">
        <v>35</v>
      </c>
      <c r="G144">
        <v>38340</v>
      </c>
      <c r="H144">
        <v>360</v>
      </c>
      <c r="I144" t="str">
        <f t="shared" si="6"/>
        <v>AAA BBB</v>
      </c>
      <c r="J144" t="str">
        <f t="shared" si="7"/>
        <v>XXX</v>
      </c>
      <c r="K144" t="str">
        <f t="shared" si="8"/>
        <v>ZZZ, TN, 38340</v>
      </c>
    </row>
    <row r="145" spans="1:11" x14ac:dyDescent="0.15">
      <c r="A145">
        <v>1018918</v>
      </c>
      <c r="B145" s="54" t="s">
        <v>94</v>
      </c>
      <c r="C145" s="54" t="s">
        <v>95</v>
      </c>
      <c r="D145" s="54" t="s">
        <v>96</v>
      </c>
      <c r="E145" s="54" t="s">
        <v>97</v>
      </c>
      <c r="F145" t="s">
        <v>35</v>
      </c>
      <c r="G145">
        <v>38340</v>
      </c>
      <c r="H145">
        <v>360</v>
      </c>
      <c r="I145" t="str">
        <f t="shared" si="6"/>
        <v>AAA BBB</v>
      </c>
      <c r="J145" t="str">
        <f t="shared" si="7"/>
        <v>XXX</v>
      </c>
      <c r="K145" t="str">
        <f t="shared" si="8"/>
        <v>ZZZ, TN, 38340</v>
      </c>
    </row>
    <row r="146" spans="1:11" x14ac:dyDescent="0.15">
      <c r="A146">
        <v>1018918</v>
      </c>
      <c r="B146" s="54" t="s">
        <v>94</v>
      </c>
      <c r="C146" s="54" t="s">
        <v>95</v>
      </c>
      <c r="D146" s="54" t="s">
        <v>96</v>
      </c>
      <c r="E146" s="54" t="s">
        <v>97</v>
      </c>
      <c r="F146" t="s">
        <v>35</v>
      </c>
      <c r="G146">
        <v>38340</v>
      </c>
      <c r="H146">
        <v>360</v>
      </c>
      <c r="I146" t="str">
        <f t="shared" si="6"/>
        <v>AAA BBB</v>
      </c>
      <c r="J146" t="str">
        <f t="shared" si="7"/>
        <v>XXX</v>
      </c>
      <c r="K146" t="str">
        <f t="shared" si="8"/>
        <v>ZZZ, TN, 38340</v>
      </c>
    </row>
    <row r="147" spans="1:11" x14ac:dyDescent="0.15">
      <c r="A147">
        <v>1018918</v>
      </c>
      <c r="B147" s="54" t="s">
        <v>94</v>
      </c>
      <c r="C147" s="54" t="s">
        <v>95</v>
      </c>
      <c r="D147" s="54" t="s">
        <v>96</v>
      </c>
      <c r="E147" s="54" t="s">
        <v>97</v>
      </c>
      <c r="F147" t="s">
        <v>35</v>
      </c>
      <c r="G147">
        <v>38340</v>
      </c>
      <c r="H147">
        <v>360</v>
      </c>
      <c r="I147" t="str">
        <f t="shared" si="6"/>
        <v>AAA BBB</v>
      </c>
      <c r="J147" t="str">
        <f t="shared" si="7"/>
        <v>XXX</v>
      </c>
      <c r="K147" t="str">
        <f t="shared" si="8"/>
        <v>ZZZ, TN, 38340</v>
      </c>
    </row>
    <row r="148" spans="1:11" x14ac:dyDescent="0.15">
      <c r="A148">
        <v>1018918</v>
      </c>
      <c r="B148" s="54" t="s">
        <v>94</v>
      </c>
      <c r="C148" s="54" t="s">
        <v>95</v>
      </c>
      <c r="D148" s="54" t="s">
        <v>96</v>
      </c>
      <c r="E148" s="54" t="s">
        <v>97</v>
      </c>
      <c r="F148" t="s">
        <v>35</v>
      </c>
      <c r="G148">
        <v>38340</v>
      </c>
      <c r="H148">
        <v>360</v>
      </c>
      <c r="I148" t="str">
        <f t="shared" si="6"/>
        <v>AAA BBB</v>
      </c>
      <c r="J148" t="str">
        <f t="shared" si="7"/>
        <v>XXX</v>
      </c>
      <c r="K148" t="str">
        <f t="shared" si="8"/>
        <v>ZZZ, TN, 38340</v>
      </c>
    </row>
    <row r="149" spans="1:11" x14ac:dyDescent="0.15">
      <c r="A149">
        <v>1018918</v>
      </c>
      <c r="B149" s="54" t="s">
        <v>94</v>
      </c>
      <c r="C149" s="54" t="s">
        <v>95</v>
      </c>
      <c r="D149" s="54" t="s">
        <v>96</v>
      </c>
      <c r="E149" s="54" t="s">
        <v>97</v>
      </c>
      <c r="F149" t="s">
        <v>35</v>
      </c>
      <c r="G149">
        <v>38340</v>
      </c>
      <c r="H149">
        <v>360</v>
      </c>
      <c r="I149" t="str">
        <f t="shared" si="6"/>
        <v>AAA BBB</v>
      </c>
      <c r="J149" t="str">
        <f t="shared" si="7"/>
        <v>XXX</v>
      </c>
      <c r="K149" t="str">
        <f t="shared" si="8"/>
        <v>ZZZ, TN, 38340</v>
      </c>
    </row>
    <row r="150" spans="1:11" x14ac:dyDescent="0.15">
      <c r="A150">
        <v>1018918</v>
      </c>
      <c r="B150" s="54" t="s">
        <v>94</v>
      </c>
      <c r="C150" s="54" t="s">
        <v>95</v>
      </c>
      <c r="D150" s="54" t="s">
        <v>96</v>
      </c>
      <c r="E150" s="54" t="s">
        <v>97</v>
      </c>
      <c r="F150" t="s">
        <v>35</v>
      </c>
      <c r="G150">
        <v>38340</v>
      </c>
      <c r="H150">
        <v>360</v>
      </c>
      <c r="I150" t="str">
        <f t="shared" si="6"/>
        <v>AAA BBB</v>
      </c>
      <c r="J150" t="str">
        <f t="shared" si="7"/>
        <v>XXX</v>
      </c>
      <c r="K150" t="str">
        <f t="shared" si="8"/>
        <v>ZZZ, TN, 38340</v>
      </c>
    </row>
    <row r="151" spans="1:11" x14ac:dyDescent="0.15">
      <c r="A151">
        <v>1018918</v>
      </c>
      <c r="B151" s="54" t="s">
        <v>94</v>
      </c>
      <c r="C151" s="54" t="s">
        <v>95</v>
      </c>
      <c r="D151" s="54" t="s">
        <v>96</v>
      </c>
      <c r="E151" s="54" t="s">
        <v>97</v>
      </c>
      <c r="F151" t="s">
        <v>35</v>
      </c>
      <c r="G151">
        <v>38340</v>
      </c>
      <c r="H151">
        <v>360</v>
      </c>
      <c r="I151" t="str">
        <f t="shared" si="6"/>
        <v>AAA BBB</v>
      </c>
      <c r="J151" t="str">
        <f t="shared" si="7"/>
        <v>XXX</v>
      </c>
      <c r="K151" t="str">
        <f t="shared" si="8"/>
        <v>ZZZ, TN, 38340</v>
      </c>
    </row>
    <row r="152" spans="1:11" x14ac:dyDescent="0.15">
      <c r="A152">
        <v>1018918</v>
      </c>
      <c r="B152" s="54" t="s">
        <v>94</v>
      </c>
      <c r="C152" s="54" t="s">
        <v>95</v>
      </c>
      <c r="D152" s="54" t="s">
        <v>96</v>
      </c>
      <c r="E152" s="54" t="s">
        <v>97</v>
      </c>
      <c r="F152" t="s">
        <v>35</v>
      </c>
      <c r="G152">
        <v>38340</v>
      </c>
      <c r="H152">
        <v>360</v>
      </c>
      <c r="I152" t="str">
        <f t="shared" si="6"/>
        <v>AAA BBB</v>
      </c>
      <c r="J152" t="str">
        <f t="shared" si="7"/>
        <v>XXX</v>
      </c>
      <c r="K152" t="str">
        <f t="shared" si="8"/>
        <v>ZZZ, TN, 38340</v>
      </c>
    </row>
    <row r="153" spans="1:11" x14ac:dyDescent="0.15">
      <c r="A153">
        <v>1018918</v>
      </c>
      <c r="B153" s="54" t="s">
        <v>94</v>
      </c>
      <c r="C153" s="54" t="s">
        <v>95</v>
      </c>
      <c r="D153" s="54" t="s">
        <v>96</v>
      </c>
      <c r="E153" s="54" t="s">
        <v>97</v>
      </c>
      <c r="F153" t="s">
        <v>35</v>
      </c>
      <c r="G153">
        <v>38340</v>
      </c>
      <c r="H153">
        <v>360</v>
      </c>
      <c r="I153" t="str">
        <f t="shared" si="6"/>
        <v>AAA BBB</v>
      </c>
      <c r="J153" t="str">
        <f t="shared" si="7"/>
        <v>XXX</v>
      </c>
      <c r="K153" t="str">
        <f t="shared" si="8"/>
        <v>ZZZ, TN, 38340</v>
      </c>
    </row>
    <row r="154" spans="1:11" x14ac:dyDescent="0.15">
      <c r="A154">
        <v>1018918</v>
      </c>
      <c r="B154" s="54" t="s">
        <v>94</v>
      </c>
      <c r="C154" s="54" t="s">
        <v>95</v>
      </c>
      <c r="D154" s="54" t="s">
        <v>96</v>
      </c>
      <c r="E154" s="54" t="s">
        <v>97</v>
      </c>
      <c r="F154" t="s">
        <v>35</v>
      </c>
      <c r="G154">
        <v>38340</v>
      </c>
      <c r="H154">
        <v>360</v>
      </c>
      <c r="I154" t="str">
        <f t="shared" si="6"/>
        <v>AAA BBB</v>
      </c>
      <c r="J154" t="str">
        <f t="shared" si="7"/>
        <v>XXX</v>
      </c>
      <c r="K154" t="str">
        <f t="shared" si="8"/>
        <v>ZZZ, TN, 38340</v>
      </c>
    </row>
    <row r="155" spans="1:11" x14ac:dyDescent="0.15">
      <c r="A155">
        <v>1018918</v>
      </c>
      <c r="B155" s="54" t="s">
        <v>94</v>
      </c>
      <c r="C155" s="54" t="s">
        <v>95</v>
      </c>
      <c r="D155" s="54" t="s">
        <v>96</v>
      </c>
      <c r="E155" s="54" t="s">
        <v>97</v>
      </c>
      <c r="F155" t="s">
        <v>35</v>
      </c>
      <c r="G155">
        <v>38340</v>
      </c>
      <c r="H155">
        <v>360</v>
      </c>
      <c r="I155" t="str">
        <f t="shared" si="6"/>
        <v>AAA BBB</v>
      </c>
      <c r="J155" t="str">
        <f t="shared" si="7"/>
        <v>XXX</v>
      </c>
      <c r="K155" t="str">
        <f t="shared" si="8"/>
        <v>ZZZ, TN, 38340</v>
      </c>
    </row>
    <row r="156" spans="1:11" x14ac:dyDescent="0.15">
      <c r="A156">
        <v>1018918</v>
      </c>
      <c r="B156" s="54" t="s">
        <v>94</v>
      </c>
      <c r="C156" s="54" t="s">
        <v>95</v>
      </c>
      <c r="D156" s="54" t="s">
        <v>96</v>
      </c>
      <c r="E156" s="54" t="s">
        <v>97</v>
      </c>
      <c r="F156" t="s">
        <v>35</v>
      </c>
      <c r="G156">
        <v>38340</v>
      </c>
      <c r="H156">
        <v>360</v>
      </c>
      <c r="I156" t="str">
        <f t="shared" si="6"/>
        <v>AAA BBB</v>
      </c>
      <c r="J156" t="str">
        <f t="shared" si="7"/>
        <v>XXX</v>
      </c>
      <c r="K156" t="str">
        <f t="shared" si="8"/>
        <v>ZZZ, TN, 38340</v>
      </c>
    </row>
    <row r="157" spans="1:11" x14ac:dyDescent="0.15">
      <c r="A157">
        <v>1018918</v>
      </c>
      <c r="B157" s="54" t="s">
        <v>94</v>
      </c>
      <c r="C157" s="54" t="s">
        <v>95</v>
      </c>
      <c r="D157" s="54" t="s">
        <v>96</v>
      </c>
      <c r="E157" s="54" t="s">
        <v>97</v>
      </c>
      <c r="F157" t="s">
        <v>35</v>
      </c>
      <c r="G157">
        <v>38340</v>
      </c>
      <c r="H157">
        <v>360</v>
      </c>
      <c r="I157" t="str">
        <f t="shared" si="6"/>
        <v>AAA BBB</v>
      </c>
      <c r="J157" t="str">
        <f t="shared" si="7"/>
        <v>XXX</v>
      </c>
      <c r="K157" t="str">
        <f t="shared" si="8"/>
        <v>ZZZ, TN, 38340</v>
      </c>
    </row>
    <row r="158" spans="1:11" x14ac:dyDescent="0.15">
      <c r="A158">
        <v>1018918</v>
      </c>
      <c r="B158" s="54" t="s">
        <v>94</v>
      </c>
      <c r="C158" s="54" t="s">
        <v>95</v>
      </c>
      <c r="D158" s="54" t="s">
        <v>96</v>
      </c>
      <c r="E158" s="54" t="s">
        <v>97</v>
      </c>
      <c r="F158" t="s">
        <v>35</v>
      </c>
      <c r="G158">
        <v>38340</v>
      </c>
      <c r="H158">
        <v>360</v>
      </c>
      <c r="I158" t="str">
        <f t="shared" si="6"/>
        <v>AAA BBB</v>
      </c>
      <c r="J158" t="str">
        <f t="shared" si="7"/>
        <v>XXX</v>
      </c>
      <c r="K158" t="str">
        <f t="shared" si="8"/>
        <v>ZZZ, TN, 38340</v>
      </c>
    </row>
    <row r="159" spans="1:11" x14ac:dyDescent="0.15">
      <c r="A159">
        <v>1018918</v>
      </c>
      <c r="B159" s="54" t="s">
        <v>94</v>
      </c>
      <c r="C159" s="54" t="s">
        <v>95</v>
      </c>
      <c r="D159" s="54" t="s">
        <v>96</v>
      </c>
      <c r="E159" s="54" t="s">
        <v>97</v>
      </c>
      <c r="F159" t="s">
        <v>35</v>
      </c>
      <c r="G159">
        <v>38340</v>
      </c>
      <c r="H159">
        <v>360</v>
      </c>
      <c r="I159" t="str">
        <f t="shared" si="6"/>
        <v>AAA BBB</v>
      </c>
      <c r="J159" t="str">
        <f t="shared" si="7"/>
        <v>XXX</v>
      </c>
      <c r="K159" t="str">
        <f t="shared" si="8"/>
        <v>ZZZ, TN, 38340</v>
      </c>
    </row>
    <row r="160" spans="1:11" x14ac:dyDescent="0.15">
      <c r="A160">
        <v>1018918</v>
      </c>
      <c r="B160" s="54" t="s">
        <v>94</v>
      </c>
      <c r="C160" s="54" t="s">
        <v>95</v>
      </c>
      <c r="D160" s="54" t="s">
        <v>96</v>
      </c>
      <c r="E160" s="54" t="s">
        <v>97</v>
      </c>
      <c r="F160" t="s">
        <v>35</v>
      </c>
      <c r="G160">
        <v>38340</v>
      </c>
      <c r="H160">
        <v>360</v>
      </c>
      <c r="I160" t="str">
        <f t="shared" si="6"/>
        <v>AAA BBB</v>
      </c>
      <c r="J160" t="str">
        <f t="shared" si="7"/>
        <v>XXX</v>
      </c>
      <c r="K160" t="str">
        <f t="shared" si="8"/>
        <v>ZZZ, TN, 38340</v>
      </c>
    </row>
    <row r="161" spans="1:11" x14ac:dyDescent="0.15">
      <c r="A161">
        <v>1018918</v>
      </c>
      <c r="B161" s="54" t="s">
        <v>94</v>
      </c>
      <c r="C161" s="54" t="s">
        <v>95</v>
      </c>
      <c r="D161" s="54" t="s">
        <v>96</v>
      </c>
      <c r="E161" s="54" t="s">
        <v>97</v>
      </c>
      <c r="F161" t="s">
        <v>35</v>
      </c>
      <c r="G161">
        <v>38340</v>
      </c>
      <c r="H161">
        <v>360</v>
      </c>
      <c r="I161" t="str">
        <f t="shared" si="6"/>
        <v>AAA BBB</v>
      </c>
      <c r="J161" t="str">
        <f t="shared" si="7"/>
        <v>XXX</v>
      </c>
      <c r="K161" t="str">
        <f t="shared" si="8"/>
        <v>ZZZ, TN, 38340</v>
      </c>
    </row>
    <row r="162" spans="1:11" x14ac:dyDescent="0.15">
      <c r="A162">
        <v>1018918</v>
      </c>
      <c r="B162" s="54" t="s">
        <v>94</v>
      </c>
      <c r="C162" s="54" t="s">
        <v>95</v>
      </c>
      <c r="D162" s="54" t="s">
        <v>96</v>
      </c>
      <c r="E162" s="54" t="s">
        <v>97</v>
      </c>
      <c r="F162" t="s">
        <v>35</v>
      </c>
      <c r="G162">
        <v>38340</v>
      </c>
      <c r="H162">
        <v>360</v>
      </c>
      <c r="I162" t="str">
        <f t="shared" si="6"/>
        <v>AAA BBB</v>
      </c>
      <c r="J162" t="str">
        <f t="shared" si="7"/>
        <v>XXX</v>
      </c>
      <c r="K162" t="str">
        <f t="shared" si="8"/>
        <v>ZZZ, TN, 38340</v>
      </c>
    </row>
    <row r="163" spans="1:11" x14ac:dyDescent="0.15">
      <c r="A163">
        <v>1018918</v>
      </c>
      <c r="B163" s="54" t="s">
        <v>94</v>
      </c>
      <c r="C163" s="54" t="s">
        <v>95</v>
      </c>
      <c r="D163" s="54" t="s">
        <v>96</v>
      </c>
      <c r="E163" s="54" t="s">
        <v>97</v>
      </c>
      <c r="F163" t="s">
        <v>35</v>
      </c>
      <c r="G163">
        <v>38340</v>
      </c>
      <c r="H163">
        <v>360</v>
      </c>
      <c r="I163" t="str">
        <f t="shared" si="6"/>
        <v>AAA BBB</v>
      </c>
      <c r="J163" t="str">
        <f t="shared" si="7"/>
        <v>XXX</v>
      </c>
      <c r="K163" t="str">
        <f t="shared" si="8"/>
        <v>ZZZ, TN, 38340</v>
      </c>
    </row>
    <row r="164" spans="1:11" x14ac:dyDescent="0.15">
      <c r="A164">
        <v>1018918</v>
      </c>
      <c r="B164" s="54" t="s">
        <v>94</v>
      </c>
      <c r="C164" s="54" t="s">
        <v>95</v>
      </c>
      <c r="D164" s="54" t="s">
        <v>96</v>
      </c>
      <c r="E164" s="54" t="s">
        <v>97</v>
      </c>
      <c r="F164" t="s">
        <v>35</v>
      </c>
      <c r="G164">
        <v>38340</v>
      </c>
      <c r="H164">
        <v>360</v>
      </c>
      <c r="I164" t="str">
        <f t="shared" si="6"/>
        <v>AAA BBB</v>
      </c>
      <c r="J164" t="str">
        <f t="shared" si="7"/>
        <v>XXX</v>
      </c>
      <c r="K164" t="str">
        <f t="shared" si="8"/>
        <v>ZZZ, TN, 38340</v>
      </c>
    </row>
    <row r="165" spans="1:11" x14ac:dyDescent="0.15">
      <c r="A165">
        <v>1018918</v>
      </c>
      <c r="B165" s="54" t="s">
        <v>94</v>
      </c>
      <c r="C165" s="54" t="s">
        <v>95</v>
      </c>
      <c r="D165" s="54" t="s">
        <v>96</v>
      </c>
      <c r="E165" s="54" t="s">
        <v>97</v>
      </c>
      <c r="F165" t="s">
        <v>35</v>
      </c>
      <c r="G165">
        <v>38340</v>
      </c>
      <c r="H165">
        <v>360</v>
      </c>
      <c r="I165" t="str">
        <f t="shared" si="6"/>
        <v>AAA BBB</v>
      </c>
      <c r="J165" t="str">
        <f t="shared" si="7"/>
        <v>XXX</v>
      </c>
      <c r="K165" t="str">
        <f t="shared" si="8"/>
        <v>ZZZ, TN, 38340</v>
      </c>
    </row>
    <row r="166" spans="1:11" x14ac:dyDescent="0.15">
      <c r="A166">
        <v>1018918</v>
      </c>
      <c r="B166" s="54" t="s">
        <v>94</v>
      </c>
      <c r="C166" s="54" t="s">
        <v>95</v>
      </c>
      <c r="D166" s="54" t="s">
        <v>96</v>
      </c>
      <c r="E166" s="54" t="s">
        <v>97</v>
      </c>
      <c r="F166" t="s">
        <v>35</v>
      </c>
      <c r="G166">
        <v>38340</v>
      </c>
      <c r="H166">
        <v>360</v>
      </c>
      <c r="I166" t="str">
        <f t="shared" si="6"/>
        <v>AAA BBB</v>
      </c>
      <c r="J166" t="str">
        <f t="shared" si="7"/>
        <v>XXX</v>
      </c>
      <c r="K166" t="str">
        <f t="shared" si="8"/>
        <v>ZZZ, TN, 38340</v>
      </c>
    </row>
    <row r="167" spans="1:11" x14ac:dyDescent="0.15">
      <c r="A167">
        <v>1018918</v>
      </c>
      <c r="B167" s="54" t="s">
        <v>94</v>
      </c>
      <c r="C167" s="54" t="s">
        <v>95</v>
      </c>
      <c r="D167" s="54" t="s">
        <v>96</v>
      </c>
      <c r="E167" s="54" t="s">
        <v>97</v>
      </c>
      <c r="F167" t="s">
        <v>35</v>
      </c>
      <c r="G167">
        <v>38340</v>
      </c>
      <c r="H167">
        <v>360</v>
      </c>
      <c r="I167" t="str">
        <f t="shared" si="6"/>
        <v>AAA BBB</v>
      </c>
      <c r="J167" t="str">
        <f t="shared" si="7"/>
        <v>XXX</v>
      </c>
      <c r="K167" t="str">
        <f t="shared" si="8"/>
        <v>ZZZ, TN, 38340</v>
      </c>
    </row>
    <row r="168" spans="1:11" x14ac:dyDescent="0.15">
      <c r="A168">
        <v>1018918</v>
      </c>
      <c r="B168" s="54" t="s">
        <v>94</v>
      </c>
      <c r="C168" s="54" t="s">
        <v>95</v>
      </c>
      <c r="D168" s="54" t="s">
        <v>96</v>
      </c>
      <c r="E168" s="54" t="s">
        <v>97</v>
      </c>
      <c r="F168" t="s">
        <v>35</v>
      </c>
      <c r="G168">
        <v>38340</v>
      </c>
      <c r="H168">
        <v>360</v>
      </c>
      <c r="I168" t="str">
        <f t="shared" si="6"/>
        <v>AAA BBB</v>
      </c>
      <c r="J168" t="str">
        <f t="shared" si="7"/>
        <v>XXX</v>
      </c>
      <c r="K168" t="str">
        <f t="shared" si="8"/>
        <v>ZZZ, TN, 38340</v>
      </c>
    </row>
    <row r="169" spans="1:11" x14ac:dyDescent="0.15">
      <c r="A169">
        <v>1018918</v>
      </c>
      <c r="B169" s="54" t="s">
        <v>94</v>
      </c>
      <c r="C169" s="54" t="s">
        <v>95</v>
      </c>
      <c r="D169" s="54" t="s">
        <v>96</v>
      </c>
      <c r="E169" s="54" t="s">
        <v>97</v>
      </c>
      <c r="F169" t="s">
        <v>35</v>
      </c>
      <c r="G169">
        <v>38340</v>
      </c>
      <c r="H169">
        <v>360</v>
      </c>
      <c r="I169" t="str">
        <f t="shared" si="6"/>
        <v>AAA BBB</v>
      </c>
      <c r="J169" t="str">
        <f t="shared" si="7"/>
        <v>XXX</v>
      </c>
      <c r="K169" t="str">
        <f t="shared" si="8"/>
        <v>ZZZ, TN, 38340</v>
      </c>
    </row>
    <row r="170" spans="1:11" x14ac:dyDescent="0.15">
      <c r="A170">
        <v>1018918</v>
      </c>
      <c r="B170" s="54" t="s">
        <v>94</v>
      </c>
      <c r="C170" s="54" t="s">
        <v>95</v>
      </c>
      <c r="D170" s="54" t="s">
        <v>96</v>
      </c>
      <c r="E170" s="54" t="s">
        <v>97</v>
      </c>
      <c r="F170" t="s">
        <v>35</v>
      </c>
      <c r="G170">
        <v>38340</v>
      </c>
      <c r="H170">
        <v>360</v>
      </c>
      <c r="I170" t="str">
        <f t="shared" si="6"/>
        <v>AAA BBB</v>
      </c>
      <c r="J170" t="str">
        <f t="shared" si="7"/>
        <v>XXX</v>
      </c>
      <c r="K170" t="str">
        <f t="shared" si="8"/>
        <v>ZZZ, TN, 38340</v>
      </c>
    </row>
    <row r="171" spans="1:11" x14ac:dyDescent="0.15">
      <c r="A171">
        <v>1018918</v>
      </c>
      <c r="B171" s="54" t="s">
        <v>94</v>
      </c>
      <c r="C171" s="54" t="s">
        <v>95</v>
      </c>
      <c r="D171" s="54" t="s">
        <v>96</v>
      </c>
      <c r="E171" s="54" t="s">
        <v>97</v>
      </c>
      <c r="F171" t="s">
        <v>35</v>
      </c>
      <c r="G171">
        <v>38340</v>
      </c>
      <c r="H171">
        <v>360</v>
      </c>
      <c r="I171" t="str">
        <f t="shared" si="6"/>
        <v>AAA BBB</v>
      </c>
      <c r="J171" t="str">
        <f t="shared" si="7"/>
        <v>XXX</v>
      </c>
      <c r="K171" t="str">
        <f t="shared" si="8"/>
        <v>ZZZ, TN, 38340</v>
      </c>
    </row>
    <row r="172" spans="1:11" x14ac:dyDescent="0.15">
      <c r="A172">
        <v>1018918</v>
      </c>
      <c r="B172" s="54" t="s">
        <v>94</v>
      </c>
      <c r="C172" s="54" t="s">
        <v>95</v>
      </c>
      <c r="D172" s="54" t="s">
        <v>96</v>
      </c>
      <c r="E172" s="54" t="s">
        <v>97</v>
      </c>
      <c r="F172" t="s">
        <v>35</v>
      </c>
      <c r="G172">
        <v>38340</v>
      </c>
      <c r="H172">
        <v>360</v>
      </c>
      <c r="I172" t="str">
        <f t="shared" si="6"/>
        <v>AAA BBB</v>
      </c>
      <c r="J172" t="str">
        <f t="shared" si="7"/>
        <v>XXX</v>
      </c>
      <c r="K172" t="str">
        <f t="shared" si="8"/>
        <v>ZZZ, TN, 38340</v>
      </c>
    </row>
    <row r="173" spans="1:11" x14ac:dyDescent="0.15">
      <c r="A173">
        <v>1018918</v>
      </c>
      <c r="B173" s="54" t="s">
        <v>94</v>
      </c>
      <c r="C173" s="54" t="s">
        <v>95</v>
      </c>
      <c r="D173" s="54" t="s">
        <v>96</v>
      </c>
      <c r="E173" s="54" t="s">
        <v>97</v>
      </c>
      <c r="F173" t="s">
        <v>35</v>
      </c>
      <c r="G173">
        <v>38340</v>
      </c>
      <c r="H173">
        <v>360</v>
      </c>
      <c r="I173" t="str">
        <f t="shared" si="6"/>
        <v>AAA BBB</v>
      </c>
      <c r="J173" t="str">
        <f t="shared" si="7"/>
        <v>XXX</v>
      </c>
      <c r="K173" t="str">
        <f t="shared" si="8"/>
        <v>ZZZ, TN, 38340</v>
      </c>
    </row>
    <row r="174" spans="1:11" x14ac:dyDescent="0.15">
      <c r="A174">
        <v>1018918</v>
      </c>
      <c r="B174" s="54" t="s">
        <v>94</v>
      </c>
      <c r="C174" s="54" t="s">
        <v>95</v>
      </c>
      <c r="D174" s="54" t="s">
        <v>96</v>
      </c>
      <c r="E174" s="54" t="s">
        <v>97</v>
      </c>
      <c r="F174" t="s">
        <v>35</v>
      </c>
      <c r="G174">
        <v>38340</v>
      </c>
      <c r="H174">
        <v>360</v>
      </c>
      <c r="I174" t="str">
        <f t="shared" si="6"/>
        <v>AAA BBB</v>
      </c>
      <c r="J174" t="str">
        <f t="shared" si="7"/>
        <v>XXX</v>
      </c>
      <c r="K174" t="str">
        <f t="shared" si="8"/>
        <v>ZZZ, TN, 38340</v>
      </c>
    </row>
    <row r="175" spans="1:11" x14ac:dyDescent="0.15">
      <c r="A175">
        <v>1018918</v>
      </c>
      <c r="B175" s="54" t="s">
        <v>94</v>
      </c>
      <c r="C175" s="54" t="s">
        <v>95</v>
      </c>
      <c r="D175" s="54" t="s">
        <v>96</v>
      </c>
      <c r="E175" s="54" t="s">
        <v>97</v>
      </c>
      <c r="F175" t="s">
        <v>35</v>
      </c>
      <c r="G175">
        <v>38340</v>
      </c>
      <c r="H175">
        <v>360</v>
      </c>
      <c r="I175" t="str">
        <f t="shared" si="6"/>
        <v>AAA BBB</v>
      </c>
      <c r="J175" t="str">
        <f t="shared" si="7"/>
        <v>XXX</v>
      </c>
      <c r="K175" t="str">
        <f t="shared" si="8"/>
        <v>ZZZ, TN, 38340</v>
      </c>
    </row>
    <row r="176" spans="1:11" x14ac:dyDescent="0.15">
      <c r="A176">
        <v>1018918</v>
      </c>
      <c r="B176" s="54" t="s">
        <v>94</v>
      </c>
      <c r="C176" s="54" t="s">
        <v>95</v>
      </c>
      <c r="D176" s="54" t="s">
        <v>96</v>
      </c>
      <c r="E176" s="54" t="s">
        <v>97</v>
      </c>
      <c r="F176" t="s">
        <v>35</v>
      </c>
      <c r="G176">
        <v>38340</v>
      </c>
      <c r="H176">
        <v>360</v>
      </c>
      <c r="I176" t="str">
        <f t="shared" si="6"/>
        <v>AAA BBB</v>
      </c>
      <c r="J176" t="str">
        <f t="shared" si="7"/>
        <v>XXX</v>
      </c>
      <c r="K176" t="str">
        <f t="shared" si="8"/>
        <v>ZZZ, TN, 38340</v>
      </c>
    </row>
    <row r="177" spans="1:11" x14ac:dyDescent="0.15">
      <c r="A177">
        <v>1018918</v>
      </c>
      <c r="B177" s="54" t="s">
        <v>94</v>
      </c>
      <c r="C177" s="54" t="s">
        <v>95</v>
      </c>
      <c r="D177" s="54" t="s">
        <v>96</v>
      </c>
      <c r="E177" s="54" t="s">
        <v>97</v>
      </c>
      <c r="F177" t="s">
        <v>35</v>
      </c>
      <c r="G177">
        <v>38340</v>
      </c>
      <c r="H177">
        <v>360</v>
      </c>
      <c r="I177" t="str">
        <f t="shared" si="6"/>
        <v>AAA BBB</v>
      </c>
      <c r="J177" t="str">
        <f t="shared" si="7"/>
        <v>XXX</v>
      </c>
      <c r="K177" t="str">
        <f t="shared" si="8"/>
        <v>ZZZ, TN, 38340</v>
      </c>
    </row>
    <row r="178" spans="1:11" x14ac:dyDescent="0.15">
      <c r="A178">
        <v>1018918</v>
      </c>
      <c r="B178" s="54" t="s">
        <v>94</v>
      </c>
      <c r="C178" s="54" t="s">
        <v>95</v>
      </c>
      <c r="D178" s="54" t="s">
        <v>96</v>
      </c>
      <c r="E178" s="54" t="s">
        <v>97</v>
      </c>
      <c r="F178" t="s">
        <v>35</v>
      </c>
      <c r="G178">
        <v>38340</v>
      </c>
      <c r="H178">
        <v>360</v>
      </c>
      <c r="I178" t="str">
        <f t="shared" si="6"/>
        <v>AAA BBB</v>
      </c>
      <c r="J178" t="str">
        <f t="shared" si="7"/>
        <v>XXX</v>
      </c>
      <c r="K178" t="str">
        <f t="shared" si="8"/>
        <v>ZZZ, TN, 38340</v>
      </c>
    </row>
    <row r="179" spans="1:11" x14ac:dyDescent="0.15">
      <c r="A179">
        <v>1018918</v>
      </c>
      <c r="B179" s="54" t="s">
        <v>94</v>
      </c>
      <c r="C179" s="54" t="s">
        <v>95</v>
      </c>
      <c r="D179" s="54" t="s">
        <v>96</v>
      </c>
      <c r="E179" s="54" t="s">
        <v>97</v>
      </c>
      <c r="F179" t="s">
        <v>35</v>
      </c>
      <c r="G179">
        <v>38340</v>
      </c>
      <c r="H179">
        <v>360</v>
      </c>
      <c r="I179" t="str">
        <f t="shared" si="6"/>
        <v>AAA BBB</v>
      </c>
      <c r="J179" t="str">
        <f t="shared" si="7"/>
        <v>XXX</v>
      </c>
      <c r="K179" t="str">
        <f t="shared" si="8"/>
        <v>ZZZ, TN, 38340</v>
      </c>
    </row>
    <row r="180" spans="1:11" x14ac:dyDescent="0.15">
      <c r="A180">
        <v>1018918</v>
      </c>
      <c r="B180" s="54" t="s">
        <v>94</v>
      </c>
      <c r="C180" s="54" t="s">
        <v>95</v>
      </c>
      <c r="D180" s="54" t="s">
        <v>96</v>
      </c>
      <c r="E180" s="54" t="s">
        <v>97</v>
      </c>
      <c r="F180" t="s">
        <v>35</v>
      </c>
      <c r="G180">
        <v>38340</v>
      </c>
      <c r="H180">
        <v>360</v>
      </c>
      <c r="I180" t="str">
        <f t="shared" si="6"/>
        <v>AAA BBB</v>
      </c>
      <c r="J180" t="str">
        <f t="shared" si="7"/>
        <v>XXX</v>
      </c>
      <c r="K180" t="str">
        <f t="shared" si="8"/>
        <v>ZZZ, TN, 38340</v>
      </c>
    </row>
    <row r="181" spans="1:11" x14ac:dyDescent="0.15">
      <c r="A181">
        <v>1018918</v>
      </c>
      <c r="B181" s="54" t="s">
        <v>94</v>
      </c>
      <c r="C181" s="54" t="s">
        <v>95</v>
      </c>
      <c r="D181" s="54" t="s">
        <v>96</v>
      </c>
      <c r="E181" s="54" t="s">
        <v>97</v>
      </c>
      <c r="F181" t="s">
        <v>35</v>
      </c>
      <c r="G181">
        <v>38340</v>
      </c>
      <c r="H181">
        <v>360</v>
      </c>
      <c r="I181" t="str">
        <f t="shared" si="6"/>
        <v>AAA BBB</v>
      </c>
      <c r="J181" t="str">
        <f t="shared" si="7"/>
        <v>XXX</v>
      </c>
      <c r="K181" t="str">
        <f t="shared" si="8"/>
        <v>ZZZ, TN, 38340</v>
      </c>
    </row>
    <row r="182" spans="1:11" x14ac:dyDescent="0.15">
      <c r="A182">
        <v>1018918</v>
      </c>
      <c r="B182" s="54" t="s">
        <v>94</v>
      </c>
      <c r="C182" s="54" t="s">
        <v>95</v>
      </c>
      <c r="D182" s="54" t="s">
        <v>96</v>
      </c>
      <c r="E182" s="54" t="s">
        <v>97</v>
      </c>
      <c r="F182" t="s">
        <v>35</v>
      </c>
      <c r="G182">
        <v>38340</v>
      </c>
      <c r="H182">
        <v>360</v>
      </c>
      <c r="I182" t="str">
        <f t="shared" si="6"/>
        <v>AAA BBB</v>
      </c>
      <c r="J182" t="str">
        <f t="shared" si="7"/>
        <v>XXX</v>
      </c>
      <c r="K182" t="str">
        <f t="shared" si="8"/>
        <v>ZZZ, TN, 38340</v>
      </c>
    </row>
    <row r="183" spans="1:11" x14ac:dyDescent="0.15">
      <c r="A183">
        <v>1018918</v>
      </c>
      <c r="B183" s="54" t="s">
        <v>94</v>
      </c>
      <c r="C183" s="54" t="s">
        <v>95</v>
      </c>
      <c r="D183" s="54" t="s">
        <v>96</v>
      </c>
      <c r="E183" s="54" t="s">
        <v>97</v>
      </c>
      <c r="F183" t="s">
        <v>35</v>
      </c>
      <c r="G183">
        <v>38340</v>
      </c>
      <c r="H183">
        <v>360</v>
      </c>
      <c r="I183" t="str">
        <f t="shared" si="6"/>
        <v>AAA BBB</v>
      </c>
      <c r="J183" t="str">
        <f t="shared" si="7"/>
        <v>XXX</v>
      </c>
      <c r="K183" t="str">
        <f t="shared" si="8"/>
        <v>ZZZ, TN, 38340</v>
      </c>
    </row>
    <row r="184" spans="1:11" x14ac:dyDescent="0.15">
      <c r="A184">
        <v>1018918</v>
      </c>
      <c r="B184" s="54" t="s">
        <v>94</v>
      </c>
      <c r="C184" s="54" t="s">
        <v>95</v>
      </c>
      <c r="D184" s="54" t="s">
        <v>96</v>
      </c>
      <c r="E184" s="54" t="s">
        <v>97</v>
      </c>
      <c r="F184" t="s">
        <v>35</v>
      </c>
      <c r="G184">
        <v>38340</v>
      </c>
      <c r="H184">
        <v>360</v>
      </c>
      <c r="I184" t="str">
        <f t="shared" si="6"/>
        <v>AAA BBB</v>
      </c>
      <c r="J184" t="str">
        <f t="shared" si="7"/>
        <v>XXX</v>
      </c>
      <c r="K184" t="str">
        <f t="shared" si="8"/>
        <v>ZZZ, TN, 38340</v>
      </c>
    </row>
    <row r="185" spans="1:11" x14ac:dyDescent="0.15">
      <c r="A185">
        <v>1018918</v>
      </c>
      <c r="B185" s="54" t="s">
        <v>94</v>
      </c>
      <c r="C185" s="54" t="s">
        <v>95</v>
      </c>
      <c r="D185" s="54" t="s">
        <v>96</v>
      </c>
      <c r="E185" s="54" t="s">
        <v>97</v>
      </c>
      <c r="F185" t="s">
        <v>35</v>
      </c>
      <c r="G185">
        <v>38340</v>
      </c>
      <c r="H185">
        <v>360</v>
      </c>
      <c r="I185" t="str">
        <f t="shared" si="6"/>
        <v>AAA BBB</v>
      </c>
      <c r="J185" t="str">
        <f t="shared" si="7"/>
        <v>XXX</v>
      </c>
      <c r="K185" t="str">
        <f t="shared" si="8"/>
        <v>ZZZ, TN, 38340</v>
      </c>
    </row>
    <row r="186" spans="1:11" x14ac:dyDescent="0.15">
      <c r="A186">
        <v>1018918</v>
      </c>
      <c r="B186" s="54" t="s">
        <v>94</v>
      </c>
      <c r="C186" s="54" t="s">
        <v>95</v>
      </c>
      <c r="D186" s="54" t="s">
        <v>96</v>
      </c>
      <c r="E186" s="54" t="s">
        <v>97</v>
      </c>
      <c r="F186" t="s">
        <v>35</v>
      </c>
      <c r="G186">
        <v>38340</v>
      </c>
      <c r="H186">
        <v>360</v>
      </c>
      <c r="I186" t="str">
        <f t="shared" si="6"/>
        <v>AAA BBB</v>
      </c>
      <c r="J186" t="str">
        <f t="shared" si="7"/>
        <v>XXX</v>
      </c>
      <c r="K186" t="str">
        <f t="shared" si="8"/>
        <v>ZZZ, TN, 38340</v>
      </c>
    </row>
    <row r="187" spans="1:11" x14ac:dyDescent="0.15">
      <c r="A187">
        <v>1018918</v>
      </c>
      <c r="B187" s="54" t="s">
        <v>94</v>
      </c>
      <c r="C187" s="54" t="s">
        <v>95</v>
      </c>
      <c r="D187" s="54" t="s">
        <v>96</v>
      </c>
      <c r="E187" s="54" t="s">
        <v>97</v>
      </c>
      <c r="F187" t="s">
        <v>35</v>
      </c>
      <c r="G187">
        <v>38340</v>
      </c>
      <c r="H187">
        <v>360</v>
      </c>
      <c r="I187" t="str">
        <f t="shared" si="6"/>
        <v>AAA BBB</v>
      </c>
      <c r="J187" t="str">
        <f t="shared" si="7"/>
        <v>XXX</v>
      </c>
      <c r="K187" t="str">
        <f t="shared" si="8"/>
        <v>ZZZ, TN, 38340</v>
      </c>
    </row>
    <row r="188" spans="1:11" x14ac:dyDescent="0.15">
      <c r="A188">
        <v>1018918</v>
      </c>
      <c r="B188" s="54" t="s">
        <v>94</v>
      </c>
      <c r="C188" s="54" t="s">
        <v>95</v>
      </c>
      <c r="D188" s="54" t="s">
        <v>96</v>
      </c>
      <c r="E188" s="54" t="s">
        <v>97</v>
      </c>
      <c r="F188" t="s">
        <v>35</v>
      </c>
      <c r="G188">
        <v>38340</v>
      </c>
      <c r="H188">
        <v>360</v>
      </c>
      <c r="I188" t="str">
        <f t="shared" si="6"/>
        <v>AAA BBB</v>
      </c>
      <c r="J188" t="str">
        <f t="shared" si="7"/>
        <v>XXX</v>
      </c>
      <c r="K188" t="str">
        <f t="shared" si="8"/>
        <v>ZZZ, TN, 38340</v>
      </c>
    </row>
    <row r="189" spans="1:11" x14ac:dyDescent="0.15">
      <c r="A189">
        <v>1018918</v>
      </c>
      <c r="B189" s="54" t="s">
        <v>94</v>
      </c>
      <c r="C189" s="54" t="s">
        <v>95</v>
      </c>
      <c r="D189" s="54" t="s">
        <v>96</v>
      </c>
      <c r="E189" s="54" t="s">
        <v>97</v>
      </c>
      <c r="F189" t="s">
        <v>35</v>
      </c>
      <c r="G189">
        <v>38340</v>
      </c>
      <c r="H189">
        <v>360</v>
      </c>
      <c r="I189" t="str">
        <f t="shared" si="6"/>
        <v>AAA BBB</v>
      </c>
      <c r="J189" t="str">
        <f t="shared" si="7"/>
        <v>XXX</v>
      </c>
      <c r="K189" t="str">
        <f t="shared" si="8"/>
        <v>ZZZ, TN, 38340</v>
      </c>
    </row>
    <row r="190" spans="1:11" x14ac:dyDescent="0.15">
      <c r="A190">
        <v>1018918</v>
      </c>
      <c r="B190" s="54" t="s">
        <v>94</v>
      </c>
      <c r="C190" s="54" t="s">
        <v>95</v>
      </c>
      <c r="D190" s="54" t="s">
        <v>96</v>
      </c>
      <c r="E190" s="54" t="s">
        <v>97</v>
      </c>
      <c r="F190" t="s">
        <v>35</v>
      </c>
      <c r="G190">
        <v>38340</v>
      </c>
      <c r="H190">
        <v>360</v>
      </c>
      <c r="I190" t="str">
        <f t="shared" si="6"/>
        <v>AAA BBB</v>
      </c>
      <c r="J190" t="str">
        <f t="shared" si="7"/>
        <v>XXX</v>
      </c>
      <c r="K190" t="str">
        <f t="shared" si="8"/>
        <v>ZZZ, TN, 38340</v>
      </c>
    </row>
    <row r="191" spans="1:11" x14ac:dyDescent="0.15">
      <c r="A191">
        <v>1018918</v>
      </c>
      <c r="B191" s="54" t="s">
        <v>94</v>
      </c>
      <c r="C191" s="54" t="s">
        <v>95</v>
      </c>
      <c r="D191" s="54" t="s">
        <v>96</v>
      </c>
      <c r="E191" s="54" t="s">
        <v>97</v>
      </c>
      <c r="F191" t="s">
        <v>35</v>
      </c>
      <c r="G191">
        <v>38340</v>
      </c>
      <c r="H191">
        <v>360</v>
      </c>
      <c r="I191" t="str">
        <f t="shared" si="6"/>
        <v>AAA BBB</v>
      </c>
      <c r="J191" t="str">
        <f t="shared" si="7"/>
        <v>XXX</v>
      </c>
      <c r="K191" t="str">
        <f t="shared" si="8"/>
        <v>ZZZ, TN, 38340</v>
      </c>
    </row>
    <row r="192" spans="1:11" x14ac:dyDescent="0.15">
      <c r="A192">
        <v>1018918</v>
      </c>
      <c r="B192" s="54" t="s">
        <v>94</v>
      </c>
      <c r="C192" s="54" t="s">
        <v>95</v>
      </c>
      <c r="D192" s="54" t="s">
        <v>96</v>
      </c>
      <c r="E192" s="54" t="s">
        <v>97</v>
      </c>
      <c r="F192" t="s">
        <v>35</v>
      </c>
      <c r="G192">
        <v>38340</v>
      </c>
      <c r="H192">
        <v>360</v>
      </c>
      <c r="I192" t="str">
        <f t="shared" si="6"/>
        <v>AAA BBB</v>
      </c>
      <c r="J192" t="str">
        <f t="shared" si="7"/>
        <v>XXX</v>
      </c>
      <c r="K192" t="str">
        <f t="shared" si="8"/>
        <v>ZZZ, TN, 38340</v>
      </c>
    </row>
    <row r="193" spans="1:11" x14ac:dyDescent="0.15">
      <c r="A193">
        <v>1018918</v>
      </c>
      <c r="B193" s="54" t="s">
        <v>94</v>
      </c>
      <c r="C193" s="54" t="s">
        <v>95</v>
      </c>
      <c r="D193" s="54" t="s">
        <v>96</v>
      </c>
      <c r="E193" s="54" t="s">
        <v>97</v>
      </c>
      <c r="F193" t="s">
        <v>35</v>
      </c>
      <c r="G193">
        <v>38340</v>
      </c>
      <c r="H193">
        <v>360</v>
      </c>
      <c r="I193" t="str">
        <f t="shared" si="6"/>
        <v>AAA BBB</v>
      </c>
      <c r="J193" t="str">
        <f t="shared" si="7"/>
        <v>XXX</v>
      </c>
      <c r="K193" t="str">
        <f t="shared" si="8"/>
        <v>ZZZ, TN, 38340</v>
      </c>
    </row>
    <row r="194" spans="1:11" x14ac:dyDescent="0.15">
      <c r="A194">
        <v>1018918</v>
      </c>
      <c r="B194" s="54" t="s">
        <v>94</v>
      </c>
      <c r="C194" s="54" t="s">
        <v>95</v>
      </c>
      <c r="D194" s="54" t="s">
        <v>96</v>
      </c>
      <c r="E194" s="54" t="s">
        <v>97</v>
      </c>
      <c r="F194" t="s">
        <v>35</v>
      </c>
      <c r="G194">
        <v>38340</v>
      </c>
      <c r="H194">
        <v>360</v>
      </c>
      <c r="I194" t="str">
        <f t="shared" si="6"/>
        <v>AAA BBB</v>
      </c>
      <c r="J194" t="str">
        <f t="shared" si="7"/>
        <v>XXX</v>
      </c>
      <c r="K194" t="str">
        <f t="shared" si="8"/>
        <v>ZZZ, TN, 38340</v>
      </c>
    </row>
    <row r="195" spans="1:11" x14ac:dyDescent="0.15">
      <c r="A195">
        <v>1018918</v>
      </c>
      <c r="B195" s="54" t="s">
        <v>94</v>
      </c>
      <c r="C195" s="54" t="s">
        <v>95</v>
      </c>
      <c r="D195" s="54" t="s">
        <v>96</v>
      </c>
      <c r="E195" s="54" t="s">
        <v>97</v>
      </c>
      <c r="F195" t="s">
        <v>35</v>
      </c>
      <c r="G195">
        <v>38340</v>
      </c>
      <c r="H195">
        <v>360</v>
      </c>
      <c r="I195" t="str">
        <f t="shared" ref="I195:I258" si="9">CONCATENATE(B195," ",C195)</f>
        <v>AAA BBB</v>
      </c>
      <c r="J195" t="str">
        <f t="shared" ref="J195:J258" si="10">D195</f>
        <v>XXX</v>
      </c>
      <c r="K195" t="str">
        <f t="shared" ref="K195:K258" si="11">CONCATENATE(E195,","," ",F195,","," ",G195)</f>
        <v>ZZZ, TN, 38340</v>
      </c>
    </row>
    <row r="196" spans="1:11" x14ac:dyDescent="0.15">
      <c r="A196">
        <v>1018918</v>
      </c>
      <c r="B196" s="54" t="s">
        <v>94</v>
      </c>
      <c r="C196" s="54" t="s">
        <v>95</v>
      </c>
      <c r="D196" s="54" t="s">
        <v>96</v>
      </c>
      <c r="E196" s="54" t="s">
        <v>97</v>
      </c>
      <c r="F196" t="s">
        <v>35</v>
      </c>
      <c r="G196">
        <v>38340</v>
      </c>
      <c r="H196">
        <v>360</v>
      </c>
      <c r="I196" t="str">
        <f t="shared" si="9"/>
        <v>AAA BBB</v>
      </c>
      <c r="J196" t="str">
        <f t="shared" si="10"/>
        <v>XXX</v>
      </c>
      <c r="K196" t="str">
        <f t="shared" si="11"/>
        <v>ZZZ, TN, 38340</v>
      </c>
    </row>
    <row r="197" spans="1:11" x14ac:dyDescent="0.15">
      <c r="A197">
        <v>1018918</v>
      </c>
      <c r="B197" s="54" t="s">
        <v>94</v>
      </c>
      <c r="C197" s="54" t="s">
        <v>95</v>
      </c>
      <c r="D197" s="54" t="s">
        <v>96</v>
      </c>
      <c r="E197" s="54" t="s">
        <v>97</v>
      </c>
      <c r="F197" t="s">
        <v>35</v>
      </c>
      <c r="G197">
        <v>38340</v>
      </c>
      <c r="H197">
        <v>360</v>
      </c>
      <c r="I197" t="str">
        <f t="shared" si="9"/>
        <v>AAA BBB</v>
      </c>
      <c r="J197" t="str">
        <f t="shared" si="10"/>
        <v>XXX</v>
      </c>
      <c r="K197" t="str">
        <f t="shared" si="11"/>
        <v>ZZZ, TN, 38340</v>
      </c>
    </row>
    <row r="198" spans="1:11" x14ac:dyDescent="0.15">
      <c r="A198">
        <v>1018918</v>
      </c>
      <c r="B198" s="54" t="s">
        <v>94</v>
      </c>
      <c r="C198" s="54" t="s">
        <v>95</v>
      </c>
      <c r="D198" s="54" t="s">
        <v>96</v>
      </c>
      <c r="E198" s="54" t="s">
        <v>97</v>
      </c>
      <c r="F198" t="s">
        <v>35</v>
      </c>
      <c r="G198">
        <v>38340</v>
      </c>
      <c r="H198">
        <v>360</v>
      </c>
      <c r="I198" t="str">
        <f t="shared" si="9"/>
        <v>AAA BBB</v>
      </c>
      <c r="J198" t="str">
        <f t="shared" si="10"/>
        <v>XXX</v>
      </c>
      <c r="K198" t="str">
        <f t="shared" si="11"/>
        <v>ZZZ, TN, 38340</v>
      </c>
    </row>
    <row r="199" spans="1:11" x14ac:dyDescent="0.15">
      <c r="A199">
        <v>1018918</v>
      </c>
      <c r="B199" s="54" t="s">
        <v>94</v>
      </c>
      <c r="C199" s="54" t="s">
        <v>95</v>
      </c>
      <c r="D199" s="54" t="s">
        <v>96</v>
      </c>
      <c r="E199" s="54" t="s">
        <v>97</v>
      </c>
      <c r="F199" t="s">
        <v>35</v>
      </c>
      <c r="G199">
        <v>38340</v>
      </c>
      <c r="H199">
        <v>360</v>
      </c>
      <c r="I199" t="str">
        <f t="shared" si="9"/>
        <v>AAA BBB</v>
      </c>
      <c r="J199" t="str">
        <f t="shared" si="10"/>
        <v>XXX</v>
      </c>
      <c r="K199" t="str">
        <f t="shared" si="11"/>
        <v>ZZZ, TN, 38340</v>
      </c>
    </row>
    <row r="200" spans="1:11" x14ac:dyDescent="0.15">
      <c r="A200">
        <v>1018918</v>
      </c>
      <c r="B200" s="54" t="s">
        <v>94</v>
      </c>
      <c r="C200" s="54" t="s">
        <v>95</v>
      </c>
      <c r="D200" s="54" t="s">
        <v>96</v>
      </c>
      <c r="E200" s="54" t="s">
        <v>97</v>
      </c>
      <c r="F200" t="s">
        <v>35</v>
      </c>
      <c r="G200">
        <v>38340</v>
      </c>
      <c r="H200">
        <v>360</v>
      </c>
      <c r="I200" t="str">
        <f t="shared" si="9"/>
        <v>AAA BBB</v>
      </c>
      <c r="J200" t="str">
        <f t="shared" si="10"/>
        <v>XXX</v>
      </c>
      <c r="K200" t="str">
        <f t="shared" si="11"/>
        <v>ZZZ, TN, 38340</v>
      </c>
    </row>
    <row r="201" spans="1:11" x14ac:dyDescent="0.15">
      <c r="A201">
        <v>1018918</v>
      </c>
      <c r="B201" s="54" t="s">
        <v>94</v>
      </c>
      <c r="C201" s="54" t="s">
        <v>95</v>
      </c>
      <c r="D201" s="54" t="s">
        <v>96</v>
      </c>
      <c r="E201" s="54" t="s">
        <v>97</v>
      </c>
      <c r="F201" t="s">
        <v>35</v>
      </c>
      <c r="G201">
        <v>38340</v>
      </c>
      <c r="H201">
        <v>360</v>
      </c>
      <c r="I201" t="str">
        <f t="shared" si="9"/>
        <v>AAA BBB</v>
      </c>
      <c r="J201" t="str">
        <f t="shared" si="10"/>
        <v>XXX</v>
      </c>
      <c r="K201" t="str">
        <f t="shared" si="11"/>
        <v>ZZZ, TN, 38340</v>
      </c>
    </row>
    <row r="202" spans="1:11" x14ac:dyDescent="0.15">
      <c r="A202">
        <v>1018918</v>
      </c>
      <c r="B202" s="54" t="s">
        <v>94</v>
      </c>
      <c r="C202" s="54" t="s">
        <v>95</v>
      </c>
      <c r="D202" s="54" t="s">
        <v>96</v>
      </c>
      <c r="E202" s="54" t="s">
        <v>97</v>
      </c>
      <c r="F202" t="s">
        <v>35</v>
      </c>
      <c r="G202">
        <v>38340</v>
      </c>
      <c r="H202">
        <v>360</v>
      </c>
      <c r="I202" t="str">
        <f t="shared" si="9"/>
        <v>AAA BBB</v>
      </c>
      <c r="J202" t="str">
        <f t="shared" si="10"/>
        <v>XXX</v>
      </c>
      <c r="K202" t="str">
        <f t="shared" si="11"/>
        <v>ZZZ, TN, 38340</v>
      </c>
    </row>
    <row r="203" spans="1:11" x14ac:dyDescent="0.15">
      <c r="A203">
        <v>1018918</v>
      </c>
      <c r="B203" s="54" t="s">
        <v>94</v>
      </c>
      <c r="C203" s="54" t="s">
        <v>95</v>
      </c>
      <c r="D203" s="54" t="s">
        <v>96</v>
      </c>
      <c r="E203" s="54" t="s">
        <v>97</v>
      </c>
      <c r="F203" t="s">
        <v>35</v>
      </c>
      <c r="G203">
        <v>38340</v>
      </c>
      <c r="H203">
        <v>360</v>
      </c>
      <c r="I203" t="str">
        <f t="shared" si="9"/>
        <v>AAA BBB</v>
      </c>
      <c r="J203" t="str">
        <f t="shared" si="10"/>
        <v>XXX</v>
      </c>
      <c r="K203" t="str">
        <f t="shared" si="11"/>
        <v>ZZZ, TN, 38340</v>
      </c>
    </row>
    <row r="204" spans="1:11" x14ac:dyDescent="0.15">
      <c r="A204">
        <v>1018918</v>
      </c>
      <c r="B204" s="54" t="s">
        <v>94</v>
      </c>
      <c r="C204" s="54" t="s">
        <v>95</v>
      </c>
      <c r="D204" s="54" t="s">
        <v>96</v>
      </c>
      <c r="E204" s="54" t="s">
        <v>97</v>
      </c>
      <c r="F204" t="s">
        <v>35</v>
      </c>
      <c r="G204">
        <v>38340</v>
      </c>
      <c r="H204">
        <v>360</v>
      </c>
      <c r="I204" t="str">
        <f t="shared" si="9"/>
        <v>AAA BBB</v>
      </c>
      <c r="J204" t="str">
        <f t="shared" si="10"/>
        <v>XXX</v>
      </c>
      <c r="K204" t="str">
        <f t="shared" si="11"/>
        <v>ZZZ, TN, 38340</v>
      </c>
    </row>
    <row r="205" spans="1:11" x14ac:dyDescent="0.15">
      <c r="A205">
        <v>1018918</v>
      </c>
      <c r="B205" s="54" t="s">
        <v>94</v>
      </c>
      <c r="C205" s="54" t="s">
        <v>95</v>
      </c>
      <c r="D205" s="54" t="s">
        <v>96</v>
      </c>
      <c r="E205" s="54" t="s">
        <v>97</v>
      </c>
      <c r="F205" t="s">
        <v>35</v>
      </c>
      <c r="G205">
        <v>38340</v>
      </c>
      <c r="H205">
        <v>360</v>
      </c>
      <c r="I205" t="str">
        <f t="shared" si="9"/>
        <v>AAA BBB</v>
      </c>
      <c r="J205" t="str">
        <f t="shared" si="10"/>
        <v>XXX</v>
      </c>
      <c r="K205" t="str">
        <f t="shared" si="11"/>
        <v>ZZZ, TN, 38340</v>
      </c>
    </row>
    <row r="206" spans="1:11" x14ac:dyDescent="0.15">
      <c r="A206">
        <v>1018918</v>
      </c>
      <c r="B206" s="54" t="s">
        <v>94</v>
      </c>
      <c r="C206" s="54" t="s">
        <v>95</v>
      </c>
      <c r="D206" s="54" t="s">
        <v>96</v>
      </c>
      <c r="E206" s="54" t="s">
        <v>97</v>
      </c>
      <c r="F206" t="s">
        <v>35</v>
      </c>
      <c r="G206">
        <v>38340</v>
      </c>
      <c r="H206">
        <v>360</v>
      </c>
      <c r="I206" t="str">
        <f t="shared" si="9"/>
        <v>AAA BBB</v>
      </c>
      <c r="J206" t="str">
        <f t="shared" si="10"/>
        <v>XXX</v>
      </c>
      <c r="K206" t="str">
        <f t="shared" si="11"/>
        <v>ZZZ, TN, 38340</v>
      </c>
    </row>
    <row r="207" spans="1:11" x14ac:dyDescent="0.15">
      <c r="A207">
        <v>1018918</v>
      </c>
      <c r="B207" s="54" t="s">
        <v>94</v>
      </c>
      <c r="C207" s="54" t="s">
        <v>95</v>
      </c>
      <c r="D207" s="54" t="s">
        <v>96</v>
      </c>
      <c r="E207" s="54" t="s">
        <v>97</v>
      </c>
      <c r="F207" t="s">
        <v>35</v>
      </c>
      <c r="G207">
        <v>38340</v>
      </c>
      <c r="H207">
        <v>360</v>
      </c>
      <c r="I207" t="str">
        <f t="shared" si="9"/>
        <v>AAA BBB</v>
      </c>
      <c r="J207" t="str">
        <f t="shared" si="10"/>
        <v>XXX</v>
      </c>
      <c r="K207" t="str">
        <f t="shared" si="11"/>
        <v>ZZZ, TN, 38340</v>
      </c>
    </row>
    <row r="208" spans="1:11" x14ac:dyDescent="0.15">
      <c r="A208">
        <v>1018918</v>
      </c>
      <c r="B208" s="54" t="s">
        <v>94</v>
      </c>
      <c r="C208" s="54" t="s">
        <v>95</v>
      </c>
      <c r="D208" s="54" t="s">
        <v>96</v>
      </c>
      <c r="E208" s="54" t="s">
        <v>97</v>
      </c>
      <c r="F208" t="s">
        <v>35</v>
      </c>
      <c r="G208">
        <v>38340</v>
      </c>
      <c r="H208">
        <v>360</v>
      </c>
      <c r="I208" t="str">
        <f t="shared" si="9"/>
        <v>AAA BBB</v>
      </c>
      <c r="J208" t="str">
        <f t="shared" si="10"/>
        <v>XXX</v>
      </c>
      <c r="K208" t="str">
        <f t="shared" si="11"/>
        <v>ZZZ, TN, 38340</v>
      </c>
    </row>
    <row r="209" spans="1:11" x14ac:dyDescent="0.15">
      <c r="A209">
        <v>1018918</v>
      </c>
      <c r="B209" s="54" t="s">
        <v>94</v>
      </c>
      <c r="C209" s="54" t="s">
        <v>95</v>
      </c>
      <c r="D209" s="54" t="s">
        <v>96</v>
      </c>
      <c r="E209" s="54" t="s">
        <v>97</v>
      </c>
      <c r="F209" t="s">
        <v>35</v>
      </c>
      <c r="G209">
        <v>38340</v>
      </c>
      <c r="H209">
        <v>360</v>
      </c>
      <c r="I209" t="str">
        <f t="shared" si="9"/>
        <v>AAA BBB</v>
      </c>
      <c r="J209" t="str">
        <f t="shared" si="10"/>
        <v>XXX</v>
      </c>
      <c r="K209" t="str">
        <f t="shared" si="11"/>
        <v>ZZZ, TN, 38340</v>
      </c>
    </row>
    <row r="210" spans="1:11" x14ac:dyDescent="0.15">
      <c r="A210">
        <v>1018918</v>
      </c>
      <c r="B210" s="54" t="s">
        <v>94</v>
      </c>
      <c r="C210" s="54" t="s">
        <v>95</v>
      </c>
      <c r="D210" s="54" t="s">
        <v>96</v>
      </c>
      <c r="E210" s="54" t="s">
        <v>97</v>
      </c>
      <c r="F210" t="s">
        <v>35</v>
      </c>
      <c r="G210">
        <v>38340</v>
      </c>
      <c r="H210">
        <v>360</v>
      </c>
      <c r="I210" t="str">
        <f t="shared" si="9"/>
        <v>AAA BBB</v>
      </c>
      <c r="J210" t="str">
        <f t="shared" si="10"/>
        <v>XXX</v>
      </c>
      <c r="K210" t="str">
        <f t="shared" si="11"/>
        <v>ZZZ, TN, 38340</v>
      </c>
    </row>
    <row r="211" spans="1:11" x14ac:dyDescent="0.15">
      <c r="A211">
        <v>1018918</v>
      </c>
      <c r="B211" s="54" t="s">
        <v>94</v>
      </c>
      <c r="C211" s="54" t="s">
        <v>95</v>
      </c>
      <c r="D211" s="54" t="s">
        <v>96</v>
      </c>
      <c r="E211" s="54" t="s">
        <v>97</v>
      </c>
      <c r="F211" t="s">
        <v>35</v>
      </c>
      <c r="G211">
        <v>38340</v>
      </c>
      <c r="H211">
        <v>360</v>
      </c>
      <c r="I211" t="str">
        <f t="shared" si="9"/>
        <v>AAA BBB</v>
      </c>
      <c r="J211" t="str">
        <f t="shared" si="10"/>
        <v>XXX</v>
      </c>
      <c r="K211" t="str">
        <f t="shared" si="11"/>
        <v>ZZZ, TN, 38340</v>
      </c>
    </row>
    <row r="212" spans="1:11" x14ac:dyDescent="0.15">
      <c r="A212">
        <v>1018918</v>
      </c>
      <c r="B212" s="54" t="s">
        <v>94</v>
      </c>
      <c r="C212" s="54" t="s">
        <v>95</v>
      </c>
      <c r="D212" s="54" t="s">
        <v>96</v>
      </c>
      <c r="E212" s="54" t="s">
        <v>97</v>
      </c>
      <c r="F212" t="s">
        <v>35</v>
      </c>
      <c r="G212">
        <v>38340</v>
      </c>
      <c r="H212">
        <v>360</v>
      </c>
      <c r="I212" t="str">
        <f t="shared" si="9"/>
        <v>AAA BBB</v>
      </c>
      <c r="J212" t="str">
        <f t="shared" si="10"/>
        <v>XXX</v>
      </c>
      <c r="K212" t="str">
        <f t="shared" si="11"/>
        <v>ZZZ, TN, 38340</v>
      </c>
    </row>
    <row r="213" spans="1:11" x14ac:dyDescent="0.15">
      <c r="A213">
        <v>1018918</v>
      </c>
      <c r="B213" s="54" t="s">
        <v>94</v>
      </c>
      <c r="C213" s="54" t="s">
        <v>95</v>
      </c>
      <c r="D213" s="54" t="s">
        <v>96</v>
      </c>
      <c r="E213" s="54" t="s">
        <v>97</v>
      </c>
      <c r="F213" t="s">
        <v>35</v>
      </c>
      <c r="G213">
        <v>38340</v>
      </c>
      <c r="H213">
        <v>360</v>
      </c>
      <c r="I213" t="str">
        <f t="shared" si="9"/>
        <v>AAA BBB</v>
      </c>
      <c r="J213" t="str">
        <f t="shared" si="10"/>
        <v>XXX</v>
      </c>
      <c r="K213" t="str">
        <f t="shared" si="11"/>
        <v>ZZZ, TN, 38340</v>
      </c>
    </row>
    <row r="214" spans="1:11" x14ac:dyDescent="0.15">
      <c r="A214">
        <v>1018918</v>
      </c>
      <c r="B214" s="54" t="s">
        <v>94</v>
      </c>
      <c r="C214" s="54" t="s">
        <v>95</v>
      </c>
      <c r="D214" s="54" t="s">
        <v>96</v>
      </c>
      <c r="E214" s="54" t="s">
        <v>97</v>
      </c>
      <c r="F214" t="s">
        <v>35</v>
      </c>
      <c r="G214">
        <v>38340</v>
      </c>
      <c r="H214">
        <v>360</v>
      </c>
      <c r="I214" t="str">
        <f t="shared" si="9"/>
        <v>AAA BBB</v>
      </c>
      <c r="J214" t="str">
        <f t="shared" si="10"/>
        <v>XXX</v>
      </c>
      <c r="K214" t="str">
        <f t="shared" si="11"/>
        <v>ZZZ, TN, 38340</v>
      </c>
    </row>
    <row r="215" spans="1:11" x14ac:dyDescent="0.15">
      <c r="A215">
        <v>1018918</v>
      </c>
      <c r="B215" s="54" t="s">
        <v>94</v>
      </c>
      <c r="C215" s="54" t="s">
        <v>95</v>
      </c>
      <c r="D215" s="54" t="s">
        <v>96</v>
      </c>
      <c r="E215" s="54" t="s">
        <v>97</v>
      </c>
      <c r="F215" t="s">
        <v>35</v>
      </c>
      <c r="G215">
        <v>38340</v>
      </c>
      <c r="H215">
        <v>360</v>
      </c>
      <c r="I215" t="str">
        <f t="shared" si="9"/>
        <v>AAA BBB</v>
      </c>
      <c r="J215" t="str">
        <f t="shared" si="10"/>
        <v>XXX</v>
      </c>
      <c r="K215" t="str">
        <f t="shared" si="11"/>
        <v>ZZZ, TN, 38340</v>
      </c>
    </row>
    <row r="216" spans="1:11" x14ac:dyDescent="0.15">
      <c r="A216">
        <v>1018918</v>
      </c>
      <c r="B216" s="54" t="s">
        <v>94</v>
      </c>
      <c r="C216" s="54" t="s">
        <v>95</v>
      </c>
      <c r="D216" s="54" t="s">
        <v>96</v>
      </c>
      <c r="E216" s="54" t="s">
        <v>97</v>
      </c>
      <c r="F216" t="s">
        <v>35</v>
      </c>
      <c r="G216">
        <v>38340</v>
      </c>
      <c r="H216">
        <v>360</v>
      </c>
      <c r="I216" t="str">
        <f t="shared" si="9"/>
        <v>AAA BBB</v>
      </c>
      <c r="J216" t="str">
        <f t="shared" si="10"/>
        <v>XXX</v>
      </c>
      <c r="K216" t="str">
        <f t="shared" si="11"/>
        <v>ZZZ, TN, 38340</v>
      </c>
    </row>
    <row r="217" spans="1:11" x14ac:dyDescent="0.15">
      <c r="A217">
        <v>1018918</v>
      </c>
      <c r="B217" s="54" t="s">
        <v>94</v>
      </c>
      <c r="C217" s="54" t="s">
        <v>95</v>
      </c>
      <c r="D217" s="54" t="s">
        <v>96</v>
      </c>
      <c r="E217" s="54" t="s">
        <v>97</v>
      </c>
      <c r="F217" t="s">
        <v>35</v>
      </c>
      <c r="G217">
        <v>38340</v>
      </c>
      <c r="H217">
        <v>360</v>
      </c>
      <c r="I217" t="str">
        <f t="shared" si="9"/>
        <v>AAA BBB</v>
      </c>
      <c r="J217" t="str">
        <f t="shared" si="10"/>
        <v>XXX</v>
      </c>
      <c r="K217" t="str">
        <f t="shared" si="11"/>
        <v>ZZZ, TN, 38340</v>
      </c>
    </row>
    <row r="218" spans="1:11" x14ac:dyDescent="0.15">
      <c r="A218">
        <v>1018918</v>
      </c>
      <c r="B218" s="54" t="s">
        <v>94</v>
      </c>
      <c r="C218" s="54" t="s">
        <v>95</v>
      </c>
      <c r="D218" s="54" t="s">
        <v>96</v>
      </c>
      <c r="E218" s="54" t="s">
        <v>97</v>
      </c>
      <c r="F218" t="s">
        <v>35</v>
      </c>
      <c r="G218">
        <v>38340</v>
      </c>
      <c r="H218">
        <v>360</v>
      </c>
      <c r="I218" t="str">
        <f t="shared" si="9"/>
        <v>AAA BBB</v>
      </c>
      <c r="J218" t="str">
        <f t="shared" si="10"/>
        <v>XXX</v>
      </c>
      <c r="K218" t="str">
        <f t="shared" si="11"/>
        <v>ZZZ, TN, 38340</v>
      </c>
    </row>
    <row r="219" spans="1:11" x14ac:dyDescent="0.15">
      <c r="A219">
        <v>1018918</v>
      </c>
      <c r="B219" s="54" t="s">
        <v>94</v>
      </c>
      <c r="C219" s="54" t="s">
        <v>95</v>
      </c>
      <c r="D219" s="54" t="s">
        <v>96</v>
      </c>
      <c r="E219" s="54" t="s">
        <v>97</v>
      </c>
      <c r="F219" t="s">
        <v>35</v>
      </c>
      <c r="G219">
        <v>38340</v>
      </c>
      <c r="H219">
        <v>360</v>
      </c>
      <c r="I219" t="str">
        <f t="shared" si="9"/>
        <v>AAA BBB</v>
      </c>
      <c r="J219" t="str">
        <f t="shared" si="10"/>
        <v>XXX</v>
      </c>
      <c r="K219" t="str">
        <f t="shared" si="11"/>
        <v>ZZZ, TN, 38340</v>
      </c>
    </row>
    <row r="220" spans="1:11" x14ac:dyDescent="0.15">
      <c r="A220">
        <v>1018918</v>
      </c>
      <c r="B220" s="54" t="s">
        <v>94</v>
      </c>
      <c r="C220" s="54" t="s">
        <v>95</v>
      </c>
      <c r="D220" s="54" t="s">
        <v>96</v>
      </c>
      <c r="E220" s="54" t="s">
        <v>97</v>
      </c>
      <c r="F220" t="s">
        <v>35</v>
      </c>
      <c r="G220">
        <v>38340</v>
      </c>
      <c r="H220">
        <v>360</v>
      </c>
      <c r="I220" t="str">
        <f t="shared" si="9"/>
        <v>AAA BBB</v>
      </c>
      <c r="J220" t="str">
        <f t="shared" si="10"/>
        <v>XXX</v>
      </c>
      <c r="K220" t="str">
        <f t="shared" si="11"/>
        <v>ZZZ, TN, 38340</v>
      </c>
    </row>
    <row r="221" spans="1:11" x14ac:dyDescent="0.15">
      <c r="A221">
        <v>1018918</v>
      </c>
      <c r="B221" s="54" t="s">
        <v>94</v>
      </c>
      <c r="C221" s="54" t="s">
        <v>95</v>
      </c>
      <c r="D221" s="54" t="s">
        <v>96</v>
      </c>
      <c r="E221" s="54" t="s">
        <v>97</v>
      </c>
      <c r="F221" t="s">
        <v>35</v>
      </c>
      <c r="G221">
        <v>38340</v>
      </c>
      <c r="H221">
        <v>360</v>
      </c>
      <c r="I221" t="str">
        <f t="shared" si="9"/>
        <v>AAA BBB</v>
      </c>
      <c r="J221" t="str">
        <f t="shared" si="10"/>
        <v>XXX</v>
      </c>
      <c r="K221" t="str">
        <f t="shared" si="11"/>
        <v>ZZZ, TN, 38340</v>
      </c>
    </row>
    <row r="222" spans="1:11" x14ac:dyDescent="0.15">
      <c r="A222">
        <v>1018918</v>
      </c>
      <c r="B222" s="54" t="s">
        <v>94</v>
      </c>
      <c r="C222" s="54" t="s">
        <v>95</v>
      </c>
      <c r="D222" s="54" t="s">
        <v>96</v>
      </c>
      <c r="E222" s="54" t="s">
        <v>97</v>
      </c>
      <c r="F222" t="s">
        <v>35</v>
      </c>
      <c r="G222">
        <v>38340</v>
      </c>
      <c r="H222">
        <v>360</v>
      </c>
      <c r="I222" t="str">
        <f t="shared" si="9"/>
        <v>AAA BBB</v>
      </c>
      <c r="J222" t="str">
        <f t="shared" si="10"/>
        <v>XXX</v>
      </c>
      <c r="K222" t="str">
        <f t="shared" si="11"/>
        <v>ZZZ, TN, 38340</v>
      </c>
    </row>
    <row r="223" spans="1:11" x14ac:dyDescent="0.15">
      <c r="A223">
        <v>1018918</v>
      </c>
      <c r="B223" s="54" t="s">
        <v>94</v>
      </c>
      <c r="C223" s="54" t="s">
        <v>95</v>
      </c>
      <c r="D223" s="54" t="s">
        <v>96</v>
      </c>
      <c r="E223" s="54" t="s">
        <v>97</v>
      </c>
      <c r="F223" t="s">
        <v>35</v>
      </c>
      <c r="G223">
        <v>38340</v>
      </c>
      <c r="H223">
        <v>360</v>
      </c>
      <c r="I223" t="str">
        <f t="shared" si="9"/>
        <v>AAA BBB</v>
      </c>
      <c r="J223" t="str">
        <f t="shared" si="10"/>
        <v>XXX</v>
      </c>
      <c r="K223" t="str">
        <f t="shared" si="11"/>
        <v>ZZZ, TN, 38340</v>
      </c>
    </row>
    <row r="224" spans="1:11" x14ac:dyDescent="0.15">
      <c r="A224">
        <v>1018918</v>
      </c>
      <c r="B224" s="54" t="s">
        <v>94</v>
      </c>
      <c r="C224" s="54" t="s">
        <v>95</v>
      </c>
      <c r="D224" s="54" t="s">
        <v>96</v>
      </c>
      <c r="E224" s="54" t="s">
        <v>97</v>
      </c>
      <c r="F224" t="s">
        <v>35</v>
      </c>
      <c r="G224">
        <v>38340</v>
      </c>
      <c r="H224">
        <v>360</v>
      </c>
      <c r="I224" t="str">
        <f t="shared" si="9"/>
        <v>AAA BBB</v>
      </c>
      <c r="J224" t="str">
        <f t="shared" si="10"/>
        <v>XXX</v>
      </c>
      <c r="K224" t="str">
        <f t="shared" si="11"/>
        <v>ZZZ, TN, 38340</v>
      </c>
    </row>
    <row r="225" spans="1:11" x14ac:dyDescent="0.15">
      <c r="A225">
        <v>1018918</v>
      </c>
      <c r="B225" s="54" t="s">
        <v>94</v>
      </c>
      <c r="C225" s="54" t="s">
        <v>95</v>
      </c>
      <c r="D225" s="54" t="s">
        <v>96</v>
      </c>
      <c r="E225" s="54" t="s">
        <v>97</v>
      </c>
      <c r="F225" t="s">
        <v>35</v>
      </c>
      <c r="G225">
        <v>38340</v>
      </c>
      <c r="H225">
        <v>360</v>
      </c>
      <c r="I225" t="str">
        <f t="shared" si="9"/>
        <v>AAA BBB</v>
      </c>
      <c r="J225" t="str">
        <f t="shared" si="10"/>
        <v>XXX</v>
      </c>
      <c r="K225" t="str">
        <f t="shared" si="11"/>
        <v>ZZZ, TN, 38340</v>
      </c>
    </row>
    <row r="226" spans="1:11" x14ac:dyDescent="0.15">
      <c r="A226">
        <v>1018918</v>
      </c>
      <c r="B226" s="54" t="s">
        <v>94</v>
      </c>
      <c r="C226" s="54" t="s">
        <v>95</v>
      </c>
      <c r="D226" s="54" t="s">
        <v>96</v>
      </c>
      <c r="E226" s="54" t="s">
        <v>97</v>
      </c>
      <c r="F226" t="s">
        <v>35</v>
      </c>
      <c r="G226">
        <v>38340</v>
      </c>
      <c r="H226">
        <v>360</v>
      </c>
      <c r="I226" t="str">
        <f t="shared" si="9"/>
        <v>AAA BBB</v>
      </c>
      <c r="J226" t="str">
        <f t="shared" si="10"/>
        <v>XXX</v>
      </c>
      <c r="K226" t="str">
        <f t="shared" si="11"/>
        <v>ZZZ, TN, 38340</v>
      </c>
    </row>
    <row r="227" spans="1:11" x14ac:dyDescent="0.15">
      <c r="A227">
        <v>1018918</v>
      </c>
      <c r="B227" s="54" t="s">
        <v>94</v>
      </c>
      <c r="C227" s="54" t="s">
        <v>95</v>
      </c>
      <c r="D227" s="54" t="s">
        <v>96</v>
      </c>
      <c r="E227" s="54" t="s">
        <v>97</v>
      </c>
      <c r="F227" t="s">
        <v>35</v>
      </c>
      <c r="G227">
        <v>38340</v>
      </c>
      <c r="H227">
        <v>360</v>
      </c>
      <c r="I227" t="str">
        <f t="shared" si="9"/>
        <v>AAA BBB</v>
      </c>
      <c r="J227" t="str">
        <f t="shared" si="10"/>
        <v>XXX</v>
      </c>
      <c r="K227" t="str">
        <f t="shared" si="11"/>
        <v>ZZZ, TN, 38340</v>
      </c>
    </row>
    <row r="228" spans="1:11" x14ac:dyDescent="0.15">
      <c r="A228">
        <v>1018918</v>
      </c>
      <c r="B228" s="54" t="s">
        <v>94</v>
      </c>
      <c r="C228" s="54" t="s">
        <v>95</v>
      </c>
      <c r="D228" s="54" t="s">
        <v>96</v>
      </c>
      <c r="E228" s="54" t="s">
        <v>97</v>
      </c>
      <c r="F228" t="s">
        <v>35</v>
      </c>
      <c r="G228">
        <v>38340</v>
      </c>
      <c r="H228">
        <v>360</v>
      </c>
      <c r="I228" t="str">
        <f t="shared" si="9"/>
        <v>AAA BBB</v>
      </c>
      <c r="J228" t="str">
        <f t="shared" si="10"/>
        <v>XXX</v>
      </c>
      <c r="K228" t="str">
        <f t="shared" si="11"/>
        <v>ZZZ, TN, 38340</v>
      </c>
    </row>
    <row r="229" spans="1:11" x14ac:dyDescent="0.15">
      <c r="A229">
        <v>1018918</v>
      </c>
      <c r="B229" s="54" t="s">
        <v>94</v>
      </c>
      <c r="C229" s="54" t="s">
        <v>95</v>
      </c>
      <c r="D229" s="54" t="s">
        <v>96</v>
      </c>
      <c r="E229" s="54" t="s">
        <v>97</v>
      </c>
      <c r="F229" t="s">
        <v>35</v>
      </c>
      <c r="G229">
        <v>38340</v>
      </c>
      <c r="H229">
        <v>360</v>
      </c>
      <c r="I229" t="str">
        <f t="shared" si="9"/>
        <v>AAA BBB</v>
      </c>
      <c r="J229" t="str">
        <f t="shared" si="10"/>
        <v>XXX</v>
      </c>
      <c r="K229" t="str">
        <f t="shared" si="11"/>
        <v>ZZZ, TN, 38340</v>
      </c>
    </row>
    <row r="230" spans="1:11" x14ac:dyDescent="0.15">
      <c r="A230">
        <v>1018918</v>
      </c>
      <c r="B230" s="54" t="s">
        <v>94</v>
      </c>
      <c r="C230" s="54" t="s">
        <v>95</v>
      </c>
      <c r="D230" s="54" t="s">
        <v>96</v>
      </c>
      <c r="E230" s="54" t="s">
        <v>97</v>
      </c>
      <c r="F230" t="s">
        <v>35</v>
      </c>
      <c r="G230">
        <v>38340</v>
      </c>
      <c r="H230">
        <v>360</v>
      </c>
      <c r="I230" t="str">
        <f t="shared" si="9"/>
        <v>AAA BBB</v>
      </c>
      <c r="J230" t="str">
        <f t="shared" si="10"/>
        <v>XXX</v>
      </c>
      <c r="K230" t="str">
        <f t="shared" si="11"/>
        <v>ZZZ, TN, 38340</v>
      </c>
    </row>
    <row r="231" spans="1:11" x14ac:dyDescent="0.15">
      <c r="A231">
        <v>1018918</v>
      </c>
      <c r="B231" s="54" t="s">
        <v>94</v>
      </c>
      <c r="C231" s="54" t="s">
        <v>95</v>
      </c>
      <c r="D231" s="54" t="s">
        <v>96</v>
      </c>
      <c r="E231" s="54" t="s">
        <v>97</v>
      </c>
      <c r="F231" t="s">
        <v>35</v>
      </c>
      <c r="G231">
        <v>38340</v>
      </c>
      <c r="H231">
        <v>360</v>
      </c>
      <c r="I231" t="str">
        <f t="shared" si="9"/>
        <v>AAA BBB</v>
      </c>
      <c r="J231" t="str">
        <f t="shared" si="10"/>
        <v>XXX</v>
      </c>
      <c r="K231" t="str">
        <f t="shared" si="11"/>
        <v>ZZZ, TN, 38340</v>
      </c>
    </row>
    <row r="232" spans="1:11" x14ac:dyDescent="0.15">
      <c r="A232">
        <v>1018918</v>
      </c>
      <c r="B232" s="54" t="s">
        <v>94</v>
      </c>
      <c r="C232" s="54" t="s">
        <v>95</v>
      </c>
      <c r="D232" s="54" t="s">
        <v>96</v>
      </c>
      <c r="E232" s="54" t="s">
        <v>97</v>
      </c>
      <c r="F232" t="s">
        <v>35</v>
      </c>
      <c r="G232">
        <v>38340</v>
      </c>
      <c r="H232">
        <v>360</v>
      </c>
      <c r="I232" t="str">
        <f t="shared" si="9"/>
        <v>AAA BBB</v>
      </c>
      <c r="J232" t="str">
        <f t="shared" si="10"/>
        <v>XXX</v>
      </c>
      <c r="K232" t="str">
        <f t="shared" si="11"/>
        <v>ZZZ, TN, 38340</v>
      </c>
    </row>
    <row r="233" spans="1:11" x14ac:dyDescent="0.15">
      <c r="A233">
        <v>1018918</v>
      </c>
      <c r="B233" s="54" t="s">
        <v>94</v>
      </c>
      <c r="C233" s="54" t="s">
        <v>95</v>
      </c>
      <c r="D233" s="54" t="s">
        <v>96</v>
      </c>
      <c r="E233" s="54" t="s">
        <v>97</v>
      </c>
      <c r="F233" t="s">
        <v>35</v>
      </c>
      <c r="G233">
        <v>38340</v>
      </c>
      <c r="H233">
        <v>360</v>
      </c>
      <c r="I233" t="str">
        <f t="shared" si="9"/>
        <v>AAA BBB</v>
      </c>
      <c r="J233" t="str">
        <f t="shared" si="10"/>
        <v>XXX</v>
      </c>
      <c r="K233" t="str">
        <f t="shared" si="11"/>
        <v>ZZZ, TN, 38340</v>
      </c>
    </row>
    <row r="234" spans="1:11" x14ac:dyDescent="0.15">
      <c r="A234">
        <v>1018918</v>
      </c>
      <c r="B234" s="54" t="s">
        <v>94</v>
      </c>
      <c r="C234" s="54" t="s">
        <v>95</v>
      </c>
      <c r="D234" s="54" t="s">
        <v>96</v>
      </c>
      <c r="E234" s="54" t="s">
        <v>97</v>
      </c>
      <c r="F234" t="s">
        <v>35</v>
      </c>
      <c r="G234">
        <v>38340</v>
      </c>
      <c r="H234">
        <v>360</v>
      </c>
      <c r="I234" t="str">
        <f t="shared" si="9"/>
        <v>AAA BBB</v>
      </c>
      <c r="J234" t="str">
        <f t="shared" si="10"/>
        <v>XXX</v>
      </c>
      <c r="K234" t="str">
        <f t="shared" si="11"/>
        <v>ZZZ, TN, 38340</v>
      </c>
    </row>
    <row r="235" spans="1:11" x14ac:dyDescent="0.15">
      <c r="A235">
        <v>1018918</v>
      </c>
      <c r="B235" s="54" t="s">
        <v>94</v>
      </c>
      <c r="C235" s="54" t="s">
        <v>95</v>
      </c>
      <c r="D235" s="54" t="s">
        <v>96</v>
      </c>
      <c r="E235" s="54" t="s">
        <v>97</v>
      </c>
      <c r="F235" t="s">
        <v>35</v>
      </c>
      <c r="G235">
        <v>38340</v>
      </c>
      <c r="H235">
        <v>360</v>
      </c>
      <c r="I235" t="str">
        <f t="shared" si="9"/>
        <v>AAA BBB</v>
      </c>
      <c r="J235" t="str">
        <f t="shared" si="10"/>
        <v>XXX</v>
      </c>
      <c r="K235" t="str">
        <f t="shared" si="11"/>
        <v>ZZZ, TN, 38340</v>
      </c>
    </row>
    <row r="236" spans="1:11" x14ac:dyDescent="0.15">
      <c r="A236">
        <v>1018918</v>
      </c>
      <c r="B236" s="54" t="s">
        <v>94</v>
      </c>
      <c r="C236" s="54" t="s">
        <v>95</v>
      </c>
      <c r="D236" s="54" t="s">
        <v>96</v>
      </c>
      <c r="E236" s="54" t="s">
        <v>97</v>
      </c>
      <c r="F236" t="s">
        <v>35</v>
      </c>
      <c r="G236">
        <v>38340</v>
      </c>
      <c r="H236">
        <v>360</v>
      </c>
      <c r="I236" t="str">
        <f t="shared" si="9"/>
        <v>AAA BBB</v>
      </c>
      <c r="J236" t="str">
        <f t="shared" si="10"/>
        <v>XXX</v>
      </c>
      <c r="K236" t="str">
        <f t="shared" si="11"/>
        <v>ZZZ, TN, 38340</v>
      </c>
    </row>
    <row r="237" spans="1:11" x14ac:dyDescent="0.15">
      <c r="A237">
        <v>1018918</v>
      </c>
      <c r="B237" s="54" t="s">
        <v>94</v>
      </c>
      <c r="C237" s="54" t="s">
        <v>95</v>
      </c>
      <c r="D237" s="54" t="s">
        <v>96</v>
      </c>
      <c r="E237" s="54" t="s">
        <v>97</v>
      </c>
      <c r="F237" t="s">
        <v>35</v>
      </c>
      <c r="G237">
        <v>38340</v>
      </c>
      <c r="H237">
        <v>360</v>
      </c>
      <c r="I237" t="str">
        <f t="shared" si="9"/>
        <v>AAA BBB</v>
      </c>
      <c r="J237" t="str">
        <f t="shared" si="10"/>
        <v>XXX</v>
      </c>
      <c r="K237" t="str">
        <f t="shared" si="11"/>
        <v>ZZZ, TN, 38340</v>
      </c>
    </row>
    <row r="238" spans="1:11" x14ac:dyDescent="0.15">
      <c r="A238">
        <v>1018918</v>
      </c>
      <c r="B238" s="54" t="s">
        <v>94</v>
      </c>
      <c r="C238" s="54" t="s">
        <v>95</v>
      </c>
      <c r="D238" s="54" t="s">
        <v>96</v>
      </c>
      <c r="E238" s="54" t="s">
        <v>97</v>
      </c>
      <c r="F238" t="s">
        <v>35</v>
      </c>
      <c r="G238">
        <v>38340</v>
      </c>
      <c r="H238">
        <v>360</v>
      </c>
      <c r="I238" t="str">
        <f t="shared" si="9"/>
        <v>AAA BBB</v>
      </c>
      <c r="J238" t="str">
        <f t="shared" si="10"/>
        <v>XXX</v>
      </c>
      <c r="K238" t="str">
        <f t="shared" si="11"/>
        <v>ZZZ, TN, 38340</v>
      </c>
    </row>
    <row r="239" spans="1:11" x14ac:dyDescent="0.15">
      <c r="A239">
        <v>1018918</v>
      </c>
      <c r="B239" s="54" t="s">
        <v>94</v>
      </c>
      <c r="C239" s="54" t="s">
        <v>95</v>
      </c>
      <c r="D239" s="54" t="s">
        <v>96</v>
      </c>
      <c r="E239" s="54" t="s">
        <v>97</v>
      </c>
      <c r="F239" t="s">
        <v>35</v>
      </c>
      <c r="G239">
        <v>38340</v>
      </c>
      <c r="H239">
        <v>360</v>
      </c>
      <c r="I239" t="str">
        <f t="shared" si="9"/>
        <v>AAA BBB</v>
      </c>
      <c r="J239" t="str">
        <f t="shared" si="10"/>
        <v>XXX</v>
      </c>
      <c r="K239" t="str">
        <f t="shared" si="11"/>
        <v>ZZZ, TN, 38340</v>
      </c>
    </row>
    <row r="240" spans="1:11" x14ac:dyDescent="0.15">
      <c r="A240">
        <v>1018918</v>
      </c>
      <c r="B240" s="54" t="s">
        <v>94</v>
      </c>
      <c r="C240" s="54" t="s">
        <v>95</v>
      </c>
      <c r="D240" s="54" t="s">
        <v>96</v>
      </c>
      <c r="E240" s="54" t="s">
        <v>97</v>
      </c>
      <c r="F240" t="s">
        <v>35</v>
      </c>
      <c r="G240">
        <v>38340</v>
      </c>
      <c r="H240">
        <v>360</v>
      </c>
      <c r="I240" t="str">
        <f t="shared" si="9"/>
        <v>AAA BBB</v>
      </c>
      <c r="J240" t="str">
        <f t="shared" si="10"/>
        <v>XXX</v>
      </c>
      <c r="K240" t="str">
        <f t="shared" si="11"/>
        <v>ZZZ, TN, 38340</v>
      </c>
    </row>
    <row r="241" spans="1:11" x14ac:dyDescent="0.15">
      <c r="A241">
        <v>1018918</v>
      </c>
      <c r="B241" s="54" t="s">
        <v>94</v>
      </c>
      <c r="C241" s="54" t="s">
        <v>95</v>
      </c>
      <c r="D241" s="54" t="s">
        <v>96</v>
      </c>
      <c r="E241" s="54" t="s">
        <v>97</v>
      </c>
      <c r="F241" t="s">
        <v>35</v>
      </c>
      <c r="G241">
        <v>38340</v>
      </c>
      <c r="H241">
        <v>360</v>
      </c>
      <c r="I241" t="str">
        <f t="shared" si="9"/>
        <v>AAA BBB</v>
      </c>
      <c r="J241" t="str">
        <f t="shared" si="10"/>
        <v>XXX</v>
      </c>
      <c r="K241" t="str">
        <f t="shared" si="11"/>
        <v>ZZZ, TN, 38340</v>
      </c>
    </row>
    <row r="242" spans="1:11" x14ac:dyDescent="0.15">
      <c r="A242">
        <v>1018918</v>
      </c>
      <c r="B242" s="54" t="s">
        <v>94</v>
      </c>
      <c r="C242" s="54" t="s">
        <v>95</v>
      </c>
      <c r="D242" s="54" t="s">
        <v>96</v>
      </c>
      <c r="E242" s="54" t="s">
        <v>97</v>
      </c>
      <c r="F242" t="s">
        <v>35</v>
      </c>
      <c r="G242">
        <v>38340</v>
      </c>
      <c r="H242">
        <v>360</v>
      </c>
      <c r="I242" t="str">
        <f t="shared" si="9"/>
        <v>AAA BBB</v>
      </c>
      <c r="J242" t="str">
        <f t="shared" si="10"/>
        <v>XXX</v>
      </c>
      <c r="K242" t="str">
        <f t="shared" si="11"/>
        <v>ZZZ, TN, 38340</v>
      </c>
    </row>
    <row r="243" spans="1:11" x14ac:dyDescent="0.15">
      <c r="A243">
        <v>1018918</v>
      </c>
      <c r="B243" s="54" t="s">
        <v>94</v>
      </c>
      <c r="C243" s="54" t="s">
        <v>95</v>
      </c>
      <c r="D243" s="54" t="s">
        <v>96</v>
      </c>
      <c r="E243" s="54" t="s">
        <v>97</v>
      </c>
      <c r="F243" t="s">
        <v>35</v>
      </c>
      <c r="G243">
        <v>38340</v>
      </c>
      <c r="H243">
        <v>360</v>
      </c>
      <c r="I243" t="str">
        <f t="shared" si="9"/>
        <v>AAA BBB</v>
      </c>
      <c r="J243" t="str">
        <f t="shared" si="10"/>
        <v>XXX</v>
      </c>
      <c r="K243" t="str">
        <f t="shared" si="11"/>
        <v>ZZZ, TN, 38340</v>
      </c>
    </row>
    <row r="244" spans="1:11" x14ac:dyDescent="0.15">
      <c r="A244">
        <v>1018918</v>
      </c>
      <c r="B244" s="54" t="s">
        <v>94</v>
      </c>
      <c r="C244" s="54" t="s">
        <v>95</v>
      </c>
      <c r="D244" s="54" t="s">
        <v>96</v>
      </c>
      <c r="E244" s="54" t="s">
        <v>97</v>
      </c>
      <c r="F244" t="s">
        <v>35</v>
      </c>
      <c r="G244">
        <v>38340</v>
      </c>
      <c r="H244">
        <v>360</v>
      </c>
      <c r="I244" t="str">
        <f t="shared" si="9"/>
        <v>AAA BBB</v>
      </c>
      <c r="J244" t="str">
        <f t="shared" si="10"/>
        <v>XXX</v>
      </c>
      <c r="K244" t="str">
        <f t="shared" si="11"/>
        <v>ZZZ, TN, 38340</v>
      </c>
    </row>
    <row r="245" spans="1:11" x14ac:dyDescent="0.15">
      <c r="A245">
        <v>1018918</v>
      </c>
      <c r="B245" s="54" t="s">
        <v>94</v>
      </c>
      <c r="C245" s="54" t="s">
        <v>95</v>
      </c>
      <c r="D245" s="54" t="s">
        <v>96</v>
      </c>
      <c r="E245" s="54" t="s">
        <v>97</v>
      </c>
      <c r="F245" t="s">
        <v>35</v>
      </c>
      <c r="G245">
        <v>38340</v>
      </c>
      <c r="H245">
        <v>360</v>
      </c>
      <c r="I245" t="str">
        <f t="shared" si="9"/>
        <v>AAA BBB</v>
      </c>
      <c r="J245" t="str">
        <f t="shared" si="10"/>
        <v>XXX</v>
      </c>
      <c r="K245" t="str">
        <f t="shared" si="11"/>
        <v>ZZZ, TN, 38340</v>
      </c>
    </row>
    <row r="246" spans="1:11" x14ac:dyDescent="0.15">
      <c r="A246">
        <v>1018918</v>
      </c>
      <c r="B246" s="54" t="s">
        <v>94</v>
      </c>
      <c r="C246" s="54" t="s">
        <v>95</v>
      </c>
      <c r="D246" s="54" t="s">
        <v>96</v>
      </c>
      <c r="E246" s="54" t="s">
        <v>97</v>
      </c>
      <c r="F246" t="s">
        <v>35</v>
      </c>
      <c r="G246">
        <v>38340</v>
      </c>
      <c r="H246">
        <v>360</v>
      </c>
      <c r="I246" t="str">
        <f t="shared" si="9"/>
        <v>AAA BBB</v>
      </c>
      <c r="J246" t="str">
        <f t="shared" si="10"/>
        <v>XXX</v>
      </c>
      <c r="K246" t="str">
        <f t="shared" si="11"/>
        <v>ZZZ, TN, 38340</v>
      </c>
    </row>
    <row r="247" spans="1:11" x14ac:dyDescent="0.15">
      <c r="A247">
        <v>1018918</v>
      </c>
      <c r="B247" s="54" t="s">
        <v>94</v>
      </c>
      <c r="C247" s="54" t="s">
        <v>95</v>
      </c>
      <c r="D247" s="54" t="s">
        <v>96</v>
      </c>
      <c r="E247" s="54" t="s">
        <v>97</v>
      </c>
      <c r="F247" t="s">
        <v>35</v>
      </c>
      <c r="G247">
        <v>38340</v>
      </c>
      <c r="H247">
        <v>360</v>
      </c>
      <c r="I247" t="str">
        <f t="shared" si="9"/>
        <v>AAA BBB</v>
      </c>
      <c r="J247" t="str">
        <f t="shared" si="10"/>
        <v>XXX</v>
      </c>
      <c r="K247" t="str">
        <f t="shared" si="11"/>
        <v>ZZZ, TN, 38340</v>
      </c>
    </row>
    <row r="248" spans="1:11" x14ac:dyDescent="0.15">
      <c r="A248">
        <v>1018918</v>
      </c>
      <c r="B248" s="54" t="s">
        <v>94</v>
      </c>
      <c r="C248" s="54" t="s">
        <v>95</v>
      </c>
      <c r="D248" s="54" t="s">
        <v>96</v>
      </c>
      <c r="E248" s="54" t="s">
        <v>97</v>
      </c>
      <c r="F248" t="s">
        <v>35</v>
      </c>
      <c r="G248">
        <v>38340</v>
      </c>
      <c r="H248">
        <v>360</v>
      </c>
      <c r="I248" t="str">
        <f t="shared" si="9"/>
        <v>AAA BBB</v>
      </c>
      <c r="J248" t="str">
        <f t="shared" si="10"/>
        <v>XXX</v>
      </c>
      <c r="K248" t="str">
        <f t="shared" si="11"/>
        <v>ZZZ, TN, 38340</v>
      </c>
    </row>
    <row r="249" spans="1:11" x14ac:dyDescent="0.15">
      <c r="A249">
        <v>1018918</v>
      </c>
      <c r="B249" s="54" t="s">
        <v>94</v>
      </c>
      <c r="C249" s="54" t="s">
        <v>95</v>
      </c>
      <c r="D249" s="54" t="s">
        <v>96</v>
      </c>
      <c r="E249" s="54" t="s">
        <v>97</v>
      </c>
      <c r="F249" t="s">
        <v>35</v>
      </c>
      <c r="G249">
        <v>38340</v>
      </c>
      <c r="H249">
        <v>360</v>
      </c>
      <c r="I249" t="str">
        <f t="shared" si="9"/>
        <v>AAA BBB</v>
      </c>
      <c r="J249" t="str">
        <f t="shared" si="10"/>
        <v>XXX</v>
      </c>
      <c r="K249" t="str">
        <f t="shared" si="11"/>
        <v>ZZZ, TN, 38340</v>
      </c>
    </row>
    <row r="250" spans="1:11" x14ac:dyDescent="0.15">
      <c r="A250">
        <v>1018918</v>
      </c>
      <c r="B250" s="54" t="s">
        <v>94</v>
      </c>
      <c r="C250" s="54" t="s">
        <v>95</v>
      </c>
      <c r="D250" s="54" t="s">
        <v>96</v>
      </c>
      <c r="E250" s="54" t="s">
        <v>97</v>
      </c>
      <c r="F250" t="s">
        <v>35</v>
      </c>
      <c r="G250">
        <v>38340</v>
      </c>
      <c r="H250">
        <v>360</v>
      </c>
      <c r="I250" t="str">
        <f t="shared" si="9"/>
        <v>AAA BBB</v>
      </c>
      <c r="J250" t="str">
        <f t="shared" si="10"/>
        <v>XXX</v>
      </c>
      <c r="K250" t="str">
        <f t="shared" si="11"/>
        <v>ZZZ, TN, 38340</v>
      </c>
    </row>
    <row r="251" spans="1:11" x14ac:dyDescent="0.15">
      <c r="A251">
        <v>1018918</v>
      </c>
      <c r="B251" s="54" t="s">
        <v>94</v>
      </c>
      <c r="C251" s="54" t="s">
        <v>95</v>
      </c>
      <c r="D251" s="54" t="s">
        <v>96</v>
      </c>
      <c r="E251" s="54" t="s">
        <v>97</v>
      </c>
      <c r="F251" t="s">
        <v>35</v>
      </c>
      <c r="G251">
        <v>38340</v>
      </c>
      <c r="H251">
        <v>360</v>
      </c>
      <c r="I251" t="str">
        <f t="shared" si="9"/>
        <v>AAA BBB</v>
      </c>
      <c r="J251" t="str">
        <f t="shared" si="10"/>
        <v>XXX</v>
      </c>
      <c r="K251" t="str">
        <f t="shared" si="11"/>
        <v>ZZZ, TN, 38340</v>
      </c>
    </row>
    <row r="252" spans="1:11" x14ac:dyDescent="0.15">
      <c r="A252">
        <v>1018918</v>
      </c>
      <c r="B252" s="54" t="s">
        <v>94</v>
      </c>
      <c r="C252" s="54" t="s">
        <v>95</v>
      </c>
      <c r="D252" s="54" t="s">
        <v>96</v>
      </c>
      <c r="E252" s="54" t="s">
        <v>97</v>
      </c>
      <c r="F252" t="s">
        <v>35</v>
      </c>
      <c r="G252">
        <v>38340</v>
      </c>
      <c r="H252">
        <v>360</v>
      </c>
      <c r="I252" t="str">
        <f t="shared" si="9"/>
        <v>AAA BBB</v>
      </c>
      <c r="J252" t="str">
        <f t="shared" si="10"/>
        <v>XXX</v>
      </c>
      <c r="K252" t="str">
        <f t="shared" si="11"/>
        <v>ZZZ, TN, 38340</v>
      </c>
    </row>
    <row r="253" spans="1:11" x14ac:dyDescent="0.15">
      <c r="A253">
        <v>1018918</v>
      </c>
      <c r="B253" s="54" t="s">
        <v>94</v>
      </c>
      <c r="C253" s="54" t="s">
        <v>95</v>
      </c>
      <c r="D253" s="54" t="s">
        <v>96</v>
      </c>
      <c r="E253" s="54" t="s">
        <v>97</v>
      </c>
      <c r="F253" t="s">
        <v>35</v>
      </c>
      <c r="G253">
        <v>38340</v>
      </c>
      <c r="H253">
        <v>360</v>
      </c>
      <c r="I253" t="str">
        <f t="shared" si="9"/>
        <v>AAA BBB</v>
      </c>
      <c r="J253" t="str">
        <f t="shared" si="10"/>
        <v>XXX</v>
      </c>
      <c r="K253" t="str">
        <f t="shared" si="11"/>
        <v>ZZZ, TN, 38340</v>
      </c>
    </row>
    <row r="254" spans="1:11" x14ac:dyDescent="0.15">
      <c r="A254">
        <v>1018918</v>
      </c>
      <c r="B254" s="54" t="s">
        <v>94</v>
      </c>
      <c r="C254" s="54" t="s">
        <v>95</v>
      </c>
      <c r="D254" s="54" t="s">
        <v>96</v>
      </c>
      <c r="E254" s="54" t="s">
        <v>97</v>
      </c>
      <c r="F254" t="s">
        <v>35</v>
      </c>
      <c r="G254">
        <v>38340</v>
      </c>
      <c r="H254">
        <v>360</v>
      </c>
      <c r="I254" t="str">
        <f t="shared" si="9"/>
        <v>AAA BBB</v>
      </c>
      <c r="J254" t="str">
        <f t="shared" si="10"/>
        <v>XXX</v>
      </c>
      <c r="K254" t="str">
        <f t="shared" si="11"/>
        <v>ZZZ, TN, 38340</v>
      </c>
    </row>
    <row r="255" spans="1:11" x14ac:dyDescent="0.15">
      <c r="A255">
        <v>1018918</v>
      </c>
      <c r="B255" s="54" t="s">
        <v>94</v>
      </c>
      <c r="C255" s="54" t="s">
        <v>95</v>
      </c>
      <c r="D255" s="54" t="s">
        <v>96</v>
      </c>
      <c r="E255" s="54" t="s">
        <v>97</v>
      </c>
      <c r="F255" t="s">
        <v>35</v>
      </c>
      <c r="G255">
        <v>38340</v>
      </c>
      <c r="H255">
        <v>360</v>
      </c>
      <c r="I255" t="str">
        <f t="shared" si="9"/>
        <v>AAA BBB</v>
      </c>
      <c r="J255" t="str">
        <f t="shared" si="10"/>
        <v>XXX</v>
      </c>
      <c r="K255" t="str">
        <f t="shared" si="11"/>
        <v>ZZZ, TN, 38340</v>
      </c>
    </row>
    <row r="256" spans="1:11" x14ac:dyDescent="0.15">
      <c r="A256">
        <v>1018918</v>
      </c>
      <c r="B256" s="54" t="s">
        <v>94</v>
      </c>
      <c r="C256" s="54" t="s">
        <v>95</v>
      </c>
      <c r="D256" s="54" t="s">
        <v>96</v>
      </c>
      <c r="E256" s="54" t="s">
        <v>97</v>
      </c>
      <c r="F256" t="s">
        <v>35</v>
      </c>
      <c r="G256">
        <v>38340</v>
      </c>
      <c r="H256">
        <v>360</v>
      </c>
      <c r="I256" t="str">
        <f t="shared" si="9"/>
        <v>AAA BBB</v>
      </c>
      <c r="J256" t="str">
        <f t="shared" si="10"/>
        <v>XXX</v>
      </c>
      <c r="K256" t="str">
        <f t="shared" si="11"/>
        <v>ZZZ, TN, 38340</v>
      </c>
    </row>
    <row r="257" spans="1:11" x14ac:dyDescent="0.15">
      <c r="A257">
        <v>1018918</v>
      </c>
      <c r="B257" s="54" t="s">
        <v>94</v>
      </c>
      <c r="C257" s="54" t="s">
        <v>95</v>
      </c>
      <c r="D257" s="54" t="s">
        <v>96</v>
      </c>
      <c r="E257" s="54" t="s">
        <v>97</v>
      </c>
      <c r="F257" t="s">
        <v>35</v>
      </c>
      <c r="G257">
        <v>38340</v>
      </c>
      <c r="H257">
        <v>360</v>
      </c>
      <c r="I257" t="str">
        <f t="shared" si="9"/>
        <v>AAA BBB</v>
      </c>
      <c r="J257" t="str">
        <f t="shared" si="10"/>
        <v>XXX</v>
      </c>
      <c r="K257" t="str">
        <f t="shared" si="11"/>
        <v>ZZZ, TN, 38340</v>
      </c>
    </row>
    <row r="258" spans="1:11" x14ac:dyDescent="0.15">
      <c r="A258">
        <v>1018918</v>
      </c>
      <c r="B258" s="54" t="s">
        <v>94</v>
      </c>
      <c r="C258" s="54" t="s">
        <v>95</v>
      </c>
      <c r="D258" s="54" t="s">
        <v>96</v>
      </c>
      <c r="E258" s="54" t="s">
        <v>97</v>
      </c>
      <c r="F258" t="s">
        <v>35</v>
      </c>
      <c r="G258">
        <v>38340</v>
      </c>
      <c r="H258">
        <v>360</v>
      </c>
      <c r="I258" t="str">
        <f t="shared" si="9"/>
        <v>AAA BBB</v>
      </c>
      <c r="J258" t="str">
        <f t="shared" si="10"/>
        <v>XXX</v>
      </c>
      <c r="K258" t="str">
        <f t="shared" si="11"/>
        <v>ZZZ, TN, 38340</v>
      </c>
    </row>
    <row r="259" spans="1:11" x14ac:dyDescent="0.15">
      <c r="A259">
        <v>1018918</v>
      </c>
      <c r="B259" s="54" t="s">
        <v>94</v>
      </c>
      <c r="C259" s="54" t="s">
        <v>95</v>
      </c>
      <c r="D259" s="54" t="s">
        <v>96</v>
      </c>
      <c r="E259" s="54" t="s">
        <v>97</v>
      </c>
      <c r="F259" t="s">
        <v>35</v>
      </c>
      <c r="G259">
        <v>38340</v>
      </c>
      <c r="H259">
        <v>360</v>
      </c>
      <c r="I259" t="str">
        <f t="shared" ref="I259:I322" si="12">CONCATENATE(B259," ",C259)</f>
        <v>AAA BBB</v>
      </c>
      <c r="J259" t="str">
        <f t="shared" ref="J259:J322" si="13">D259</f>
        <v>XXX</v>
      </c>
      <c r="K259" t="str">
        <f t="shared" ref="K259:K322" si="14">CONCATENATE(E259,","," ",F259,","," ",G259)</f>
        <v>ZZZ, TN, 38340</v>
      </c>
    </row>
    <row r="260" spans="1:11" x14ac:dyDescent="0.15">
      <c r="A260">
        <v>1018918</v>
      </c>
      <c r="B260" s="54" t="s">
        <v>94</v>
      </c>
      <c r="C260" s="54" t="s">
        <v>95</v>
      </c>
      <c r="D260" s="54" t="s">
        <v>96</v>
      </c>
      <c r="E260" s="54" t="s">
        <v>97</v>
      </c>
      <c r="F260" t="s">
        <v>35</v>
      </c>
      <c r="G260">
        <v>38340</v>
      </c>
      <c r="H260">
        <v>360</v>
      </c>
      <c r="I260" t="str">
        <f t="shared" si="12"/>
        <v>AAA BBB</v>
      </c>
      <c r="J260" t="str">
        <f t="shared" si="13"/>
        <v>XXX</v>
      </c>
      <c r="K260" t="str">
        <f t="shared" si="14"/>
        <v>ZZZ, TN, 38340</v>
      </c>
    </row>
    <row r="261" spans="1:11" x14ac:dyDescent="0.15">
      <c r="A261">
        <v>1018918</v>
      </c>
      <c r="B261" s="54" t="s">
        <v>94</v>
      </c>
      <c r="C261" s="54" t="s">
        <v>95</v>
      </c>
      <c r="D261" s="54" t="s">
        <v>96</v>
      </c>
      <c r="E261" s="54" t="s">
        <v>97</v>
      </c>
      <c r="F261" t="s">
        <v>35</v>
      </c>
      <c r="G261">
        <v>38340</v>
      </c>
      <c r="H261">
        <v>360</v>
      </c>
      <c r="I261" t="str">
        <f t="shared" si="12"/>
        <v>AAA BBB</v>
      </c>
      <c r="J261" t="str">
        <f t="shared" si="13"/>
        <v>XXX</v>
      </c>
      <c r="K261" t="str">
        <f t="shared" si="14"/>
        <v>ZZZ, TN, 38340</v>
      </c>
    </row>
    <row r="262" spans="1:11" x14ac:dyDescent="0.15">
      <c r="A262">
        <v>1018918</v>
      </c>
      <c r="B262" s="54" t="s">
        <v>94</v>
      </c>
      <c r="C262" s="54" t="s">
        <v>95</v>
      </c>
      <c r="D262" s="54" t="s">
        <v>96</v>
      </c>
      <c r="E262" s="54" t="s">
        <v>97</v>
      </c>
      <c r="F262" t="s">
        <v>35</v>
      </c>
      <c r="G262">
        <v>38340</v>
      </c>
      <c r="H262">
        <v>360</v>
      </c>
      <c r="I262" t="str">
        <f t="shared" si="12"/>
        <v>AAA BBB</v>
      </c>
      <c r="J262" t="str">
        <f t="shared" si="13"/>
        <v>XXX</v>
      </c>
      <c r="K262" t="str">
        <f t="shared" si="14"/>
        <v>ZZZ, TN, 38340</v>
      </c>
    </row>
    <row r="263" spans="1:11" x14ac:dyDescent="0.15">
      <c r="A263">
        <v>1018918</v>
      </c>
      <c r="B263" s="54" t="s">
        <v>94</v>
      </c>
      <c r="C263" s="54" t="s">
        <v>95</v>
      </c>
      <c r="D263" s="54" t="s">
        <v>96</v>
      </c>
      <c r="E263" s="54" t="s">
        <v>97</v>
      </c>
      <c r="F263" t="s">
        <v>35</v>
      </c>
      <c r="G263">
        <v>38340</v>
      </c>
      <c r="H263">
        <v>360</v>
      </c>
      <c r="I263" t="str">
        <f t="shared" si="12"/>
        <v>AAA BBB</v>
      </c>
      <c r="J263" t="str">
        <f t="shared" si="13"/>
        <v>XXX</v>
      </c>
      <c r="K263" t="str">
        <f t="shared" si="14"/>
        <v>ZZZ, TN, 38340</v>
      </c>
    </row>
    <row r="264" spans="1:11" x14ac:dyDescent="0.15">
      <c r="A264">
        <v>1018918</v>
      </c>
      <c r="B264" s="54" t="s">
        <v>94</v>
      </c>
      <c r="C264" s="54" t="s">
        <v>95</v>
      </c>
      <c r="D264" s="54" t="s">
        <v>96</v>
      </c>
      <c r="E264" s="54" t="s">
        <v>97</v>
      </c>
      <c r="F264" t="s">
        <v>35</v>
      </c>
      <c r="G264">
        <v>38340</v>
      </c>
      <c r="H264">
        <v>360</v>
      </c>
      <c r="I264" t="str">
        <f t="shared" si="12"/>
        <v>AAA BBB</v>
      </c>
      <c r="J264" t="str">
        <f t="shared" si="13"/>
        <v>XXX</v>
      </c>
      <c r="K264" t="str">
        <f t="shared" si="14"/>
        <v>ZZZ, TN, 38340</v>
      </c>
    </row>
    <row r="265" spans="1:11" x14ac:dyDescent="0.15">
      <c r="A265">
        <v>1018918</v>
      </c>
      <c r="B265" s="54" t="s">
        <v>94</v>
      </c>
      <c r="C265" s="54" t="s">
        <v>95</v>
      </c>
      <c r="D265" s="54" t="s">
        <v>96</v>
      </c>
      <c r="E265" s="54" t="s">
        <v>97</v>
      </c>
      <c r="F265" t="s">
        <v>35</v>
      </c>
      <c r="G265">
        <v>38340</v>
      </c>
      <c r="H265">
        <v>360</v>
      </c>
      <c r="I265" t="str">
        <f t="shared" si="12"/>
        <v>AAA BBB</v>
      </c>
      <c r="J265" t="str">
        <f t="shared" si="13"/>
        <v>XXX</v>
      </c>
      <c r="K265" t="str">
        <f t="shared" si="14"/>
        <v>ZZZ, TN, 38340</v>
      </c>
    </row>
    <row r="266" spans="1:11" x14ac:dyDescent="0.15">
      <c r="A266">
        <v>1018918</v>
      </c>
      <c r="B266" s="54" t="s">
        <v>94</v>
      </c>
      <c r="C266" s="54" t="s">
        <v>95</v>
      </c>
      <c r="D266" s="54" t="s">
        <v>96</v>
      </c>
      <c r="E266" s="54" t="s">
        <v>97</v>
      </c>
      <c r="F266" t="s">
        <v>35</v>
      </c>
      <c r="G266">
        <v>38340</v>
      </c>
      <c r="H266">
        <v>360</v>
      </c>
      <c r="I266" t="str">
        <f t="shared" si="12"/>
        <v>AAA BBB</v>
      </c>
      <c r="J266" t="str">
        <f t="shared" si="13"/>
        <v>XXX</v>
      </c>
      <c r="K266" t="str">
        <f t="shared" si="14"/>
        <v>ZZZ, TN, 38340</v>
      </c>
    </row>
    <row r="267" spans="1:11" x14ac:dyDescent="0.15">
      <c r="A267">
        <v>1018918</v>
      </c>
      <c r="B267" s="54" t="s">
        <v>94</v>
      </c>
      <c r="C267" s="54" t="s">
        <v>95</v>
      </c>
      <c r="D267" s="54" t="s">
        <v>96</v>
      </c>
      <c r="E267" s="54" t="s">
        <v>97</v>
      </c>
      <c r="F267" t="s">
        <v>35</v>
      </c>
      <c r="G267">
        <v>38340</v>
      </c>
      <c r="H267">
        <v>360</v>
      </c>
      <c r="I267" t="str">
        <f t="shared" si="12"/>
        <v>AAA BBB</v>
      </c>
      <c r="J267" t="str">
        <f t="shared" si="13"/>
        <v>XXX</v>
      </c>
      <c r="K267" t="str">
        <f t="shared" si="14"/>
        <v>ZZZ, TN, 38340</v>
      </c>
    </row>
    <row r="268" spans="1:11" x14ac:dyDescent="0.15">
      <c r="A268">
        <v>1018918</v>
      </c>
      <c r="B268" s="54" t="s">
        <v>94</v>
      </c>
      <c r="C268" s="54" t="s">
        <v>95</v>
      </c>
      <c r="D268" s="54" t="s">
        <v>96</v>
      </c>
      <c r="E268" s="54" t="s">
        <v>97</v>
      </c>
      <c r="F268" t="s">
        <v>35</v>
      </c>
      <c r="G268">
        <v>38340</v>
      </c>
      <c r="H268">
        <v>360</v>
      </c>
      <c r="I268" t="str">
        <f t="shared" si="12"/>
        <v>AAA BBB</v>
      </c>
      <c r="J268" t="str">
        <f t="shared" si="13"/>
        <v>XXX</v>
      </c>
      <c r="K268" t="str">
        <f t="shared" si="14"/>
        <v>ZZZ, TN, 38340</v>
      </c>
    </row>
    <row r="269" spans="1:11" x14ac:dyDescent="0.15">
      <c r="A269">
        <v>1018918</v>
      </c>
      <c r="B269" s="54" t="s">
        <v>94</v>
      </c>
      <c r="C269" s="54" t="s">
        <v>95</v>
      </c>
      <c r="D269" s="54" t="s">
        <v>96</v>
      </c>
      <c r="E269" s="54" t="s">
        <v>97</v>
      </c>
      <c r="F269" t="s">
        <v>35</v>
      </c>
      <c r="G269">
        <v>38340</v>
      </c>
      <c r="H269">
        <v>360</v>
      </c>
      <c r="I269" t="str">
        <f t="shared" si="12"/>
        <v>AAA BBB</v>
      </c>
      <c r="J269" t="str">
        <f t="shared" si="13"/>
        <v>XXX</v>
      </c>
      <c r="K269" t="str">
        <f t="shared" si="14"/>
        <v>ZZZ, TN, 38340</v>
      </c>
    </row>
    <row r="270" spans="1:11" x14ac:dyDescent="0.15">
      <c r="A270">
        <v>1018918</v>
      </c>
      <c r="B270" s="54" t="s">
        <v>94</v>
      </c>
      <c r="C270" s="54" t="s">
        <v>95</v>
      </c>
      <c r="D270" s="54" t="s">
        <v>96</v>
      </c>
      <c r="E270" s="54" t="s">
        <v>97</v>
      </c>
      <c r="F270" t="s">
        <v>35</v>
      </c>
      <c r="G270">
        <v>38340</v>
      </c>
      <c r="H270">
        <v>360</v>
      </c>
      <c r="I270" t="str">
        <f t="shared" si="12"/>
        <v>AAA BBB</v>
      </c>
      <c r="J270" t="str">
        <f t="shared" si="13"/>
        <v>XXX</v>
      </c>
      <c r="K270" t="str">
        <f t="shared" si="14"/>
        <v>ZZZ, TN, 38340</v>
      </c>
    </row>
    <row r="271" spans="1:11" x14ac:dyDescent="0.15">
      <c r="A271">
        <v>1018918</v>
      </c>
      <c r="B271" s="54" t="s">
        <v>94</v>
      </c>
      <c r="C271" s="54" t="s">
        <v>95</v>
      </c>
      <c r="D271" s="54" t="s">
        <v>96</v>
      </c>
      <c r="E271" s="54" t="s">
        <v>97</v>
      </c>
      <c r="F271" t="s">
        <v>35</v>
      </c>
      <c r="G271">
        <v>38340</v>
      </c>
      <c r="H271">
        <v>360</v>
      </c>
      <c r="I271" t="str">
        <f t="shared" si="12"/>
        <v>AAA BBB</v>
      </c>
      <c r="J271" t="str">
        <f t="shared" si="13"/>
        <v>XXX</v>
      </c>
      <c r="K271" t="str">
        <f t="shared" si="14"/>
        <v>ZZZ, TN, 38340</v>
      </c>
    </row>
    <row r="272" spans="1:11" x14ac:dyDescent="0.15">
      <c r="A272">
        <v>1018918</v>
      </c>
      <c r="B272" s="54" t="s">
        <v>94</v>
      </c>
      <c r="C272" s="54" t="s">
        <v>95</v>
      </c>
      <c r="D272" s="54" t="s">
        <v>96</v>
      </c>
      <c r="E272" s="54" t="s">
        <v>97</v>
      </c>
      <c r="F272" t="s">
        <v>35</v>
      </c>
      <c r="G272">
        <v>38340</v>
      </c>
      <c r="H272">
        <v>360</v>
      </c>
      <c r="I272" t="str">
        <f t="shared" si="12"/>
        <v>AAA BBB</v>
      </c>
      <c r="J272" t="str">
        <f t="shared" si="13"/>
        <v>XXX</v>
      </c>
      <c r="K272" t="str">
        <f t="shared" si="14"/>
        <v>ZZZ, TN, 38340</v>
      </c>
    </row>
    <row r="273" spans="1:11" x14ac:dyDescent="0.15">
      <c r="A273">
        <v>1018918</v>
      </c>
      <c r="B273" s="54" t="s">
        <v>94</v>
      </c>
      <c r="C273" s="54" t="s">
        <v>95</v>
      </c>
      <c r="D273" s="54" t="s">
        <v>96</v>
      </c>
      <c r="E273" s="54" t="s">
        <v>97</v>
      </c>
      <c r="F273" t="s">
        <v>35</v>
      </c>
      <c r="G273">
        <v>38340</v>
      </c>
      <c r="H273">
        <v>360</v>
      </c>
      <c r="I273" t="str">
        <f t="shared" si="12"/>
        <v>AAA BBB</v>
      </c>
      <c r="J273" t="str">
        <f t="shared" si="13"/>
        <v>XXX</v>
      </c>
      <c r="K273" t="str">
        <f t="shared" si="14"/>
        <v>ZZZ, TN, 38340</v>
      </c>
    </row>
    <row r="274" spans="1:11" x14ac:dyDescent="0.15">
      <c r="A274">
        <v>1018918</v>
      </c>
      <c r="B274" s="54" t="s">
        <v>94</v>
      </c>
      <c r="C274" s="54" t="s">
        <v>95</v>
      </c>
      <c r="D274" s="54" t="s">
        <v>96</v>
      </c>
      <c r="E274" s="54" t="s">
        <v>97</v>
      </c>
      <c r="F274" t="s">
        <v>35</v>
      </c>
      <c r="G274">
        <v>38340</v>
      </c>
      <c r="H274">
        <v>360</v>
      </c>
      <c r="I274" t="str">
        <f t="shared" si="12"/>
        <v>AAA BBB</v>
      </c>
      <c r="J274" t="str">
        <f t="shared" si="13"/>
        <v>XXX</v>
      </c>
      <c r="K274" t="str">
        <f t="shared" si="14"/>
        <v>ZZZ, TN, 38340</v>
      </c>
    </row>
    <row r="275" spans="1:11" x14ac:dyDescent="0.15">
      <c r="A275">
        <v>1018918</v>
      </c>
      <c r="B275" s="54" t="s">
        <v>94</v>
      </c>
      <c r="C275" s="54" t="s">
        <v>95</v>
      </c>
      <c r="D275" s="54" t="s">
        <v>96</v>
      </c>
      <c r="E275" s="54" t="s">
        <v>97</v>
      </c>
      <c r="F275" t="s">
        <v>35</v>
      </c>
      <c r="G275">
        <v>38340</v>
      </c>
      <c r="H275">
        <v>360</v>
      </c>
      <c r="I275" t="str">
        <f t="shared" si="12"/>
        <v>AAA BBB</v>
      </c>
      <c r="J275" t="str">
        <f t="shared" si="13"/>
        <v>XXX</v>
      </c>
      <c r="K275" t="str">
        <f t="shared" si="14"/>
        <v>ZZZ, TN, 38340</v>
      </c>
    </row>
    <row r="276" spans="1:11" x14ac:dyDescent="0.15">
      <c r="A276">
        <v>1018918</v>
      </c>
      <c r="B276" s="54" t="s">
        <v>94</v>
      </c>
      <c r="C276" s="54" t="s">
        <v>95</v>
      </c>
      <c r="D276" s="54" t="s">
        <v>96</v>
      </c>
      <c r="E276" s="54" t="s">
        <v>97</v>
      </c>
      <c r="F276" t="s">
        <v>35</v>
      </c>
      <c r="G276">
        <v>38340</v>
      </c>
      <c r="H276">
        <v>360</v>
      </c>
      <c r="I276" t="str">
        <f t="shared" si="12"/>
        <v>AAA BBB</v>
      </c>
      <c r="J276" t="str">
        <f t="shared" si="13"/>
        <v>XXX</v>
      </c>
      <c r="K276" t="str">
        <f t="shared" si="14"/>
        <v>ZZZ, TN, 38340</v>
      </c>
    </row>
    <row r="277" spans="1:11" x14ac:dyDescent="0.15">
      <c r="A277">
        <v>1018918</v>
      </c>
      <c r="B277" s="54" t="s">
        <v>94</v>
      </c>
      <c r="C277" s="54" t="s">
        <v>95</v>
      </c>
      <c r="D277" s="54" t="s">
        <v>96</v>
      </c>
      <c r="E277" s="54" t="s">
        <v>97</v>
      </c>
      <c r="F277" t="s">
        <v>35</v>
      </c>
      <c r="G277">
        <v>38340</v>
      </c>
      <c r="H277">
        <v>360</v>
      </c>
      <c r="I277" t="str">
        <f t="shared" si="12"/>
        <v>AAA BBB</v>
      </c>
      <c r="J277" t="str">
        <f t="shared" si="13"/>
        <v>XXX</v>
      </c>
      <c r="K277" t="str">
        <f t="shared" si="14"/>
        <v>ZZZ, TN, 38340</v>
      </c>
    </row>
    <row r="278" spans="1:11" x14ac:dyDescent="0.15">
      <c r="A278">
        <v>1018918</v>
      </c>
      <c r="B278" s="54" t="s">
        <v>94</v>
      </c>
      <c r="C278" s="54" t="s">
        <v>95</v>
      </c>
      <c r="D278" s="54" t="s">
        <v>96</v>
      </c>
      <c r="E278" s="54" t="s">
        <v>97</v>
      </c>
      <c r="F278" t="s">
        <v>35</v>
      </c>
      <c r="G278">
        <v>38340</v>
      </c>
      <c r="H278">
        <v>360</v>
      </c>
      <c r="I278" t="str">
        <f t="shared" si="12"/>
        <v>AAA BBB</v>
      </c>
      <c r="J278" t="str">
        <f t="shared" si="13"/>
        <v>XXX</v>
      </c>
      <c r="K278" t="str">
        <f t="shared" si="14"/>
        <v>ZZZ, TN, 38340</v>
      </c>
    </row>
    <row r="279" spans="1:11" x14ac:dyDescent="0.15">
      <c r="A279">
        <v>1018918</v>
      </c>
      <c r="B279" s="54" t="s">
        <v>94</v>
      </c>
      <c r="C279" s="54" t="s">
        <v>95</v>
      </c>
      <c r="D279" s="54" t="s">
        <v>96</v>
      </c>
      <c r="E279" s="54" t="s">
        <v>97</v>
      </c>
      <c r="F279" t="s">
        <v>35</v>
      </c>
      <c r="G279">
        <v>38340</v>
      </c>
      <c r="H279">
        <v>360</v>
      </c>
      <c r="I279" t="str">
        <f t="shared" si="12"/>
        <v>AAA BBB</v>
      </c>
      <c r="J279" t="str">
        <f t="shared" si="13"/>
        <v>XXX</v>
      </c>
      <c r="K279" t="str">
        <f t="shared" si="14"/>
        <v>ZZZ, TN, 38340</v>
      </c>
    </row>
    <row r="280" spans="1:11" x14ac:dyDescent="0.15">
      <c r="A280">
        <v>1018918</v>
      </c>
      <c r="B280" s="54" t="s">
        <v>94</v>
      </c>
      <c r="C280" s="54" t="s">
        <v>95</v>
      </c>
      <c r="D280" s="54" t="s">
        <v>96</v>
      </c>
      <c r="E280" s="54" t="s">
        <v>97</v>
      </c>
      <c r="F280" t="s">
        <v>35</v>
      </c>
      <c r="G280">
        <v>38340</v>
      </c>
      <c r="H280">
        <v>360</v>
      </c>
      <c r="I280" t="str">
        <f t="shared" si="12"/>
        <v>AAA BBB</v>
      </c>
      <c r="J280" t="str">
        <f t="shared" si="13"/>
        <v>XXX</v>
      </c>
      <c r="K280" t="str">
        <f t="shared" si="14"/>
        <v>ZZZ, TN, 38340</v>
      </c>
    </row>
    <row r="281" spans="1:11" x14ac:dyDescent="0.15">
      <c r="A281">
        <v>1018918</v>
      </c>
      <c r="B281" s="54" t="s">
        <v>94</v>
      </c>
      <c r="C281" s="54" t="s">
        <v>95</v>
      </c>
      <c r="D281" s="54" t="s">
        <v>96</v>
      </c>
      <c r="E281" s="54" t="s">
        <v>97</v>
      </c>
      <c r="F281" t="s">
        <v>35</v>
      </c>
      <c r="G281">
        <v>38340</v>
      </c>
      <c r="H281">
        <v>360</v>
      </c>
      <c r="I281" t="str">
        <f t="shared" si="12"/>
        <v>AAA BBB</v>
      </c>
      <c r="J281" t="str">
        <f t="shared" si="13"/>
        <v>XXX</v>
      </c>
      <c r="K281" t="str">
        <f t="shared" si="14"/>
        <v>ZZZ, TN, 38340</v>
      </c>
    </row>
    <row r="282" spans="1:11" x14ac:dyDescent="0.15">
      <c r="A282">
        <v>1018918</v>
      </c>
      <c r="B282" s="54" t="s">
        <v>94</v>
      </c>
      <c r="C282" s="54" t="s">
        <v>95</v>
      </c>
      <c r="D282" s="54" t="s">
        <v>96</v>
      </c>
      <c r="E282" s="54" t="s">
        <v>97</v>
      </c>
      <c r="F282" t="s">
        <v>35</v>
      </c>
      <c r="G282">
        <v>38340</v>
      </c>
      <c r="H282">
        <v>360</v>
      </c>
      <c r="I282" t="str">
        <f t="shared" si="12"/>
        <v>AAA BBB</v>
      </c>
      <c r="J282" t="str">
        <f t="shared" si="13"/>
        <v>XXX</v>
      </c>
      <c r="K282" t="str">
        <f t="shared" si="14"/>
        <v>ZZZ, TN, 38340</v>
      </c>
    </row>
    <row r="283" spans="1:11" x14ac:dyDescent="0.15">
      <c r="A283">
        <v>1018918</v>
      </c>
      <c r="B283" s="54" t="s">
        <v>94</v>
      </c>
      <c r="C283" s="54" t="s">
        <v>95</v>
      </c>
      <c r="D283" s="54" t="s">
        <v>96</v>
      </c>
      <c r="E283" s="54" t="s">
        <v>97</v>
      </c>
      <c r="F283" t="s">
        <v>35</v>
      </c>
      <c r="G283">
        <v>38340</v>
      </c>
      <c r="H283">
        <v>360</v>
      </c>
      <c r="I283" t="str">
        <f t="shared" si="12"/>
        <v>AAA BBB</v>
      </c>
      <c r="J283" t="str">
        <f t="shared" si="13"/>
        <v>XXX</v>
      </c>
      <c r="K283" t="str">
        <f t="shared" si="14"/>
        <v>ZZZ, TN, 38340</v>
      </c>
    </row>
    <row r="284" spans="1:11" x14ac:dyDescent="0.15">
      <c r="A284">
        <v>1018918</v>
      </c>
      <c r="B284" s="54" t="s">
        <v>94</v>
      </c>
      <c r="C284" s="54" t="s">
        <v>95</v>
      </c>
      <c r="D284" s="54" t="s">
        <v>96</v>
      </c>
      <c r="E284" s="54" t="s">
        <v>97</v>
      </c>
      <c r="F284" t="s">
        <v>35</v>
      </c>
      <c r="G284">
        <v>38340</v>
      </c>
      <c r="H284">
        <v>360</v>
      </c>
      <c r="I284" t="str">
        <f t="shared" si="12"/>
        <v>AAA BBB</v>
      </c>
      <c r="J284" t="str">
        <f t="shared" si="13"/>
        <v>XXX</v>
      </c>
      <c r="K284" t="str">
        <f t="shared" si="14"/>
        <v>ZZZ, TN, 38340</v>
      </c>
    </row>
    <row r="285" spans="1:11" x14ac:dyDescent="0.15">
      <c r="A285">
        <v>1018918</v>
      </c>
      <c r="B285" s="54" t="s">
        <v>94</v>
      </c>
      <c r="C285" s="54" t="s">
        <v>95</v>
      </c>
      <c r="D285" s="54" t="s">
        <v>96</v>
      </c>
      <c r="E285" s="54" t="s">
        <v>97</v>
      </c>
      <c r="F285" t="s">
        <v>35</v>
      </c>
      <c r="G285">
        <v>38340</v>
      </c>
      <c r="H285">
        <v>360</v>
      </c>
      <c r="I285" t="str">
        <f t="shared" si="12"/>
        <v>AAA BBB</v>
      </c>
      <c r="J285" t="str">
        <f t="shared" si="13"/>
        <v>XXX</v>
      </c>
      <c r="K285" t="str">
        <f t="shared" si="14"/>
        <v>ZZZ, TN, 38340</v>
      </c>
    </row>
    <row r="286" spans="1:11" x14ac:dyDescent="0.15">
      <c r="A286">
        <v>1018918</v>
      </c>
      <c r="B286" s="54" t="s">
        <v>94</v>
      </c>
      <c r="C286" s="54" t="s">
        <v>95</v>
      </c>
      <c r="D286" s="54" t="s">
        <v>96</v>
      </c>
      <c r="E286" s="54" t="s">
        <v>97</v>
      </c>
      <c r="F286" t="s">
        <v>35</v>
      </c>
      <c r="G286">
        <v>38340</v>
      </c>
      <c r="H286">
        <v>360</v>
      </c>
      <c r="I286" t="str">
        <f t="shared" si="12"/>
        <v>AAA BBB</v>
      </c>
      <c r="J286" t="str">
        <f t="shared" si="13"/>
        <v>XXX</v>
      </c>
      <c r="K286" t="str">
        <f t="shared" si="14"/>
        <v>ZZZ, TN, 38340</v>
      </c>
    </row>
    <row r="287" spans="1:11" x14ac:dyDescent="0.15">
      <c r="A287">
        <v>1018918</v>
      </c>
      <c r="B287" s="54" t="s">
        <v>94</v>
      </c>
      <c r="C287" s="54" t="s">
        <v>95</v>
      </c>
      <c r="D287" s="54" t="s">
        <v>96</v>
      </c>
      <c r="E287" s="54" t="s">
        <v>97</v>
      </c>
      <c r="F287" t="s">
        <v>35</v>
      </c>
      <c r="G287">
        <v>38340</v>
      </c>
      <c r="H287">
        <v>360</v>
      </c>
      <c r="I287" t="str">
        <f t="shared" si="12"/>
        <v>AAA BBB</v>
      </c>
      <c r="J287" t="str">
        <f t="shared" si="13"/>
        <v>XXX</v>
      </c>
      <c r="K287" t="str">
        <f t="shared" si="14"/>
        <v>ZZZ, TN, 38340</v>
      </c>
    </row>
    <row r="288" spans="1:11" x14ac:dyDescent="0.15">
      <c r="A288">
        <v>1018918</v>
      </c>
      <c r="B288" s="54" t="s">
        <v>94</v>
      </c>
      <c r="C288" s="54" t="s">
        <v>95</v>
      </c>
      <c r="D288" s="54" t="s">
        <v>96</v>
      </c>
      <c r="E288" s="54" t="s">
        <v>97</v>
      </c>
      <c r="F288" t="s">
        <v>35</v>
      </c>
      <c r="G288">
        <v>38340</v>
      </c>
      <c r="H288">
        <v>360</v>
      </c>
      <c r="I288" t="str">
        <f t="shared" si="12"/>
        <v>AAA BBB</v>
      </c>
      <c r="J288" t="str">
        <f t="shared" si="13"/>
        <v>XXX</v>
      </c>
      <c r="K288" t="str">
        <f t="shared" si="14"/>
        <v>ZZZ, TN, 38340</v>
      </c>
    </row>
    <row r="289" spans="1:11" x14ac:dyDescent="0.15">
      <c r="A289">
        <v>1018918</v>
      </c>
      <c r="B289" s="54" t="s">
        <v>94</v>
      </c>
      <c r="C289" s="54" t="s">
        <v>95</v>
      </c>
      <c r="D289" s="54" t="s">
        <v>96</v>
      </c>
      <c r="E289" s="54" t="s">
        <v>97</v>
      </c>
      <c r="F289" t="s">
        <v>35</v>
      </c>
      <c r="G289">
        <v>38340</v>
      </c>
      <c r="H289">
        <v>360</v>
      </c>
      <c r="I289" t="str">
        <f t="shared" si="12"/>
        <v>AAA BBB</v>
      </c>
      <c r="J289" t="str">
        <f t="shared" si="13"/>
        <v>XXX</v>
      </c>
      <c r="K289" t="str">
        <f t="shared" si="14"/>
        <v>ZZZ, TN, 38340</v>
      </c>
    </row>
    <row r="290" spans="1:11" x14ac:dyDescent="0.15">
      <c r="A290">
        <v>1018918</v>
      </c>
      <c r="B290" s="54" t="s">
        <v>94</v>
      </c>
      <c r="C290" s="54" t="s">
        <v>95</v>
      </c>
      <c r="D290" s="54" t="s">
        <v>96</v>
      </c>
      <c r="E290" s="54" t="s">
        <v>97</v>
      </c>
      <c r="F290" t="s">
        <v>35</v>
      </c>
      <c r="G290">
        <v>38340</v>
      </c>
      <c r="H290">
        <v>360</v>
      </c>
      <c r="I290" t="str">
        <f t="shared" si="12"/>
        <v>AAA BBB</v>
      </c>
      <c r="J290" t="str">
        <f t="shared" si="13"/>
        <v>XXX</v>
      </c>
      <c r="K290" t="str">
        <f t="shared" si="14"/>
        <v>ZZZ, TN, 38340</v>
      </c>
    </row>
    <row r="291" spans="1:11" x14ac:dyDescent="0.15">
      <c r="A291">
        <v>1018918</v>
      </c>
      <c r="B291" s="54" t="s">
        <v>94</v>
      </c>
      <c r="C291" s="54" t="s">
        <v>95</v>
      </c>
      <c r="D291" s="54" t="s">
        <v>96</v>
      </c>
      <c r="E291" s="54" t="s">
        <v>97</v>
      </c>
      <c r="F291" t="s">
        <v>35</v>
      </c>
      <c r="G291">
        <v>38340</v>
      </c>
      <c r="H291">
        <v>360</v>
      </c>
      <c r="I291" t="str">
        <f t="shared" si="12"/>
        <v>AAA BBB</v>
      </c>
      <c r="J291" t="str">
        <f t="shared" si="13"/>
        <v>XXX</v>
      </c>
      <c r="K291" t="str">
        <f t="shared" si="14"/>
        <v>ZZZ, TN, 38340</v>
      </c>
    </row>
    <row r="292" spans="1:11" x14ac:dyDescent="0.15">
      <c r="A292">
        <v>1018918</v>
      </c>
      <c r="B292" s="54" t="s">
        <v>94</v>
      </c>
      <c r="C292" s="54" t="s">
        <v>95</v>
      </c>
      <c r="D292" s="54" t="s">
        <v>96</v>
      </c>
      <c r="E292" s="54" t="s">
        <v>97</v>
      </c>
      <c r="F292" t="s">
        <v>35</v>
      </c>
      <c r="G292">
        <v>38340</v>
      </c>
      <c r="H292">
        <v>360</v>
      </c>
      <c r="I292" t="str">
        <f t="shared" si="12"/>
        <v>AAA BBB</v>
      </c>
      <c r="J292" t="str">
        <f t="shared" si="13"/>
        <v>XXX</v>
      </c>
      <c r="K292" t="str">
        <f t="shared" si="14"/>
        <v>ZZZ, TN, 38340</v>
      </c>
    </row>
    <row r="293" spans="1:11" x14ac:dyDescent="0.15">
      <c r="A293">
        <v>1018918</v>
      </c>
      <c r="B293" s="54" t="s">
        <v>94</v>
      </c>
      <c r="C293" s="54" t="s">
        <v>95</v>
      </c>
      <c r="D293" s="54" t="s">
        <v>96</v>
      </c>
      <c r="E293" s="54" t="s">
        <v>97</v>
      </c>
      <c r="F293" t="s">
        <v>35</v>
      </c>
      <c r="G293">
        <v>38340</v>
      </c>
      <c r="H293">
        <v>360</v>
      </c>
      <c r="I293" t="str">
        <f t="shared" si="12"/>
        <v>AAA BBB</v>
      </c>
      <c r="J293" t="str">
        <f t="shared" si="13"/>
        <v>XXX</v>
      </c>
      <c r="K293" t="str">
        <f t="shared" si="14"/>
        <v>ZZZ, TN, 38340</v>
      </c>
    </row>
    <row r="294" spans="1:11" x14ac:dyDescent="0.15">
      <c r="A294">
        <v>1018918</v>
      </c>
      <c r="B294" s="54" t="s">
        <v>94</v>
      </c>
      <c r="C294" s="54" t="s">
        <v>95</v>
      </c>
      <c r="D294" s="54" t="s">
        <v>96</v>
      </c>
      <c r="E294" s="54" t="s">
        <v>97</v>
      </c>
      <c r="F294" t="s">
        <v>35</v>
      </c>
      <c r="G294">
        <v>38340</v>
      </c>
      <c r="H294">
        <v>360</v>
      </c>
      <c r="I294" t="str">
        <f t="shared" si="12"/>
        <v>AAA BBB</v>
      </c>
      <c r="J294" t="str">
        <f t="shared" si="13"/>
        <v>XXX</v>
      </c>
      <c r="K294" t="str">
        <f t="shared" si="14"/>
        <v>ZZZ, TN, 38340</v>
      </c>
    </row>
    <row r="295" spans="1:11" x14ac:dyDescent="0.15">
      <c r="A295">
        <v>1018918</v>
      </c>
      <c r="B295" s="54" t="s">
        <v>94</v>
      </c>
      <c r="C295" s="54" t="s">
        <v>95</v>
      </c>
      <c r="D295" s="54" t="s">
        <v>96</v>
      </c>
      <c r="E295" s="54" t="s">
        <v>97</v>
      </c>
      <c r="F295" t="s">
        <v>35</v>
      </c>
      <c r="G295">
        <v>38340</v>
      </c>
      <c r="H295">
        <v>360</v>
      </c>
      <c r="I295" t="str">
        <f t="shared" si="12"/>
        <v>AAA BBB</v>
      </c>
      <c r="J295" t="str">
        <f t="shared" si="13"/>
        <v>XXX</v>
      </c>
      <c r="K295" t="str">
        <f t="shared" si="14"/>
        <v>ZZZ, TN, 38340</v>
      </c>
    </row>
    <row r="296" spans="1:11" x14ac:dyDescent="0.15">
      <c r="A296">
        <v>1018918</v>
      </c>
      <c r="B296" s="54" t="s">
        <v>94</v>
      </c>
      <c r="C296" s="54" t="s">
        <v>95</v>
      </c>
      <c r="D296" s="54" t="s">
        <v>96</v>
      </c>
      <c r="E296" s="54" t="s">
        <v>97</v>
      </c>
      <c r="F296" t="s">
        <v>35</v>
      </c>
      <c r="G296">
        <v>38340</v>
      </c>
      <c r="H296">
        <v>360</v>
      </c>
      <c r="I296" t="str">
        <f t="shared" si="12"/>
        <v>AAA BBB</v>
      </c>
      <c r="J296" t="str">
        <f t="shared" si="13"/>
        <v>XXX</v>
      </c>
      <c r="K296" t="str">
        <f t="shared" si="14"/>
        <v>ZZZ, TN, 38340</v>
      </c>
    </row>
    <row r="297" spans="1:11" x14ac:dyDescent="0.15">
      <c r="A297">
        <v>1018918</v>
      </c>
      <c r="B297" s="54" t="s">
        <v>94</v>
      </c>
      <c r="C297" s="54" t="s">
        <v>95</v>
      </c>
      <c r="D297" s="54" t="s">
        <v>96</v>
      </c>
      <c r="E297" s="54" t="s">
        <v>97</v>
      </c>
      <c r="F297" t="s">
        <v>35</v>
      </c>
      <c r="G297">
        <v>38340</v>
      </c>
      <c r="H297">
        <v>360</v>
      </c>
      <c r="I297" t="str">
        <f t="shared" si="12"/>
        <v>AAA BBB</v>
      </c>
      <c r="J297" t="str">
        <f t="shared" si="13"/>
        <v>XXX</v>
      </c>
      <c r="K297" t="str">
        <f t="shared" si="14"/>
        <v>ZZZ, TN, 38340</v>
      </c>
    </row>
    <row r="298" spans="1:11" x14ac:dyDescent="0.15">
      <c r="A298">
        <v>1018918</v>
      </c>
      <c r="B298" s="54" t="s">
        <v>94</v>
      </c>
      <c r="C298" s="54" t="s">
        <v>95</v>
      </c>
      <c r="D298" s="54" t="s">
        <v>96</v>
      </c>
      <c r="E298" s="54" t="s">
        <v>97</v>
      </c>
      <c r="F298" t="s">
        <v>35</v>
      </c>
      <c r="G298">
        <v>38340</v>
      </c>
      <c r="H298">
        <v>360</v>
      </c>
      <c r="I298" t="str">
        <f t="shared" si="12"/>
        <v>AAA BBB</v>
      </c>
      <c r="J298" t="str">
        <f t="shared" si="13"/>
        <v>XXX</v>
      </c>
      <c r="K298" t="str">
        <f t="shared" si="14"/>
        <v>ZZZ, TN, 38340</v>
      </c>
    </row>
    <row r="299" spans="1:11" x14ac:dyDescent="0.15">
      <c r="A299">
        <v>1018918</v>
      </c>
      <c r="B299" s="54" t="s">
        <v>94</v>
      </c>
      <c r="C299" s="54" t="s">
        <v>95</v>
      </c>
      <c r="D299" s="54" t="s">
        <v>96</v>
      </c>
      <c r="E299" s="54" t="s">
        <v>97</v>
      </c>
      <c r="F299" t="s">
        <v>35</v>
      </c>
      <c r="G299">
        <v>38340</v>
      </c>
      <c r="H299">
        <v>360</v>
      </c>
      <c r="I299" t="str">
        <f t="shared" si="12"/>
        <v>AAA BBB</v>
      </c>
      <c r="J299" t="str">
        <f t="shared" si="13"/>
        <v>XXX</v>
      </c>
      <c r="K299" t="str">
        <f t="shared" si="14"/>
        <v>ZZZ, TN, 38340</v>
      </c>
    </row>
    <row r="300" spans="1:11" x14ac:dyDescent="0.15">
      <c r="A300">
        <v>1018918</v>
      </c>
      <c r="B300" s="54" t="s">
        <v>94</v>
      </c>
      <c r="C300" s="54" t="s">
        <v>95</v>
      </c>
      <c r="D300" s="54" t="s">
        <v>96</v>
      </c>
      <c r="E300" s="54" t="s">
        <v>97</v>
      </c>
      <c r="F300" t="s">
        <v>35</v>
      </c>
      <c r="G300">
        <v>38340</v>
      </c>
      <c r="H300">
        <v>360</v>
      </c>
      <c r="I300" t="str">
        <f t="shared" si="12"/>
        <v>AAA BBB</v>
      </c>
      <c r="J300" t="str">
        <f t="shared" si="13"/>
        <v>XXX</v>
      </c>
      <c r="K300" t="str">
        <f t="shared" si="14"/>
        <v>ZZZ, TN, 38340</v>
      </c>
    </row>
    <row r="301" spans="1:11" x14ac:dyDescent="0.15">
      <c r="A301">
        <v>1018918</v>
      </c>
      <c r="B301" s="54" t="s">
        <v>94</v>
      </c>
      <c r="C301" s="54" t="s">
        <v>95</v>
      </c>
      <c r="D301" s="54" t="s">
        <v>96</v>
      </c>
      <c r="E301" s="54" t="s">
        <v>97</v>
      </c>
      <c r="F301" t="s">
        <v>35</v>
      </c>
      <c r="G301">
        <v>38340</v>
      </c>
      <c r="H301">
        <v>360</v>
      </c>
      <c r="I301" t="str">
        <f t="shared" si="12"/>
        <v>AAA BBB</v>
      </c>
      <c r="J301" t="str">
        <f t="shared" si="13"/>
        <v>XXX</v>
      </c>
      <c r="K301" t="str">
        <f t="shared" si="14"/>
        <v>ZZZ, TN, 38340</v>
      </c>
    </row>
    <row r="302" spans="1:11" x14ac:dyDescent="0.15">
      <c r="A302">
        <v>1018918</v>
      </c>
      <c r="B302" s="54" t="s">
        <v>94</v>
      </c>
      <c r="C302" s="54" t="s">
        <v>95</v>
      </c>
      <c r="D302" s="54" t="s">
        <v>96</v>
      </c>
      <c r="E302" s="54" t="s">
        <v>97</v>
      </c>
      <c r="F302" t="s">
        <v>35</v>
      </c>
      <c r="G302">
        <v>38340</v>
      </c>
      <c r="H302">
        <v>360</v>
      </c>
      <c r="I302" t="str">
        <f t="shared" si="12"/>
        <v>AAA BBB</v>
      </c>
      <c r="J302" t="str">
        <f t="shared" si="13"/>
        <v>XXX</v>
      </c>
      <c r="K302" t="str">
        <f t="shared" si="14"/>
        <v>ZZZ, TN, 38340</v>
      </c>
    </row>
    <row r="303" spans="1:11" x14ac:dyDescent="0.15">
      <c r="A303">
        <v>1018918</v>
      </c>
      <c r="B303" s="54" t="s">
        <v>94</v>
      </c>
      <c r="C303" s="54" t="s">
        <v>95</v>
      </c>
      <c r="D303" s="54" t="s">
        <v>96</v>
      </c>
      <c r="E303" s="54" t="s">
        <v>97</v>
      </c>
      <c r="F303" t="s">
        <v>35</v>
      </c>
      <c r="G303">
        <v>38340</v>
      </c>
      <c r="H303">
        <v>360</v>
      </c>
      <c r="I303" t="str">
        <f t="shared" si="12"/>
        <v>AAA BBB</v>
      </c>
      <c r="J303" t="str">
        <f t="shared" si="13"/>
        <v>XXX</v>
      </c>
      <c r="K303" t="str">
        <f t="shared" si="14"/>
        <v>ZZZ, TN, 38340</v>
      </c>
    </row>
    <row r="304" spans="1:11" x14ac:dyDescent="0.15">
      <c r="A304">
        <v>1018918</v>
      </c>
      <c r="B304" s="54" t="s">
        <v>94</v>
      </c>
      <c r="C304" s="54" t="s">
        <v>95</v>
      </c>
      <c r="D304" s="54" t="s">
        <v>96</v>
      </c>
      <c r="E304" s="54" t="s">
        <v>97</v>
      </c>
      <c r="F304" t="s">
        <v>35</v>
      </c>
      <c r="G304">
        <v>38340</v>
      </c>
      <c r="H304">
        <v>360</v>
      </c>
      <c r="I304" t="str">
        <f t="shared" si="12"/>
        <v>AAA BBB</v>
      </c>
      <c r="J304" t="str">
        <f t="shared" si="13"/>
        <v>XXX</v>
      </c>
      <c r="K304" t="str">
        <f t="shared" si="14"/>
        <v>ZZZ, TN, 38340</v>
      </c>
    </row>
    <row r="305" spans="1:11" x14ac:dyDescent="0.15">
      <c r="A305">
        <v>1018918</v>
      </c>
      <c r="B305" s="54" t="s">
        <v>94</v>
      </c>
      <c r="C305" s="54" t="s">
        <v>95</v>
      </c>
      <c r="D305" s="54" t="s">
        <v>96</v>
      </c>
      <c r="E305" s="54" t="s">
        <v>97</v>
      </c>
      <c r="F305" t="s">
        <v>35</v>
      </c>
      <c r="G305">
        <v>38340</v>
      </c>
      <c r="H305">
        <v>360</v>
      </c>
      <c r="I305" t="str">
        <f t="shared" si="12"/>
        <v>AAA BBB</v>
      </c>
      <c r="J305" t="str">
        <f t="shared" si="13"/>
        <v>XXX</v>
      </c>
      <c r="K305" t="str">
        <f t="shared" si="14"/>
        <v>ZZZ, TN, 38340</v>
      </c>
    </row>
    <row r="306" spans="1:11" x14ac:dyDescent="0.15">
      <c r="A306">
        <v>1018918</v>
      </c>
      <c r="B306" s="54" t="s">
        <v>94</v>
      </c>
      <c r="C306" s="54" t="s">
        <v>95</v>
      </c>
      <c r="D306" s="54" t="s">
        <v>96</v>
      </c>
      <c r="E306" s="54" t="s">
        <v>97</v>
      </c>
      <c r="F306" t="s">
        <v>35</v>
      </c>
      <c r="G306">
        <v>38340</v>
      </c>
      <c r="H306">
        <v>360</v>
      </c>
      <c r="I306" t="str">
        <f t="shared" si="12"/>
        <v>AAA BBB</v>
      </c>
      <c r="J306" t="str">
        <f t="shared" si="13"/>
        <v>XXX</v>
      </c>
      <c r="K306" t="str">
        <f t="shared" si="14"/>
        <v>ZZZ, TN, 38340</v>
      </c>
    </row>
    <row r="307" spans="1:11" x14ac:dyDescent="0.15">
      <c r="A307">
        <v>1018918</v>
      </c>
      <c r="B307" s="54" t="s">
        <v>94</v>
      </c>
      <c r="C307" s="54" t="s">
        <v>95</v>
      </c>
      <c r="D307" s="54" t="s">
        <v>96</v>
      </c>
      <c r="E307" s="54" t="s">
        <v>97</v>
      </c>
      <c r="F307" t="s">
        <v>35</v>
      </c>
      <c r="G307">
        <v>38340</v>
      </c>
      <c r="H307">
        <v>360</v>
      </c>
      <c r="I307" t="str">
        <f t="shared" si="12"/>
        <v>AAA BBB</v>
      </c>
      <c r="J307" t="str">
        <f t="shared" si="13"/>
        <v>XXX</v>
      </c>
      <c r="K307" t="str">
        <f t="shared" si="14"/>
        <v>ZZZ, TN, 38340</v>
      </c>
    </row>
    <row r="308" spans="1:11" x14ac:dyDescent="0.15">
      <c r="A308">
        <v>1018918</v>
      </c>
      <c r="B308" s="54" t="s">
        <v>94</v>
      </c>
      <c r="C308" s="54" t="s">
        <v>95</v>
      </c>
      <c r="D308" s="54" t="s">
        <v>96</v>
      </c>
      <c r="E308" s="54" t="s">
        <v>97</v>
      </c>
      <c r="F308" t="s">
        <v>35</v>
      </c>
      <c r="G308">
        <v>38340</v>
      </c>
      <c r="H308">
        <v>360</v>
      </c>
      <c r="I308" t="str">
        <f t="shared" si="12"/>
        <v>AAA BBB</v>
      </c>
      <c r="J308" t="str">
        <f t="shared" si="13"/>
        <v>XXX</v>
      </c>
      <c r="K308" t="str">
        <f t="shared" si="14"/>
        <v>ZZZ, TN, 38340</v>
      </c>
    </row>
    <row r="309" spans="1:11" x14ac:dyDescent="0.15">
      <c r="A309">
        <v>1018918</v>
      </c>
      <c r="B309" s="54" t="s">
        <v>94</v>
      </c>
      <c r="C309" s="54" t="s">
        <v>95</v>
      </c>
      <c r="D309" s="54" t="s">
        <v>96</v>
      </c>
      <c r="E309" s="54" t="s">
        <v>97</v>
      </c>
      <c r="F309" t="s">
        <v>35</v>
      </c>
      <c r="G309">
        <v>38340</v>
      </c>
      <c r="H309">
        <v>360</v>
      </c>
      <c r="I309" t="str">
        <f t="shared" si="12"/>
        <v>AAA BBB</v>
      </c>
      <c r="J309" t="str">
        <f t="shared" si="13"/>
        <v>XXX</v>
      </c>
      <c r="K309" t="str">
        <f t="shared" si="14"/>
        <v>ZZZ, TN, 38340</v>
      </c>
    </row>
    <row r="310" spans="1:11" x14ac:dyDescent="0.15">
      <c r="A310">
        <v>1018918</v>
      </c>
      <c r="B310" s="54" t="s">
        <v>94</v>
      </c>
      <c r="C310" s="54" t="s">
        <v>95</v>
      </c>
      <c r="D310" s="54" t="s">
        <v>96</v>
      </c>
      <c r="E310" s="54" t="s">
        <v>97</v>
      </c>
      <c r="F310" t="s">
        <v>35</v>
      </c>
      <c r="G310">
        <v>38340</v>
      </c>
      <c r="H310">
        <v>360</v>
      </c>
      <c r="I310" t="str">
        <f t="shared" si="12"/>
        <v>AAA BBB</v>
      </c>
      <c r="J310" t="str">
        <f t="shared" si="13"/>
        <v>XXX</v>
      </c>
      <c r="K310" t="str">
        <f t="shared" si="14"/>
        <v>ZZZ, TN, 38340</v>
      </c>
    </row>
    <row r="311" spans="1:11" x14ac:dyDescent="0.15">
      <c r="A311">
        <v>1018918</v>
      </c>
      <c r="B311" s="54" t="s">
        <v>94</v>
      </c>
      <c r="C311" s="54" t="s">
        <v>95</v>
      </c>
      <c r="D311" s="54" t="s">
        <v>96</v>
      </c>
      <c r="E311" s="54" t="s">
        <v>97</v>
      </c>
      <c r="F311" t="s">
        <v>35</v>
      </c>
      <c r="G311">
        <v>38340</v>
      </c>
      <c r="H311">
        <v>360</v>
      </c>
      <c r="I311" t="str">
        <f t="shared" si="12"/>
        <v>AAA BBB</v>
      </c>
      <c r="J311" t="str">
        <f t="shared" si="13"/>
        <v>XXX</v>
      </c>
      <c r="K311" t="str">
        <f t="shared" si="14"/>
        <v>ZZZ, TN, 38340</v>
      </c>
    </row>
    <row r="312" spans="1:11" x14ac:dyDescent="0.15">
      <c r="A312">
        <v>1018918</v>
      </c>
      <c r="B312" s="54" t="s">
        <v>94</v>
      </c>
      <c r="C312" s="54" t="s">
        <v>95</v>
      </c>
      <c r="D312" s="54" t="s">
        <v>96</v>
      </c>
      <c r="E312" s="54" t="s">
        <v>97</v>
      </c>
      <c r="F312" t="s">
        <v>35</v>
      </c>
      <c r="G312">
        <v>38340</v>
      </c>
      <c r="H312">
        <v>360</v>
      </c>
      <c r="I312" t="str">
        <f t="shared" si="12"/>
        <v>AAA BBB</v>
      </c>
      <c r="J312" t="str">
        <f t="shared" si="13"/>
        <v>XXX</v>
      </c>
      <c r="K312" t="str">
        <f t="shared" si="14"/>
        <v>ZZZ, TN, 38340</v>
      </c>
    </row>
    <row r="313" spans="1:11" x14ac:dyDescent="0.15">
      <c r="A313">
        <v>1018918</v>
      </c>
      <c r="B313" s="54" t="s">
        <v>94</v>
      </c>
      <c r="C313" s="54" t="s">
        <v>95</v>
      </c>
      <c r="D313" s="54" t="s">
        <v>96</v>
      </c>
      <c r="E313" s="54" t="s">
        <v>97</v>
      </c>
      <c r="F313" t="s">
        <v>35</v>
      </c>
      <c r="G313">
        <v>38340</v>
      </c>
      <c r="H313">
        <v>360</v>
      </c>
      <c r="I313" t="str">
        <f t="shared" si="12"/>
        <v>AAA BBB</v>
      </c>
      <c r="J313" t="str">
        <f t="shared" si="13"/>
        <v>XXX</v>
      </c>
      <c r="K313" t="str">
        <f t="shared" si="14"/>
        <v>ZZZ, TN, 38340</v>
      </c>
    </row>
    <row r="314" spans="1:11" x14ac:dyDescent="0.15">
      <c r="A314">
        <v>1018918</v>
      </c>
      <c r="B314" s="54" t="s">
        <v>94</v>
      </c>
      <c r="C314" s="54" t="s">
        <v>95</v>
      </c>
      <c r="D314" s="54" t="s">
        <v>96</v>
      </c>
      <c r="E314" s="54" t="s">
        <v>97</v>
      </c>
      <c r="F314" t="s">
        <v>35</v>
      </c>
      <c r="G314">
        <v>38340</v>
      </c>
      <c r="H314">
        <v>360</v>
      </c>
      <c r="I314" t="str">
        <f t="shared" si="12"/>
        <v>AAA BBB</v>
      </c>
      <c r="J314" t="str">
        <f t="shared" si="13"/>
        <v>XXX</v>
      </c>
      <c r="K314" t="str">
        <f t="shared" si="14"/>
        <v>ZZZ, TN, 38340</v>
      </c>
    </row>
    <row r="315" spans="1:11" x14ac:dyDescent="0.15">
      <c r="A315">
        <v>1018918</v>
      </c>
      <c r="B315" s="54" t="s">
        <v>94</v>
      </c>
      <c r="C315" s="54" t="s">
        <v>95</v>
      </c>
      <c r="D315" s="54" t="s">
        <v>96</v>
      </c>
      <c r="E315" s="54" t="s">
        <v>97</v>
      </c>
      <c r="F315" t="s">
        <v>35</v>
      </c>
      <c r="G315">
        <v>38340</v>
      </c>
      <c r="H315">
        <v>360</v>
      </c>
      <c r="I315" t="str">
        <f t="shared" si="12"/>
        <v>AAA BBB</v>
      </c>
      <c r="J315" t="str">
        <f t="shared" si="13"/>
        <v>XXX</v>
      </c>
      <c r="K315" t="str">
        <f t="shared" si="14"/>
        <v>ZZZ, TN, 38340</v>
      </c>
    </row>
    <row r="316" spans="1:11" x14ac:dyDescent="0.15">
      <c r="A316">
        <v>1018918</v>
      </c>
      <c r="B316" s="54" t="s">
        <v>94</v>
      </c>
      <c r="C316" s="54" t="s">
        <v>95</v>
      </c>
      <c r="D316" s="54" t="s">
        <v>96</v>
      </c>
      <c r="E316" s="54" t="s">
        <v>97</v>
      </c>
      <c r="F316" t="s">
        <v>35</v>
      </c>
      <c r="G316">
        <v>38340</v>
      </c>
      <c r="H316">
        <v>360</v>
      </c>
      <c r="I316" t="str">
        <f t="shared" si="12"/>
        <v>AAA BBB</v>
      </c>
      <c r="J316" t="str">
        <f t="shared" si="13"/>
        <v>XXX</v>
      </c>
      <c r="K316" t="str">
        <f t="shared" si="14"/>
        <v>ZZZ, TN, 38340</v>
      </c>
    </row>
    <row r="317" spans="1:11" x14ac:dyDescent="0.15">
      <c r="A317">
        <v>1018918</v>
      </c>
      <c r="B317" s="54" t="s">
        <v>94</v>
      </c>
      <c r="C317" s="54" t="s">
        <v>95</v>
      </c>
      <c r="D317" s="54" t="s">
        <v>96</v>
      </c>
      <c r="E317" s="54" t="s">
        <v>97</v>
      </c>
      <c r="F317" t="s">
        <v>35</v>
      </c>
      <c r="G317">
        <v>38340</v>
      </c>
      <c r="H317">
        <v>360</v>
      </c>
      <c r="I317" t="str">
        <f t="shared" si="12"/>
        <v>AAA BBB</v>
      </c>
      <c r="J317" t="str">
        <f t="shared" si="13"/>
        <v>XXX</v>
      </c>
      <c r="K317" t="str">
        <f t="shared" si="14"/>
        <v>ZZZ, TN, 38340</v>
      </c>
    </row>
    <row r="318" spans="1:11" x14ac:dyDescent="0.15">
      <c r="A318">
        <v>1018918</v>
      </c>
      <c r="B318" s="54" t="s">
        <v>94</v>
      </c>
      <c r="C318" s="54" t="s">
        <v>95</v>
      </c>
      <c r="D318" s="54" t="s">
        <v>96</v>
      </c>
      <c r="E318" s="54" t="s">
        <v>97</v>
      </c>
      <c r="F318" t="s">
        <v>35</v>
      </c>
      <c r="G318">
        <v>38340</v>
      </c>
      <c r="H318">
        <v>360</v>
      </c>
      <c r="I318" t="str">
        <f t="shared" si="12"/>
        <v>AAA BBB</v>
      </c>
      <c r="J318" t="str">
        <f t="shared" si="13"/>
        <v>XXX</v>
      </c>
      <c r="K318" t="str">
        <f t="shared" si="14"/>
        <v>ZZZ, TN, 38340</v>
      </c>
    </row>
    <row r="319" spans="1:11" x14ac:dyDescent="0.15">
      <c r="A319">
        <v>1018918</v>
      </c>
      <c r="B319" s="54" t="s">
        <v>94</v>
      </c>
      <c r="C319" s="54" t="s">
        <v>95</v>
      </c>
      <c r="D319" s="54" t="s">
        <v>96</v>
      </c>
      <c r="E319" s="54" t="s">
        <v>97</v>
      </c>
      <c r="F319" t="s">
        <v>35</v>
      </c>
      <c r="G319">
        <v>38340</v>
      </c>
      <c r="H319">
        <v>360</v>
      </c>
      <c r="I319" t="str">
        <f t="shared" si="12"/>
        <v>AAA BBB</v>
      </c>
      <c r="J319" t="str">
        <f t="shared" si="13"/>
        <v>XXX</v>
      </c>
      <c r="K319" t="str">
        <f t="shared" si="14"/>
        <v>ZZZ, TN, 38340</v>
      </c>
    </row>
    <row r="320" spans="1:11" x14ac:dyDescent="0.15">
      <c r="A320">
        <v>1018918</v>
      </c>
      <c r="B320" s="54" t="s">
        <v>94</v>
      </c>
      <c r="C320" s="54" t="s">
        <v>95</v>
      </c>
      <c r="D320" s="54" t="s">
        <v>96</v>
      </c>
      <c r="E320" s="54" t="s">
        <v>97</v>
      </c>
      <c r="F320" t="s">
        <v>35</v>
      </c>
      <c r="G320">
        <v>38340</v>
      </c>
      <c r="H320">
        <v>360</v>
      </c>
      <c r="I320" t="str">
        <f t="shared" si="12"/>
        <v>AAA BBB</v>
      </c>
      <c r="J320" t="str">
        <f t="shared" si="13"/>
        <v>XXX</v>
      </c>
      <c r="K320" t="str">
        <f t="shared" si="14"/>
        <v>ZZZ, TN, 38340</v>
      </c>
    </row>
    <row r="321" spans="1:11" x14ac:dyDescent="0.15">
      <c r="A321">
        <v>1018918</v>
      </c>
      <c r="B321" s="54" t="s">
        <v>94</v>
      </c>
      <c r="C321" s="54" t="s">
        <v>95</v>
      </c>
      <c r="D321" s="54" t="s">
        <v>96</v>
      </c>
      <c r="E321" s="54" t="s">
        <v>97</v>
      </c>
      <c r="F321" t="s">
        <v>35</v>
      </c>
      <c r="G321">
        <v>38340</v>
      </c>
      <c r="H321">
        <v>360</v>
      </c>
      <c r="I321" t="str">
        <f t="shared" si="12"/>
        <v>AAA BBB</v>
      </c>
      <c r="J321" t="str">
        <f t="shared" si="13"/>
        <v>XXX</v>
      </c>
      <c r="K321" t="str">
        <f t="shared" si="14"/>
        <v>ZZZ, TN, 38340</v>
      </c>
    </row>
    <row r="322" spans="1:11" x14ac:dyDescent="0.15">
      <c r="A322">
        <v>1018918</v>
      </c>
      <c r="B322" s="54" t="s">
        <v>94</v>
      </c>
      <c r="C322" s="54" t="s">
        <v>95</v>
      </c>
      <c r="D322" s="54" t="s">
        <v>96</v>
      </c>
      <c r="E322" s="54" t="s">
        <v>97</v>
      </c>
      <c r="F322" t="s">
        <v>35</v>
      </c>
      <c r="G322">
        <v>38340</v>
      </c>
      <c r="H322">
        <v>360</v>
      </c>
      <c r="I322" t="str">
        <f t="shared" si="12"/>
        <v>AAA BBB</v>
      </c>
      <c r="J322" t="str">
        <f t="shared" si="13"/>
        <v>XXX</v>
      </c>
      <c r="K322" t="str">
        <f t="shared" si="14"/>
        <v>ZZZ, TN, 38340</v>
      </c>
    </row>
    <row r="323" spans="1:11" x14ac:dyDescent="0.15">
      <c r="A323">
        <v>1018918</v>
      </c>
      <c r="B323" s="54" t="s">
        <v>94</v>
      </c>
      <c r="C323" s="54" t="s">
        <v>95</v>
      </c>
      <c r="D323" s="54" t="s">
        <v>96</v>
      </c>
      <c r="E323" s="54" t="s">
        <v>97</v>
      </c>
      <c r="F323" t="s">
        <v>35</v>
      </c>
      <c r="G323">
        <v>38340</v>
      </c>
      <c r="H323">
        <v>360</v>
      </c>
      <c r="I323" t="str">
        <f t="shared" ref="I323:I386" si="15">CONCATENATE(B323," ",C323)</f>
        <v>AAA BBB</v>
      </c>
      <c r="J323" t="str">
        <f t="shared" ref="J323:J386" si="16">D323</f>
        <v>XXX</v>
      </c>
      <c r="K323" t="str">
        <f t="shared" ref="K323:K386" si="17">CONCATENATE(E323,","," ",F323,","," ",G323)</f>
        <v>ZZZ, TN, 38340</v>
      </c>
    </row>
    <row r="324" spans="1:11" x14ac:dyDescent="0.15">
      <c r="A324">
        <v>1018918</v>
      </c>
      <c r="B324" s="54" t="s">
        <v>94</v>
      </c>
      <c r="C324" s="54" t="s">
        <v>95</v>
      </c>
      <c r="D324" s="54" t="s">
        <v>96</v>
      </c>
      <c r="E324" s="54" t="s">
        <v>97</v>
      </c>
      <c r="F324" t="s">
        <v>35</v>
      </c>
      <c r="G324">
        <v>38340</v>
      </c>
      <c r="H324">
        <v>360</v>
      </c>
      <c r="I324" t="str">
        <f t="shared" si="15"/>
        <v>AAA BBB</v>
      </c>
      <c r="J324" t="str">
        <f t="shared" si="16"/>
        <v>XXX</v>
      </c>
      <c r="K324" t="str">
        <f t="shared" si="17"/>
        <v>ZZZ, TN, 38340</v>
      </c>
    </row>
    <row r="325" spans="1:11" x14ac:dyDescent="0.15">
      <c r="A325">
        <v>1018918</v>
      </c>
      <c r="B325" s="54" t="s">
        <v>94</v>
      </c>
      <c r="C325" s="54" t="s">
        <v>95</v>
      </c>
      <c r="D325" s="54" t="s">
        <v>96</v>
      </c>
      <c r="E325" s="54" t="s">
        <v>97</v>
      </c>
      <c r="F325" t="s">
        <v>35</v>
      </c>
      <c r="G325">
        <v>38340</v>
      </c>
      <c r="H325">
        <v>360</v>
      </c>
      <c r="I325" t="str">
        <f t="shared" si="15"/>
        <v>AAA BBB</v>
      </c>
      <c r="J325" t="str">
        <f t="shared" si="16"/>
        <v>XXX</v>
      </c>
      <c r="K325" t="str">
        <f t="shared" si="17"/>
        <v>ZZZ, TN, 38340</v>
      </c>
    </row>
    <row r="326" spans="1:11" x14ac:dyDescent="0.15">
      <c r="A326">
        <v>1018918</v>
      </c>
      <c r="B326" s="54" t="s">
        <v>94</v>
      </c>
      <c r="C326" s="54" t="s">
        <v>95</v>
      </c>
      <c r="D326" s="54" t="s">
        <v>96</v>
      </c>
      <c r="E326" s="54" t="s">
        <v>97</v>
      </c>
      <c r="F326" t="s">
        <v>35</v>
      </c>
      <c r="G326">
        <v>38340</v>
      </c>
      <c r="H326">
        <v>360</v>
      </c>
      <c r="I326" t="str">
        <f t="shared" si="15"/>
        <v>AAA BBB</v>
      </c>
      <c r="J326" t="str">
        <f t="shared" si="16"/>
        <v>XXX</v>
      </c>
      <c r="K326" t="str">
        <f t="shared" si="17"/>
        <v>ZZZ, TN, 38340</v>
      </c>
    </row>
    <row r="327" spans="1:11" x14ac:dyDescent="0.15">
      <c r="A327">
        <v>1018918</v>
      </c>
      <c r="B327" s="54" t="s">
        <v>94</v>
      </c>
      <c r="C327" s="54" t="s">
        <v>95</v>
      </c>
      <c r="D327" s="54" t="s">
        <v>96</v>
      </c>
      <c r="E327" s="54" t="s">
        <v>97</v>
      </c>
      <c r="F327" t="s">
        <v>35</v>
      </c>
      <c r="G327">
        <v>38340</v>
      </c>
      <c r="H327">
        <v>360</v>
      </c>
      <c r="I327" t="str">
        <f t="shared" si="15"/>
        <v>AAA BBB</v>
      </c>
      <c r="J327" t="str">
        <f t="shared" si="16"/>
        <v>XXX</v>
      </c>
      <c r="K327" t="str">
        <f t="shared" si="17"/>
        <v>ZZZ, TN, 38340</v>
      </c>
    </row>
    <row r="328" spans="1:11" x14ac:dyDescent="0.15">
      <c r="A328">
        <v>1018918</v>
      </c>
      <c r="B328" s="54" t="s">
        <v>94</v>
      </c>
      <c r="C328" s="54" t="s">
        <v>95</v>
      </c>
      <c r="D328" s="54" t="s">
        <v>96</v>
      </c>
      <c r="E328" s="54" t="s">
        <v>97</v>
      </c>
      <c r="F328" t="s">
        <v>35</v>
      </c>
      <c r="G328">
        <v>38340</v>
      </c>
      <c r="H328">
        <v>360</v>
      </c>
      <c r="I328" t="str">
        <f t="shared" si="15"/>
        <v>AAA BBB</v>
      </c>
      <c r="J328" t="str">
        <f t="shared" si="16"/>
        <v>XXX</v>
      </c>
      <c r="K328" t="str">
        <f t="shared" si="17"/>
        <v>ZZZ, TN, 38340</v>
      </c>
    </row>
    <row r="329" spans="1:11" x14ac:dyDescent="0.15">
      <c r="A329">
        <v>1018918</v>
      </c>
      <c r="B329" s="54" t="s">
        <v>94</v>
      </c>
      <c r="C329" s="54" t="s">
        <v>95</v>
      </c>
      <c r="D329" s="54" t="s">
        <v>96</v>
      </c>
      <c r="E329" s="54" t="s">
        <v>97</v>
      </c>
      <c r="F329" t="s">
        <v>35</v>
      </c>
      <c r="G329">
        <v>38340</v>
      </c>
      <c r="H329">
        <v>360</v>
      </c>
      <c r="I329" t="str">
        <f t="shared" si="15"/>
        <v>AAA BBB</v>
      </c>
      <c r="J329" t="str">
        <f t="shared" si="16"/>
        <v>XXX</v>
      </c>
      <c r="K329" t="str">
        <f t="shared" si="17"/>
        <v>ZZZ, TN, 38340</v>
      </c>
    </row>
    <row r="330" spans="1:11" x14ac:dyDescent="0.15">
      <c r="A330">
        <v>1018918</v>
      </c>
      <c r="B330" s="54" t="s">
        <v>94</v>
      </c>
      <c r="C330" s="54" t="s">
        <v>95</v>
      </c>
      <c r="D330" s="54" t="s">
        <v>96</v>
      </c>
      <c r="E330" s="54" t="s">
        <v>97</v>
      </c>
      <c r="F330" t="s">
        <v>35</v>
      </c>
      <c r="G330">
        <v>38340</v>
      </c>
      <c r="H330">
        <v>360</v>
      </c>
      <c r="I330" t="str">
        <f t="shared" si="15"/>
        <v>AAA BBB</v>
      </c>
      <c r="J330" t="str">
        <f t="shared" si="16"/>
        <v>XXX</v>
      </c>
      <c r="K330" t="str">
        <f t="shared" si="17"/>
        <v>ZZZ, TN, 38340</v>
      </c>
    </row>
    <row r="331" spans="1:11" x14ac:dyDescent="0.15">
      <c r="A331">
        <v>1018918</v>
      </c>
      <c r="B331" s="54" t="s">
        <v>94</v>
      </c>
      <c r="C331" s="54" t="s">
        <v>95</v>
      </c>
      <c r="D331" s="54" t="s">
        <v>96</v>
      </c>
      <c r="E331" s="54" t="s">
        <v>97</v>
      </c>
      <c r="F331" t="s">
        <v>35</v>
      </c>
      <c r="G331">
        <v>38340</v>
      </c>
      <c r="H331">
        <v>360</v>
      </c>
      <c r="I331" t="str">
        <f t="shared" si="15"/>
        <v>AAA BBB</v>
      </c>
      <c r="J331" t="str">
        <f t="shared" si="16"/>
        <v>XXX</v>
      </c>
      <c r="K331" t="str">
        <f t="shared" si="17"/>
        <v>ZZZ, TN, 38340</v>
      </c>
    </row>
    <row r="332" spans="1:11" x14ac:dyDescent="0.15">
      <c r="A332">
        <v>1018918</v>
      </c>
      <c r="B332" s="54" t="s">
        <v>94</v>
      </c>
      <c r="C332" s="54" t="s">
        <v>95</v>
      </c>
      <c r="D332" s="54" t="s">
        <v>96</v>
      </c>
      <c r="E332" s="54" t="s">
        <v>97</v>
      </c>
      <c r="F332" t="s">
        <v>35</v>
      </c>
      <c r="G332">
        <v>38340</v>
      </c>
      <c r="H332">
        <v>360</v>
      </c>
      <c r="I332" t="str">
        <f t="shared" si="15"/>
        <v>AAA BBB</v>
      </c>
      <c r="J332" t="str">
        <f t="shared" si="16"/>
        <v>XXX</v>
      </c>
      <c r="K332" t="str">
        <f t="shared" si="17"/>
        <v>ZZZ, TN, 38340</v>
      </c>
    </row>
    <row r="333" spans="1:11" x14ac:dyDescent="0.15">
      <c r="A333">
        <v>1018918</v>
      </c>
      <c r="B333" s="54" t="s">
        <v>94</v>
      </c>
      <c r="C333" s="54" t="s">
        <v>95</v>
      </c>
      <c r="D333" s="54" t="s">
        <v>96</v>
      </c>
      <c r="E333" s="54" t="s">
        <v>97</v>
      </c>
      <c r="F333" t="s">
        <v>35</v>
      </c>
      <c r="G333">
        <v>38340</v>
      </c>
      <c r="H333">
        <v>360</v>
      </c>
      <c r="I333" t="str">
        <f t="shared" si="15"/>
        <v>AAA BBB</v>
      </c>
      <c r="J333" t="str">
        <f t="shared" si="16"/>
        <v>XXX</v>
      </c>
      <c r="K333" t="str">
        <f t="shared" si="17"/>
        <v>ZZZ, TN, 38340</v>
      </c>
    </row>
    <row r="334" spans="1:11" x14ac:dyDescent="0.15">
      <c r="A334">
        <v>1018918</v>
      </c>
      <c r="B334" s="54" t="s">
        <v>94</v>
      </c>
      <c r="C334" s="54" t="s">
        <v>95</v>
      </c>
      <c r="D334" s="54" t="s">
        <v>96</v>
      </c>
      <c r="E334" s="54" t="s">
        <v>97</v>
      </c>
      <c r="F334" t="s">
        <v>35</v>
      </c>
      <c r="G334">
        <v>38340</v>
      </c>
      <c r="H334">
        <v>360</v>
      </c>
      <c r="I334" t="str">
        <f t="shared" si="15"/>
        <v>AAA BBB</v>
      </c>
      <c r="J334" t="str">
        <f t="shared" si="16"/>
        <v>XXX</v>
      </c>
      <c r="K334" t="str">
        <f t="shared" si="17"/>
        <v>ZZZ, TN, 38340</v>
      </c>
    </row>
    <row r="335" spans="1:11" x14ac:dyDescent="0.15">
      <c r="A335">
        <v>1018918</v>
      </c>
      <c r="B335" s="54" t="s">
        <v>94</v>
      </c>
      <c r="C335" s="54" t="s">
        <v>95</v>
      </c>
      <c r="D335" s="54" t="s">
        <v>96</v>
      </c>
      <c r="E335" s="54" t="s">
        <v>97</v>
      </c>
      <c r="F335" t="s">
        <v>35</v>
      </c>
      <c r="G335">
        <v>38340</v>
      </c>
      <c r="H335">
        <v>360</v>
      </c>
      <c r="I335" t="str">
        <f t="shared" si="15"/>
        <v>AAA BBB</v>
      </c>
      <c r="J335" t="str">
        <f t="shared" si="16"/>
        <v>XXX</v>
      </c>
      <c r="K335" t="str">
        <f t="shared" si="17"/>
        <v>ZZZ, TN, 38340</v>
      </c>
    </row>
    <row r="336" spans="1:11" x14ac:dyDescent="0.15">
      <c r="A336">
        <v>1018918</v>
      </c>
      <c r="B336" s="54" t="s">
        <v>94</v>
      </c>
      <c r="C336" s="54" t="s">
        <v>95</v>
      </c>
      <c r="D336" s="54" t="s">
        <v>96</v>
      </c>
      <c r="E336" s="54" t="s">
        <v>97</v>
      </c>
      <c r="F336" t="s">
        <v>35</v>
      </c>
      <c r="G336">
        <v>38340</v>
      </c>
      <c r="H336">
        <v>360</v>
      </c>
      <c r="I336" t="str">
        <f t="shared" si="15"/>
        <v>AAA BBB</v>
      </c>
      <c r="J336" t="str">
        <f t="shared" si="16"/>
        <v>XXX</v>
      </c>
      <c r="K336" t="str">
        <f t="shared" si="17"/>
        <v>ZZZ, TN, 38340</v>
      </c>
    </row>
    <row r="337" spans="1:11" x14ac:dyDescent="0.15">
      <c r="A337">
        <v>1018918</v>
      </c>
      <c r="B337" s="54" t="s">
        <v>94</v>
      </c>
      <c r="C337" s="54" t="s">
        <v>95</v>
      </c>
      <c r="D337" s="54" t="s">
        <v>96</v>
      </c>
      <c r="E337" s="54" t="s">
        <v>97</v>
      </c>
      <c r="F337" t="s">
        <v>35</v>
      </c>
      <c r="G337">
        <v>38340</v>
      </c>
      <c r="H337">
        <v>360</v>
      </c>
      <c r="I337" t="str">
        <f t="shared" si="15"/>
        <v>AAA BBB</v>
      </c>
      <c r="J337" t="str">
        <f t="shared" si="16"/>
        <v>XXX</v>
      </c>
      <c r="K337" t="str">
        <f t="shared" si="17"/>
        <v>ZZZ, TN, 38340</v>
      </c>
    </row>
    <row r="338" spans="1:11" x14ac:dyDescent="0.15">
      <c r="A338">
        <v>1018918</v>
      </c>
      <c r="B338" s="54" t="s">
        <v>94</v>
      </c>
      <c r="C338" s="54" t="s">
        <v>95</v>
      </c>
      <c r="D338" s="54" t="s">
        <v>96</v>
      </c>
      <c r="E338" s="54" t="s">
        <v>97</v>
      </c>
      <c r="F338" t="s">
        <v>35</v>
      </c>
      <c r="G338">
        <v>38340</v>
      </c>
      <c r="H338">
        <v>360</v>
      </c>
      <c r="I338" t="str">
        <f t="shared" si="15"/>
        <v>AAA BBB</v>
      </c>
      <c r="J338" t="str">
        <f t="shared" si="16"/>
        <v>XXX</v>
      </c>
      <c r="K338" t="str">
        <f t="shared" si="17"/>
        <v>ZZZ, TN, 38340</v>
      </c>
    </row>
    <row r="339" spans="1:11" x14ac:dyDescent="0.15">
      <c r="A339">
        <v>1018918</v>
      </c>
      <c r="B339" s="54" t="s">
        <v>94</v>
      </c>
      <c r="C339" s="54" t="s">
        <v>95</v>
      </c>
      <c r="D339" s="54" t="s">
        <v>96</v>
      </c>
      <c r="E339" s="54" t="s">
        <v>97</v>
      </c>
      <c r="F339" t="s">
        <v>35</v>
      </c>
      <c r="G339">
        <v>38340</v>
      </c>
      <c r="H339">
        <v>360</v>
      </c>
      <c r="I339" t="str">
        <f t="shared" si="15"/>
        <v>AAA BBB</v>
      </c>
      <c r="J339" t="str">
        <f t="shared" si="16"/>
        <v>XXX</v>
      </c>
      <c r="K339" t="str">
        <f t="shared" si="17"/>
        <v>ZZZ, TN, 38340</v>
      </c>
    </row>
    <row r="340" spans="1:11" x14ac:dyDescent="0.15">
      <c r="A340">
        <v>1018918</v>
      </c>
      <c r="B340" s="54" t="s">
        <v>94</v>
      </c>
      <c r="C340" s="54" t="s">
        <v>95</v>
      </c>
      <c r="D340" s="54" t="s">
        <v>96</v>
      </c>
      <c r="E340" s="54" t="s">
        <v>97</v>
      </c>
      <c r="F340" t="s">
        <v>35</v>
      </c>
      <c r="G340">
        <v>38340</v>
      </c>
      <c r="H340">
        <v>360</v>
      </c>
      <c r="I340" t="str">
        <f t="shared" si="15"/>
        <v>AAA BBB</v>
      </c>
      <c r="J340" t="str">
        <f t="shared" si="16"/>
        <v>XXX</v>
      </c>
      <c r="K340" t="str">
        <f t="shared" si="17"/>
        <v>ZZZ, TN, 38340</v>
      </c>
    </row>
    <row r="341" spans="1:11" x14ac:dyDescent="0.15">
      <c r="A341">
        <v>1018918</v>
      </c>
      <c r="B341" s="54" t="s">
        <v>94</v>
      </c>
      <c r="C341" s="54" t="s">
        <v>95</v>
      </c>
      <c r="D341" s="54" t="s">
        <v>96</v>
      </c>
      <c r="E341" s="54" t="s">
        <v>97</v>
      </c>
      <c r="F341" t="s">
        <v>35</v>
      </c>
      <c r="G341">
        <v>38340</v>
      </c>
      <c r="H341">
        <v>360</v>
      </c>
      <c r="I341" t="str">
        <f t="shared" si="15"/>
        <v>AAA BBB</v>
      </c>
      <c r="J341" t="str">
        <f t="shared" si="16"/>
        <v>XXX</v>
      </c>
      <c r="K341" t="str">
        <f t="shared" si="17"/>
        <v>ZZZ, TN, 38340</v>
      </c>
    </row>
    <row r="342" spans="1:11" x14ac:dyDescent="0.15">
      <c r="A342">
        <v>1018918</v>
      </c>
      <c r="B342" s="54" t="s">
        <v>94</v>
      </c>
      <c r="C342" s="54" t="s">
        <v>95</v>
      </c>
      <c r="D342" s="54" t="s">
        <v>96</v>
      </c>
      <c r="E342" s="54" t="s">
        <v>97</v>
      </c>
      <c r="F342" t="s">
        <v>35</v>
      </c>
      <c r="G342">
        <v>38340</v>
      </c>
      <c r="H342">
        <v>360</v>
      </c>
      <c r="I342" t="str">
        <f t="shared" si="15"/>
        <v>AAA BBB</v>
      </c>
      <c r="J342" t="str">
        <f t="shared" si="16"/>
        <v>XXX</v>
      </c>
      <c r="K342" t="str">
        <f t="shared" si="17"/>
        <v>ZZZ, TN, 38340</v>
      </c>
    </row>
    <row r="343" spans="1:11" x14ac:dyDescent="0.15">
      <c r="A343">
        <v>1018918</v>
      </c>
      <c r="B343" s="54" t="s">
        <v>94</v>
      </c>
      <c r="C343" s="54" t="s">
        <v>95</v>
      </c>
      <c r="D343" s="54" t="s">
        <v>96</v>
      </c>
      <c r="E343" s="54" t="s">
        <v>97</v>
      </c>
      <c r="F343" t="s">
        <v>35</v>
      </c>
      <c r="G343">
        <v>38340</v>
      </c>
      <c r="H343">
        <v>360</v>
      </c>
      <c r="I343" t="str">
        <f t="shared" si="15"/>
        <v>AAA BBB</v>
      </c>
      <c r="J343" t="str">
        <f t="shared" si="16"/>
        <v>XXX</v>
      </c>
      <c r="K343" t="str">
        <f t="shared" si="17"/>
        <v>ZZZ, TN, 38340</v>
      </c>
    </row>
    <row r="344" spans="1:11" x14ac:dyDescent="0.15">
      <c r="A344">
        <v>1018918</v>
      </c>
      <c r="B344" s="54" t="s">
        <v>94</v>
      </c>
      <c r="C344" s="54" t="s">
        <v>95</v>
      </c>
      <c r="D344" s="54" t="s">
        <v>96</v>
      </c>
      <c r="E344" s="54" t="s">
        <v>97</v>
      </c>
      <c r="F344" t="s">
        <v>35</v>
      </c>
      <c r="G344">
        <v>38340</v>
      </c>
      <c r="H344">
        <v>360</v>
      </c>
      <c r="I344" t="str">
        <f t="shared" si="15"/>
        <v>AAA BBB</v>
      </c>
      <c r="J344" t="str">
        <f t="shared" si="16"/>
        <v>XXX</v>
      </c>
      <c r="K344" t="str">
        <f t="shared" si="17"/>
        <v>ZZZ, TN, 38340</v>
      </c>
    </row>
    <row r="345" spans="1:11" x14ac:dyDescent="0.15">
      <c r="A345">
        <v>1018918</v>
      </c>
      <c r="B345" s="54" t="s">
        <v>94</v>
      </c>
      <c r="C345" s="54" t="s">
        <v>95</v>
      </c>
      <c r="D345" s="54" t="s">
        <v>96</v>
      </c>
      <c r="E345" s="54" t="s">
        <v>97</v>
      </c>
      <c r="F345" t="s">
        <v>35</v>
      </c>
      <c r="G345">
        <v>38340</v>
      </c>
      <c r="H345">
        <v>360</v>
      </c>
      <c r="I345" t="str">
        <f t="shared" si="15"/>
        <v>AAA BBB</v>
      </c>
      <c r="J345" t="str">
        <f t="shared" si="16"/>
        <v>XXX</v>
      </c>
      <c r="K345" t="str">
        <f t="shared" si="17"/>
        <v>ZZZ, TN, 38340</v>
      </c>
    </row>
    <row r="346" spans="1:11" x14ac:dyDescent="0.15">
      <c r="A346">
        <v>1018918</v>
      </c>
      <c r="B346" s="54" t="s">
        <v>94</v>
      </c>
      <c r="C346" s="54" t="s">
        <v>95</v>
      </c>
      <c r="D346" s="54" t="s">
        <v>96</v>
      </c>
      <c r="E346" s="54" t="s">
        <v>97</v>
      </c>
      <c r="F346" t="s">
        <v>35</v>
      </c>
      <c r="G346">
        <v>38340</v>
      </c>
      <c r="H346">
        <v>360</v>
      </c>
      <c r="I346" t="str">
        <f t="shared" si="15"/>
        <v>AAA BBB</v>
      </c>
      <c r="J346" t="str">
        <f t="shared" si="16"/>
        <v>XXX</v>
      </c>
      <c r="K346" t="str">
        <f t="shared" si="17"/>
        <v>ZZZ, TN, 38340</v>
      </c>
    </row>
    <row r="347" spans="1:11" x14ac:dyDescent="0.15">
      <c r="A347">
        <v>1018918</v>
      </c>
      <c r="B347" s="54" t="s">
        <v>94</v>
      </c>
      <c r="C347" s="54" t="s">
        <v>95</v>
      </c>
      <c r="D347" s="54" t="s">
        <v>96</v>
      </c>
      <c r="E347" s="54" t="s">
        <v>97</v>
      </c>
      <c r="F347" t="s">
        <v>35</v>
      </c>
      <c r="G347">
        <v>38340</v>
      </c>
      <c r="H347">
        <v>360</v>
      </c>
      <c r="I347" t="str">
        <f t="shared" si="15"/>
        <v>AAA BBB</v>
      </c>
      <c r="J347" t="str">
        <f t="shared" si="16"/>
        <v>XXX</v>
      </c>
      <c r="K347" t="str">
        <f t="shared" si="17"/>
        <v>ZZZ, TN, 38340</v>
      </c>
    </row>
    <row r="348" spans="1:11" x14ac:dyDescent="0.15">
      <c r="A348">
        <v>1018918</v>
      </c>
      <c r="B348" s="54" t="s">
        <v>94</v>
      </c>
      <c r="C348" s="54" t="s">
        <v>95</v>
      </c>
      <c r="D348" s="54" t="s">
        <v>96</v>
      </c>
      <c r="E348" s="54" t="s">
        <v>97</v>
      </c>
      <c r="F348" t="s">
        <v>35</v>
      </c>
      <c r="G348">
        <v>38340</v>
      </c>
      <c r="H348">
        <v>360</v>
      </c>
      <c r="I348" t="str">
        <f t="shared" si="15"/>
        <v>AAA BBB</v>
      </c>
      <c r="J348" t="str">
        <f t="shared" si="16"/>
        <v>XXX</v>
      </c>
      <c r="K348" t="str">
        <f t="shared" si="17"/>
        <v>ZZZ, TN, 38340</v>
      </c>
    </row>
    <row r="349" spans="1:11" x14ac:dyDescent="0.15">
      <c r="A349">
        <v>1018918</v>
      </c>
      <c r="B349" s="54" t="s">
        <v>94</v>
      </c>
      <c r="C349" s="54" t="s">
        <v>95</v>
      </c>
      <c r="D349" s="54" t="s">
        <v>96</v>
      </c>
      <c r="E349" s="54" t="s">
        <v>97</v>
      </c>
      <c r="F349" t="s">
        <v>35</v>
      </c>
      <c r="G349">
        <v>38340</v>
      </c>
      <c r="H349">
        <v>360</v>
      </c>
      <c r="I349" t="str">
        <f t="shared" si="15"/>
        <v>AAA BBB</v>
      </c>
      <c r="J349" t="str">
        <f t="shared" si="16"/>
        <v>XXX</v>
      </c>
      <c r="K349" t="str">
        <f t="shared" si="17"/>
        <v>ZZZ, TN, 38340</v>
      </c>
    </row>
    <row r="350" spans="1:11" x14ac:dyDescent="0.15">
      <c r="A350">
        <v>1018918</v>
      </c>
      <c r="B350" s="54" t="s">
        <v>94</v>
      </c>
      <c r="C350" s="54" t="s">
        <v>95</v>
      </c>
      <c r="D350" s="54" t="s">
        <v>96</v>
      </c>
      <c r="E350" s="54" t="s">
        <v>97</v>
      </c>
      <c r="F350" t="s">
        <v>35</v>
      </c>
      <c r="G350">
        <v>38340</v>
      </c>
      <c r="H350">
        <v>360</v>
      </c>
      <c r="I350" t="str">
        <f t="shared" si="15"/>
        <v>AAA BBB</v>
      </c>
      <c r="J350" t="str">
        <f t="shared" si="16"/>
        <v>XXX</v>
      </c>
      <c r="K350" t="str">
        <f t="shared" si="17"/>
        <v>ZZZ, TN, 38340</v>
      </c>
    </row>
    <row r="351" spans="1:11" x14ac:dyDescent="0.15">
      <c r="A351">
        <v>1018918</v>
      </c>
      <c r="B351" s="54" t="s">
        <v>94</v>
      </c>
      <c r="C351" s="54" t="s">
        <v>95</v>
      </c>
      <c r="D351" s="54" t="s">
        <v>96</v>
      </c>
      <c r="E351" s="54" t="s">
        <v>97</v>
      </c>
      <c r="F351" t="s">
        <v>35</v>
      </c>
      <c r="G351">
        <v>38340</v>
      </c>
      <c r="H351">
        <v>360</v>
      </c>
      <c r="I351" t="str">
        <f t="shared" si="15"/>
        <v>AAA BBB</v>
      </c>
      <c r="J351" t="str">
        <f t="shared" si="16"/>
        <v>XXX</v>
      </c>
      <c r="K351" t="str">
        <f t="shared" si="17"/>
        <v>ZZZ, TN, 38340</v>
      </c>
    </row>
    <row r="352" spans="1:11" x14ac:dyDescent="0.15">
      <c r="A352">
        <v>1018918</v>
      </c>
      <c r="B352" s="54" t="s">
        <v>94</v>
      </c>
      <c r="C352" s="54" t="s">
        <v>95</v>
      </c>
      <c r="D352" s="54" t="s">
        <v>96</v>
      </c>
      <c r="E352" s="54" t="s">
        <v>97</v>
      </c>
      <c r="F352" t="s">
        <v>35</v>
      </c>
      <c r="G352">
        <v>38340</v>
      </c>
      <c r="H352">
        <v>360</v>
      </c>
      <c r="I352" t="str">
        <f t="shared" si="15"/>
        <v>AAA BBB</v>
      </c>
      <c r="J352" t="str">
        <f t="shared" si="16"/>
        <v>XXX</v>
      </c>
      <c r="K352" t="str">
        <f t="shared" si="17"/>
        <v>ZZZ, TN, 38340</v>
      </c>
    </row>
    <row r="353" spans="1:11" x14ac:dyDescent="0.15">
      <c r="A353">
        <v>1018918</v>
      </c>
      <c r="B353" s="54" t="s">
        <v>94</v>
      </c>
      <c r="C353" s="54" t="s">
        <v>95</v>
      </c>
      <c r="D353" s="54" t="s">
        <v>96</v>
      </c>
      <c r="E353" s="54" t="s">
        <v>97</v>
      </c>
      <c r="F353" t="s">
        <v>35</v>
      </c>
      <c r="G353">
        <v>38340</v>
      </c>
      <c r="H353">
        <v>360</v>
      </c>
      <c r="I353" t="str">
        <f t="shared" si="15"/>
        <v>AAA BBB</v>
      </c>
      <c r="J353" t="str">
        <f t="shared" si="16"/>
        <v>XXX</v>
      </c>
      <c r="K353" t="str">
        <f t="shared" si="17"/>
        <v>ZZZ, TN, 38340</v>
      </c>
    </row>
    <row r="354" spans="1:11" x14ac:dyDescent="0.15">
      <c r="A354">
        <v>1018918</v>
      </c>
      <c r="B354" s="54" t="s">
        <v>94</v>
      </c>
      <c r="C354" s="54" t="s">
        <v>95</v>
      </c>
      <c r="D354" s="54" t="s">
        <v>96</v>
      </c>
      <c r="E354" s="54" t="s">
        <v>97</v>
      </c>
      <c r="F354" t="s">
        <v>35</v>
      </c>
      <c r="G354">
        <v>38340</v>
      </c>
      <c r="H354">
        <v>360</v>
      </c>
      <c r="I354" t="str">
        <f t="shared" si="15"/>
        <v>AAA BBB</v>
      </c>
      <c r="J354" t="str">
        <f t="shared" si="16"/>
        <v>XXX</v>
      </c>
      <c r="K354" t="str">
        <f t="shared" si="17"/>
        <v>ZZZ, TN, 38340</v>
      </c>
    </row>
    <row r="355" spans="1:11" x14ac:dyDescent="0.15">
      <c r="A355">
        <v>1018918</v>
      </c>
      <c r="B355" s="54" t="s">
        <v>94</v>
      </c>
      <c r="C355" s="54" t="s">
        <v>95</v>
      </c>
      <c r="D355" s="54" t="s">
        <v>96</v>
      </c>
      <c r="E355" s="54" t="s">
        <v>97</v>
      </c>
      <c r="F355" t="s">
        <v>35</v>
      </c>
      <c r="G355">
        <v>38340</v>
      </c>
      <c r="H355">
        <v>360</v>
      </c>
      <c r="I355" t="str">
        <f t="shared" si="15"/>
        <v>AAA BBB</v>
      </c>
      <c r="J355" t="str">
        <f t="shared" si="16"/>
        <v>XXX</v>
      </c>
      <c r="K355" t="str">
        <f t="shared" si="17"/>
        <v>ZZZ, TN, 38340</v>
      </c>
    </row>
    <row r="356" spans="1:11" x14ac:dyDescent="0.15">
      <c r="A356">
        <v>1018918</v>
      </c>
      <c r="B356" s="54" t="s">
        <v>94</v>
      </c>
      <c r="C356" s="54" t="s">
        <v>95</v>
      </c>
      <c r="D356" s="54" t="s">
        <v>96</v>
      </c>
      <c r="E356" s="54" t="s">
        <v>97</v>
      </c>
      <c r="F356" t="s">
        <v>35</v>
      </c>
      <c r="G356">
        <v>38340</v>
      </c>
      <c r="H356">
        <v>360</v>
      </c>
      <c r="I356" t="str">
        <f t="shared" si="15"/>
        <v>AAA BBB</v>
      </c>
      <c r="J356" t="str">
        <f t="shared" si="16"/>
        <v>XXX</v>
      </c>
      <c r="K356" t="str">
        <f t="shared" si="17"/>
        <v>ZZZ, TN, 38340</v>
      </c>
    </row>
    <row r="357" spans="1:11" x14ac:dyDescent="0.15">
      <c r="A357">
        <v>1018918</v>
      </c>
      <c r="B357" s="54" t="s">
        <v>94</v>
      </c>
      <c r="C357" s="54" t="s">
        <v>95</v>
      </c>
      <c r="D357" s="54" t="s">
        <v>96</v>
      </c>
      <c r="E357" s="54" t="s">
        <v>97</v>
      </c>
      <c r="F357" t="s">
        <v>35</v>
      </c>
      <c r="G357">
        <v>38340</v>
      </c>
      <c r="H357">
        <v>360</v>
      </c>
      <c r="I357" t="str">
        <f t="shared" si="15"/>
        <v>AAA BBB</v>
      </c>
      <c r="J357" t="str">
        <f t="shared" si="16"/>
        <v>XXX</v>
      </c>
      <c r="K357" t="str">
        <f t="shared" si="17"/>
        <v>ZZZ, TN, 38340</v>
      </c>
    </row>
    <row r="358" spans="1:11" x14ac:dyDescent="0.15">
      <c r="A358">
        <v>1018918</v>
      </c>
      <c r="B358" s="54" t="s">
        <v>94</v>
      </c>
      <c r="C358" s="54" t="s">
        <v>95</v>
      </c>
      <c r="D358" s="54" t="s">
        <v>96</v>
      </c>
      <c r="E358" s="54" t="s">
        <v>97</v>
      </c>
      <c r="F358" t="s">
        <v>35</v>
      </c>
      <c r="G358">
        <v>38340</v>
      </c>
      <c r="H358">
        <v>360</v>
      </c>
      <c r="I358" t="str">
        <f t="shared" si="15"/>
        <v>AAA BBB</v>
      </c>
      <c r="J358" t="str">
        <f t="shared" si="16"/>
        <v>XXX</v>
      </c>
      <c r="K358" t="str">
        <f t="shared" si="17"/>
        <v>ZZZ, TN, 38340</v>
      </c>
    </row>
    <row r="359" spans="1:11" x14ac:dyDescent="0.15">
      <c r="A359">
        <v>1018918</v>
      </c>
      <c r="B359" s="54" t="s">
        <v>94</v>
      </c>
      <c r="C359" s="54" t="s">
        <v>95</v>
      </c>
      <c r="D359" s="54" t="s">
        <v>96</v>
      </c>
      <c r="E359" s="54" t="s">
        <v>97</v>
      </c>
      <c r="F359" t="s">
        <v>35</v>
      </c>
      <c r="G359">
        <v>38340</v>
      </c>
      <c r="H359">
        <v>360</v>
      </c>
      <c r="I359" t="str">
        <f t="shared" si="15"/>
        <v>AAA BBB</v>
      </c>
      <c r="J359" t="str">
        <f t="shared" si="16"/>
        <v>XXX</v>
      </c>
      <c r="K359" t="str">
        <f t="shared" si="17"/>
        <v>ZZZ, TN, 38340</v>
      </c>
    </row>
    <row r="360" spans="1:11" x14ac:dyDescent="0.15">
      <c r="A360">
        <v>1018918</v>
      </c>
      <c r="B360" s="54" t="s">
        <v>94</v>
      </c>
      <c r="C360" s="54" t="s">
        <v>95</v>
      </c>
      <c r="D360" s="54" t="s">
        <v>96</v>
      </c>
      <c r="E360" s="54" t="s">
        <v>97</v>
      </c>
      <c r="F360" t="s">
        <v>35</v>
      </c>
      <c r="G360">
        <v>38340</v>
      </c>
      <c r="H360">
        <v>360</v>
      </c>
      <c r="I360" t="str">
        <f t="shared" si="15"/>
        <v>AAA BBB</v>
      </c>
      <c r="J360" t="str">
        <f t="shared" si="16"/>
        <v>XXX</v>
      </c>
      <c r="K360" t="str">
        <f t="shared" si="17"/>
        <v>ZZZ, TN, 38340</v>
      </c>
    </row>
    <row r="361" spans="1:11" x14ac:dyDescent="0.15">
      <c r="A361">
        <v>1018918</v>
      </c>
      <c r="B361" s="54" t="s">
        <v>94</v>
      </c>
      <c r="C361" s="54" t="s">
        <v>95</v>
      </c>
      <c r="D361" s="54" t="s">
        <v>96</v>
      </c>
      <c r="E361" s="54" t="s">
        <v>97</v>
      </c>
      <c r="F361" t="s">
        <v>35</v>
      </c>
      <c r="G361">
        <v>38340</v>
      </c>
      <c r="H361">
        <v>360</v>
      </c>
      <c r="I361" t="str">
        <f t="shared" si="15"/>
        <v>AAA BBB</v>
      </c>
      <c r="J361" t="str">
        <f t="shared" si="16"/>
        <v>XXX</v>
      </c>
      <c r="K361" t="str">
        <f t="shared" si="17"/>
        <v>ZZZ, TN, 38340</v>
      </c>
    </row>
    <row r="362" spans="1:11" x14ac:dyDescent="0.15">
      <c r="A362">
        <v>1018918</v>
      </c>
      <c r="B362" s="54" t="s">
        <v>94</v>
      </c>
      <c r="C362" s="54" t="s">
        <v>95</v>
      </c>
      <c r="D362" s="54" t="s">
        <v>96</v>
      </c>
      <c r="E362" s="54" t="s">
        <v>97</v>
      </c>
      <c r="F362" t="s">
        <v>35</v>
      </c>
      <c r="G362">
        <v>38340</v>
      </c>
      <c r="H362">
        <v>360</v>
      </c>
      <c r="I362" t="str">
        <f t="shared" si="15"/>
        <v>AAA BBB</v>
      </c>
      <c r="J362" t="str">
        <f t="shared" si="16"/>
        <v>XXX</v>
      </c>
      <c r="K362" t="str">
        <f t="shared" si="17"/>
        <v>ZZZ, TN, 38340</v>
      </c>
    </row>
    <row r="363" spans="1:11" x14ac:dyDescent="0.15">
      <c r="A363">
        <v>1018918</v>
      </c>
      <c r="B363" s="54" t="s">
        <v>94</v>
      </c>
      <c r="C363" s="54" t="s">
        <v>95</v>
      </c>
      <c r="D363" s="54" t="s">
        <v>96</v>
      </c>
      <c r="E363" s="54" t="s">
        <v>97</v>
      </c>
      <c r="F363" t="s">
        <v>35</v>
      </c>
      <c r="G363">
        <v>38340</v>
      </c>
      <c r="H363">
        <v>360</v>
      </c>
      <c r="I363" t="str">
        <f t="shared" si="15"/>
        <v>AAA BBB</v>
      </c>
      <c r="J363" t="str">
        <f t="shared" si="16"/>
        <v>XXX</v>
      </c>
      <c r="K363" t="str">
        <f t="shared" si="17"/>
        <v>ZZZ, TN, 38340</v>
      </c>
    </row>
    <row r="364" spans="1:11" x14ac:dyDescent="0.15">
      <c r="A364">
        <v>1018918</v>
      </c>
      <c r="B364" s="54" t="s">
        <v>94</v>
      </c>
      <c r="C364" s="54" t="s">
        <v>95</v>
      </c>
      <c r="D364" s="54" t="s">
        <v>96</v>
      </c>
      <c r="E364" s="54" t="s">
        <v>97</v>
      </c>
      <c r="F364" t="s">
        <v>35</v>
      </c>
      <c r="G364">
        <v>38340</v>
      </c>
      <c r="H364">
        <v>360</v>
      </c>
      <c r="I364" t="str">
        <f t="shared" si="15"/>
        <v>AAA BBB</v>
      </c>
      <c r="J364" t="str">
        <f t="shared" si="16"/>
        <v>XXX</v>
      </c>
      <c r="K364" t="str">
        <f t="shared" si="17"/>
        <v>ZZZ, TN, 38340</v>
      </c>
    </row>
    <row r="365" spans="1:11" x14ac:dyDescent="0.15">
      <c r="A365">
        <v>1018918</v>
      </c>
      <c r="B365" s="54" t="s">
        <v>94</v>
      </c>
      <c r="C365" s="54" t="s">
        <v>95</v>
      </c>
      <c r="D365" s="54" t="s">
        <v>96</v>
      </c>
      <c r="E365" s="54" t="s">
        <v>97</v>
      </c>
      <c r="F365" t="s">
        <v>35</v>
      </c>
      <c r="G365">
        <v>38340</v>
      </c>
      <c r="H365">
        <v>360</v>
      </c>
      <c r="I365" t="str">
        <f t="shared" si="15"/>
        <v>AAA BBB</v>
      </c>
      <c r="J365" t="str">
        <f t="shared" si="16"/>
        <v>XXX</v>
      </c>
      <c r="K365" t="str">
        <f t="shared" si="17"/>
        <v>ZZZ, TN, 38340</v>
      </c>
    </row>
    <row r="366" spans="1:11" x14ac:dyDescent="0.15">
      <c r="A366">
        <v>1018918</v>
      </c>
      <c r="B366" s="54" t="s">
        <v>94</v>
      </c>
      <c r="C366" s="54" t="s">
        <v>95</v>
      </c>
      <c r="D366" s="54" t="s">
        <v>96</v>
      </c>
      <c r="E366" s="54" t="s">
        <v>97</v>
      </c>
      <c r="F366" t="s">
        <v>35</v>
      </c>
      <c r="G366">
        <v>38340</v>
      </c>
      <c r="H366">
        <v>360</v>
      </c>
      <c r="I366" t="str">
        <f t="shared" si="15"/>
        <v>AAA BBB</v>
      </c>
      <c r="J366" t="str">
        <f t="shared" si="16"/>
        <v>XXX</v>
      </c>
      <c r="K366" t="str">
        <f t="shared" si="17"/>
        <v>ZZZ, TN, 38340</v>
      </c>
    </row>
    <row r="367" spans="1:11" x14ac:dyDescent="0.15">
      <c r="A367">
        <v>1018918</v>
      </c>
      <c r="B367" s="54" t="s">
        <v>94</v>
      </c>
      <c r="C367" s="54" t="s">
        <v>95</v>
      </c>
      <c r="D367" s="54" t="s">
        <v>96</v>
      </c>
      <c r="E367" s="54" t="s">
        <v>97</v>
      </c>
      <c r="F367" t="s">
        <v>35</v>
      </c>
      <c r="G367">
        <v>38340</v>
      </c>
      <c r="H367">
        <v>360</v>
      </c>
      <c r="I367" t="str">
        <f t="shared" si="15"/>
        <v>AAA BBB</v>
      </c>
      <c r="J367" t="str">
        <f t="shared" si="16"/>
        <v>XXX</v>
      </c>
      <c r="K367" t="str">
        <f t="shared" si="17"/>
        <v>ZZZ, TN, 38340</v>
      </c>
    </row>
    <row r="368" spans="1:11" x14ac:dyDescent="0.15">
      <c r="A368">
        <v>1018918</v>
      </c>
      <c r="B368" s="54" t="s">
        <v>94</v>
      </c>
      <c r="C368" s="54" t="s">
        <v>95</v>
      </c>
      <c r="D368" s="54" t="s">
        <v>96</v>
      </c>
      <c r="E368" s="54" t="s">
        <v>97</v>
      </c>
      <c r="F368" t="s">
        <v>35</v>
      </c>
      <c r="G368">
        <v>38340</v>
      </c>
      <c r="H368">
        <v>360</v>
      </c>
      <c r="I368" t="str">
        <f t="shared" si="15"/>
        <v>AAA BBB</v>
      </c>
      <c r="J368" t="str">
        <f t="shared" si="16"/>
        <v>XXX</v>
      </c>
      <c r="K368" t="str">
        <f t="shared" si="17"/>
        <v>ZZZ, TN, 38340</v>
      </c>
    </row>
    <row r="369" spans="1:11" x14ac:dyDescent="0.15">
      <c r="A369">
        <v>1018918</v>
      </c>
      <c r="B369" s="54" t="s">
        <v>94</v>
      </c>
      <c r="C369" s="54" t="s">
        <v>95</v>
      </c>
      <c r="D369" s="54" t="s">
        <v>96</v>
      </c>
      <c r="E369" s="54" t="s">
        <v>97</v>
      </c>
      <c r="F369" t="s">
        <v>35</v>
      </c>
      <c r="G369">
        <v>38340</v>
      </c>
      <c r="H369">
        <v>360</v>
      </c>
      <c r="I369" t="str">
        <f t="shared" si="15"/>
        <v>AAA BBB</v>
      </c>
      <c r="J369" t="str">
        <f t="shared" si="16"/>
        <v>XXX</v>
      </c>
      <c r="K369" t="str">
        <f t="shared" si="17"/>
        <v>ZZZ, TN, 38340</v>
      </c>
    </row>
    <row r="370" spans="1:11" x14ac:dyDescent="0.15">
      <c r="A370">
        <v>1018918</v>
      </c>
      <c r="B370" s="54" t="s">
        <v>94</v>
      </c>
      <c r="C370" s="54" t="s">
        <v>95</v>
      </c>
      <c r="D370" s="54" t="s">
        <v>96</v>
      </c>
      <c r="E370" s="54" t="s">
        <v>97</v>
      </c>
      <c r="F370" t="s">
        <v>35</v>
      </c>
      <c r="G370">
        <v>38340</v>
      </c>
      <c r="H370">
        <v>360</v>
      </c>
      <c r="I370" t="str">
        <f t="shared" si="15"/>
        <v>AAA BBB</v>
      </c>
      <c r="J370" t="str">
        <f t="shared" si="16"/>
        <v>XXX</v>
      </c>
      <c r="K370" t="str">
        <f t="shared" si="17"/>
        <v>ZZZ, TN, 38340</v>
      </c>
    </row>
    <row r="371" spans="1:11" x14ac:dyDescent="0.15">
      <c r="A371">
        <v>1018918</v>
      </c>
      <c r="B371" s="54" t="s">
        <v>94</v>
      </c>
      <c r="C371" s="54" t="s">
        <v>95</v>
      </c>
      <c r="D371" s="54" t="s">
        <v>96</v>
      </c>
      <c r="E371" s="54" t="s">
        <v>97</v>
      </c>
      <c r="F371" t="s">
        <v>35</v>
      </c>
      <c r="G371">
        <v>38340</v>
      </c>
      <c r="H371">
        <v>360</v>
      </c>
      <c r="I371" t="str">
        <f t="shared" si="15"/>
        <v>AAA BBB</v>
      </c>
      <c r="J371" t="str">
        <f t="shared" si="16"/>
        <v>XXX</v>
      </c>
      <c r="K371" t="str">
        <f t="shared" si="17"/>
        <v>ZZZ, TN, 38340</v>
      </c>
    </row>
    <row r="372" spans="1:11" x14ac:dyDescent="0.15">
      <c r="A372">
        <v>1018918</v>
      </c>
      <c r="B372" s="54" t="s">
        <v>94</v>
      </c>
      <c r="C372" s="54" t="s">
        <v>95</v>
      </c>
      <c r="D372" s="54" t="s">
        <v>96</v>
      </c>
      <c r="E372" s="54" t="s">
        <v>97</v>
      </c>
      <c r="F372" t="s">
        <v>35</v>
      </c>
      <c r="G372">
        <v>38340</v>
      </c>
      <c r="H372">
        <v>360</v>
      </c>
      <c r="I372" t="str">
        <f t="shared" si="15"/>
        <v>AAA BBB</v>
      </c>
      <c r="J372" t="str">
        <f t="shared" si="16"/>
        <v>XXX</v>
      </c>
      <c r="K372" t="str">
        <f t="shared" si="17"/>
        <v>ZZZ, TN, 38340</v>
      </c>
    </row>
    <row r="373" spans="1:11" x14ac:dyDescent="0.15">
      <c r="A373">
        <v>1018918</v>
      </c>
      <c r="B373" s="54" t="s">
        <v>94</v>
      </c>
      <c r="C373" s="54" t="s">
        <v>95</v>
      </c>
      <c r="D373" s="54" t="s">
        <v>96</v>
      </c>
      <c r="E373" s="54" t="s">
        <v>97</v>
      </c>
      <c r="F373" t="s">
        <v>35</v>
      </c>
      <c r="G373">
        <v>38340</v>
      </c>
      <c r="H373">
        <v>360</v>
      </c>
      <c r="I373" t="str">
        <f t="shared" si="15"/>
        <v>AAA BBB</v>
      </c>
      <c r="J373" t="str">
        <f t="shared" si="16"/>
        <v>XXX</v>
      </c>
      <c r="K373" t="str">
        <f t="shared" si="17"/>
        <v>ZZZ, TN, 38340</v>
      </c>
    </row>
    <row r="374" spans="1:11" x14ac:dyDescent="0.15">
      <c r="A374">
        <v>1018918</v>
      </c>
      <c r="B374" s="54" t="s">
        <v>94</v>
      </c>
      <c r="C374" s="54" t="s">
        <v>95</v>
      </c>
      <c r="D374" s="54" t="s">
        <v>96</v>
      </c>
      <c r="E374" s="54" t="s">
        <v>97</v>
      </c>
      <c r="F374" t="s">
        <v>35</v>
      </c>
      <c r="G374">
        <v>38340</v>
      </c>
      <c r="H374">
        <v>360</v>
      </c>
      <c r="I374" t="str">
        <f t="shared" si="15"/>
        <v>AAA BBB</v>
      </c>
      <c r="J374" t="str">
        <f t="shared" si="16"/>
        <v>XXX</v>
      </c>
      <c r="K374" t="str">
        <f t="shared" si="17"/>
        <v>ZZZ, TN, 38340</v>
      </c>
    </row>
    <row r="375" spans="1:11" x14ac:dyDescent="0.15">
      <c r="A375">
        <v>1018918</v>
      </c>
      <c r="B375" s="54" t="s">
        <v>94</v>
      </c>
      <c r="C375" s="54" t="s">
        <v>95</v>
      </c>
      <c r="D375" s="54" t="s">
        <v>96</v>
      </c>
      <c r="E375" s="54" t="s">
        <v>97</v>
      </c>
      <c r="F375" t="s">
        <v>35</v>
      </c>
      <c r="G375">
        <v>38340</v>
      </c>
      <c r="H375">
        <v>360</v>
      </c>
      <c r="I375" t="str">
        <f t="shared" si="15"/>
        <v>AAA BBB</v>
      </c>
      <c r="J375" t="str">
        <f t="shared" si="16"/>
        <v>XXX</v>
      </c>
      <c r="K375" t="str">
        <f t="shared" si="17"/>
        <v>ZZZ, TN, 38340</v>
      </c>
    </row>
    <row r="376" spans="1:11" x14ac:dyDescent="0.15">
      <c r="A376">
        <v>1018918</v>
      </c>
      <c r="B376" s="54" t="s">
        <v>94</v>
      </c>
      <c r="C376" s="54" t="s">
        <v>95</v>
      </c>
      <c r="D376" s="54" t="s">
        <v>96</v>
      </c>
      <c r="E376" s="54" t="s">
        <v>97</v>
      </c>
      <c r="F376" t="s">
        <v>35</v>
      </c>
      <c r="G376">
        <v>38340</v>
      </c>
      <c r="H376">
        <v>360</v>
      </c>
      <c r="I376" t="str">
        <f t="shared" si="15"/>
        <v>AAA BBB</v>
      </c>
      <c r="J376" t="str">
        <f t="shared" si="16"/>
        <v>XXX</v>
      </c>
      <c r="K376" t="str">
        <f t="shared" si="17"/>
        <v>ZZZ, TN, 38340</v>
      </c>
    </row>
    <row r="377" spans="1:11" x14ac:dyDescent="0.15">
      <c r="A377">
        <v>1018918</v>
      </c>
      <c r="B377" s="54" t="s">
        <v>94</v>
      </c>
      <c r="C377" s="54" t="s">
        <v>95</v>
      </c>
      <c r="D377" s="54" t="s">
        <v>96</v>
      </c>
      <c r="E377" s="54" t="s">
        <v>97</v>
      </c>
      <c r="F377" t="s">
        <v>35</v>
      </c>
      <c r="G377">
        <v>38340</v>
      </c>
      <c r="H377">
        <v>360</v>
      </c>
      <c r="I377" t="str">
        <f t="shared" si="15"/>
        <v>AAA BBB</v>
      </c>
      <c r="J377" t="str">
        <f t="shared" si="16"/>
        <v>XXX</v>
      </c>
      <c r="K377" t="str">
        <f t="shared" si="17"/>
        <v>ZZZ, TN, 38340</v>
      </c>
    </row>
    <row r="378" spans="1:11" x14ac:dyDescent="0.15">
      <c r="A378">
        <v>1018918</v>
      </c>
      <c r="B378" s="54" t="s">
        <v>94</v>
      </c>
      <c r="C378" s="54" t="s">
        <v>95</v>
      </c>
      <c r="D378" s="54" t="s">
        <v>96</v>
      </c>
      <c r="E378" s="54" t="s">
        <v>97</v>
      </c>
      <c r="F378" t="s">
        <v>35</v>
      </c>
      <c r="G378">
        <v>38340</v>
      </c>
      <c r="H378">
        <v>360</v>
      </c>
      <c r="I378" t="str">
        <f t="shared" si="15"/>
        <v>AAA BBB</v>
      </c>
      <c r="J378" t="str">
        <f t="shared" si="16"/>
        <v>XXX</v>
      </c>
      <c r="K378" t="str">
        <f t="shared" si="17"/>
        <v>ZZZ, TN, 38340</v>
      </c>
    </row>
    <row r="379" spans="1:11" x14ac:dyDescent="0.15">
      <c r="A379">
        <v>1018918</v>
      </c>
      <c r="B379" s="54" t="s">
        <v>94</v>
      </c>
      <c r="C379" s="54" t="s">
        <v>95</v>
      </c>
      <c r="D379" s="54" t="s">
        <v>96</v>
      </c>
      <c r="E379" s="54" t="s">
        <v>97</v>
      </c>
      <c r="F379" t="s">
        <v>35</v>
      </c>
      <c r="G379">
        <v>38340</v>
      </c>
      <c r="H379">
        <v>360</v>
      </c>
      <c r="I379" t="str">
        <f t="shared" si="15"/>
        <v>AAA BBB</v>
      </c>
      <c r="J379" t="str">
        <f t="shared" si="16"/>
        <v>XXX</v>
      </c>
      <c r="K379" t="str">
        <f t="shared" si="17"/>
        <v>ZZZ, TN, 38340</v>
      </c>
    </row>
    <row r="380" spans="1:11" x14ac:dyDescent="0.15">
      <c r="A380">
        <v>1018918</v>
      </c>
      <c r="B380" s="54" t="s">
        <v>94</v>
      </c>
      <c r="C380" s="54" t="s">
        <v>95</v>
      </c>
      <c r="D380" s="54" t="s">
        <v>96</v>
      </c>
      <c r="E380" s="54" t="s">
        <v>97</v>
      </c>
      <c r="F380" t="s">
        <v>35</v>
      </c>
      <c r="G380">
        <v>38340</v>
      </c>
      <c r="H380">
        <v>360</v>
      </c>
      <c r="I380" t="str">
        <f t="shared" si="15"/>
        <v>AAA BBB</v>
      </c>
      <c r="J380" t="str">
        <f t="shared" si="16"/>
        <v>XXX</v>
      </c>
      <c r="K380" t="str">
        <f t="shared" si="17"/>
        <v>ZZZ, TN, 38340</v>
      </c>
    </row>
    <row r="381" spans="1:11" x14ac:dyDescent="0.15">
      <c r="A381">
        <v>1018918</v>
      </c>
      <c r="B381" s="54" t="s">
        <v>94</v>
      </c>
      <c r="C381" s="54" t="s">
        <v>95</v>
      </c>
      <c r="D381" s="54" t="s">
        <v>96</v>
      </c>
      <c r="E381" s="54" t="s">
        <v>97</v>
      </c>
      <c r="F381" t="s">
        <v>35</v>
      </c>
      <c r="G381">
        <v>38340</v>
      </c>
      <c r="H381">
        <v>360</v>
      </c>
      <c r="I381" t="str">
        <f t="shared" si="15"/>
        <v>AAA BBB</v>
      </c>
      <c r="J381" t="str">
        <f t="shared" si="16"/>
        <v>XXX</v>
      </c>
      <c r="K381" t="str">
        <f t="shared" si="17"/>
        <v>ZZZ, TN, 38340</v>
      </c>
    </row>
    <row r="382" spans="1:11" x14ac:dyDescent="0.15">
      <c r="A382">
        <v>1018918</v>
      </c>
      <c r="B382" s="54" t="s">
        <v>94</v>
      </c>
      <c r="C382" s="54" t="s">
        <v>95</v>
      </c>
      <c r="D382" s="54" t="s">
        <v>96</v>
      </c>
      <c r="E382" s="54" t="s">
        <v>97</v>
      </c>
      <c r="F382" t="s">
        <v>35</v>
      </c>
      <c r="G382">
        <v>38340</v>
      </c>
      <c r="H382">
        <v>360</v>
      </c>
      <c r="I382" t="str">
        <f t="shared" si="15"/>
        <v>AAA BBB</v>
      </c>
      <c r="J382" t="str">
        <f t="shared" si="16"/>
        <v>XXX</v>
      </c>
      <c r="K382" t="str">
        <f t="shared" si="17"/>
        <v>ZZZ, TN, 38340</v>
      </c>
    </row>
    <row r="383" spans="1:11" x14ac:dyDescent="0.15">
      <c r="A383">
        <v>1018918</v>
      </c>
      <c r="B383" s="54" t="s">
        <v>94</v>
      </c>
      <c r="C383" s="54" t="s">
        <v>95</v>
      </c>
      <c r="D383" s="54" t="s">
        <v>96</v>
      </c>
      <c r="E383" s="54" t="s">
        <v>97</v>
      </c>
      <c r="F383" t="s">
        <v>35</v>
      </c>
      <c r="G383">
        <v>38340</v>
      </c>
      <c r="H383">
        <v>360</v>
      </c>
      <c r="I383" t="str">
        <f t="shared" si="15"/>
        <v>AAA BBB</v>
      </c>
      <c r="J383" t="str">
        <f t="shared" si="16"/>
        <v>XXX</v>
      </c>
      <c r="K383" t="str">
        <f t="shared" si="17"/>
        <v>ZZZ, TN, 38340</v>
      </c>
    </row>
    <row r="384" spans="1:11" x14ac:dyDescent="0.15">
      <c r="A384">
        <v>1018918</v>
      </c>
      <c r="B384" s="54" t="s">
        <v>94</v>
      </c>
      <c r="C384" s="54" t="s">
        <v>95</v>
      </c>
      <c r="D384" s="54" t="s">
        <v>96</v>
      </c>
      <c r="E384" s="54" t="s">
        <v>97</v>
      </c>
      <c r="F384" t="s">
        <v>35</v>
      </c>
      <c r="G384">
        <v>38340</v>
      </c>
      <c r="H384">
        <v>360</v>
      </c>
      <c r="I384" t="str">
        <f t="shared" si="15"/>
        <v>AAA BBB</v>
      </c>
      <c r="J384" t="str">
        <f t="shared" si="16"/>
        <v>XXX</v>
      </c>
      <c r="K384" t="str">
        <f t="shared" si="17"/>
        <v>ZZZ, TN, 38340</v>
      </c>
    </row>
    <row r="385" spans="1:11" x14ac:dyDescent="0.15">
      <c r="A385">
        <v>1018918</v>
      </c>
      <c r="B385" s="54" t="s">
        <v>94</v>
      </c>
      <c r="C385" s="54" t="s">
        <v>95</v>
      </c>
      <c r="D385" s="54" t="s">
        <v>96</v>
      </c>
      <c r="E385" s="54" t="s">
        <v>97</v>
      </c>
      <c r="F385" t="s">
        <v>35</v>
      </c>
      <c r="G385">
        <v>38340</v>
      </c>
      <c r="H385">
        <v>360</v>
      </c>
      <c r="I385" t="str">
        <f t="shared" si="15"/>
        <v>AAA BBB</v>
      </c>
      <c r="J385" t="str">
        <f t="shared" si="16"/>
        <v>XXX</v>
      </c>
      <c r="K385" t="str">
        <f t="shared" si="17"/>
        <v>ZZZ, TN, 38340</v>
      </c>
    </row>
    <row r="386" spans="1:11" x14ac:dyDescent="0.15">
      <c r="A386">
        <v>1018918</v>
      </c>
      <c r="B386" s="54" t="s">
        <v>94</v>
      </c>
      <c r="C386" s="54" t="s">
        <v>95</v>
      </c>
      <c r="D386" s="54" t="s">
        <v>96</v>
      </c>
      <c r="E386" s="54" t="s">
        <v>97</v>
      </c>
      <c r="F386" t="s">
        <v>35</v>
      </c>
      <c r="G386">
        <v>38340</v>
      </c>
      <c r="H386">
        <v>360</v>
      </c>
      <c r="I386" t="str">
        <f t="shared" si="15"/>
        <v>AAA BBB</v>
      </c>
      <c r="J386" t="str">
        <f t="shared" si="16"/>
        <v>XXX</v>
      </c>
      <c r="K386" t="str">
        <f t="shared" si="17"/>
        <v>ZZZ, TN, 38340</v>
      </c>
    </row>
    <row r="387" spans="1:11" x14ac:dyDescent="0.15">
      <c r="A387">
        <v>1018918</v>
      </c>
      <c r="B387" s="54" t="s">
        <v>94</v>
      </c>
      <c r="C387" s="54" t="s">
        <v>95</v>
      </c>
      <c r="D387" s="54" t="s">
        <v>96</v>
      </c>
      <c r="E387" s="54" t="s">
        <v>97</v>
      </c>
      <c r="F387" t="s">
        <v>35</v>
      </c>
      <c r="G387">
        <v>38340</v>
      </c>
      <c r="H387">
        <v>360</v>
      </c>
      <c r="I387" t="str">
        <f t="shared" ref="I387:I450" si="18">CONCATENATE(B387," ",C387)</f>
        <v>AAA BBB</v>
      </c>
      <c r="J387" t="str">
        <f t="shared" ref="J387:J450" si="19">D387</f>
        <v>XXX</v>
      </c>
      <c r="K387" t="str">
        <f t="shared" ref="K387:K450" si="20">CONCATENATE(E387,","," ",F387,","," ",G387)</f>
        <v>ZZZ, TN, 38340</v>
      </c>
    </row>
    <row r="388" spans="1:11" x14ac:dyDescent="0.15">
      <c r="A388">
        <v>1018918</v>
      </c>
      <c r="B388" s="54" t="s">
        <v>94</v>
      </c>
      <c r="C388" s="54" t="s">
        <v>95</v>
      </c>
      <c r="D388" s="54" t="s">
        <v>96</v>
      </c>
      <c r="E388" s="54" t="s">
        <v>97</v>
      </c>
      <c r="F388" t="s">
        <v>35</v>
      </c>
      <c r="G388">
        <v>38340</v>
      </c>
      <c r="H388">
        <v>360</v>
      </c>
      <c r="I388" t="str">
        <f t="shared" si="18"/>
        <v>AAA BBB</v>
      </c>
      <c r="J388" t="str">
        <f t="shared" si="19"/>
        <v>XXX</v>
      </c>
      <c r="K388" t="str">
        <f t="shared" si="20"/>
        <v>ZZZ, TN, 38340</v>
      </c>
    </row>
    <row r="389" spans="1:11" x14ac:dyDescent="0.15">
      <c r="A389">
        <v>1018918</v>
      </c>
      <c r="B389" s="54" t="s">
        <v>94</v>
      </c>
      <c r="C389" s="54" t="s">
        <v>95</v>
      </c>
      <c r="D389" s="54" t="s">
        <v>96</v>
      </c>
      <c r="E389" s="54" t="s">
        <v>97</v>
      </c>
      <c r="F389" t="s">
        <v>35</v>
      </c>
      <c r="G389">
        <v>38340</v>
      </c>
      <c r="H389">
        <v>360</v>
      </c>
      <c r="I389" t="str">
        <f t="shared" si="18"/>
        <v>AAA BBB</v>
      </c>
      <c r="J389" t="str">
        <f t="shared" si="19"/>
        <v>XXX</v>
      </c>
      <c r="K389" t="str">
        <f t="shared" si="20"/>
        <v>ZZZ, TN, 38340</v>
      </c>
    </row>
    <row r="390" spans="1:11" x14ac:dyDescent="0.15">
      <c r="A390">
        <v>1018918</v>
      </c>
      <c r="B390" s="54" t="s">
        <v>94</v>
      </c>
      <c r="C390" s="54" t="s">
        <v>95</v>
      </c>
      <c r="D390" s="54" t="s">
        <v>96</v>
      </c>
      <c r="E390" s="54" t="s">
        <v>97</v>
      </c>
      <c r="F390" t="s">
        <v>35</v>
      </c>
      <c r="G390">
        <v>38340</v>
      </c>
      <c r="H390">
        <v>360</v>
      </c>
      <c r="I390" t="str">
        <f t="shared" si="18"/>
        <v>AAA BBB</v>
      </c>
      <c r="J390" t="str">
        <f t="shared" si="19"/>
        <v>XXX</v>
      </c>
      <c r="K390" t="str">
        <f t="shared" si="20"/>
        <v>ZZZ, TN, 38340</v>
      </c>
    </row>
    <row r="391" spans="1:11" x14ac:dyDescent="0.15">
      <c r="A391">
        <v>1018918</v>
      </c>
      <c r="B391" s="54" t="s">
        <v>94</v>
      </c>
      <c r="C391" s="54" t="s">
        <v>95</v>
      </c>
      <c r="D391" s="54" t="s">
        <v>96</v>
      </c>
      <c r="E391" s="54" t="s">
        <v>97</v>
      </c>
      <c r="F391" t="s">
        <v>35</v>
      </c>
      <c r="G391">
        <v>38340</v>
      </c>
      <c r="H391">
        <v>360</v>
      </c>
      <c r="I391" t="str">
        <f t="shared" si="18"/>
        <v>AAA BBB</v>
      </c>
      <c r="J391" t="str">
        <f t="shared" si="19"/>
        <v>XXX</v>
      </c>
      <c r="K391" t="str">
        <f t="shared" si="20"/>
        <v>ZZZ, TN, 38340</v>
      </c>
    </row>
    <row r="392" spans="1:11" x14ac:dyDescent="0.15">
      <c r="A392">
        <v>1018918</v>
      </c>
      <c r="B392" s="54" t="s">
        <v>94</v>
      </c>
      <c r="C392" s="54" t="s">
        <v>95</v>
      </c>
      <c r="D392" s="54" t="s">
        <v>96</v>
      </c>
      <c r="E392" s="54" t="s">
        <v>97</v>
      </c>
      <c r="F392" t="s">
        <v>35</v>
      </c>
      <c r="G392">
        <v>38340</v>
      </c>
      <c r="H392">
        <v>360</v>
      </c>
      <c r="I392" t="str">
        <f t="shared" si="18"/>
        <v>AAA BBB</v>
      </c>
      <c r="J392" t="str">
        <f t="shared" si="19"/>
        <v>XXX</v>
      </c>
      <c r="K392" t="str">
        <f t="shared" si="20"/>
        <v>ZZZ, TN, 38340</v>
      </c>
    </row>
    <row r="393" spans="1:11" x14ac:dyDescent="0.15">
      <c r="A393">
        <v>1018918</v>
      </c>
      <c r="B393" s="54" t="s">
        <v>94</v>
      </c>
      <c r="C393" s="54" t="s">
        <v>95</v>
      </c>
      <c r="D393" s="54" t="s">
        <v>96</v>
      </c>
      <c r="E393" s="54" t="s">
        <v>97</v>
      </c>
      <c r="F393" t="s">
        <v>35</v>
      </c>
      <c r="G393">
        <v>38340</v>
      </c>
      <c r="H393">
        <v>360</v>
      </c>
      <c r="I393" t="str">
        <f t="shared" si="18"/>
        <v>AAA BBB</v>
      </c>
      <c r="J393" t="str">
        <f t="shared" si="19"/>
        <v>XXX</v>
      </c>
      <c r="K393" t="str">
        <f t="shared" si="20"/>
        <v>ZZZ, TN, 38340</v>
      </c>
    </row>
    <row r="394" spans="1:11" x14ac:dyDescent="0.15">
      <c r="A394">
        <v>1018918</v>
      </c>
      <c r="B394" s="54" t="s">
        <v>94</v>
      </c>
      <c r="C394" s="54" t="s">
        <v>95</v>
      </c>
      <c r="D394" s="54" t="s">
        <v>96</v>
      </c>
      <c r="E394" s="54" t="s">
        <v>97</v>
      </c>
      <c r="F394" t="s">
        <v>35</v>
      </c>
      <c r="G394">
        <v>38340</v>
      </c>
      <c r="H394">
        <v>360</v>
      </c>
      <c r="I394" t="str">
        <f t="shared" si="18"/>
        <v>AAA BBB</v>
      </c>
      <c r="J394" t="str">
        <f t="shared" si="19"/>
        <v>XXX</v>
      </c>
      <c r="K394" t="str">
        <f t="shared" si="20"/>
        <v>ZZZ, TN, 38340</v>
      </c>
    </row>
    <row r="395" spans="1:11" x14ac:dyDescent="0.15">
      <c r="A395">
        <v>1018918</v>
      </c>
      <c r="B395" s="54" t="s">
        <v>94</v>
      </c>
      <c r="C395" s="54" t="s">
        <v>95</v>
      </c>
      <c r="D395" s="54" t="s">
        <v>96</v>
      </c>
      <c r="E395" s="54" t="s">
        <v>97</v>
      </c>
      <c r="F395" t="s">
        <v>35</v>
      </c>
      <c r="G395">
        <v>38340</v>
      </c>
      <c r="H395">
        <v>360</v>
      </c>
      <c r="I395" t="str">
        <f t="shared" si="18"/>
        <v>AAA BBB</v>
      </c>
      <c r="J395" t="str">
        <f t="shared" si="19"/>
        <v>XXX</v>
      </c>
      <c r="K395" t="str">
        <f t="shared" si="20"/>
        <v>ZZZ, TN, 38340</v>
      </c>
    </row>
    <row r="396" spans="1:11" x14ac:dyDescent="0.15">
      <c r="A396">
        <v>1018918</v>
      </c>
      <c r="B396" s="54" t="s">
        <v>94</v>
      </c>
      <c r="C396" s="54" t="s">
        <v>95</v>
      </c>
      <c r="D396" s="54" t="s">
        <v>96</v>
      </c>
      <c r="E396" s="54" t="s">
        <v>97</v>
      </c>
      <c r="F396" t="s">
        <v>35</v>
      </c>
      <c r="G396">
        <v>38340</v>
      </c>
      <c r="H396">
        <v>360</v>
      </c>
      <c r="I396" t="str">
        <f t="shared" si="18"/>
        <v>AAA BBB</v>
      </c>
      <c r="J396" t="str">
        <f t="shared" si="19"/>
        <v>XXX</v>
      </c>
      <c r="K396" t="str">
        <f t="shared" si="20"/>
        <v>ZZZ, TN, 38340</v>
      </c>
    </row>
    <row r="397" spans="1:11" x14ac:dyDescent="0.15">
      <c r="A397">
        <v>1018918</v>
      </c>
      <c r="B397" s="54" t="s">
        <v>94</v>
      </c>
      <c r="C397" s="54" t="s">
        <v>95</v>
      </c>
      <c r="D397" s="54" t="s">
        <v>96</v>
      </c>
      <c r="E397" s="54" t="s">
        <v>97</v>
      </c>
      <c r="F397" t="s">
        <v>35</v>
      </c>
      <c r="G397">
        <v>38340</v>
      </c>
      <c r="H397">
        <v>360</v>
      </c>
      <c r="I397" t="str">
        <f t="shared" si="18"/>
        <v>AAA BBB</v>
      </c>
      <c r="J397" t="str">
        <f t="shared" si="19"/>
        <v>XXX</v>
      </c>
      <c r="K397" t="str">
        <f t="shared" si="20"/>
        <v>ZZZ, TN, 38340</v>
      </c>
    </row>
    <row r="398" spans="1:11" x14ac:dyDescent="0.15">
      <c r="A398">
        <v>1018918</v>
      </c>
      <c r="B398" s="54" t="s">
        <v>94</v>
      </c>
      <c r="C398" s="54" t="s">
        <v>95</v>
      </c>
      <c r="D398" s="54" t="s">
        <v>96</v>
      </c>
      <c r="E398" s="54" t="s">
        <v>97</v>
      </c>
      <c r="F398" t="s">
        <v>35</v>
      </c>
      <c r="G398">
        <v>38340</v>
      </c>
      <c r="H398">
        <v>360</v>
      </c>
      <c r="I398" t="str">
        <f t="shared" si="18"/>
        <v>AAA BBB</v>
      </c>
      <c r="J398" t="str">
        <f t="shared" si="19"/>
        <v>XXX</v>
      </c>
      <c r="K398" t="str">
        <f t="shared" si="20"/>
        <v>ZZZ, TN, 38340</v>
      </c>
    </row>
    <row r="399" spans="1:11" x14ac:dyDescent="0.15">
      <c r="A399">
        <v>1018918</v>
      </c>
      <c r="B399" s="54" t="s">
        <v>94</v>
      </c>
      <c r="C399" s="54" t="s">
        <v>95</v>
      </c>
      <c r="D399" s="54" t="s">
        <v>96</v>
      </c>
      <c r="E399" s="54" t="s">
        <v>97</v>
      </c>
      <c r="F399" t="s">
        <v>35</v>
      </c>
      <c r="G399">
        <v>38340</v>
      </c>
      <c r="H399">
        <v>360</v>
      </c>
      <c r="I399" t="str">
        <f t="shared" si="18"/>
        <v>AAA BBB</v>
      </c>
      <c r="J399" t="str">
        <f t="shared" si="19"/>
        <v>XXX</v>
      </c>
      <c r="K399" t="str">
        <f t="shared" si="20"/>
        <v>ZZZ, TN, 38340</v>
      </c>
    </row>
    <row r="400" spans="1:11" x14ac:dyDescent="0.15">
      <c r="A400">
        <v>1018918</v>
      </c>
      <c r="B400" s="54" t="s">
        <v>94</v>
      </c>
      <c r="C400" s="54" t="s">
        <v>95</v>
      </c>
      <c r="D400" s="54" t="s">
        <v>96</v>
      </c>
      <c r="E400" s="54" t="s">
        <v>97</v>
      </c>
      <c r="F400" t="s">
        <v>35</v>
      </c>
      <c r="G400">
        <v>38340</v>
      </c>
      <c r="H400">
        <v>360</v>
      </c>
      <c r="I400" t="str">
        <f t="shared" si="18"/>
        <v>AAA BBB</v>
      </c>
      <c r="J400" t="str">
        <f t="shared" si="19"/>
        <v>XXX</v>
      </c>
      <c r="K400" t="str">
        <f t="shared" si="20"/>
        <v>ZZZ, TN, 38340</v>
      </c>
    </row>
    <row r="401" spans="1:11" x14ac:dyDescent="0.15">
      <c r="A401">
        <v>1018918</v>
      </c>
      <c r="B401" s="54" t="s">
        <v>94</v>
      </c>
      <c r="C401" s="54" t="s">
        <v>95</v>
      </c>
      <c r="D401" s="54" t="s">
        <v>96</v>
      </c>
      <c r="E401" s="54" t="s">
        <v>97</v>
      </c>
      <c r="F401" t="s">
        <v>35</v>
      </c>
      <c r="G401">
        <v>38340</v>
      </c>
      <c r="H401">
        <v>360</v>
      </c>
      <c r="I401" t="str">
        <f t="shared" si="18"/>
        <v>AAA BBB</v>
      </c>
      <c r="J401" t="str">
        <f t="shared" si="19"/>
        <v>XXX</v>
      </c>
      <c r="K401" t="str">
        <f t="shared" si="20"/>
        <v>ZZZ, TN, 38340</v>
      </c>
    </row>
    <row r="402" spans="1:11" x14ac:dyDescent="0.15">
      <c r="A402">
        <v>1018918</v>
      </c>
      <c r="B402" s="54" t="s">
        <v>94</v>
      </c>
      <c r="C402" s="54" t="s">
        <v>95</v>
      </c>
      <c r="D402" s="54" t="s">
        <v>96</v>
      </c>
      <c r="E402" s="54" t="s">
        <v>97</v>
      </c>
      <c r="F402" t="s">
        <v>35</v>
      </c>
      <c r="G402">
        <v>38340</v>
      </c>
      <c r="H402">
        <v>360</v>
      </c>
      <c r="I402" t="str">
        <f t="shared" si="18"/>
        <v>AAA BBB</v>
      </c>
      <c r="J402" t="str">
        <f t="shared" si="19"/>
        <v>XXX</v>
      </c>
      <c r="K402" t="str">
        <f t="shared" si="20"/>
        <v>ZZZ, TN, 38340</v>
      </c>
    </row>
    <row r="403" spans="1:11" x14ac:dyDescent="0.15">
      <c r="A403">
        <v>1018918</v>
      </c>
      <c r="B403" s="54" t="s">
        <v>94</v>
      </c>
      <c r="C403" s="54" t="s">
        <v>95</v>
      </c>
      <c r="D403" s="54" t="s">
        <v>96</v>
      </c>
      <c r="E403" s="54" t="s">
        <v>97</v>
      </c>
      <c r="F403" t="s">
        <v>35</v>
      </c>
      <c r="G403">
        <v>38340</v>
      </c>
      <c r="H403">
        <v>360</v>
      </c>
      <c r="I403" t="str">
        <f t="shared" si="18"/>
        <v>AAA BBB</v>
      </c>
      <c r="J403" t="str">
        <f t="shared" si="19"/>
        <v>XXX</v>
      </c>
      <c r="K403" t="str">
        <f t="shared" si="20"/>
        <v>ZZZ, TN, 38340</v>
      </c>
    </row>
    <row r="404" spans="1:11" x14ac:dyDescent="0.15">
      <c r="A404">
        <v>1018918</v>
      </c>
      <c r="B404" s="54" t="s">
        <v>94</v>
      </c>
      <c r="C404" s="54" t="s">
        <v>95</v>
      </c>
      <c r="D404" s="54" t="s">
        <v>96</v>
      </c>
      <c r="E404" s="54" t="s">
        <v>97</v>
      </c>
      <c r="F404" t="s">
        <v>35</v>
      </c>
      <c r="G404">
        <v>38340</v>
      </c>
      <c r="H404">
        <v>360</v>
      </c>
      <c r="I404" t="str">
        <f t="shared" si="18"/>
        <v>AAA BBB</v>
      </c>
      <c r="J404" t="str">
        <f t="shared" si="19"/>
        <v>XXX</v>
      </c>
      <c r="K404" t="str">
        <f t="shared" si="20"/>
        <v>ZZZ, TN, 38340</v>
      </c>
    </row>
    <row r="405" spans="1:11" x14ac:dyDescent="0.15">
      <c r="A405">
        <v>1018918</v>
      </c>
      <c r="B405" s="54" t="s">
        <v>94</v>
      </c>
      <c r="C405" s="54" t="s">
        <v>95</v>
      </c>
      <c r="D405" s="54" t="s">
        <v>96</v>
      </c>
      <c r="E405" s="54" t="s">
        <v>97</v>
      </c>
      <c r="F405" t="s">
        <v>35</v>
      </c>
      <c r="G405">
        <v>38340</v>
      </c>
      <c r="H405">
        <v>360</v>
      </c>
      <c r="I405" t="str">
        <f t="shared" si="18"/>
        <v>AAA BBB</v>
      </c>
      <c r="J405" t="str">
        <f t="shared" si="19"/>
        <v>XXX</v>
      </c>
      <c r="K405" t="str">
        <f t="shared" si="20"/>
        <v>ZZZ, TN, 38340</v>
      </c>
    </row>
    <row r="406" spans="1:11" x14ac:dyDescent="0.15">
      <c r="A406">
        <v>1018918</v>
      </c>
      <c r="B406" s="54" t="s">
        <v>94</v>
      </c>
      <c r="C406" s="54" t="s">
        <v>95</v>
      </c>
      <c r="D406" s="54" t="s">
        <v>96</v>
      </c>
      <c r="E406" s="54" t="s">
        <v>97</v>
      </c>
      <c r="F406" t="s">
        <v>35</v>
      </c>
      <c r="G406">
        <v>38340</v>
      </c>
      <c r="H406">
        <v>360</v>
      </c>
      <c r="I406" t="str">
        <f t="shared" si="18"/>
        <v>AAA BBB</v>
      </c>
      <c r="J406" t="str">
        <f t="shared" si="19"/>
        <v>XXX</v>
      </c>
      <c r="K406" t="str">
        <f t="shared" si="20"/>
        <v>ZZZ, TN, 38340</v>
      </c>
    </row>
    <row r="407" spans="1:11" x14ac:dyDescent="0.15">
      <c r="A407">
        <v>1018918</v>
      </c>
      <c r="B407" s="54" t="s">
        <v>94</v>
      </c>
      <c r="C407" s="54" t="s">
        <v>95</v>
      </c>
      <c r="D407" s="54" t="s">
        <v>96</v>
      </c>
      <c r="E407" s="54" t="s">
        <v>97</v>
      </c>
      <c r="F407" t="s">
        <v>35</v>
      </c>
      <c r="G407">
        <v>38340</v>
      </c>
      <c r="H407">
        <v>360</v>
      </c>
      <c r="I407" t="str">
        <f t="shared" si="18"/>
        <v>AAA BBB</v>
      </c>
      <c r="J407" t="str">
        <f t="shared" si="19"/>
        <v>XXX</v>
      </c>
      <c r="K407" t="str">
        <f t="shared" si="20"/>
        <v>ZZZ, TN, 38340</v>
      </c>
    </row>
    <row r="408" spans="1:11" x14ac:dyDescent="0.15">
      <c r="A408">
        <v>1018918</v>
      </c>
      <c r="B408" s="54" t="s">
        <v>94</v>
      </c>
      <c r="C408" s="54" t="s">
        <v>95</v>
      </c>
      <c r="D408" s="54" t="s">
        <v>96</v>
      </c>
      <c r="E408" s="54" t="s">
        <v>97</v>
      </c>
      <c r="F408" t="s">
        <v>35</v>
      </c>
      <c r="G408">
        <v>38340</v>
      </c>
      <c r="H408">
        <v>360</v>
      </c>
      <c r="I408" t="str">
        <f t="shared" si="18"/>
        <v>AAA BBB</v>
      </c>
      <c r="J408" t="str">
        <f t="shared" si="19"/>
        <v>XXX</v>
      </c>
      <c r="K408" t="str">
        <f t="shared" si="20"/>
        <v>ZZZ, TN, 38340</v>
      </c>
    </row>
    <row r="409" spans="1:11" x14ac:dyDescent="0.15">
      <c r="A409">
        <v>1018918</v>
      </c>
      <c r="B409" s="54" t="s">
        <v>94</v>
      </c>
      <c r="C409" s="54" t="s">
        <v>95</v>
      </c>
      <c r="D409" s="54" t="s">
        <v>96</v>
      </c>
      <c r="E409" s="54" t="s">
        <v>97</v>
      </c>
      <c r="F409" t="s">
        <v>35</v>
      </c>
      <c r="G409">
        <v>38340</v>
      </c>
      <c r="H409">
        <v>360</v>
      </c>
      <c r="I409" t="str">
        <f t="shared" si="18"/>
        <v>AAA BBB</v>
      </c>
      <c r="J409" t="str">
        <f t="shared" si="19"/>
        <v>XXX</v>
      </c>
      <c r="K409" t="str">
        <f t="shared" si="20"/>
        <v>ZZZ, TN, 38340</v>
      </c>
    </row>
    <row r="410" spans="1:11" x14ac:dyDescent="0.15">
      <c r="A410">
        <v>1018918</v>
      </c>
      <c r="B410" s="54" t="s">
        <v>94</v>
      </c>
      <c r="C410" s="54" t="s">
        <v>95</v>
      </c>
      <c r="D410" s="54" t="s">
        <v>96</v>
      </c>
      <c r="E410" s="54" t="s">
        <v>97</v>
      </c>
      <c r="F410" t="s">
        <v>35</v>
      </c>
      <c r="G410">
        <v>38340</v>
      </c>
      <c r="H410">
        <v>360</v>
      </c>
      <c r="I410" t="str">
        <f t="shared" si="18"/>
        <v>AAA BBB</v>
      </c>
      <c r="J410" t="str">
        <f t="shared" si="19"/>
        <v>XXX</v>
      </c>
      <c r="K410" t="str">
        <f t="shared" si="20"/>
        <v>ZZZ, TN, 38340</v>
      </c>
    </row>
    <row r="411" spans="1:11" x14ac:dyDescent="0.15">
      <c r="A411">
        <v>1018918</v>
      </c>
      <c r="B411" s="54" t="s">
        <v>94</v>
      </c>
      <c r="C411" s="54" t="s">
        <v>95</v>
      </c>
      <c r="D411" s="54" t="s">
        <v>96</v>
      </c>
      <c r="E411" s="54" t="s">
        <v>97</v>
      </c>
      <c r="F411" t="s">
        <v>35</v>
      </c>
      <c r="G411">
        <v>38340</v>
      </c>
      <c r="H411">
        <v>360</v>
      </c>
      <c r="I411" t="str">
        <f t="shared" si="18"/>
        <v>AAA BBB</v>
      </c>
      <c r="J411" t="str">
        <f t="shared" si="19"/>
        <v>XXX</v>
      </c>
      <c r="K411" t="str">
        <f t="shared" si="20"/>
        <v>ZZZ, TN, 38340</v>
      </c>
    </row>
    <row r="412" spans="1:11" x14ac:dyDescent="0.15">
      <c r="A412">
        <v>1018918</v>
      </c>
      <c r="B412" s="54" t="s">
        <v>94</v>
      </c>
      <c r="C412" s="54" t="s">
        <v>95</v>
      </c>
      <c r="D412" s="54" t="s">
        <v>96</v>
      </c>
      <c r="E412" s="54" t="s">
        <v>97</v>
      </c>
      <c r="F412" t="s">
        <v>35</v>
      </c>
      <c r="G412">
        <v>38340</v>
      </c>
      <c r="H412">
        <v>360</v>
      </c>
      <c r="I412" t="str">
        <f t="shared" si="18"/>
        <v>AAA BBB</v>
      </c>
      <c r="J412" t="str">
        <f t="shared" si="19"/>
        <v>XXX</v>
      </c>
      <c r="K412" t="str">
        <f t="shared" si="20"/>
        <v>ZZZ, TN, 38340</v>
      </c>
    </row>
    <row r="413" spans="1:11" x14ac:dyDescent="0.15">
      <c r="A413">
        <v>1018918</v>
      </c>
      <c r="B413" s="54" t="s">
        <v>94</v>
      </c>
      <c r="C413" s="54" t="s">
        <v>95</v>
      </c>
      <c r="D413" s="54" t="s">
        <v>96</v>
      </c>
      <c r="E413" s="54" t="s">
        <v>97</v>
      </c>
      <c r="F413" t="s">
        <v>35</v>
      </c>
      <c r="G413">
        <v>38340</v>
      </c>
      <c r="H413">
        <v>360</v>
      </c>
      <c r="I413" t="str">
        <f t="shared" si="18"/>
        <v>AAA BBB</v>
      </c>
      <c r="J413" t="str">
        <f t="shared" si="19"/>
        <v>XXX</v>
      </c>
      <c r="K413" t="str">
        <f t="shared" si="20"/>
        <v>ZZZ, TN, 38340</v>
      </c>
    </row>
    <row r="414" spans="1:11" x14ac:dyDescent="0.15">
      <c r="A414">
        <v>1018918</v>
      </c>
      <c r="B414" s="54" t="s">
        <v>94</v>
      </c>
      <c r="C414" s="54" t="s">
        <v>95</v>
      </c>
      <c r="D414" s="54" t="s">
        <v>96</v>
      </c>
      <c r="E414" s="54" t="s">
        <v>97</v>
      </c>
      <c r="F414" t="s">
        <v>35</v>
      </c>
      <c r="G414">
        <v>38340</v>
      </c>
      <c r="H414">
        <v>360</v>
      </c>
      <c r="I414" t="str">
        <f t="shared" si="18"/>
        <v>AAA BBB</v>
      </c>
      <c r="J414" t="str">
        <f t="shared" si="19"/>
        <v>XXX</v>
      </c>
      <c r="K414" t="str">
        <f t="shared" si="20"/>
        <v>ZZZ, TN, 38340</v>
      </c>
    </row>
    <row r="415" spans="1:11" x14ac:dyDescent="0.15">
      <c r="A415">
        <v>1018918</v>
      </c>
      <c r="B415" s="54" t="s">
        <v>94</v>
      </c>
      <c r="C415" s="54" t="s">
        <v>95</v>
      </c>
      <c r="D415" s="54" t="s">
        <v>96</v>
      </c>
      <c r="E415" s="54" t="s">
        <v>97</v>
      </c>
      <c r="F415" t="s">
        <v>35</v>
      </c>
      <c r="G415">
        <v>38340</v>
      </c>
      <c r="H415">
        <v>360</v>
      </c>
      <c r="I415" t="str">
        <f t="shared" si="18"/>
        <v>AAA BBB</v>
      </c>
      <c r="J415" t="str">
        <f t="shared" si="19"/>
        <v>XXX</v>
      </c>
      <c r="K415" t="str">
        <f t="shared" si="20"/>
        <v>ZZZ, TN, 38340</v>
      </c>
    </row>
    <row r="416" spans="1:11" x14ac:dyDescent="0.15">
      <c r="A416">
        <v>1018918</v>
      </c>
      <c r="B416" s="54" t="s">
        <v>94</v>
      </c>
      <c r="C416" s="54" t="s">
        <v>95</v>
      </c>
      <c r="D416" s="54" t="s">
        <v>96</v>
      </c>
      <c r="E416" s="54" t="s">
        <v>97</v>
      </c>
      <c r="F416" t="s">
        <v>35</v>
      </c>
      <c r="G416">
        <v>38340</v>
      </c>
      <c r="H416">
        <v>360</v>
      </c>
      <c r="I416" t="str">
        <f t="shared" si="18"/>
        <v>AAA BBB</v>
      </c>
      <c r="J416" t="str">
        <f t="shared" si="19"/>
        <v>XXX</v>
      </c>
      <c r="K416" t="str">
        <f t="shared" si="20"/>
        <v>ZZZ, TN, 38340</v>
      </c>
    </row>
    <row r="417" spans="1:11" x14ac:dyDescent="0.15">
      <c r="A417">
        <v>1018918</v>
      </c>
      <c r="B417" s="54" t="s">
        <v>94</v>
      </c>
      <c r="C417" s="54" t="s">
        <v>95</v>
      </c>
      <c r="D417" s="54" t="s">
        <v>96</v>
      </c>
      <c r="E417" s="54" t="s">
        <v>97</v>
      </c>
      <c r="F417" t="s">
        <v>35</v>
      </c>
      <c r="G417">
        <v>38340</v>
      </c>
      <c r="H417">
        <v>360</v>
      </c>
      <c r="I417" t="str">
        <f t="shared" si="18"/>
        <v>AAA BBB</v>
      </c>
      <c r="J417" t="str">
        <f t="shared" si="19"/>
        <v>XXX</v>
      </c>
      <c r="K417" t="str">
        <f t="shared" si="20"/>
        <v>ZZZ, TN, 38340</v>
      </c>
    </row>
    <row r="418" spans="1:11" x14ac:dyDescent="0.15">
      <c r="A418">
        <v>1018918</v>
      </c>
      <c r="B418" s="54" t="s">
        <v>94</v>
      </c>
      <c r="C418" s="54" t="s">
        <v>95</v>
      </c>
      <c r="D418" s="54" t="s">
        <v>96</v>
      </c>
      <c r="E418" s="54" t="s">
        <v>97</v>
      </c>
      <c r="F418" t="s">
        <v>35</v>
      </c>
      <c r="G418">
        <v>38340</v>
      </c>
      <c r="H418">
        <v>360</v>
      </c>
      <c r="I418" t="str">
        <f t="shared" si="18"/>
        <v>AAA BBB</v>
      </c>
      <c r="J418" t="str">
        <f t="shared" si="19"/>
        <v>XXX</v>
      </c>
      <c r="K418" t="str">
        <f t="shared" si="20"/>
        <v>ZZZ, TN, 38340</v>
      </c>
    </row>
    <row r="419" spans="1:11" x14ac:dyDescent="0.15">
      <c r="A419">
        <v>1018918</v>
      </c>
      <c r="B419" s="54" t="s">
        <v>94</v>
      </c>
      <c r="C419" s="54" t="s">
        <v>95</v>
      </c>
      <c r="D419" s="54" t="s">
        <v>96</v>
      </c>
      <c r="E419" s="54" t="s">
        <v>97</v>
      </c>
      <c r="F419" t="s">
        <v>35</v>
      </c>
      <c r="G419">
        <v>38340</v>
      </c>
      <c r="H419">
        <v>360</v>
      </c>
      <c r="I419" t="str">
        <f t="shared" si="18"/>
        <v>AAA BBB</v>
      </c>
      <c r="J419" t="str">
        <f t="shared" si="19"/>
        <v>XXX</v>
      </c>
      <c r="K419" t="str">
        <f t="shared" si="20"/>
        <v>ZZZ, TN, 38340</v>
      </c>
    </row>
    <row r="420" spans="1:11" x14ac:dyDescent="0.15">
      <c r="A420">
        <v>1018918</v>
      </c>
      <c r="B420" s="54" t="s">
        <v>94</v>
      </c>
      <c r="C420" s="54" t="s">
        <v>95</v>
      </c>
      <c r="D420" s="54" t="s">
        <v>96</v>
      </c>
      <c r="E420" s="54" t="s">
        <v>97</v>
      </c>
      <c r="F420" t="s">
        <v>35</v>
      </c>
      <c r="G420">
        <v>38340</v>
      </c>
      <c r="H420">
        <v>360</v>
      </c>
      <c r="I420" t="str">
        <f t="shared" si="18"/>
        <v>AAA BBB</v>
      </c>
      <c r="J420" t="str">
        <f t="shared" si="19"/>
        <v>XXX</v>
      </c>
      <c r="K420" t="str">
        <f t="shared" si="20"/>
        <v>ZZZ, TN, 38340</v>
      </c>
    </row>
    <row r="421" spans="1:11" x14ac:dyDescent="0.15">
      <c r="A421">
        <v>1018918</v>
      </c>
      <c r="B421" s="54" t="s">
        <v>94</v>
      </c>
      <c r="C421" s="54" t="s">
        <v>95</v>
      </c>
      <c r="D421" s="54" t="s">
        <v>96</v>
      </c>
      <c r="E421" s="54" t="s">
        <v>97</v>
      </c>
      <c r="F421" t="s">
        <v>35</v>
      </c>
      <c r="G421">
        <v>38340</v>
      </c>
      <c r="H421">
        <v>360</v>
      </c>
      <c r="I421" t="str">
        <f t="shared" si="18"/>
        <v>AAA BBB</v>
      </c>
      <c r="J421" t="str">
        <f t="shared" si="19"/>
        <v>XXX</v>
      </c>
      <c r="K421" t="str">
        <f t="shared" si="20"/>
        <v>ZZZ, TN, 38340</v>
      </c>
    </row>
    <row r="422" spans="1:11" x14ac:dyDescent="0.15">
      <c r="A422">
        <v>1018918</v>
      </c>
      <c r="B422" s="54" t="s">
        <v>94</v>
      </c>
      <c r="C422" s="54" t="s">
        <v>95</v>
      </c>
      <c r="D422" s="54" t="s">
        <v>96</v>
      </c>
      <c r="E422" s="54" t="s">
        <v>97</v>
      </c>
      <c r="F422" t="s">
        <v>35</v>
      </c>
      <c r="G422">
        <v>38340</v>
      </c>
      <c r="H422">
        <v>360</v>
      </c>
      <c r="I422" t="str">
        <f t="shared" si="18"/>
        <v>AAA BBB</v>
      </c>
      <c r="J422" t="str">
        <f t="shared" si="19"/>
        <v>XXX</v>
      </c>
      <c r="K422" t="str">
        <f t="shared" si="20"/>
        <v>ZZZ, TN, 38340</v>
      </c>
    </row>
    <row r="423" spans="1:11" x14ac:dyDescent="0.15">
      <c r="A423">
        <v>1018918</v>
      </c>
      <c r="B423" s="54" t="s">
        <v>94</v>
      </c>
      <c r="C423" s="54" t="s">
        <v>95</v>
      </c>
      <c r="D423" s="54" t="s">
        <v>96</v>
      </c>
      <c r="E423" s="54" t="s">
        <v>97</v>
      </c>
      <c r="F423" t="s">
        <v>35</v>
      </c>
      <c r="G423">
        <v>38340</v>
      </c>
      <c r="H423">
        <v>360</v>
      </c>
      <c r="I423" t="str">
        <f t="shared" si="18"/>
        <v>AAA BBB</v>
      </c>
      <c r="J423" t="str">
        <f t="shared" si="19"/>
        <v>XXX</v>
      </c>
      <c r="K423" t="str">
        <f t="shared" si="20"/>
        <v>ZZZ, TN, 38340</v>
      </c>
    </row>
    <row r="424" spans="1:11" x14ac:dyDescent="0.15">
      <c r="A424">
        <v>1018918</v>
      </c>
      <c r="B424" s="54" t="s">
        <v>94</v>
      </c>
      <c r="C424" s="54" t="s">
        <v>95</v>
      </c>
      <c r="D424" s="54" t="s">
        <v>96</v>
      </c>
      <c r="E424" s="54" t="s">
        <v>97</v>
      </c>
      <c r="F424" t="s">
        <v>35</v>
      </c>
      <c r="G424">
        <v>38340</v>
      </c>
      <c r="H424">
        <v>360</v>
      </c>
      <c r="I424" t="str">
        <f t="shared" si="18"/>
        <v>AAA BBB</v>
      </c>
      <c r="J424" t="str">
        <f t="shared" si="19"/>
        <v>XXX</v>
      </c>
      <c r="K424" t="str">
        <f t="shared" si="20"/>
        <v>ZZZ, TN, 38340</v>
      </c>
    </row>
    <row r="425" spans="1:11" x14ac:dyDescent="0.15">
      <c r="A425">
        <v>1018918</v>
      </c>
      <c r="B425" s="54" t="s">
        <v>94</v>
      </c>
      <c r="C425" s="54" t="s">
        <v>95</v>
      </c>
      <c r="D425" s="54" t="s">
        <v>96</v>
      </c>
      <c r="E425" s="54" t="s">
        <v>97</v>
      </c>
      <c r="F425" t="s">
        <v>35</v>
      </c>
      <c r="G425">
        <v>38340</v>
      </c>
      <c r="H425">
        <v>360</v>
      </c>
      <c r="I425" t="str">
        <f t="shared" si="18"/>
        <v>AAA BBB</v>
      </c>
      <c r="J425" t="str">
        <f t="shared" si="19"/>
        <v>XXX</v>
      </c>
      <c r="K425" t="str">
        <f t="shared" si="20"/>
        <v>ZZZ, TN, 38340</v>
      </c>
    </row>
    <row r="426" spans="1:11" x14ac:dyDescent="0.15">
      <c r="A426">
        <v>1018918</v>
      </c>
      <c r="B426" s="54" t="s">
        <v>94</v>
      </c>
      <c r="C426" s="54" t="s">
        <v>95</v>
      </c>
      <c r="D426" s="54" t="s">
        <v>96</v>
      </c>
      <c r="E426" s="54" t="s">
        <v>97</v>
      </c>
      <c r="F426" t="s">
        <v>35</v>
      </c>
      <c r="G426">
        <v>38340</v>
      </c>
      <c r="H426">
        <v>360</v>
      </c>
      <c r="I426" t="str">
        <f t="shared" si="18"/>
        <v>AAA BBB</v>
      </c>
      <c r="J426" t="str">
        <f t="shared" si="19"/>
        <v>XXX</v>
      </c>
      <c r="K426" t="str">
        <f t="shared" si="20"/>
        <v>ZZZ, TN, 38340</v>
      </c>
    </row>
    <row r="427" spans="1:11" x14ac:dyDescent="0.15">
      <c r="A427">
        <v>1018918</v>
      </c>
      <c r="B427" s="54" t="s">
        <v>94</v>
      </c>
      <c r="C427" s="54" t="s">
        <v>95</v>
      </c>
      <c r="D427" s="54" t="s">
        <v>96</v>
      </c>
      <c r="E427" s="54" t="s">
        <v>97</v>
      </c>
      <c r="F427" t="s">
        <v>35</v>
      </c>
      <c r="G427">
        <v>38340</v>
      </c>
      <c r="H427">
        <v>360</v>
      </c>
      <c r="I427" t="str">
        <f t="shared" si="18"/>
        <v>AAA BBB</v>
      </c>
      <c r="J427" t="str">
        <f t="shared" si="19"/>
        <v>XXX</v>
      </c>
      <c r="K427" t="str">
        <f t="shared" si="20"/>
        <v>ZZZ, TN, 38340</v>
      </c>
    </row>
    <row r="428" spans="1:11" x14ac:dyDescent="0.15">
      <c r="A428">
        <v>1018918</v>
      </c>
      <c r="B428" s="54" t="s">
        <v>94</v>
      </c>
      <c r="C428" s="54" t="s">
        <v>95</v>
      </c>
      <c r="D428" s="54" t="s">
        <v>96</v>
      </c>
      <c r="E428" s="54" t="s">
        <v>97</v>
      </c>
      <c r="F428" t="s">
        <v>35</v>
      </c>
      <c r="G428">
        <v>38340</v>
      </c>
      <c r="H428">
        <v>360</v>
      </c>
      <c r="I428" t="str">
        <f t="shared" si="18"/>
        <v>AAA BBB</v>
      </c>
      <c r="J428" t="str">
        <f t="shared" si="19"/>
        <v>XXX</v>
      </c>
      <c r="K428" t="str">
        <f t="shared" si="20"/>
        <v>ZZZ, TN, 38340</v>
      </c>
    </row>
    <row r="429" spans="1:11" x14ac:dyDescent="0.15">
      <c r="A429">
        <v>1018918</v>
      </c>
      <c r="B429" s="54" t="s">
        <v>94</v>
      </c>
      <c r="C429" s="54" t="s">
        <v>95</v>
      </c>
      <c r="D429" s="54" t="s">
        <v>96</v>
      </c>
      <c r="E429" s="54" t="s">
        <v>97</v>
      </c>
      <c r="F429" t="s">
        <v>35</v>
      </c>
      <c r="G429">
        <v>38340</v>
      </c>
      <c r="H429">
        <v>360</v>
      </c>
      <c r="I429" t="str">
        <f t="shared" si="18"/>
        <v>AAA BBB</v>
      </c>
      <c r="J429" t="str">
        <f t="shared" si="19"/>
        <v>XXX</v>
      </c>
      <c r="K429" t="str">
        <f t="shared" si="20"/>
        <v>ZZZ, TN, 38340</v>
      </c>
    </row>
    <row r="430" spans="1:11" x14ac:dyDescent="0.15">
      <c r="A430">
        <v>1018918</v>
      </c>
      <c r="B430" s="54" t="s">
        <v>94</v>
      </c>
      <c r="C430" s="54" t="s">
        <v>95</v>
      </c>
      <c r="D430" s="54" t="s">
        <v>96</v>
      </c>
      <c r="E430" s="54" t="s">
        <v>97</v>
      </c>
      <c r="F430" t="s">
        <v>35</v>
      </c>
      <c r="G430">
        <v>38340</v>
      </c>
      <c r="H430">
        <v>360</v>
      </c>
      <c r="I430" t="str">
        <f t="shared" si="18"/>
        <v>AAA BBB</v>
      </c>
      <c r="J430" t="str">
        <f t="shared" si="19"/>
        <v>XXX</v>
      </c>
      <c r="K430" t="str">
        <f t="shared" si="20"/>
        <v>ZZZ, TN, 38340</v>
      </c>
    </row>
    <row r="431" spans="1:11" x14ac:dyDescent="0.15">
      <c r="A431">
        <v>1018918</v>
      </c>
      <c r="B431" s="54" t="s">
        <v>94</v>
      </c>
      <c r="C431" s="54" t="s">
        <v>95</v>
      </c>
      <c r="D431" s="54" t="s">
        <v>96</v>
      </c>
      <c r="E431" s="54" t="s">
        <v>97</v>
      </c>
      <c r="F431" t="s">
        <v>35</v>
      </c>
      <c r="G431">
        <v>38340</v>
      </c>
      <c r="H431">
        <v>360</v>
      </c>
      <c r="I431" t="str">
        <f t="shared" si="18"/>
        <v>AAA BBB</v>
      </c>
      <c r="J431" t="str">
        <f t="shared" si="19"/>
        <v>XXX</v>
      </c>
      <c r="K431" t="str">
        <f t="shared" si="20"/>
        <v>ZZZ, TN, 38340</v>
      </c>
    </row>
    <row r="432" spans="1:11" x14ac:dyDescent="0.15">
      <c r="A432">
        <v>1018918</v>
      </c>
      <c r="B432" s="54" t="s">
        <v>94</v>
      </c>
      <c r="C432" s="54" t="s">
        <v>95</v>
      </c>
      <c r="D432" s="54" t="s">
        <v>96</v>
      </c>
      <c r="E432" s="54" t="s">
        <v>97</v>
      </c>
      <c r="F432" t="s">
        <v>35</v>
      </c>
      <c r="G432">
        <v>38340</v>
      </c>
      <c r="H432">
        <v>360</v>
      </c>
      <c r="I432" t="str">
        <f t="shared" si="18"/>
        <v>AAA BBB</v>
      </c>
      <c r="J432" t="str">
        <f t="shared" si="19"/>
        <v>XXX</v>
      </c>
      <c r="K432" t="str">
        <f t="shared" si="20"/>
        <v>ZZZ, TN, 38340</v>
      </c>
    </row>
    <row r="433" spans="1:11" x14ac:dyDescent="0.15">
      <c r="A433">
        <v>1018918</v>
      </c>
      <c r="B433" s="54" t="s">
        <v>94</v>
      </c>
      <c r="C433" s="54" t="s">
        <v>95</v>
      </c>
      <c r="D433" s="54" t="s">
        <v>96</v>
      </c>
      <c r="E433" s="54" t="s">
        <v>97</v>
      </c>
      <c r="F433" t="s">
        <v>35</v>
      </c>
      <c r="G433">
        <v>38340</v>
      </c>
      <c r="H433">
        <v>360</v>
      </c>
      <c r="I433" t="str">
        <f t="shared" si="18"/>
        <v>AAA BBB</v>
      </c>
      <c r="J433" t="str">
        <f t="shared" si="19"/>
        <v>XXX</v>
      </c>
      <c r="K433" t="str">
        <f t="shared" si="20"/>
        <v>ZZZ, TN, 38340</v>
      </c>
    </row>
    <row r="434" spans="1:11" x14ac:dyDescent="0.15">
      <c r="A434">
        <v>1018918</v>
      </c>
      <c r="B434" s="54" t="s">
        <v>94</v>
      </c>
      <c r="C434" s="54" t="s">
        <v>95</v>
      </c>
      <c r="D434" s="54" t="s">
        <v>96</v>
      </c>
      <c r="E434" s="54" t="s">
        <v>97</v>
      </c>
      <c r="F434" t="s">
        <v>35</v>
      </c>
      <c r="G434">
        <v>38340</v>
      </c>
      <c r="H434">
        <v>360</v>
      </c>
      <c r="I434" t="str">
        <f t="shared" si="18"/>
        <v>AAA BBB</v>
      </c>
      <c r="J434" t="str">
        <f t="shared" si="19"/>
        <v>XXX</v>
      </c>
      <c r="K434" t="str">
        <f t="shared" si="20"/>
        <v>ZZZ, TN, 38340</v>
      </c>
    </row>
    <row r="435" spans="1:11" x14ac:dyDescent="0.15">
      <c r="A435">
        <v>1018918</v>
      </c>
      <c r="B435" s="54" t="s">
        <v>94</v>
      </c>
      <c r="C435" s="54" t="s">
        <v>95</v>
      </c>
      <c r="D435" s="54" t="s">
        <v>96</v>
      </c>
      <c r="E435" s="54" t="s">
        <v>97</v>
      </c>
      <c r="F435" t="s">
        <v>35</v>
      </c>
      <c r="G435">
        <v>38340</v>
      </c>
      <c r="H435">
        <v>360</v>
      </c>
      <c r="I435" t="str">
        <f t="shared" si="18"/>
        <v>AAA BBB</v>
      </c>
      <c r="J435" t="str">
        <f t="shared" si="19"/>
        <v>XXX</v>
      </c>
      <c r="K435" t="str">
        <f t="shared" si="20"/>
        <v>ZZZ, TN, 38340</v>
      </c>
    </row>
    <row r="436" spans="1:11" x14ac:dyDescent="0.15">
      <c r="A436">
        <v>1018918</v>
      </c>
      <c r="B436" s="54" t="s">
        <v>94</v>
      </c>
      <c r="C436" s="54" t="s">
        <v>95</v>
      </c>
      <c r="D436" s="54" t="s">
        <v>96</v>
      </c>
      <c r="E436" s="54" t="s">
        <v>97</v>
      </c>
      <c r="F436" t="s">
        <v>35</v>
      </c>
      <c r="G436">
        <v>38340</v>
      </c>
      <c r="H436">
        <v>360</v>
      </c>
      <c r="I436" t="str">
        <f t="shared" si="18"/>
        <v>AAA BBB</v>
      </c>
      <c r="J436" t="str">
        <f t="shared" si="19"/>
        <v>XXX</v>
      </c>
      <c r="K436" t="str">
        <f t="shared" si="20"/>
        <v>ZZZ, TN, 38340</v>
      </c>
    </row>
    <row r="437" spans="1:11" x14ac:dyDescent="0.15">
      <c r="A437">
        <v>1018918</v>
      </c>
      <c r="B437" s="54" t="s">
        <v>94</v>
      </c>
      <c r="C437" s="54" t="s">
        <v>95</v>
      </c>
      <c r="D437" s="54" t="s">
        <v>96</v>
      </c>
      <c r="E437" s="54" t="s">
        <v>97</v>
      </c>
      <c r="F437" t="s">
        <v>35</v>
      </c>
      <c r="G437">
        <v>38340</v>
      </c>
      <c r="H437">
        <v>360</v>
      </c>
      <c r="I437" t="str">
        <f t="shared" si="18"/>
        <v>AAA BBB</v>
      </c>
      <c r="J437" t="str">
        <f t="shared" si="19"/>
        <v>XXX</v>
      </c>
      <c r="K437" t="str">
        <f t="shared" si="20"/>
        <v>ZZZ, TN, 38340</v>
      </c>
    </row>
    <row r="438" spans="1:11" x14ac:dyDescent="0.15">
      <c r="A438">
        <v>1018918</v>
      </c>
      <c r="B438" s="54" t="s">
        <v>94</v>
      </c>
      <c r="C438" s="54" t="s">
        <v>95</v>
      </c>
      <c r="D438" s="54" t="s">
        <v>96</v>
      </c>
      <c r="E438" s="54" t="s">
        <v>97</v>
      </c>
      <c r="F438" t="s">
        <v>35</v>
      </c>
      <c r="G438">
        <v>38340</v>
      </c>
      <c r="H438">
        <v>360</v>
      </c>
      <c r="I438" t="str">
        <f t="shared" si="18"/>
        <v>AAA BBB</v>
      </c>
      <c r="J438" t="str">
        <f t="shared" si="19"/>
        <v>XXX</v>
      </c>
      <c r="K438" t="str">
        <f t="shared" si="20"/>
        <v>ZZZ, TN, 38340</v>
      </c>
    </row>
    <row r="439" spans="1:11" x14ac:dyDescent="0.15">
      <c r="A439">
        <v>1018918</v>
      </c>
      <c r="B439" s="54" t="s">
        <v>94</v>
      </c>
      <c r="C439" s="54" t="s">
        <v>95</v>
      </c>
      <c r="D439" s="54" t="s">
        <v>96</v>
      </c>
      <c r="E439" s="54" t="s">
        <v>97</v>
      </c>
      <c r="F439" t="s">
        <v>35</v>
      </c>
      <c r="G439">
        <v>38340</v>
      </c>
      <c r="H439">
        <v>360</v>
      </c>
      <c r="I439" t="str">
        <f t="shared" si="18"/>
        <v>AAA BBB</v>
      </c>
      <c r="J439" t="str">
        <f t="shared" si="19"/>
        <v>XXX</v>
      </c>
      <c r="K439" t="str">
        <f t="shared" si="20"/>
        <v>ZZZ, TN, 38340</v>
      </c>
    </row>
    <row r="440" spans="1:11" x14ac:dyDescent="0.15">
      <c r="A440">
        <v>1018918</v>
      </c>
      <c r="B440" s="54" t="s">
        <v>94</v>
      </c>
      <c r="C440" s="54" t="s">
        <v>95</v>
      </c>
      <c r="D440" s="54" t="s">
        <v>96</v>
      </c>
      <c r="E440" s="54" t="s">
        <v>97</v>
      </c>
      <c r="F440" t="s">
        <v>35</v>
      </c>
      <c r="G440">
        <v>38340</v>
      </c>
      <c r="H440">
        <v>360</v>
      </c>
      <c r="I440" t="str">
        <f t="shared" si="18"/>
        <v>AAA BBB</v>
      </c>
      <c r="J440" t="str">
        <f t="shared" si="19"/>
        <v>XXX</v>
      </c>
      <c r="K440" t="str">
        <f t="shared" si="20"/>
        <v>ZZZ, TN, 38340</v>
      </c>
    </row>
    <row r="441" spans="1:11" x14ac:dyDescent="0.15">
      <c r="A441">
        <v>1018918</v>
      </c>
      <c r="B441" s="54" t="s">
        <v>94</v>
      </c>
      <c r="C441" s="54" t="s">
        <v>95</v>
      </c>
      <c r="D441" s="54" t="s">
        <v>96</v>
      </c>
      <c r="E441" s="54" t="s">
        <v>97</v>
      </c>
      <c r="F441" t="s">
        <v>35</v>
      </c>
      <c r="G441">
        <v>38340</v>
      </c>
      <c r="H441">
        <v>360</v>
      </c>
      <c r="I441" t="str">
        <f t="shared" si="18"/>
        <v>AAA BBB</v>
      </c>
      <c r="J441" t="str">
        <f t="shared" si="19"/>
        <v>XXX</v>
      </c>
      <c r="K441" t="str">
        <f t="shared" si="20"/>
        <v>ZZZ, TN, 38340</v>
      </c>
    </row>
    <row r="442" spans="1:11" x14ac:dyDescent="0.15">
      <c r="A442">
        <v>1018918</v>
      </c>
      <c r="B442" s="54" t="s">
        <v>94</v>
      </c>
      <c r="C442" s="54" t="s">
        <v>95</v>
      </c>
      <c r="D442" s="54" t="s">
        <v>96</v>
      </c>
      <c r="E442" s="54" t="s">
        <v>97</v>
      </c>
      <c r="F442" t="s">
        <v>35</v>
      </c>
      <c r="G442">
        <v>38340</v>
      </c>
      <c r="H442">
        <v>360</v>
      </c>
      <c r="I442" t="str">
        <f t="shared" si="18"/>
        <v>AAA BBB</v>
      </c>
      <c r="J442" t="str">
        <f t="shared" si="19"/>
        <v>XXX</v>
      </c>
      <c r="K442" t="str">
        <f t="shared" si="20"/>
        <v>ZZZ, TN, 38340</v>
      </c>
    </row>
    <row r="443" spans="1:11" x14ac:dyDescent="0.15">
      <c r="A443">
        <v>1018918</v>
      </c>
      <c r="B443" s="54" t="s">
        <v>94</v>
      </c>
      <c r="C443" s="54" t="s">
        <v>95</v>
      </c>
      <c r="D443" s="54" t="s">
        <v>96</v>
      </c>
      <c r="E443" s="54" t="s">
        <v>97</v>
      </c>
      <c r="F443" t="s">
        <v>35</v>
      </c>
      <c r="G443">
        <v>38340</v>
      </c>
      <c r="H443">
        <v>360</v>
      </c>
      <c r="I443" t="str">
        <f t="shared" si="18"/>
        <v>AAA BBB</v>
      </c>
      <c r="J443" t="str">
        <f t="shared" si="19"/>
        <v>XXX</v>
      </c>
      <c r="K443" t="str">
        <f t="shared" si="20"/>
        <v>ZZZ, TN, 38340</v>
      </c>
    </row>
    <row r="444" spans="1:11" x14ac:dyDescent="0.15">
      <c r="A444">
        <v>1018918</v>
      </c>
      <c r="B444" s="54" t="s">
        <v>94</v>
      </c>
      <c r="C444" s="54" t="s">
        <v>95</v>
      </c>
      <c r="D444" s="54" t="s">
        <v>96</v>
      </c>
      <c r="E444" s="54" t="s">
        <v>97</v>
      </c>
      <c r="F444" t="s">
        <v>35</v>
      </c>
      <c r="G444">
        <v>38340</v>
      </c>
      <c r="H444">
        <v>360</v>
      </c>
      <c r="I444" t="str">
        <f t="shared" si="18"/>
        <v>AAA BBB</v>
      </c>
      <c r="J444" t="str">
        <f t="shared" si="19"/>
        <v>XXX</v>
      </c>
      <c r="K444" t="str">
        <f t="shared" si="20"/>
        <v>ZZZ, TN, 38340</v>
      </c>
    </row>
    <row r="445" spans="1:11" x14ac:dyDescent="0.15">
      <c r="A445">
        <v>1018918</v>
      </c>
      <c r="B445" s="54" t="s">
        <v>94</v>
      </c>
      <c r="C445" s="54" t="s">
        <v>95</v>
      </c>
      <c r="D445" s="54" t="s">
        <v>96</v>
      </c>
      <c r="E445" s="54" t="s">
        <v>97</v>
      </c>
      <c r="F445" t="s">
        <v>35</v>
      </c>
      <c r="G445">
        <v>38340</v>
      </c>
      <c r="H445">
        <v>360</v>
      </c>
      <c r="I445" t="str">
        <f t="shared" si="18"/>
        <v>AAA BBB</v>
      </c>
      <c r="J445" t="str">
        <f t="shared" si="19"/>
        <v>XXX</v>
      </c>
      <c r="K445" t="str">
        <f t="shared" si="20"/>
        <v>ZZZ, TN, 38340</v>
      </c>
    </row>
    <row r="446" spans="1:11" x14ac:dyDescent="0.15">
      <c r="A446">
        <v>1018918</v>
      </c>
      <c r="B446" s="54" t="s">
        <v>94</v>
      </c>
      <c r="C446" s="54" t="s">
        <v>95</v>
      </c>
      <c r="D446" s="54" t="s">
        <v>96</v>
      </c>
      <c r="E446" s="54" t="s">
        <v>97</v>
      </c>
      <c r="F446" t="s">
        <v>35</v>
      </c>
      <c r="G446">
        <v>38340</v>
      </c>
      <c r="H446">
        <v>360</v>
      </c>
      <c r="I446" t="str">
        <f t="shared" si="18"/>
        <v>AAA BBB</v>
      </c>
      <c r="J446" t="str">
        <f t="shared" si="19"/>
        <v>XXX</v>
      </c>
      <c r="K446" t="str">
        <f t="shared" si="20"/>
        <v>ZZZ, TN, 38340</v>
      </c>
    </row>
    <row r="447" spans="1:11" x14ac:dyDescent="0.15">
      <c r="A447">
        <v>1018918</v>
      </c>
      <c r="B447" s="54" t="s">
        <v>94</v>
      </c>
      <c r="C447" s="54" t="s">
        <v>95</v>
      </c>
      <c r="D447" s="54" t="s">
        <v>96</v>
      </c>
      <c r="E447" s="54" t="s">
        <v>97</v>
      </c>
      <c r="F447" t="s">
        <v>35</v>
      </c>
      <c r="G447">
        <v>38340</v>
      </c>
      <c r="H447">
        <v>360</v>
      </c>
      <c r="I447" t="str">
        <f t="shared" si="18"/>
        <v>AAA BBB</v>
      </c>
      <c r="J447" t="str">
        <f t="shared" si="19"/>
        <v>XXX</v>
      </c>
      <c r="K447" t="str">
        <f t="shared" si="20"/>
        <v>ZZZ, TN, 38340</v>
      </c>
    </row>
    <row r="448" spans="1:11" x14ac:dyDescent="0.15">
      <c r="A448">
        <v>1018918</v>
      </c>
      <c r="B448" s="54" t="s">
        <v>94</v>
      </c>
      <c r="C448" s="54" t="s">
        <v>95</v>
      </c>
      <c r="D448" s="54" t="s">
        <v>96</v>
      </c>
      <c r="E448" s="54" t="s">
        <v>97</v>
      </c>
      <c r="F448" t="s">
        <v>35</v>
      </c>
      <c r="G448">
        <v>38340</v>
      </c>
      <c r="H448">
        <v>360</v>
      </c>
      <c r="I448" t="str">
        <f t="shared" si="18"/>
        <v>AAA BBB</v>
      </c>
      <c r="J448" t="str">
        <f t="shared" si="19"/>
        <v>XXX</v>
      </c>
      <c r="K448" t="str">
        <f t="shared" si="20"/>
        <v>ZZZ, TN, 38340</v>
      </c>
    </row>
    <row r="449" spans="1:11" x14ac:dyDescent="0.15">
      <c r="A449">
        <v>1018918</v>
      </c>
      <c r="B449" s="54" t="s">
        <v>94</v>
      </c>
      <c r="C449" s="54" t="s">
        <v>95</v>
      </c>
      <c r="D449" s="54" t="s">
        <v>96</v>
      </c>
      <c r="E449" s="54" t="s">
        <v>97</v>
      </c>
      <c r="F449" t="s">
        <v>35</v>
      </c>
      <c r="G449">
        <v>38340</v>
      </c>
      <c r="H449">
        <v>360</v>
      </c>
      <c r="I449" t="str">
        <f t="shared" si="18"/>
        <v>AAA BBB</v>
      </c>
      <c r="J449" t="str">
        <f t="shared" si="19"/>
        <v>XXX</v>
      </c>
      <c r="K449" t="str">
        <f t="shared" si="20"/>
        <v>ZZZ, TN, 38340</v>
      </c>
    </row>
    <row r="450" spans="1:11" x14ac:dyDescent="0.15">
      <c r="A450">
        <v>1018918</v>
      </c>
      <c r="B450" s="54" t="s">
        <v>94</v>
      </c>
      <c r="C450" s="54" t="s">
        <v>95</v>
      </c>
      <c r="D450" s="54" t="s">
        <v>96</v>
      </c>
      <c r="E450" s="54" t="s">
        <v>97</v>
      </c>
      <c r="F450" t="s">
        <v>35</v>
      </c>
      <c r="G450">
        <v>38340</v>
      </c>
      <c r="H450">
        <v>360</v>
      </c>
      <c r="I450" t="str">
        <f t="shared" si="18"/>
        <v>AAA BBB</v>
      </c>
      <c r="J450" t="str">
        <f t="shared" si="19"/>
        <v>XXX</v>
      </c>
      <c r="K450" t="str">
        <f t="shared" si="20"/>
        <v>ZZZ, TN, 38340</v>
      </c>
    </row>
    <row r="451" spans="1:11" x14ac:dyDescent="0.15">
      <c r="A451">
        <v>1018918</v>
      </c>
      <c r="B451" s="54" t="s">
        <v>94</v>
      </c>
      <c r="C451" s="54" t="s">
        <v>95</v>
      </c>
      <c r="D451" s="54" t="s">
        <v>96</v>
      </c>
      <c r="E451" s="54" t="s">
        <v>97</v>
      </c>
      <c r="F451" t="s">
        <v>35</v>
      </c>
      <c r="G451">
        <v>38340</v>
      </c>
      <c r="H451">
        <v>360</v>
      </c>
      <c r="I451" t="str">
        <f t="shared" ref="I451:I514" si="21">CONCATENATE(B451," ",C451)</f>
        <v>AAA BBB</v>
      </c>
      <c r="J451" t="str">
        <f t="shared" ref="J451:J514" si="22">D451</f>
        <v>XXX</v>
      </c>
      <c r="K451" t="str">
        <f t="shared" ref="K451:K514" si="23">CONCATENATE(E451,","," ",F451,","," ",G451)</f>
        <v>ZZZ, TN, 38340</v>
      </c>
    </row>
    <row r="452" spans="1:11" x14ac:dyDescent="0.15">
      <c r="A452">
        <v>1018918</v>
      </c>
      <c r="B452" s="54" t="s">
        <v>94</v>
      </c>
      <c r="C452" s="54" t="s">
        <v>95</v>
      </c>
      <c r="D452" s="54" t="s">
        <v>96</v>
      </c>
      <c r="E452" s="54" t="s">
        <v>97</v>
      </c>
      <c r="F452" t="s">
        <v>35</v>
      </c>
      <c r="G452">
        <v>38340</v>
      </c>
      <c r="H452">
        <v>360</v>
      </c>
      <c r="I452" t="str">
        <f t="shared" si="21"/>
        <v>AAA BBB</v>
      </c>
      <c r="J452" t="str">
        <f t="shared" si="22"/>
        <v>XXX</v>
      </c>
      <c r="K452" t="str">
        <f t="shared" si="23"/>
        <v>ZZZ, TN, 38340</v>
      </c>
    </row>
    <row r="453" spans="1:11" x14ac:dyDescent="0.15">
      <c r="A453">
        <v>1018918</v>
      </c>
      <c r="B453" s="54" t="s">
        <v>94</v>
      </c>
      <c r="C453" s="54" t="s">
        <v>95</v>
      </c>
      <c r="D453" s="54" t="s">
        <v>96</v>
      </c>
      <c r="E453" s="54" t="s">
        <v>97</v>
      </c>
      <c r="F453" t="s">
        <v>35</v>
      </c>
      <c r="G453">
        <v>38340</v>
      </c>
      <c r="H453">
        <v>360</v>
      </c>
      <c r="I453" t="str">
        <f t="shared" si="21"/>
        <v>AAA BBB</v>
      </c>
      <c r="J453" t="str">
        <f t="shared" si="22"/>
        <v>XXX</v>
      </c>
      <c r="K453" t="str">
        <f t="shared" si="23"/>
        <v>ZZZ, TN, 38340</v>
      </c>
    </row>
    <row r="454" spans="1:11" x14ac:dyDescent="0.15">
      <c r="A454">
        <v>1018918</v>
      </c>
      <c r="B454" s="54" t="s">
        <v>94</v>
      </c>
      <c r="C454" s="54" t="s">
        <v>95</v>
      </c>
      <c r="D454" s="54" t="s">
        <v>96</v>
      </c>
      <c r="E454" s="54" t="s">
        <v>97</v>
      </c>
      <c r="F454" t="s">
        <v>35</v>
      </c>
      <c r="G454">
        <v>38340</v>
      </c>
      <c r="H454">
        <v>360</v>
      </c>
      <c r="I454" t="str">
        <f t="shared" si="21"/>
        <v>AAA BBB</v>
      </c>
      <c r="J454" t="str">
        <f t="shared" si="22"/>
        <v>XXX</v>
      </c>
      <c r="K454" t="str">
        <f t="shared" si="23"/>
        <v>ZZZ, TN, 38340</v>
      </c>
    </row>
    <row r="455" spans="1:11" x14ac:dyDescent="0.15">
      <c r="A455">
        <v>1018918</v>
      </c>
      <c r="B455" s="54" t="s">
        <v>94</v>
      </c>
      <c r="C455" s="54" t="s">
        <v>95</v>
      </c>
      <c r="D455" s="54" t="s">
        <v>96</v>
      </c>
      <c r="E455" s="54" t="s">
        <v>97</v>
      </c>
      <c r="F455" t="s">
        <v>35</v>
      </c>
      <c r="G455">
        <v>38340</v>
      </c>
      <c r="H455">
        <v>360</v>
      </c>
      <c r="I455" t="str">
        <f t="shared" si="21"/>
        <v>AAA BBB</v>
      </c>
      <c r="J455" t="str">
        <f t="shared" si="22"/>
        <v>XXX</v>
      </c>
      <c r="K455" t="str">
        <f t="shared" si="23"/>
        <v>ZZZ, TN, 38340</v>
      </c>
    </row>
    <row r="456" spans="1:11" x14ac:dyDescent="0.15">
      <c r="A456">
        <v>1018918</v>
      </c>
      <c r="B456" s="54" t="s">
        <v>94</v>
      </c>
      <c r="C456" s="54" t="s">
        <v>95</v>
      </c>
      <c r="D456" s="54" t="s">
        <v>96</v>
      </c>
      <c r="E456" s="54" t="s">
        <v>97</v>
      </c>
      <c r="F456" t="s">
        <v>35</v>
      </c>
      <c r="G456">
        <v>38340</v>
      </c>
      <c r="H456">
        <v>360</v>
      </c>
      <c r="I456" t="str">
        <f t="shared" si="21"/>
        <v>AAA BBB</v>
      </c>
      <c r="J456" t="str">
        <f t="shared" si="22"/>
        <v>XXX</v>
      </c>
      <c r="K456" t="str">
        <f t="shared" si="23"/>
        <v>ZZZ, TN, 38340</v>
      </c>
    </row>
    <row r="457" spans="1:11" x14ac:dyDescent="0.15">
      <c r="A457">
        <v>1018918</v>
      </c>
      <c r="B457" s="54" t="s">
        <v>94</v>
      </c>
      <c r="C457" s="54" t="s">
        <v>95</v>
      </c>
      <c r="D457" s="54" t="s">
        <v>96</v>
      </c>
      <c r="E457" s="54" t="s">
        <v>97</v>
      </c>
      <c r="F457" t="s">
        <v>35</v>
      </c>
      <c r="G457">
        <v>38340</v>
      </c>
      <c r="H457">
        <v>360</v>
      </c>
      <c r="I457" t="str">
        <f t="shared" si="21"/>
        <v>AAA BBB</v>
      </c>
      <c r="J457" t="str">
        <f t="shared" si="22"/>
        <v>XXX</v>
      </c>
      <c r="K457" t="str">
        <f t="shared" si="23"/>
        <v>ZZZ, TN, 38340</v>
      </c>
    </row>
    <row r="458" spans="1:11" x14ac:dyDescent="0.15">
      <c r="A458">
        <v>1018918</v>
      </c>
      <c r="B458" s="54" t="s">
        <v>94</v>
      </c>
      <c r="C458" s="54" t="s">
        <v>95</v>
      </c>
      <c r="D458" s="54" t="s">
        <v>96</v>
      </c>
      <c r="E458" s="54" t="s">
        <v>97</v>
      </c>
      <c r="F458" t="s">
        <v>35</v>
      </c>
      <c r="G458">
        <v>38340</v>
      </c>
      <c r="H458">
        <v>360</v>
      </c>
      <c r="I458" t="str">
        <f t="shared" si="21"/>
        <v>AAA BBB</v>
      </c>
      <c r="J458" t="str">
        <f t="shared" si="22"/>
        <v>XXX</v>
      </c>
      <c r="K458" t="str">
        <f t="shared" si="23"/>
        <v>ZZZ, TN, 38340</v>
      </c>
    </row>
    <row r="459" spans="1:11" x14ac:dyDescent="0.15">
      <c r="A459">
        <v>1018918</v>
      </c>
      <c r="B459" s="54" t="s">
        <v>94</v>
      </c>
      <c r="C459" s="54" t="s">
        <v>95</v>
      </c>
      <c r="D459" s="54" t="s">
        <v>96</v>
      </c>
      <c r="E459" s="54" t="s">
        <v>97</v>
      </c>
      <c r="F459" t="s">
        <v>35</v>
      </c>
      <c r="G459">
        <v>38340</v>
      </c>
      <c r="H459">
        <v>360</v>
      </c>
      <c r="I459" t="str">
        <f t="shared" si="21"/>
        <v>AAA BBB</v>
      </c>
      <c r="J459" t="str">
        <f t="shared" si="22"/>
        <v>XXX</v>
      </c>
      <c r="K459" t="str">
        <f t="shared" si="23"/>
        <v>ZZZ, TN, 38340</v>
      </c>
    </row>
    <row r="460" spans="1:11" x14ac:dyDescent="0.15">
      <c r="A460">
        <v>1018918</v>
      </c>
      <c r="B460" s="54" t="s">
        <v>94</v>
      </c>
      <c r="C460" s="54" t="s">
        <v>95</v>
      </c>
      <c r="D460" s="54" t="s">
        <v>96</v>
      </c>
      <c r="E460" s="54" t="s">
        <v>97</v>
      </c>
      <c r="F460" t="s">
        <v>35</v>
      </c>
      <c r="G460">
        <v>38340</v>
      </c>
      <c r="H460">
        <v>360</v>
      </c>
      <c r="I460" t="str">
        <f t="shared" si="21"/>
        <v>AAA BBB</v>
      </c>
      <c r="J460" t="str">
        <f t="shared" si="22"/>
        <v>XXX</v>
      </c>
      <c r="K460" t="str">
        <f t="shared" si="23"/>
        <v>ZZZ, TN, 38340</v>
      </c>
    </row>
    <row r="461" spans="1:11" x14ac:dyDescent="0.15">
      <c r="A461">
        <v>1018918</v>
      </c>
      <c r="B461" s="54" t="s">
        <v>94</v>
      </c>
      <c r="C461" s="54" t="s">
        <v>95</v>
      </c>
      <c r="D461" s="54" t="s">
        <v>96</v>
      </c>
      <c r="E461" s="54" t="s">
        <v>97</v>
      </c>
      <c r="F461" t="s">
        <v>35</v>
      </c>
      <c r="G461">
        <v>38340</v>
      </c>
      <c r="H461">
        <v>360</v>
      </c>
      <c r="I461" t="str">
        <f t="shared" si="21"/>
        <v>AAA BBB</v>
      </c>
      <c r="J461" t="str">
        <f t="shared" si="22"/>
        <v>XXX</v>
      </c>
      <c r="K461" t="str">
        <f t="shared" si="23"/>
        <v>ZZZ, TN, 38340</v>
      </c>
    </row>
    <row r="462" spans="1:11" x14ac:dyDescent="0.15">
      <c r="A462">
        <v>1018918</v>
      </c>
      <c r="B462" s="54" t="s">
        <v>94</v>
      </c>
      <c r="C462" s="54" t="s">
        <v>95</v>
      </c>
      <c r="D462" s="54" t="s">
        <v>96</v>
      </c>
      <c r="E462" s="54" t="s">
        <v>97</v>
      </c>
      <c r="F462" t="s">
        <v>35</v>
      </c>
      <c r="G462">
        <v>38340</v>
      </c>
      <c r="H462">
        <v>360</v>
      </c>
      <c r="I462" t="str">
        <f t="shared" si="21"/>
        <v>AAA BBB</v>
      </c>
      <c r="J462" t="str">
        <f t="shared" si="22"/>
        <v>XXX</v>
      </c>
      <c r="K462" t="str">
        <f t="shared" si="23"/>
        <v>ZZZ, TN, 38340</v>
      </c>
    </row>
    <row r="463" spans="1:11" x14ac:dyDescent="0.15">
      <c r="A463">
        <v>1018918</v>
      </c>
      <c r="B463" s="54" t="s">
        <v>94</v>
      </c>
      <c r="C463" s="54" t="s">
        <v>95</v>
      </c>
      <c r="D463" s="54" t="s">
        <v>96</v>
      </c>
      <c r="E463" s="54" t="s">
        <v>97</v>
      </c>
      <c r="F463" t="s">
        <v>35</v>
      </c>
      <c r="G463">
        <v>38340</v>
      </c>
      <c r="H463">
        <v>360</v>
      </c>
      <c r="I463" t="str">
        <f t="shared" si="21"/>
        <v>AAA BBB</v>
      </c>
      <c r="J463" t="str">
        <f t="shared" si="22"/>
        <v>XXX</v>
      </c>
      <c r="K463" t="str">
        <f t="shared" si="23"/>
        <v>ZZZ, TN, 38340</v>
      </c>
    </row>
    <row r="464" spans="1:11" x14ac:dyDescent="0.15">
      <c r="A464">
        <v>1018918</v>
      </c>
      <c r="B464" s="54" t="s">
        <v>94</v>
      </c>
      <c r="C464" s="54" t="s">
        <v>95</v>
      </c>
      <c r="D464" s="54" t="s">
        <v>96</v>
      </c>
      <c r="E464" s="54" t="s">
        <v>97</v>
      </c>
      <c r="F464" t="s">
        <v>35</v>
      </c>
      <c r="G464">
        <v>38340</v>
      </c>
      <c r="H464">
        <v>360</v>
      </c>
      <c r="I464" t="str">
        <f t="shared" si="21"/>
        <v>AAA BBB</v>
      </c>
      <c r="J464" t="str">
        <f t="shared" si="22"/>
        <v>XXX</v>
      </c>
      <c r="K464" t="str">
        <f t="shared" si="23"/>
        <v>ZZZ, TN, 38340</v>
      </c>
    </row>
    <row r="465" spans="1:11" x14ac:dyDescent="0.15">
      <c r="A465">
        <v>1018918</v>
      </c>
      <c r="B465" s="54" t="s">
        <v>94</v>
      </c>
      <c r="C465" s="54" t="s">
        <v>95</v>
      </c>
      <c r="D465" s="54" t="s">
        <v>96</v>
      </c>
      <c r="E465" s="54" t="s">
        <v>97</v>
      </c>
      <c r="F465" t="s">
        <v>35</v>
      </c>
      <c r="G465">
        <v>38340</v>
      </c>
      <c r="H465">
        <v>360</v>
      </c>
      <c r="I465" t="str">
        <f t="shared" si="21"/>
        <v>AAA BBB</v>
      </c>
      <c r="J465" t="str">
        <f t="shared" si="22"/>
        <v>XXX</v>
      </c>
      <c r="K465" t="str">
        <f t="shared" si="23"/>
        <v>ZZZ, TN, 38340</v>
      </c>
    </row>
    <row r="466" spans="1:11" x14ac:dyDescent="0.15">
      <c r="A466">
        <v>1018918</v>
      </c>
      <c r="B466" s="54" t="s">
        <v>94</v>
      </c>
      <c r="C466" s="54" t="s">
        <v>95</v>
      </c>
      <c r="D466" s="54" t="s">
        <v>96</v>
      </c>
      <c r="E466" s="54" t="s">
        <v>97</v>
      </c>
      <c r="F466" t="s">
        <v>35</v>
      </c>
      <c r="G466">
        <v>38340</v>
      </c>
      <c r="H466">
        <v>360</v>
      </c>
      <c r="I466" t="str">
        <f t="shared" si="21"/>
        <v>AAA BBB</v>
      </c>
      <c r="J466" t="str">
        <f t="shared" si="22"/>
        <v>XXX</v>
      </c>
      <c r="K466" t="str">
        <f t="shared" si="23"/>
        <v>ZZZ, TN, 38340</v>
      </c>
    </row>
    <row r="467" spans="1:11" x14ac:dyDescent="0.15">
      <c r="A467">
        <v>1018918</v>
      </c>
      <c r="B467" s="54" t="s">
        <v>94</v>
      </c>
      <c r="C467" s="54" t="s">
        <v>95</v>
      </c>
      <c r="D467" s="54" t="s">
        <v>96</v>
      </c>
      <c r="E467" s="54" t="s">
        <v>97</v>
      </c>
      <c r="F467" t="s">
        <v>35</v>
      </c>
      <c r="G467">
        <v>38340</v>
      </c>
      <c r="H467">
        <v>360</v>
      </c>
      <c r="I467" t="str">
        <f t="shared" si="21"/>
        <v>AAA BBB</v>
      </c>
      <c r="J467" t="str">
        <f t="shared" si="22"/>
        <v>XXX</v>
      </c>
      <c r="K467" t="str">
        <f t="shared" si="23"/>
        <v>ZZZ, TN, 38340</v>
      </c>
    </row>
    <row r="468" spans="1:11" x14ac:dyDescent="0.15">
      <c r="A468">
        <v>1018918</v>
      </c>
      <c r="B468" s="54" t="s">
        <v>94</v>
      </c>
      <c r="C468" s="54" t="s">
        <v>95</v>
      </c>
      <c r="D468" s="54" t="s">
        <v>96</v>
      </c>
      <c r="E468" s="54" t="s">
        <v>97</v>
      </c>
      <c r="F468" t="s">
        <v>35</v>
      </c>
      <c r="G468">
        <v>38340</v>
      </c>
      <c r="H468">
        <v>360</v>
      </c>
      <c r="I468" t="str">
        <f t="shared" si="21"/>
        <v>AAA BBB</v>
      </c>
      <c r="J468" t="str">
        <f t="shared" si="22"/>
        <v>XXX</v>
      </c>
      <c r="K468" t="str">
        <f t="shared" si="23"/>
        <v>ZZZ, TN, 38340</v>
      </c>
    </row>
    <row r="469" spans="1:11" x14ac:dyDescent="0.15">
      <c r="A469">
        <v>1018918</v>
      </c>
      <c r="B469" s="54" t="s">
        <v>94</v>
      </c>
      <c r="C469" s="54" t="s">
        <v>95</v>
      </c>
      <c r="D469" s="54" t="s">
        <v>96</v>
      </c>
      <c r="E469" s="54" t="s">
        <v>97</v>
      </c>
      <c r="F469" t="s">
        <v>35</v>
      </c>
      <c r="G469">
        <v>38340</v>
      </c>
      <c r="H469">
        <v>360</v>
      </c>
      <c r="I469" t="str">
        <f t="shared" si="21"/>
        <v>AAA BBB</v>
      </c>
      <c r="J469" t="str">
        <f t="shared" si="22"/>
        <v>XXX</v>
      </c>
      <c r="K469" t="str">
        <f t="shared" si="23"/>
        <v>ZZZ, TN, 38340</v>
      </c>
    </row>
    <row r="470" spans="1:11" x14ac:dyDescent="0.15">
      <c r="A470">
        <v>1018918</v>
      </c>
      <c r="B470" s="54" t="s">
        <v>94</v>
      </c>
      <c r="C470" s="54" t="s">
        <v>95</v>
      </c>
      <c r="D470" s="54" t="s">
        <v>96</v>
      </c>
      <c r="E470" s="54" t="s">
        <v>97</v>
      </c>
      <c r="F470" t="s">
        <v>35</v>
      </c>
      <c r="G470">
        <v>38340</v>
      </c>
      <c r="H470">
        <v>360</v>
      </c>
      <c r="I470" t="str">
        <f t="shared" si="21"/>
        <v>AAA BBB</v>
      </c>
      <c r="J470" t="str">
        <f t="shared" si="22"/>
        <v>XXX</v>
      </c>
      <c r="K470" t="str">
        <f t="shared" si="23"/>
        <v>ZZZ, TN, 38340</v>
      </c>
    </row>
    <row r="471" spans="1:11" x14ac:dyDescent="0.15">
      <c r="A471">
        <v>1018918</v>
      </c>
      <c r="B471" s="54" t="s">
        <v>94</v>
      </c>
      <c r="C471" s="54" t="s">
        <v>95</v>
      </c>
      <c r="D471" s="54" t="s">
        <v>96</v>
      </c>
      <c r="E471" s="54" t="s">
        <v>97</v>
      </c>
      <c r="F471" t="s">
        <v>35</v>
      </c>
      <c r="G471">
        <v>38340</v>
      </c>
      <c r="H471">
        <v>360</v>
      </c>
      <c r="I471" t="str">
        <f t="shared" si="21"/>
        <v>AAA BBB</v>
      </c>
      <c r="J471" t="str">
        <f t="shared" si="22"/>
        <v>XXX</v>
      </c>
      <c r="K471" t="str">
        <f t="shared" si="23"/>
        <v>ZZZ, TN, 38340</v>
      </c>
    </row>
    <row r="472" spans="1:11" x14ac:dyDescent="0.15">
      <c r="A472">
        <v>1018918</v>
      </c>
      <c r="B472" s="54" t="s">
        <v>94</v>
      </c>
      <c r="C472" s="54" t="s">
        <v>95</v>
      </c>
      <c r="D472" s="54" t="s">
        <v>96</v>
      </c>
      <c r="E472" s="54" t="s">
        <v>97</v>
      </c>
      <c r="F472" t="s">
        <v>35</v>
      </c>
      <c r="G472">
        <v>38340</v>
      </c>
      <c r="H472">
        <v>360</v>
      </c>
      <c r="I472" t="str">
        <f t="shared" si="21"/>
        <v>AAA BBB</v>
      </c>
      <c r="J472" t="str">
        <f t="shared" si="22"/>
        <v>XXX</v>
      </c>
      <c r="K472" t="str">
        <f t="shared" si="23"/>
        <v>ZZZ, TN, 38340</v>
      </c>
    </row>
    <row r="473" spans="1:11" x14ac:dyDescent="0.15">
      <c r="A473">
        <v>1018918</v>
      </c>
      <c r="B473" s="54" t="s">
        <v>94</v>
      </c>
      <c r="C473" s="54" t="s">
        <v>95</v>
      </c>
      <c r="D473" s="54" t="s">
        <v>96</v>
      </c>
      <c r="E473" s="54" t="s">
        <v>97</v>
      </c>
      <c r="F473" t="s">
        <v>35</v>
      </c>
      <c r="G473">
        <v>38340</v>
      </c>
      <c r="H473">
        <v>360</v>
      </c>
      <c r="I473" t="str">
        <f t="shared" si="21"/>
        <v>AAA BBB</v>
      </c>
      <c r="J473" t="str">
        <f t="shared" si="22"/>
        <v>XXX</v>
      </c>
      <c r="K473" t="str">
        <f t="shared" si="23"/>
        <v>ZZZ, TN, 38340</v>
      </c>
    </row>
    <row r="474" spans="1:11" x14ac:dyDescent="0.15">
      <c r="A474">
        <v>1018918</v>
      </c>
      <c r="B474" s="54" t="s">
        <v>94</v>
      </c>
      <c r="C474" s="54" t="s">
        <v>95</v>
      </c>
      <c r="D474" s="54" t="s">
        <v>96</v>
      </c>
      <c r="E474" s="54" t="s">
        <v>97</v>
      </c>
      <c r="F474" t="s">
        <v>35</v>
      </c>
      <c r="G474">
        <v>38340</v>
      </c>
      <c r="H474">
        <v>360</v>
      </c>
      <c r="I474" t="str">
        <f t="shared" si="21"/>
        <v>AAA BBB</v>
      </c>
      <c r="J474" t="str">
        <f t="shared" si="22"/>
        <v>XXX</v>
      </c>
      <c r="K474" t="str">
        <f t="shared" si="23"/>
        <v>ZZZ, TN, 38340</v>
      </c>
    </row>
    <row r="475" spans="1:11" x14ac:dyDescent="0.15">
      <c r="A475">
        <v>1018918</v>
      </c>
      <c r="B475" s="54" t="s">
        <v>94</v>
      </c>
      <c r="C475" s="54" t="s">
        <v>95</v>
      </c>
      <c r="D475" s="54" t="s">
        <v>96</v>
      </c>
      <c r="E475" s="54" t="s">
        <v>97</v>
      </c>
      <c r="F475" t="s">
        <v>35</v>
      </c>
      <c r="G475">
        <v>38340</v>
      </c>
      <c r="H475">
        <v>360</v>
      </c>
      <c r="I475" t="str">
        <f t="shared" si="21"/>
        <v>AAA BBB</v>
      </c>
      <c r="J475" t="str">
        <f t="shared" si="22"/>
        <v>XXX</v>
      </c>
      <c r="K475" t="str">
        <f t="shared" si="23"/>
        <v>ZZZ, TN, 38340</v>
      </c>
    </row>
    <row r="476" spans="1:11" x14ac:dyDescent="0.15">
      <c r="A476">
        <v>1018918</v>
      </c>
      <c r="B476" s="54" t="s">
        <v>94</v>
      </c>
      <c r="C476" s="54" t="s">
        <v>95</v>
      </c>
      <c r="D476" s="54" t="s">
        <v>96</v>
      </c>
      <c r="E476" s="54" t="s">
        <v>97</v>
      </c>
      <c r="F476" t="s">
        <v>35</v>
      </c>
      <c r="G476">
        <v>38340</v>
      </c>
      <c r="H476">
        <v>360</v>
      </c>
      <c r="I476" t="str">
        <f t="shared" si="21"/>
        <v>AAA BBB</v>
      </c>
      <c r="J476" t="str">
        <f t="shared" si="22"/>
        <v>XXX</v>
      </c>
      <c r="K476" t="str">
        <f t="shared" si="23"/>
        <v>ZZZ, TN, 38340</v>
      </c>
    </row>
    <row r="477" spans="1:11" x14ac:dyDescent="0.15">
      <c r="A477">
        <v>1018918</v>
      </c>
      <c r="B477" s="54" t="s">
        <v>94</v>
      </c>
      <c r="C477" s="54" t="s">
        <v>95</v>
      </c>
      <c r="D477" s="54" t="s">
        <v>96</v>
      </c>
      <c r="E477" s="54" t="s">
        <v>97</v>
      </c>
      <c r="F477" t="s">
        <v>35</v>
      </c>
      <c r="G477">
        <v>38340</v>
      </c>
      <c r="H477">
        <v>360</v>
      </c>
      <c r="I477" t="str">
        <f t="shared" si="21"/>
        <v>AAA BBB</v>
      </c>
      <c r="J477" t="str">
        <f t="shared" si="22"/>
        <v>XXX</v>
      </c>
      <c r="K477" t="str">
        <f t="shared" si="23"/>
        <v>ZZZ, TN, 38340</v>
      </c>
    </row>
    <row r="478" spans="1:11" x14ac:dyDescent="0.15">
      <c r="A478">
        <v>1018918</v>
      </c>
      <c r="B478" s="54" t="s">
        <v>94</v>
      </c>
      <c r="C478" s="54" t="s">
        <v>95</v>
      </c>
      <c r="D478" s="54" t="s">
        <v>96</v>
      </c>
      <c r="E478" s="54" t="s">
        <v>97</v>
      </c>
      <c r="F478" t="s">
        <v>35</v>
      </c>
      <c r="G478">
        <v>38340</v>
      </c>
      <c r="H478">
        <v>360</v>
      </c>
      <c r="I478" t="str">
        <f t="shared" si="21"/>
        <v>AAA BBB</v>
      </c>
      <c r="J478" t="str">
        <f t="shared" si="22"/>
        <v>XXX</v>
      </c>
      <c r="K478" t="str">
        <f t="shared" si="23"/>
        <v>ZZZ, TN, 38340</v>
      </c>
    </row>
    <row r="479" spans="1:11" x14ac:dyDescent="0.15">
      <c r="A479">
        <v>1018918</v>
      </c>
      <c r="B479" s="54" t="s">
        <v>94</v>
      </c>
      <c r="C479" s="54" t="s">
        <v>95</v>
      </c>
      <c r="D479" s="54" t="s">
        <v>96</v>
      </c>
      <c r="E479" s="54" t="s">
        <v>97</v>
      </c>
      <c r="F479" t="s">
        <v>35</v>
      </c>
      <c r="G479">
        <v>38340</v>
      </c>
      <c r="H479">
        <v>360</v>
      </c>
      <c r="I479" t="str">
        <f t="shared" si="21"/>
        <v>AAA BBB</v>
      </c>
      <c r="J479" t="str">
        <f t="shared" si="22"/>
        <v>XXX</v>
      </c>
      <c r="K479" t="str">
        <f t="shared" si="23"/>
        <v>ZZZ, TN, 38340</v>
      </c>
    </row>
    <row r="480" spans="1:11" x14ac:dyDescent="0.15">
      <c r="A480">
        <v>1018918</v>
      </c>
      <c r="B480" s="54" t="s">
        <v>94</v>
      </c>
      <c r="C480" s="54" t="s">
        <v>95</v>
      </c>
      <c r="D480" s="54" t="s">
        <v>96</v>
      </c>
      <c r="E480" s="54" t="s">
        <v>97</v>
      </c>
      <c r="F480" t="s">
        <v>35</v>
      </c>
      <c r="G480">
        <v>38340</v>
      </c>
      <c r="H480">
        <v>360</v>
      </c>
      <c r="I480" t="str">
        <f t="shared" si="21"/>
        <v>AAA BBB</v>
      </c>
      <c r="J480" t="str">
        <f t="shared" si="22"/>
        <v>XXX</v>
      </c>
      <c r="K480" t="str">
        <f t="shared" si="23"/>
        <v>ZZZ, TN, 38340</v>
      </c>
    </row>
    <row r="481" spans="1:11" x14ac:dyDescent="0.15">
      <c r="A481">
        <v>1018918</v>
      </c>
      <c r="B481" s="54" t="s">
        <v>94</v>
      </c>
      <c r="C481" s="54" t="s">
        <v>95</v>
      </c>
      <c r="D481" s="54" t="s">
        <v>96</v>
      </c>
      <c r="E481" s="54" t="s">
        <v>97</v>
      </c>
      <c r="F481" t="s">
        <v>35</v>
      </c>
      <c r="G481">
        <v>38340</v>
      </c>
      <c r="H481">
        <v>360</v>
      </c>
      <c r="I481" t="str">
        <f t="shared" si="21"/>
        <v>AAA BBB</v>
      </c>
      <c r="J481" t="str">
        <f t="shared" si="22"/>
        <v>XXX</v>
      </c>
      <c r="K481" t="str">
        <f t="shared" si="23"/>
        <v>ZZZ, TN, 38340</v>
      </c>
    </row>
    <row r="482" spans="1:11" x14ac:dyDescent="0.15">
      <c r="A482">
        <v>1018918</v>
      </c>
      <c r="B482" s="54" t="s">
        <v>94</v>
      </c>
      <c r="C482" s="54" t="s">
        <v>95</v>
      </c>
      <c r="D482" s="54" t="s">
        <v>96</v>
      </c>
      <c r="E482" s="54" t="s">
        <v>97</v>
      </c>
      <c r="F482" t="s">
        <v>35</v>
      </c>
      <c r="G482">
        <v>38340</v>
      </c>
      <c r="H482">
        <v>360</v>
      </c>
      <c r="I482" t="str">
        <f t="shared" si="21"/>
        <v>AAA BBB</v>
      </c>
      <c r="J482" t="str">
        <f t="shared" si="22"/>
        <v>XXX</v>
      </c>
      <c r="K482" t="str">
        <f t="shared" si="23"/>
        <v>ZZZ, TN, 38340</v>
      </c>
    </row>
    <row r="483" spans="1:11" x14ac:dyDescent="0.15">
      <c r="A483">
        <v>1018918</v>
      </c>
      <c r="B483" s="54" t="s">
        <v>94</v>
      </c>
      <c r="C483" s="54" t="s">
        <v>95</v>
      </c>
      <c r="D483" s="54" t="s">
        <v>96</v>
      </c>
      <c r="E483" s="54" t="s">
        <v>97</v>
      </c>
      <c r="F483" t="s">
        <v>35</v>
      </c>
      <c r="G483">
        <v>38340</v>
      </c>
      <c r="H483">
        <v>360</v>
      </c>
      <c r="I483" t="str">
        <f t="shared" si="21"/>
        <v>AAA BBB</v>
      </c>
      <c r="J483" t="str">
        <f t="shared" si="22"/>
        <v>XXX</v>
      </c>
      <c r="K483" t="str">
        <f t="shared" si="23"/>
        <v>ZZZ, TN, 38340</v>
      </c>
    </row>
    <row r="484" spans="1:11" x14ac:dyDescent="0.15">
      <c r="A484">
        <v>1018918</v>
      </c>
      <c r="B484" s="54" t="s">
        <v>94</v>
      </c>
      <c r="C484" s="54" t="s">
        <v>95</v>
      </c>
      <c r="D484" s="54" t="s">
        <v>96</v>
      </c>
      <c r="E484" s="54" t="s">
        <v>97</v>
      </c>
      <c r="F484" t="s">
        <v>35</v>
      </c>
      <c r="G484">
        <v>38340</v>
      </c>
      <c r="H484">
        <v>360</v>
      </c>
      <c r="I484" t="str">
        <f t="shared" si="21"/>
        <v>AAA BBB</v>
      </c>
      <c r="J484" t="str">
        <f t="shared" si="22"/>
        <v>XXX</v>
      </c>
      <c r="K484" t="str">
        <f t="shared" si="23"/>
        <v>ZZZ, TN, 38340</v>
      </c>
    </row>
    <row r="485" spans="1:11" x14ac:dyDescent="0.15">
      <c r="A485">
        <v>1018918</v>
      </c>
      <c r="B485" s="54" t="s">
        <v>94</v>
      </c>
      <c r="C485" s="54" t="s">
        <v>95</v>
      </c>
      <c r="D485" s="54" t="s">
        <v>96</v>
      </c>
      <c r="E485" s="54" t="s">
        <v>97</v>
      </c>
      <c r="F485" t="s">
        <v>35</v>
      </c>
      <c r="G485">
        <v>38340</v>
      </c>
      <c r="H485">
        <v>360</v>
      </c>
      <c r="I485" t="str">
        <f t="shared" si="21"/>
        <v>AAA BBB</v>
      </c>
      <c r="J485" t="str">
        <f t="shared" si="22"/>
        <v>XXX</v>
      </c>
      <c r="K485" t="str">
        <f t="shared" si="23"/>
        <v>ZZZ, TN, 38340</v>
      </c>
    </row>
    <row r="486" spans="1:11" x14ac:dyDescent="0.15">
      <c r="A486">
        <v>1018918</v>
      </c>
      <c r="B486" s="54" t="s">
        <v>94</v>
      </c>
      <c r="C486" s="54" t="s">
        <v>95</v>
      </c>
      <c r="D486" s="54" t="s">
        <v>96</v>
      </c>
      <c r="E486" s="54" t="s">
        <v>97</v>
      </c>
      <c r="F486" t="s">
        <v>35</v>
      </c>
      <c r="G486">
        <v>38340</v>
      </c>
      <c r="H486">
        <v>360</v>
      </c>
      <c r="I486" t="str">
        <f t="shared" si="21"/>
        <v>AAA BBB</v>
      </c>
      <c r="J486" t="str">
        <f t="shared" si="22"/>
        <v>XXX</v>
      </c>
      <c r="K486" t="str">
        <f t="shared" si="23"/>
        <v>ZZZ, TN, 38340</v>
      </c>
    </row>
    <row r="487" spans="1:11" x14ac:dyDescent="0.15">
      <c r="A487">
        <v>1018918</v>
      </c>
      <c r="B487" s="54" t="s">
        <v>94</v>
      </c>
      <c r="C487" s="54" t="s">
        <v>95</v>
      </c>
      <c r="D487" s="54" t="s">
        <v>96</v>
      </c>
      <c r="E487" s="54" t="s">
        <v>97</v>
      </c>
      <c r="F487" t="s">
        <v>35</v>
      </c>
      <c r="G487">
        <v>38340</v>
      </c>
      <c r="H487">
        <v>360</v>
      </c>
      <c r="I487" t="str">
        <f t="shared" si="21"/>
        <v>AAA BBB</v>
      </c>
      <c r="J487" t="str">
        <f t="shared" si="22"/>
        <v>XXX</v>
      </c>
      <c r="K487" t="str">
        <f t="shared" si="23"/>
        <v>ZZZ, TN, 38340</v>
      </c>
    </row>
    <row r="488" spans="1:11" x14ac:dyDescent="0.15">
      <c r="A488">
        <v>1018918</v>
      </c>
      <c r="B488" s="54" t="s">
        <v>94</v>
      </c>
      <c r="C488" s="54" t="s">
        <v>95</v>
      </c>
      <c r="D488" s="54" t="s">
        <v>96</v>
      </c>
      <c r="E488" s="54" t="s">
        <v>97</v>
      </c>
      <c r="F488" t="s">
        <v>35</v>
      </c>
      <c r="G488">
        <v>38340</v>
      </c>
      <c r="H488">
        <v>360</v>
      </c>
      <c r="I488" t="str">
        <f t="shared" si="21"/>
        <v>AAA BBB</v>
      </c>
      <c r="J488" t="str">
        <f t="shared" si="22"/>
        <v>XXX</v>
      </c>
      <c r="K488" t="str">
        <f t="shared" si="23"/>
        <v>ZZZ, TN, 38340</v>
      </c>
    </row>
    <row r="489" spans="1:11" x14ac:dyDescent="0.15">
      <c r="A489">
        <v>1018918</v>
      </c>
      <c r="B489" s="54" t="s">
        <v>94</v>
      </c>
      <c r="C489" s="54" t="s">
        <v>95</v>
      </c>
      <c r="D489" s="54" t="s">
        <v>96</v>
      </c>
      <c r="E489" s="54" t="s">
        <v>97</v>
      </c>
      <c r="F489" t="s">
        <v>35</v>
      </c>
      <c r="G489">
        <v>38340</v>
      </c>
      <c r="H489">
        <v>360</v>
      </c>
      <c r="I489" t="str">
        <f t="shared" si="21"/>
        <v>AAA BBB</v>
      </c>
      <c r="J489" t="str">
        <f t="shared" si="22"/>
        <v>XXX</v>
      </c>
      <c r="K489" t="str">
        <f t="shared" si="23"/>
        <v>ZZZ, TN, 38340</v>
      </c>
    </row>
    <row r="490" spans="1:11" x14ac:dyDescent="0.15">
      <c r="A490">
        <v>1018918</v>
      </c>
      <c r="B490" s="54" t="s">
        <v>94</v>
      </c>
      <c r="C490" s="54" t="s">
        <v>95</v>
      </c>
      <c r="D490" s="54" t="s">
        <v>96</v>
      </c>
      <c r="E490" s="54" t="s">
        <v>97</v>
      </c>
      <c r="F490" t="s">
        <v>35</v>
      </c>
      <c r="G490">
        <v>38340</v>
      </c>
      <c r="H490">
        <v>360</v>
      </c>
      <c r="I490" t="str">
        <f t="shared" si="21"/>
        <v>AAA BBB</v>
      </c>
      <c r="J490" t="str">
        <f t="shared" si="22"/>
        <v>XXX</v>
      </c>
      <c r="K490" t="str">
        <f t="shared" si="23"/>
        <v>ZZZ, TN, 38340</v>
      </c>
    </row>
    <row r="491" spans="1:11" x14ac:dyDescent="0.15">
      <c r="A491">
        <v>1018918</v>
      </c>
      <c r="B491" s="54" t="s">
        <v>94</v>
      </c>
      <c r="C491" s="54" t="s">
        <v>95</v>
      </c>
      <c r="D491" s="54" t="s">
        <v>96</v>
      </c>
      <c r="E491" s="54" t="s">
        <v>97</v>
      </c>
      <c r="F491" t="s">
        <v>35</v>
      </c>
      <c r="G491">
        <v>38340</v>
      </c>
      <c r="H491">
        <v>360</v>
      </c>
      <c r="I491" t="str">
        <f t="shared" si="21"/>
        <v>AAA BBB</v>
      </c>
      <c r="J491" t="str">
        <f t="shared" si="22"/>
        <v>XXX</v>
      </c>
      <c r="K491" t="str">
        <f t="shared" si="23"/>
        <v>ZZZ, TN, 38340</v>
      </c>
    </row>
    <row r="492" spans="1:11" x14ac:dyDescent="0.15">
      <c r="A492">
        <v>1018918</v>
      </c>
      <c r="B492" s="54" t="s">
        <v>94</v>
      </c>
      <c r="C492" s="54" t="s">
        <v>95</v>
      </c>
      <c r="D492" s="54" t="s">
        <v>96</v>
      </c>
      <c r="E492" s="54" t="s">
        <v>97</v>
      </c>
      <c r="F492" t="s">
        <v>35</v>
      </c>
      <c r="G492">
        <v>38340</v>
      </c>
      <c r="H492">
        <v>360</v>
      </c>
      <c r="I492" t="str">
        <f t="shared" si="21"/>
        <v>AAA BBB</v>
      </c>
      <c r="J492" t="str">
        <f t="shared" si="22"/>
        <v>XXX</v>
      </c>
      <c r="K492" t="str">
        <f t="shared" si="23"/>
        <v>ZZZ, TN, 38340</v>
      </c>
    </row>
    <row r="493" spans="1:11" x14ac:dyDescent="0.15">
      <c r="A493">
        <v>1018918</v>
      </c>
      <c r="B493" s="54" t="s">
        <v>94</v>
      </c>
      <c r="C493" s="54" t="s">
        <v>95</v>
      </c>
      <c r="D493" s="54" t="s">
        <v>96</v>
      </c>
      <c r="E493" s="54" t="s">
        <v>97</v>
      </c>
      <c r="F493" t="s">
        <v>35</v>
      </c>
      <c r="G493">
        <v>38340</v>
      </c>
      <c r="H493">
        <v>360</v>
      </c>
      <c r="I493" t="str">
        <f t="shared" si="21"/>
        <v>AAA BBB</v>
      </c>
      <c r="J493" t="str">
        <f t="shared" si="22"/>
        <v>XXX</v>
      </c>
      <c r="K493" t="str">
        <f t="shared" si="23"/>
        <v>ZZZ, TN, 38340</v>
      </c>
    </row>
    <row r="494" spans="1:11" x14ac:dyDescent="0.15">
      <c r="A494">
        <v>1018918</v>
      </c>
      <c r="B494" s="54" t="s">
        <v>94</v>
      </c>
      <c r="C494" s="54" t="s">
        <v>95</v>
      </c>
      <c r="D494" s="54" t="s">
        <v>96</v>
      </c>
      <c r="E494" s="54" t="s">
        <v>97</v>
      </c>
      <c r="F494" t="s">
        <v>35</v>
      </c>
      <c r="G494">
        <v>38340</v>
      </c>
      <c r="H494">
        <v>360</v>
      </c>
      <c r="I494" t="str">
        <f t="shared" si="21"/>
        <v>AAA BBB</v>
      </c>
      <c r="J494" t="str">
        <f t="shared" si="22"/>
        <v>XXX</v>
      </c>
      <c r="K494" t="str">
        <f t="shared" si="23"/>
        <v>ZZZ, TN, 38340</v>
      </c>
    </row>
    <row r="495" spans="1:11" x14ac:dyDescent="0.15">
      <c r="A495">
        <v>1018918</v>
      </c>
      <c r="B495" s="54" t="s">
        <v>94</v>
      </c>
      <c r="C495" s="54" t="s">
        <v>95</v>
      </c>
      <c r="D495" s="54" t="s">
        <v>96</v>
      </c>
      <c r="E495" s="54" t="s">
        <v>97</v>
      </c>
      <c r="F495" t="s">
        <v>35</v>
      </c>
      <c r="G495">
        <v>38340</v>
      </c>
      <c r="H495">
        <v>360</v>
      </c>
      <c r="I495" t="str">
        <f t="shared" si="21"/>
        <v>AAA BBB</v>
      </c>
      <c r="J495" t="str">
        <f t="shared" si="22"/>
        <v>XXX</v>
      </c>
      <c r="K495" t="str">
        <f t="shared" si="23"/>
        <v>ZZZ, TN, 38340</v>
      </c>
    </row>
    <row r="496" spans="1:11" x14ac:dyDescent="0.15">
      <c r="A496">
        <v>1018918</v>
      </c>
      <c r="B496" s="54" t="s">
        <v>94</v>
      </c>
      <c r="C496" s="54" t="s">
        <v>95</v>
      </c>
      <c r="D496" s="54" t="s">
        <v>96</v>
      </c>
      <c r="E496" s="54" t="s">
        <v>97</v>
      </c>
      <c r="F496" t="s">
        <v>35</v>
      </c>
      <c r="G496">
        <v>38340</v>
      </c>
      <c r="H496">
        <v>360</v>
      </c>
      <c r="I496" t="str">
        <f t="shared" si="21"/>
        <v>AAA BBB</v>
      </c>
      <c r="J496" t="str">
        <f t="shared" si="22"/>
        <v>XXX</v>
      </c>
      <c r="K496" t="str">
        <f t="shared" si="23"/>
        <v>ZZZ, TN, 38340</v>
      </c>
    </row>
    <row r="497" spans="1:11" x14ac:dyDescent="0.15">
      <c r="A497">
        <v>1018918</v>
      </c>
      <c r="B497" s="54" t="s">
        <v>94</v>
      </c>
      <c r="C497" s="54" t="s">
        <v>95</v>
      </c>
      <c r="D497" s="54" t="s">
        <v>96</v>
      </c>
      <c r="E497" s="54" t="s">
        <v>97</v>
      </c>
      <c r="F497" t="s">
        <v>35</v>
      </c>
      <c r="G497">
        <v>38340</v>
      </c>
      <c r="H497">
        <v>360</v>
      </c>
      <c r="I497" t="str">
        <f t="shared" si="21"/>
        <v>AAA BBB</v>
      </c>
      <c r="J497" t="str">
        <f t="shared" si="22"/>
        <v>XXX</v>
      </c>
      <c r="K497" t="str">
        <f t="shared" si="23"/>
        <v>ZZZ, TN, 38340</v>
      </c>
    </row>
    <row r="498" spans="1:11" x14ac:dyDescent="0.15">
      <c r="A498">
        <v>1018918</v>
      </c>
      <c r="B498" s="54" t="s">
        <v>94</v>
      </c>
      <c r="C498" s="54" t="s">
        <v>95</v>
      </c>
      <c r="D498" s="54" t="s">
        <v>96</v>
      </c>
      <c r="E498" s="54" t="s">
        <v>97</v>
      </c>
      <c r="F498" t="s">
        <v>35</v>
      </c>
      <c r="G498">
        <v>38340</v>
      </c>
      <c r="H498">
        <v>360</v>
      </c>
      <c r="I498" t="str">
        <f t="shared" si="21"/>
        <v>AAA BBB</v>
      </c>
      <c r="J498" t="str">
        <f t="shared" si="22"/>
        <v>XXX</v>
      </c>
      <c r="K498" t="str">
        <f t="shared" si="23"/>
        <v>ZZZ, TN, 38340</v>
      </c>
    </row>
    <row r="499" spans="1:11" x14ac:dyDescent="0.15">
      <c r="A499">
        <v>1018918</v>
      </c>
      <c r="B499" s="54" t="s">
        <v>94</v>
      </c>
      <c r="C499" s="54" t="s">
        <v>95</v>
      </c>
      <c r="D499" s="54" t="s">
        <v>96</v>
      </c>
      <c r="E499" s="54" t="s">
        <v>97</v>
      </c>
      <c r="F499" t="s">
        <v>35</v>
      </c>
      <c r="G499">
        <v>38340</v>
      </c>
      <c r="H499">
        <v>360</v>
      </c>
      <c r="I499" t="str">
        <f t="shared" si="21"/>
        <v>AAA BBB</v>
      </c>
      <c r="J499" t="str">
        <f t="shared" si="22"/>
        <v>XXX</v>
      </c>
      <c r="K499" t="str">
        <f t="shared" si="23"/>
        <v>ZZZ, TN, 38340</v>
      </c>
    </row>
    <row r="500" spans="1:11" x14ac:dyDescent="0.15">
      <c r="A500">
        <v>1018918</v>
      </c>
      <c r="B500" s="54" t="s">
        <v>94</v>
      </c>
      <c r="C500" s="54" t="s">
        <v>95</v>
      </c>
      <c r="D500" s="54" t="s">
        <v>96</v>
      </c>
      <c r="E500" s="54" t="s">
        <v>97</v>
      </c>
      <c r="F500" t="s">
        <v>35</v>
      </c>
      <c r="G500">
        <v>38340</v>
      </c>
      <c r="H500">
        <v>360</v>
      </c>
      <c r="I500" t="str">
        <f t="shared" si="21"/>
        <v>AAA BBB</v>
      </c>
      <c r="J500" t="str">
        <f t="shared" si="22"/>
        <v>XXX</v>
      </c>
      <c r="K500" t="str">
        <f t="shared" si="23"/>
        <v>ZZZ, TN, 38340</v>
      </c>
    </row>
    <row r="501" spans="1:11" x14ac:dyDescent="0.15">
      <c r="A501">
        <v>1018918</v>
      </c>
      <c r="B501" s="54" t="s">
        <v>94</v>
      </c>
      <c r="C501" s="54" t="s">
        <v>95</v>
      </c>
      <c r="D501" s="54" t="s">
        <v>96</v>
      </c>
      <c r="E501" s="54" t="s">
        <v>97</v>
      </c>
      <c r="F501" t="s">
        <v>35</v>
      </c>
      <c r="G501">
        <v>38340</v>
      </c>
      <c r="H501">
        <v>360</v>
      </c>
      <c r="I501" t="str">
        <f t="shared" si="21"/>
        <v>AAA BBB</v>
      </c>
      <c r="J501" t="str">
        <f t="shared" si="22"/>
        <v>XXX</v>
      </c>
      <c r="K501" t="str">
        <f t="shared" si="23"/>
        <v>ZZZ, TN, 38340</v>
      </c>
    </row>
    <row r="502" spans="1:11" x14ac:dyDescent="0.15">
      <c r="A502">
        <v>1018918</v>
      </c>
      <c r="B502" s="54" t="s">
        <v>94</v>
      </c>
      <c r="C502" s="54" t="s">
        <v>95</v>
      </c>
      <c r="D502" s="54" t="s">
        <v>96</v>
      </c>
      <c r="E502" s="54" t="s">
        <v>97</v>
      </c>
      <c r="F502" t="s">
        <v>35</v>
      </c>
      <c r="G502">
        <v>38340</v>
      </c>
      <c r="H502">
        <v>360</v>
      </c>
      <c r="I502" t="str">
        <f t="shared" si="21"/>
        <v>AAA BBB</v>
      </c>
      <c r="J502" t="str">
        <f t="shared" si="22"/>
        <v>XXX</v>
      </c>
      <c r="K502" t="str">
        <f t="shared" si="23"/>
        <v>ZZZ, TN, 38340</v>
      </c>
    </row>
    <row r="503" spans="1:11" x14ac:dyDescent="0.15">
      <c r="A503">
        <v>1018918</v>
      </c>
      <c r="B503" s="54" t="s">
        <v>94</v>
      </c>
      <c r="C503" s="54" t="s">
        <v>95</v>
      </c>
      <c r="D503" s="54" t="s">
        <v>96</v>
      </c>
      <c r="E503" s="54" t="s">
        <v>97</v>
      </c>
      <c r="F503" t="s">
        <v>35</v>
      </c>
      <c r="G503">
        <v>38340</v>
      </c>
      <c r="H503">
        <v>360</v>
      </c>
      <c r="I503" t="str">
        <f t="shared" si="21"/>
        <v>AAA BBB</v>
      </c>
      <c r="J503" t="str">
        <f t="shared" si="22"/>
        <v>XXX</v>
      </c>
      <c r="K503" t="str">
        <f t="shared" si="23"/>
        <v>ZZZ, TN, 38340</v>
      </c>
    </row>
    <row r="504" spans="1:11" x14ac:dyDescent="0.15">
      <c r="A504">
        <v>1018918</v>
      </c>
      <c r="B504" s="54" t="s">
        <v>94</v>
      </c>
      <c r="C504" s="54" t="s">
        <v>95</v>
      </c>
      <c r="D504" s="54" t="s">
        <v>96</v>
      </c>
      <c r="E504" s="54" t="s">
        <v>97</v>
      </c>
      <c r="F504" t="s">
        <v>35</v>
      </c>
      <c r="G504">
        <v>38340</v>
      </c>
      <c r="H504">
        <v>360</v>
      </c>
      <c r="I504" t="str">
        <f t="shared" si="21"/>
        <v>AAA BBB</v>
      </c>
      <c r="J504" t="str">
        <f t="shared" si="22"/>
        <v>XXX</v>
      </c>
      <c r="K504" t="str">
        <f t="shared" si="23"/>
        <v>ZZZ, TN, 38340</v>
      </c>
    </row>
    <row r="505" spans="1:11" x14ac:dyDescent="0.15">
      <c r="A505">
        <v>1018918</v>
      </c>
      <c r="B505" s="54" t="s">
        <v>94</v>
      </c>
      <c r="C505" s="54" t="s">
        <v>95</v>
      </c>
      <c r="D505" s="54" t="s">
        <v>96</v>
      </c>
      <c r="E505" s="54" t="s">
        <v>97</v>
      </c>
      <c r="F505" t="s">
        <v>35</v>
      </c>
      <c r="G505">
        <v>38340</v>
      </c>
      <c r="H505">
        <v>360</v>
      </c>
      <c r="I505" t="str">
        <f t="shared" si="21"/>
        <v>AAA BBB</v>
      </c>
      <c r="J505" t="str">
        <f t="shared" si="22"/>
        <v>XXX</v>
      </c>
      <c r="K505" t="str">
        <f t="shared" si="23"/>
        <v>ZZZ, TN, 38340</v>
      </c>
    </row>
    <row r="506" spans="1:11" x14ac:dyDescent="0.15">
      <c r="A506">
        <v>1018918</v>
      </c>
      <c r="B506" s="54" t="s">
        <v>94</v>
      </c>
      <c r="C506" s="54" t="s">
        <v>95</v>
      </c>
      <c r="D506" s="54" t="s">
        <v>96</v>
      </c>
      <c r="E506" s="54" t="s">
        <v>97</v>
      </c>
      <c r="F506" t="s">
        <v>35</v>
      </c>
      <c r="G506">
        <v>38340</v>
      </c>
      <c r="H506">
        <v>360</v>
      </c>
      <c r="I506" t="str">
        <f t="shared" si="21"/>
        <v>AAA BBB</v>
      </c>
      <c r="J506" t="str">
        <f t="shared" si="22"/>
        <v>XXX</v>
      </c>
      <c r="K506" t="str">
        <f t="shared" si="23"/>
        <v>ZZZ, TN, 38340</v>
      </c>
    </row>
    <row r="507" spans="1:11" x14ac:dyDescent="0.15">
      <c r="A507">
        <v>1018918</v>
      </c>
      <c r="B507" s="54" t="s">
        <v>94</v>
      </c>
      <c r="C507" s="54" t="s">
        <v>95</v>
      </c>
      <c r="D507" s="54" t="s">
        <v>96</v>
      </c>
      <c r="E507" s="54" t="s">
        <v>97</v>
      </c>
      <c r="F507" t="s">
        <v>35</v>
      </c>
      <c r="G507">
        <v>38340</v>
      </c>
      <c r="H507">
        <v>360</v>
      </c>
      <c r="I507" t="str">
        <f t="shared" si="21"/>
        <v>AAA BBB</v>
      </c>
      <c r="J507" t="str">
        <f t="shared" si="22"/>
        <v>XXX</v>
      </c>
      <c r="K507" t="str">
        <f t="shared" si="23"/>
        <v>ZZZ, TN, 38340</v>
      </c>
    </row>
    <row r="508" spans="1:11" x14ac:dyDescent="0.15">
      <c r="A508">
        <v>1018918</v>
      </c>
      <c r="B508" s="54" t="s">
        <v>94</v>
      </c>
      <c r="C508" s="54" t="s">
        <v>95</v>
      </c>
      <c r="D508" s="54" t="s">
        <v>96</v>
      </c>
      <c r="E508" s="54" t="s">
        <v>97</v>
      </c>
      <c r="F508" t="s">
        <v>35</v>
      </c>
      <c r="G508">
        <v>38340</v>
      </c>
      <c r="H508">
        <v>360</v>
      </c>
      <c r="I508" t="str">
        <f t="shared" si="21"/>
        <v>AAA BBB</v>
      </c>
      <c r="J508" t="str">
        <f t="shared" si="22"/>
        <v>XXX</v>
      </c>
      <c r="K508" t="str">
        <f t="shared" si="23"/>
        <v>ZZZ, TN, 38340</v>
      </c>
    </row>
    <row r="509" spans="1:11" x14ac:dyDescent="0.15">
      <c r="A509">
        <v>1018918</v>
      </c>
      <c r="B509" s="54" t="s">
        <v>94</v>
      </c>
      <c r="C509" s="54" t="s">
        <v>95</v>
      </c>
      <c r="D509" s="54" t="s">
        <v>96</v>
      </c>
      <c r="E509" s="54" t="s">
        <v>97</v>
      </c>
      <c r="F509" t="s">
        <v>35</v>
      </c>
      <c r="G509">
        <v>38340</v>
      </c>
      <c r="H509">
        <v>360</v>
      </c>
      <c r="I509" t="str">
        <f t="shared" si="21"/>
        <v>AAA BBB</v>
      </c>
      <c r="J509" t="str">
        <f t="shared" si="22"/>
        <v>XXX</v>
      </c>
      <c r="K509" t="str">
        <f t="shared" si="23"/>
        <v>ZZZ, TN, 38340</v>
      </c>
    </row>
    <row r="510" spans="1:11" x14ac:dyDescent="0.15">
      <c r="A510">
        <v>1018918</v>
      </c>
      <c r="B510" s="54" t="s">
        <v>94</v>
      </c>
      <c r="C510" s="54" t="s">
        <v>95</v>
      </c>
      <c r="D510" s="54" t="s">
        <v>96</v>
      </c>
      <c r="E510" s="54" t="s">
        <v>97</v>
      </c>
      <c r="F510" t="s">
        <v>35</v>
      </c>
      <c r="G510">
        <v>38340</v>
      </c>
      <c r="H510">
        <v>360</v>
      </c>
      <c r="I510" t="str">
        <f t="shared" si="21"/>
        <v>AAA BBB</v>
      </c>
      <c r="J510" t="str">
        <f t="shared" si="22"/>
        <v>XXX</v>
      </c>
      <c r="K510" t="str">
        <f t="shared" si="23"/>
        <v>ZZZ, TN, 38340</v>
      </c>
    </row>
    <row r="511" spans="1:11" x14ac:dyDescent="0.15">
      <c r="A511">
        <v>1018918</v>
      </c>
      <c r="B511" s="54" t="s">
        <v>94</v>
      </c>
      <c r="C511" s="54" t="s">
        <v>95</v>
      </c>
      <c r="D511" s="54" t="s">
        <v>96</v>
      </c>
      <c r="E511" s="54" t="s">
        <v>97</v>
      </c>
      <c r="F511" t="s">
        <v>35</v>
      </c>
      <c r="G511">
        <v>38340</v>
      </c>
      <c r="H511">
        <v>360</v>
      </c>
      <c r="I511" t="str">
        <f t="shared" si="21"/>
        <v>AAA BBB</v>
      </c>
      <c r="J511" t="str">
        <f t="shared" si="22"/>
        <v>XXX</v>
      </c>
      <c r="K511" t="str">
        <f t="shared" si="23"/>
        <v>ZZZ, TN, 38340</v>
      </c>
    </row>
    <row r="512" spans="1:11" x14ac:dyDescent="0.15">
      <c r="A512">
        <v>1018918</v>
      </c>
      <c r="B512" s="54" t="s">
        <v>94</v>
      </c>
      <c r="C512" s="54" t="s">
        <v>95</v>
      </c>
      <c r="D512" s="54" t="s">
        <v>96</v>
      </c>
      <c r="E512" s="54" t="s">
        <v>97</v>
      </c>
      <c r="F512" t="s">
        <v>35</v>
      </c>
      <c r="G512">
        <v>38340</v>
      </c>
      <c r="H512">
        <v>360</v>
      </c>
      <c r="I512" t="str">
        <f t="shared" si="21"/>
        <v>AAA BBB</v>
      </c>
      <c r="J512" t="str">
        <f t="shared" si="22"/>
        <v>XXX</v>
      </c>
      <c r="K512" t="str">
        <f t="shared" si="23"/>
        <v>ZZZ, TN, 38340</v>
      </c>
    </row>
    <row r="513" spans="1:11" x14ac:dyDescent="0.15">
      <c r="A513">
        <v>1018918</v>
      </c>
      <c r="B513" s="54" t="s">
        <v>94</v>
      </c>
      <c r="C513" s="54" t="s">
        <v>95</v>
      </c>
      <c r="D513" s="54" t="s">
        <v>96</v>
      </c>
      <c r="E513" s="54" t="s">
        <v>97</v>
      </c>
      <c r="F513" t="s">
        <v>35</v>
      </c>
      <c r="G513">
        <v>38340</v>
      </c>
      <c r="H513">
        <v>360</v>
      </c>
      <c r="I513" t="str">
        <f t="shared" si="21"/>
        <v>AAA BBB</v>
      </c>
      <c r="J513" t="str">
        <f t="shared" si="22"/>
        <v>XXX</v>
      </c>
      <c r="K513" t="str">
        <f t="shared" si="23"/>
        <v>ZZZ, TN, 38340</v>
      </c>
    </row>
    <row r="514" spans="1:11" x14ac:dyDescent="0.15">
      <c r="A514">
        <v>1018918</v>
      </c>
      <c r="B514" s="54" t="s">
        <v>94</v>
      </c>
      <c r="C514" s="54" t="s">
        <v>95</v>
      </c>
      <c r="D514" s="54" t="s">
        <v>96</v>
      </c>
      <c r="E514" s="54" t="s">
        <v>97</v>
      </c>
      <c r="F514" t="s">
        <v>35</v>
      </c>
      <c r="G514">
        <v>38340</v>
      </c>
      <c r="H514">
        <v>360</v>
      </c>
      <c r="I514" t="str">
        <f t="shared" si="21"/>
        <v>AAA BBB</v>
      </c>
      <c r="J514" t="str">
        <f t="shared" si="22"/>
        <v>XXX</v>
      </c>
      <c r="K514" t="str">
        <f t="shared" si="23"/>
        <v>ZZZ, TN, 38340</v>
      </c>
    </row>
    <row r="515" spans="1:11" x14ac:dyDescent="0.15">
      <c r="A515">
        <v>1018918</v>
      </c>
      <c r="B515" s="54" t="s">
        <v>94</v>
      </c>
      <c r="C515" s="54" t="s">
        <v>95</v>
      </c>
      <c r="D515" s="54" t="s">
        <v>96</v>
      </c>
      <c r="E515" s="54" t="s">
        <v>97</v>
      </c>
      <c r="F515" t="s">
        <v>35</v>
      </c>
      <c r="G515">
        <v>38340</v>
      </c>
      <c r="H515">
        <v>360</v>
      </c>
      <c r="I515" t="str">
        <f t="shared" ref="I515:I578" si="24">CONCATENATE(B515," ",C515)</f>
        <v>AAA BBB</v>
      </c>
      <c r="J515" t="str">
        <f t="shared" ref="J515:J578" si="25">D515</f>
        <v>XXX</v>
      </c>
      <c r="K515" t="str">
        <f t="shared" ref="K515:K578" si="26">CONCATENATE(E515,","," ",F515,","," ",G515)</f>
        <v>ZZZ, TN, 38340</v>
      </c>
    </row>
    <row r="516" spans="1:11" x14ac:dyDescent="0.15">
      <c r="A516">
        <v>1018918</v>
      </c>
      <c r="B516" s="54" t="s">
        <v>94</v>
      </c>
      <c r="C516" s="54" t="s">
        <v>95</v>
      </c>
      <c r="D516" s="54" t="s">
        <v>96</v>
      </c>
      <c r="E516" s="54" t="s">
        <v>97</v>
      </c>
      <c r="F516" t="s">
        <v>35</v>
      </c>
      <c r="G516">
        <v>38340</v>
      </c>
      <c r="H516">
        <v>360</v>
      </c>
      <c r="I516" t="str">
        <f t="shared" si="24"/>
        <v>AAA BBB</v>
      </c>
      <c r="J516" t="str">
        <f t="shared" si="25"/>
        <v>XXX</v>
      </c>
      <c r="K516" t="str">
        <f t="shared" si="26"/>
        <v>ZZZ, TN, 38340</v>
      </c>
    </row>
    <row r="517" spans="1:11" x14ac:dyDescent="0.15">
      <c r="A517">
        <v>1018918</v>
      </c>
      <c r="B517" s="54" t="s">
        <v>94</v>
      </c>
      <c r="C517" s="54" t="s">
        <v>95</v>
      </c>
      <c r="D517" s="54" t="s">
        <v>96</v>
      </c>
      <c r="E517" s="54" t="s">
        <v>97</v>
      </c>
      <c r="F517" t="s">
        <v>35</v>
      </c>
      <c r="G517">
        <v>38340</v>
      </c>
      <c r="H517">
        <v>360</v>
      </c>
      <c r="I517" t="str">
        <f t="shared" si="24"/>
        <v>AAA BBB</v>
      </c>
      <c r="J517" t="str">
        <f t="shared" si="25"/>
        <v>XXX</v>
      </c>
      <c r="K517" t="str">
        <f t="shared" si="26"/>
        <v>ZZZ, TN, 38340</v>
      </c>
    </row>
    <row r="518" spans="1:11" x14ac:dyDescent="0.15">
      <c r="A518">
        <v>1018918</v>
      </c>
      <c r="B518" s="54" t="s">
        <v>94</v>
      </c>
      <c r="C518" s="54" t="s">
        <v>95</v>
      </c>
      <c r="D518" s="54" t="s">
        <v>96</v>
      </c>
      <c r="E518" s="54" t="s">
        <v>97</v>
      </c>
      <c r="F518" t="s">
        <v>35</v>
      </c>
      <c r="G518">
        <v>38340</v>
      </c>
      <c r="H518">
        <v>360</v>
      </c>
      <c r="I518" t="str">
        <f t="shared" si="24"/>
        <v>AAA BBB</v>
      </c>
      <c r="J518" t="str">
        <f t="shared" si="25"/>
        <v>XXX</v>
      </c>
      <c r="K518" t="str">
        <f t="shared" si="26"/>
        <v>ZZZ, TN, 38340</v>
      </c>
    </row>
    <row r="519" spans="1:11" x14ac:dyDescent="0.15">
      <c r="A519">
        <v>1018918</v>
      </c>
      <c r="B519" s="54" t="s">
        <v>94</v>
      </c>
      <c r="C519" s="54" t="s">
        <v>95</v>
      </c>
      <c r="D519" s="54" t="s">
        <v>96</v>
      </c>
      <c r="E519" s="54" t="s">
        <v>97</v>
      </c>
      <c r="F519" t="s">
        <v>35</v>
      </c>
      <c r="G519">
        <v>38340</v>
      </c>
      <c r="H519">
        <v>360</v>
      </c>
      <c r="I519" t="str">
        <f t="shared" si="24"/>
        <v>AAA BBB</v>
      </c>
      <c r="J519" t="str">
        <f t="shared" si="25"/>
        <v>XXX</v>
      </c>
      <c r="K519" t="str">
        <f t="shared" si="26"/>
        <v>ZZZ, TN, 38340</v>
      </c>
    </row>
    <row r="520" spans="1:11" x14ac:dyDescent="0.15">
      <c r="A520">
        <v>1018918</v>
      </c>
      <c r="B520" s="54" t="s">
        <v>94</v>
      </c>
      <c r="C520" s="54" t="s">
        <v>95</v>
      </c>
      <c r="D520" s="54" t="s">
        <v>96</v>
      </c>
      <c r="E520" s="54" t="s">
        <v>97</v>
      </c>
      <c r="F520" t="s">
        <v>35</v>
      </c>
      <c r="G520">
        <v>38340</v>
      </c>
      <c r="H520">
        <v>360</v>
      </c>
      <c r="I520" t="str">
        <f t="shared" si="24"/>
        <v>AAA BBB</v>
      </c>
      <c r="J520" t="str">
        <f t="shared" si="25"/>
        <v>XXX</v>
      </c>
      <c r="K520" t="str">
        <f t="shared" si="26"/>
        <v>ZZZ, TN, 38340</v>
      </c>
    </row>
    <row r="521" spans="1:11" x14ac:dyDescent="0.15">
      <c r="A521">
        <v>1018918</v>
      </c>
      <c r="B521" s="54" t="s">
        <v>94</v>
      </c>
      <c r="C521" s="54" t="s">
        <v>95</v>
      </c>
      <c r="D521" s="54" t="s">
        <v>96</v>
      </c>
      <c r="E521" s="54" t="s">
        <v>97</v>
      </c>
      <c r="F521" t="s">
        <v>35</v>
      </c>
      <c r="G521">
        <v>38340</v>
      </c>
      <c r="H521">
        <v>360</v>
      </c>
      <c r="I521" t="str">
        <f t="shared" si="24"/>
        <v>AAA BBB</v>
      </c>
      <c r="J521" t="str">
        <f t="shared" si="25"/>
        <v>XXX</v>
      </c>
      <c r="K521" t="str">
        <f t="shared" si="26"/>
        <v>ZZZ, TN, 38340</v>
      </c>
    </row>
    <row r="522" spans="1:11" x14ac:dyDescent="0.15">
      <c r="A522">
        <v>1018918</v>
      </c>
      <c r="B522" s="54" t="s">
        <v>94</v>
      </c>
      <c r="C522" s="54" t="s">
        <v>95</v>
      </c>
      <c r="D522" s="54" t="s">
        <v>96</v>
      </c>
      <c r="E522" s="54" t="s">
        <v>97</v>
      </c>
      <c r="F522" t="s">
        <v>35</v>
      </c>
      <c r="G522">
        <v>38340</v>
      </c>
      <c r="H522">
        <v>360</v>
      </c>
      <c r="I522" t="str">
        <f t="shared" si="24"/>
        <v>AAA BBB</v>
      </c>
      <c r="J522" t="str">
        <f t="shared" si="25"/>
        <v>XXX</v>
      </c>
      <c r="K522" t="str">
        <f t="shared" si="26"/>
        <v>ZZZ, TN, 38340</v>
      </c>
    </row>
    <row r="523" spans="1:11" x14ac:dyDescent="0.15">
      <c r="A523">
        <v>1018918</v>
      </c>
      <c r="B523" s="54" t="s">
        <v>94</v>
      </c>
      <c r="C523" s="54" t="s">
        <v>95</v>
      </c>
      <c r="D523" s="54" t="s">
        <v>96</v>
      </c>
      <c r="E523" s="54" t="s">
        <v>97</v>
      </c>
      <c r="F523" t="s">
        <v>35</v>
      </c>
      <c r="G523">
        <v>38340</v>
      </c>
      <c r="H523">
        <v>360</v>
      </c>
      <c r="I523" t="str">
        <f t="shared" si="24"/>
        <v>AAA BBB</v>
      </c>
      <c r="J523" t="str">
        <f t="shared" si="25"/>
        <v>XXX</v>
      </c>
      <c r="K523" t="str">
        <f t="shared" si="26"/>
        <v>ZZZ, TN, 38340</v>
      </c>
    </row>
    <row r="524" spans="1:11" x14ac:dyDescent="0.15">
      <c r="A524">
        <v>1018918</v>
      </c>
      <c r="B524" s="54" t="s">
        <v>94</v>
      </c>
      <c r="C524" s="54" t="s">
        <v>95</v>
      </c>
      <c r="D524" s="54" t="s">
        <v>96</v>
      </c>
      <c r="E524" s="54" t="s">
        <v>97</v>
      </c>
      <c r="F524" t="s">
        <v>35</v>
      </c>
      <c r="G524">
        <v>38340</v>
      </c>
      <c r="H524">
        <v>360</v>
      </c>
      <c r="I524" t="str">
        <f t="shared" si="24"/>
        <v>AAA BBB</v>
      </c>
      <c r="J524" t="str">
        <f t="shared" si="25"/>
        <v>XXX</v>
      </c>
      <c r="K524" t="str">
        <f t="shared" si="26"/>
        <v>ZZZ, TN, 38340</v>
      </c>
    </row>
    <row r="525" spans="1:11" x14ac:dyDescent="0.15">
      <c r="A525">
        <v>1018918</v>
      </c>
      <c r="B525" s="54" t="s">
        <v>94</v>
      </c>
      <c r="C525" s="54" t="s">
        <v>95</v>
      </c>
      <c r="D525" s="54" t="s">
        <v>96</v>
      </c>
      <c r="E525" s="54" t="s">
        <v>97</v>
      </c>
      <c r="F525" t="s">
        <v>35</v>
      </c>
      <c r="G525">
        <v>38340</v>
      </c>
      <c r="H525">
        <v>360</v>
      </c>
      <c r="I525" t="str">
        <f t="shared" si="24"/>
        <v>AAA BBB</v>
      </c>
      <c r="J525" t="str">
        <f t="shared" si="25"/>
        <v>XXX</v>
      </c>
      <c r="K525" t="str">
        <f t="shared" si="26"/>
        <v>ZZZ, TN, 38340</v>
      </c>
    </row>
    <row r="526" spans="1:11" x14ac:dyDescent="0.15">
      <c r="A526">
        <v>1018918</v>
      </c>
      <c r="B526" s="54" t="s">
        <v>94</v>
      </c>
      <c r="C526" s="54" t="s">
        <v>95</v>
      </c>
      <c r="D526" s="54" t="s">
        <v>96</v>
      </c>
      <c r="E526" s="54" t="s">
        <v>97</v>
      </c>
      <c r="F526" t="s">
        <v>35</v>
      </c>
      <c r="G526">
        <v>38340</v>
      </c>
      <c r="H526">
        <v>360</v>
      </c>
      <c r="I526" t="str">
        <f t="shared" si="24"/>
        <v>AAA BBB</v>
      </c>
      <c r="J526" t="str">
        <f t="shared" si="25"/>
        <v>XXX</v>
      </c>
      <c r="K526" t="str">
        <f t="shared" si="26"/>
        <v>ZZZ, TN, 38340</v>
      </c>
    </row>
    <row r="527" spans="1:11" x14ac:dyDescent="0.15">
      <c r="A527">
        <v>1018918</v>
      </c>
      <c r="B527" s="54" t="s">
        <v>94</v>
      </c>
      <c r="C527" s="54" t="s">
        <v>95</v>
      </c>
      <c r="D527" s="54" t="s">
        <v>96</v>
      </c>
      <c r="E527" s="54" t="s">
        <v>97</v>
      </c>
      <c r="F527" t="s">
        <v>35</v>
      </c>
      <c r="G527">
        <v>38340</v>
      </c>
      <c r="H527">
        <v>360</v>
      </c>
      <c r="I527" t="str">
        <f t="shared" si="24"/>
        <v>AAA BBB</v>
      </c>
      <c r="J527" t="str">
        <f t="shared" si="25"/>
        <v>XXX</v>
      </c>
      <c r="K527" t="str">
        <f t="shared" si="26"/>
        <v>ZZZ, TN, 38340</v>
      </c>
    </row>
    <row r="528" spans="1:11" x14ac:dyDescent="0.15">
      <c r="A528">
        <v>1018918</v>
      </c>
      <c r="B528" s="54" t="s">
        <v>94</v>
      </c>
      <c r="C528" s="54" t="s">
        <v>95</v>
      </c>
      <c r="D528" s="54" t="s">
        <v>96</v>
      </c>
      <c r="E528" s="54" t="s">
        <v>97</v>
      </c>
      <c r="F528" t="s">
        <v>35</v>
      </c>
      <c r="G528">
        <v>38340</v>
      </c>
      <c r="H528">
        <v>360</v>
      </c>
      <c r="I528" t="str">
        <f t="shared" si="24"/>
        <v>AAA BBB</v>
      </c>
      <c r="J528" t="str">
        <f t="shared" si="25"/>
        <v>XXX</v>
      </c>
      <c r="K528" t="str">
        <f t="shared" si="26"/>
        <v>ZZZ, TN, 38340</v>
      </c>
    </row>
    <row r="529" spans="1:11" x14ac:dyDescent="0.15">
      <c r="A529">
        <v>1018918</v>
      </c>
      <c r="B529" s="54" t="s">
        <v>94</v>
      </c>
      <c r="C529" s="54" t="s">
        <v>95</v>
      </c>
      <c r="D529" s="54" t="s">
        <v>96</v>
      </c>
      <c r="E529" s="54" t="s">
        <v>97</v>
      </c>
      <c r="F529" t="s">
        <v>35</v>
      </c>
      <c r="G529">
        <v>38340</v>
      </c>
      <c r="H529">
        <v>360</v>
      </c>
      <c r="I529" t="str">
        <f t="shared" si="24"/>
        <v>AAA BBB</v>
      </c>
      <c r="J529" t="str">
        <f t="shared" si="25"/>
        <v>XXX</v>
      </c>
      <c r="K529" t="str">
        <f t="shared" si="26"/>
        <v>ZZZ, TN, 38340</v>
      </c>
    </row>
    <row r="530" spans="1:11" x14ac:dyDescent="0.15">
      <c r="A530">
        <v>1018918</v>
      </c>
      <c r="B530" s="54" t="s">
        <v>94</v>
      </c>
      <c r="C530" s="54" t="s">
        <v>95</v>
      </c>
      <c r="D530" s="54" t="s">
        <v>96</v>
      </c>
      <c r="E530" s="54" t="s">
        <v>97</v>
      </c>
      <c r="F530" t="s">
        <v>35</v>
      </c>
      <c r="G530">
        <v>38340</v>
      </c>
      <c r="H530">
        <v>360</v>
      </c>
      <c r="I530" t="str">
        <f t="shared" si="24"/>
        <v>AAA BBB</v>
      </c>
      <c r="J530" t="str">
        <f t="shared" si="25"/>
        <v>XXX</v>
      </c>
      <c r="K530" t="str">
        <f t="shared" si="26"/>
        <v>ZZZ, TN, 38340</v>
      </c>
    </row>
    <row r="531" spans="1:11" x14ac:dyDescent="0.15">
      <c r="A531">
        <v>1018918</v>
      </c>
      <c r="B531" s="54" t="s">
        <v>94</v>
      </c>
      <c r="C531" s="54" t="s">
        <v>95</v>
      </c>
      <c r="D531" s="54" t="s">
        <v>96</v>
      </c>
      <c r="E531" s="54" t="s">
        <v>97</v>
      </c>
      <c r="F531" t="s">
        <v>35</v>
      </c>
      <c r="G531">
        <v>38340</v>
      </c>
      <c r="H531">
        <v>360</v>
      </c>
      <c r="I531" t="str">
        <f t="shared" si="24"/>
        <v>AAA BBB</v>
      </c>
      <c r="J531" t="str">
        <f t="shared" si="25"/>
        <v>XXX</v>
      </c>
      <c r="K531" t="str">
        <f t="shared" si="26"/>
        <v>ZZZ, TN, 38340</v>
      </c>
    </row>
    <row r="532" spans="1:11" x14ac:dyDescent="0.15">
      <c r="A532">
        <v>1018918</v>
      </c>
      <c r="B532" s="54" t="s">
        <v>94</v>
      </c>
      <c r="C532" s="54" t="s">
        <v>95</v>
      </c>
      <c r="D532" s="54" t="s">
        <v>96</v>
      </c>
      <c r="E532" s="54" t="s">
        <v>97</v>
      </c>
      <c r="F532" t="s">
        <v>35</v>
      </c>
      <c r="G532">
        <v>38340</v>
      </c>
      <c r="H532">
        <v>360</v>
      </c>
      <c r="I532" t="str">
        <f t="shared" si="24"/>
        <v>AAA BBB</v>
      </c>
      <c r="J532" t="str">
        <f t="shared" si="25"/>
        <v>XXX</v>
      </c>
      <c r="K532" t="str">
        <f t="shared" si="26"/>
        <v>ZZZ, TN, 38340</v>
      </c>
    </row>
    <row r="533" spans="1:11" x14ac:dyDescent="0.15">
      <c r="A533">
        <v>1018918</v>
      </c>
      <c r="B533" s="54" t="s">
        <v>94</v>
      </c>
      <c r="C533" s="54" t="s">
        <v>95</v>
      </c>
      <c r="D533" s="54" t="s">
        <v>96</v>
      </c>
      <c r="E533" s="54" t="s">
        <v>97</v>
      </c>
      <c r="F533" t="s">
        <v>35</v>
      </c>
      <c r="G533">
        <v>38340</v>
      </c>
      <c r="H533">
        <v>360</v>
      </c>
      <c r="I533" t="str">
        <f t="shared" si="24"/>
        <v>AAA BBB</v>
      </c>
      <c r="J533" t="str">
        <f t="shared" si="25"/>
        <v>XXX</v>
      </c>
      <c r="K533" t="str">
        <f t="shared" si="26"/>
        <v>ZZZ, TN, 38340</v>
      </c>
    </row>
    <row r="534" spans="1:11" x14ac:dyDescent="0.15">
      <c r="A534">
        <v>1018918</v>
      </c>
      <c r="B534" s="54" t="s">
        <v>94</v>
      </c>
      <c r="C534" s="54" t="s">
        <v>95</v>
      </c>
      <c r="D534" s="54" t="s">
        <v>96</v>
      </c>
      <c r="E534" s="54" t="s">
        <v>97</v>
      </c>
      <c r="F534" t="s">
        <v>35</v>
      </c>
      <c r="G534">
        <v>38340</v>
      </c>
      <c r="H534">
        <v>360</v>
      </c>
      <c r="I534" t="str">
        <f t="shared" si="24"/>
        <v>AAA BBB</v>
      </c>
      <c r="J534" t="str">
        <f t="shared" si="25"/>
        <v>XXX</v>
      </c>
      <c r="K534" t="str">
        <f t="shared" si="26"/>
        <v>ZZZ, TN, 38340</v>
      </c>
    </row>
    <row r="535" spans="1:11" x14ac:dyDescent="0.15">
      <c r="A535">
        <v>1018918</v>
      </c>
      <c r="B535" s="54" t="s">
        <v>94</v>
      </c>
      <c r="C535" s="54" t="s">
        <v>95</v>
      </c>
      <c r="D535" s="54" t="s">
        <v>96</v>
      </c>
      <c r="E535" s="54" t="s">
        <v>97</v>
      </c>
      <c r="F535" t="s">
        <v>35</v>
      </c>
      <c r="G535">
        <v>38340</v>
      </c>
      <c r="H535">
        <v>360</v>
      </c>
      <c r="I535" t="str">
        <f t="shared" si="24"/>
        <v>AAA BBB</v>
      </c>
      <c r="J535" t="str">
        <f t="shared" si="25"/>
        <v>XXX</v>
      </c>
      <c r="K535" t="str">
        <f t="shared" si="26"/>
        <v>ZZZ, TN, 38340</v>
      </c>
    </row>
    <row r="536" spans="1:11" x14ac:dyDescent="0.15">
      <c r="A536">
        <v>1018918</v>
      </c>
      <c r="B536" s="54" t="s">
        <v>94</v>
      </c>
      <c r="C536" s="54" t="s">
        <v>95</v>
      </c>
      <c r="D536" s="54" t="s">
        <v>96</v>
      </c>
      <c r="E536" s="54" t="s">
        <v>97</v>
      </c>
      <c r="F536" t="s">
        <v>35</v>
      </c>
      <c r="G536">
        <v>38340</v>
      </c>
      <c r="H536">
        <v>360</v>
      </c>
      <c r="I536" t="str">
        <f t="shared" si="24"/>
        <v>AAA BBB</v>
      </c>
      <c r="J536" t="str">
        <f t="shared" si="25"/>
        <v>XXX</v>
      </c>
      <c r="K536" t="str">
        <f t="shared" si="26"/>
        <v>ZZZ, TN, 38340</v>
      </c>
    </row>
    <row r="537" spans="1:11" x14ac:dyDescent="0.15">
      <c r="A537">
        <v>1018918</v>
      </c>
      <c r="B537" s="54" t="s">
        <v>94</v>
      </c>
      <c r="C537" s="54" t="s">
        <v>95</v>
      </c>
      <c r="D537" s="54" t="s">
        <v>96</v>
      </c>
      <c r="E537" s="54" t="s">
        <v>97</v>
      </c>
      <c r="F537" t="s">
        <v>35</v>
      </c>
      <c r="G537">
        <v>38340</v>
      </c>
      <c r="H537">
        <v>360</v>
      </c>
      <c r="I537" t="str">
        <f t="shared" si="24"/>
        <v>AAA BBB</v>
      </c>
      <c r="J537" t="str">
        <f t="shared" si="25"/>
        <v>XXX</v>
      </c>
      <c r="K537" t="str">
        <f t="shared" si="26"/>
        <v>ZZZ, TN, 38340</v>
      </c>
    </row>
    <row r="538" spans="1:11" x14ac:dyDescent="0.15">
      <c r="A538">
        <v>1018918</v>
      </c>
      <c r="B538" s="54" t="s">
        <v>94</v>
      </c>
      <c r="C538" s="54" t="s">
        <v>95</v>
      </c>
      <c r="D538" s="54" t="s">
        <v>96</v>
      </c>
      <c r="E538" s="54" t="s">
        <v>97</v>
      </c>
      <c r="F538" t="s">
        <v>35</v>
      </c>
      <c r="G538">
        <v>38340</v>
      </c>
      <c r="H538">
        <v>360</v>
      </c>
      <c r="I538" t="str">
        <f t="shared" si="24"/>
        <v>AAA BBB</v>
      </c>
      <c r="J538" t="str">
        <f t="shared" si="25"/>
        <v>XXX</v>
      </c>
      <c r="K538" t="str">
        <f t="shared" si="26"/>
        <v>ZZZ, TN, 38340</v>
      </c>
    </row>
    <row r="539" spans="1:11" x14ac:dyDescent="0.15">
      <c r="A539">
        <v>1018918</v>
      </c>
      <c r="B539" s="54" t="s">
        <v>94</v>
      </c>
      <c r="C539" s="54" t="s">
        <v>95</v>
      </c>
      <c r="D539" s="54" t="s">
        <v>96</v>
      </c>
      <c r="E539" s="54" t="s">
        <v>97</v>
      </c>
      <c r="F539" t="s">
        <v>35</v>
      </c>
      <c r="G539">
        <v>38340</v>
      </c>
      <c r="H539">
        <v>360</v>
      </c>
      <c r="I539" t="str">
        <f t="shared" si="24"/>
        <v>AAA BBB</v>
      </c>
      <c r="J539" t="str">
        <f t="shared" si="25"/>
        <v>XXX</v>
      </c>
      <c r="K539" t="str">
        <f t="shared" si="26"/>
        <v>ZZZ, TN, 38340</v>
      </c>
    </row>
    <row r="540" spans="1:11" x14ac:dyDescent="0.15">
      <c r="A540">
        <v>1018918</v>
      </c>
      <c r="B540" s="54" t="s">
        <v>94</v>
      </c>
      <c r="C540" s="54" t="s">
        <v>95</v>
      </c>
      <c r="D540" s="54" t="s">
        <v>96</v>
      </c>
      <c r="E540" s="54" t="s">
        <v>97</v>
      </c>
      <c r="F540" t="s">
        <v>35</v>
      </c>
      <c r="G540">
        <v>38340</v>
      </c>
      <c r="H540">
        <v>360</v>
      </c>
      <c r="I540" t="str">
        <f t="shared" si="24"/>
        <v>AAA BBB</v>
      </c>
      <c r="J540" t="str">
        <f t="shared" si="25"/>
        <v>XXX</v>
      </c>
      <c r="K540" t="str">
        <f t="shared" si="26"/>
        <v>ZZZ, TN, 38340</v>
      </c>
    </row>
    <row r="541" spans="1:11" x14ac:dyDescent="0.15">
      <c r="A541">
        <v>1018918</v>
      </c>
      <c r="B541" s="54" t="s">
        <v>94</v>
      </c>
      <c r="C541" s="54" t="s">
        <v>95</v>
      </c>
      <c r="D541" s="54" t="s">
        <v>96</v>
      </c>
      <c r="E541" s="54" t="s">
        <v>97</v>
      </c>
      <c r="F541" t="s">
        <v>35</v>
      </c>
      <c r="G541">
        <v>38340</v>
      </c>
      <c r="H541">
        <v>360</v>
      </c>
      <c r="I541" t="str">
        <f t="shared" si="24"/>
        <v>AAA BBB</v>
      </c>
      <c r="J541" t="str">
        <f t="shared" si="25"/>
        <v>XXX</v>
      </c>
      <c r="K541" t="str">
        <f t="shared" si="26"/>
        <v>ZZZ, TN, 38340</v>
      </c>
    </row>
    <row r="542" spans="1:11" x14ac:dyDescent="0.15">
      <c r="A542">
        <v>1018918</v>
      </c>
      <c r="B542" s="54" t="s">
        <v>94</v>
      </c>
      <c r="C542" s="54" t="s">
        <v>95</v>
      </c>
      <c r="D542" s="54" t="s">
        <v>96</v>
      </c>
      <c r="E542" s="54" t="s">
        <v>97</v>
      </c>
      <c r="F542" t="s">
        <v>35</v>
      </c>
      <c r="G542">
        <v>38340</v>
      </c>
      <c r="H542">
        <v>360</v>
      </c>
      <c r="I542" t="str">
        <f t="shared" si="24"/>
        <v>AAA BBB</v>
      </c>
      <c r="J542" t="str">
        <f t="shared" si="25"/>
        <v>XXX</v>
      </c>
      <c r="K542" t="str">
        <f t="shared" si="26"/>
        <v>ZZZ, TN, 38340</v>
      </c>
    </row>
    <row r="543" spans="1:11" x14ac:dyDescent="0.15">
      <c r="A543">
        <v>1018918</v>
      </c>
      <c r="B543" s="54" t="s">
        <v>94</v>
      </c>
      <c r="C543" s="54" t="s">
        <v>95</v>
      </c>
      <c r="D543" s="54" t="s">
        <v>96</v>
      </c>
      <c r="E543" s="54" t="s">
        <v>97</v>
      </c>
      <c r="F543" t="s">
        <v>35</v>
      </c>
      <c r="G543">
        <v>38340</v>
      </c>
      <c r="H543">
        <v>360</v>
      </c>
      <c r="I543" t="str">
        <f t="shared" si="24"/>
        <v>AAA BBB</v>
      </c>
      <c r="J543" t="str">
        <f t="shared" si="25"/>
        <v>XXX</v>
      </c>
      <c r="K543" t="str">
        <f t="shared" si="26"/>
        <v>ZZZ, TN, 38340</v>
      </c>
    </row>
    <row r="544" spans="1:11" x14ac:dyDescent="0.15">
      <c r="A544">
        <v>1018918</v>
      </c>
      <c r="B544" s="54" t="s">
        <v>94</v>
      </c>
      <c r="C544" s="54" t="s">
        <v>95</v>
      </c>
      <c r="D544" s="54" t="s">
        <v>96</v>
      </c>
      <c r="E544" s="54" t="s">
        <v>97</v>
      </c>
      <c r="F544" t="s">
        <v>35</v>
      </c>
      <c r="G544">
        <v>38340</v>
      </c>
      <c r="H544">
        <v>360</v>
      </c>
      <c r="I544" t="str">
        <f t="shared" si="24"/>
        <v>AAA BBB</v>
      </c>
      <c r="J544" t="str">
        <f t="shared" si="25"/>
        <v>XXX</v>
      </c>
      <c r="K544" t="str">
        <f t="shared" si="26"/>
        <v>ZZZ, TN, 38340</v>
      </c>
    </row>
    <row r="545" spans="1:11" x14ac:dyDescent="0.15">
      <c r="A545">
        <v>1018918</v>
      </c>
      <c r="B545" s="54" t="s">
        <v>94</v>
      </c>
      <c r="C545" s="54" t="s">
        <v>95</v>
      </c>
      <c r="D545" s="54" t="s">
        <v>96</v>
      </c>
      <c r="E545" s="54" t="s">
        <v>97</v>
      </c>
      <c r="F545" t="s">
        <v>35</v>
      </c>
      <c r="G545">
        <v>38340</v>
      </c>
      <c r="H545">
        <v>360</v>
      </c>
      <c r="I545" t="str">
        <f t="shared" si="24"/>
        <v>AAA BBB</v>
      </c>
      <c r="J545" t="str">
        <f t="shared" si="25"/>
        <v>XXX</v>
      </c>
      <c r="K545" t="str">
        <f t="shared" si="26"/>
        <v>ZZZ, TN, 38340</v>
      </c>
    </row>
    <row r="546" spans="1:11" x14ac:dyDescent="0.15">
      <c r="A546">
        <v>1018918</v>
      </c>
      <c r="B546" s="54" t="s">
        <v>94</v>
      </c>
      <c r="C546" s="54" t="s">
        <v>95</v>
      </c>
      <c r="D546" s="54" t="s">
        <v>96</v>
      </c>
      <c r="E546" s="54" t="s">
        <v>97</v>
      </c>
      <c r="F546" t="s">
        <v>35</v>
      </c>
      <c r="G546">
        <v>38340</v>
      </c>
      <c r="H546">
        <v>360</v>
      </c>
      <c r="I546" t="str">
        <f t="shared" si="24"/>
        <v>AAA BBB</v>
      </c>
      <c r="J546" t="str">
        <f t="shared" si="25"/>
        <v>XXX</v>
      </c>
      <c r="K546" t="str">
        <f t="shared" si="26"/>
        <v>ZZZ, TN, 38340</v>
      </c>
    </row>
    <row r="547" spans="1:11" x14ac:dyDescent="0.15">
      <c r="A547">
        <v>1018918</v>
      </c>
      <c r="B547" s="54" t="s">
        <v>94</v>
      </c>
      <c r="C547" s="54" t="s">
        <v>95</v>
      </c>
      <c r="D547" s="54" t="s">
        <v>96</v>
      </c>
      <c r="E547" s="54" t="s">
        <v>97</v>
      </c>
      <c r="F547" t="s">
        <v>35</v>
      </c>
      <c r="G547">
        <v>38340</v>
      </c>
      <c r="H547">
        <v>360</v>
      </c>
      <c r="I547" t="str">
        <f t="shared" si="24"/>
        <v>AAA BBB</v>
      </c>
      <c r="J547" t="str">
        <f t="shared" si="25"/>
        <v>XXX</v>
      </c>
      <c r="K547" t="str">
        <f t="shared" si="26"/>
        <v>ZZZ, TN, 38340</v>
      </c>
    </row>
    <row r="548" spans="1:11" x14ac:dyDescent="0.15">
      <c r="A548">
        <v>1018918</v>
      </c>
      <c r="B548" s="54" t="s">
        <v>94</v>
      </c>
      <c r="C548" s="54" t="s">
        <v>95</v>
      </c>
      <c r="D548" s="54" t="s">
        <v>96</v>
      </c>
      <c r="E548" s="54" t="s">
        <v>97</v>
      </c>
      <c r="F548" t="s">
        <v>35</v>
      </c>
      <c r="G548">
        <v>38340</v>
      </c>
      <c r="H548">
        <v>360</v>
      </c>
      <c r="I548" t="str">
        <f t="shared" si="24"/>
        <v>AAA BBB</v>
      </c>
      <c r="J548" t="str">
        <f t="shared" si="25"/>
        <v>XXX</v>
      </c>
      <c r="K548" t="str">
        <f t="shared" si="26"/>
        <v>ZZZ, TN, 38340</v>
      </c>
    </row>
    <row r="549" spans="1:11" x14ac:dyDescent="0.15">
      <c r="A549">
        <v>1018918</v>
      </c>
      <c r="B549" s="54" t="s">
        <v>94</v>
      </c>
      <c r="C549" s="54" t="s">
        <v>95</v>
      </c>
      <c r="D549" s="54" t="s">
        <v>96</v>
      </c>
      <c r="E549" s="54" t="s">
        <v>97</v>
      </c>
      <c r="F549" t="s">
        <v>35</v>
      </c>
      <c r="G549">
        <v>38340</v>
      </c>
      <c r="H549">
        <v>360</v>
      </c>
      <c r="I549" t="str">
        <f t="shared" si="24"/>
        <v>AAA BBB</v>
      </c>
      <c r="J549" t="str">
        <f t="shared" si="25"/>
        <v>XXX</v>
      </c>
      <c r="K549" t="str">
        <f t="shared" si="26"/>
        <v>ZZZ, TN, 38340</v>
      </c>
    </row>
    <row r="550" spans="1:11" x14ac:dyDescent="0.15">
      <c r="A550">
        <v>1018918</v>
      </c>
      <c r="B550" s="54" t="s">
        <v>94</v>
      </c>
      <c r="C550" s="54" t="s">
        <v>95</v>
      </c>
      <c r="D550" s="54" t="s">
        <v>96</v>
      </c>
      <c r="E550" s="54" t="s">
        <v>97</v>
      </c>
      <c r="F550" t="s">
        <v>35</v>
      </c>
      <c r="G550">
        <v>38340</v>
      </c>
      <c r="H550">
        <v>360</v>
      </c>
      <c r="I550" t="str">
        <f t="shared" si="24"/>
        <v>AAA BBB</v>
      </c>
      <c r="J550" t="str">
        <f t="shared" si="25"/>
        <v>XXX</v>
      </c>
      <c r="K550" t="str">
        <f t="shared" si="26"/>
        <v>ZZZ, TN, 38340</v>
      </c>
    </row>
    <row r="551" spans="1:11" x14ac:dyDescent="0.15">
      <c r="A551">
        <v>1018918</v>
      </c>
      <c r="B551" s="54" t="s">
        <v>94</v>
      </c>
      <c r="C551" s="54" t="s">
        <v>95</v>
      </c>
      <c r="D551" s="54" t="s">
        <v>96</v>
      </c>
      <c r="E551" s="54" t="s">
        <v>97</v>
      </c>
      <c r="F551" t="s">
        <v>35</v>
      </c>
      <c r="G551">
        <v>38340</v>
      </c>
      <c r="H551">
        <v>360</v>
      </c>
      <c r="I551" t="str">
        <f t="shared" si="24"/>
        <v>AAA BBB</v>
      </c>
      <c r="J551" t="str">
        <f t="shared" si="25"/>
        <v>XXX</v>
      </c>
      <c r="K551" t="str">
        <f t="shared" si="26"/>
        <v>ZZZ, TN, 38340</v>
      </c>
    </row>
    <row r="552" spans="1:11" x14ac:dyDescent="0.15">
      <c r="A552">
        <v>1018918</v>
      </c>
      <c r="B552" s="54" t="s">
        <v>94</v>
      </c>
      <c r="C552" s="54" t="s">
        <v>95</v>
      </c>
      <c r="D552" s="54" t="s">
        <v>96</v>
      </c>
      <c r="E552" s="54" t="s">
        <v>97</v>
      </c>
      <c r="F552" t="s">
        <v>35</v>
      </c>
      <c r="G552">
        <v>38340</v>
      </c>
      <c r="H552">
        <v>360</v>
      </c>
      <c r="I552" t="str">
        <f t="shared" si="24"/>
        <v>AAA BBB</v>
      </c>
      <c r="J552" t="str">
        <f t="shared" si="25"/>
        <v>XXX</v>
      </c>
      <c r="K552" t="str">
        <f t="shared" si="26"/>
        <v>ZZZ, TN, 38340</v>
      </c>
    </row>
    <row r="553" spans="1:11" x14ac:dyDescent="0.15">
      <c r="A553">
        <v>1018918</v>
      </c>
      <c r="B553" s="54" t="s">
        <v>94</v>
      </c>
      <c r="C553" s="54" t="s">
        <v>95</v>
      </c>
      <c r="D553" s="54" t="s">
        <v>96</v>
      </c>
      <c r="E553" s="54" t="s">
        <v>97</v>
      </c>
      <c r="F553" t="s">
        <v>35</v>
      </c>
      <c r="G553">
        <v>38340</v>
      </c>
      <c r="H553">
        <v>360</v>
      </c>
      <c r="I553" t="str">
        <f t="shared" si="24"/>
        <v>AAA BBB</v>
      </c>
      <c r="J553" t="str">
        <f t="shared" si="25"/>
        <v>XXX</v>
      </c>
      <c r="K553" t="str">
        <f t="shared" si="26"/>
        <v>ZZZ, TN, 38340</v>
      </c>
    </row>
    <row r="554" spans="1:11" x14ac:dyDescent="0.15">
      <c r="A554">
        <v>1018918</v>
      </c>
      <c r="B554" s="54" t="s">
        <v>94</v>
      </c>
      <c r="C554" s="54" t="s">
        <v>95</v>
      </c>
      <c r="D554" s="54" t="s">
        <v>96</v>
      </c>
      <c r="E554" s="54" t="s">
        <v>97</v>
      </c>
      <c r="F554" t="s">
        <v>35</v>
      </c>
      <c r="G554">
        <v>38340</v>
      </c>
      <c r="H554">
        <v>360</v>
      </c>
      <c r="I554" t="str">
        <f t="shared" si="24"/>
        <v>AAA BBB</v>
      </c>
      <c r="J554" t="str">
        <f t="shared" si="25"/>
        <v>XXX</v>
      </c>
      <c r="K554" t="str">
        <f t="shared" si="26"/>
        <v>ZZZ, TN, 38340</v>
      </c>
    </row>
    <row r="555" spans="1:11" x14ac:dyDescent="0.15">
      <c r="A555">
        <v>1018918</v>
      </c>
      <c r="B555" s="54" t="s">
        <v>94</v>
      </c>
      <c r="C555" s="54" t="s">
        <v>95</v>
      </c>
      <c r="D555" s="54" t="s">
        <v>96</v>
      </c>
      <c r="E555" s="54" t="s">
        <v>97</v>
      </c>
      <c r="F555" t="s">
        <v>35</v>
      </c>
      <c r="G555">
        <v>38340</v>
      </c>
      <c r="H555">
        <v>360</v>
      </c>
      <c r="I555" t="str">
        <f t="shared" si="24"/>
        <v>AAA BBB</v>
      </c>
      <c r="J555" t="str">
        <f t="shared" si="25"/>
        <v>XXX</v>
      </c>
      <c r="K555" t="str">
        <f t="shared" si="26"/>
        <v>ZZZ, TN, 38340</v>
      </c>
    </row>
    <row r="556" spans="1:11" x14ac:dyDescent="0.15">
      <c r="A556">
        <v>1018918</v>
      </c>
      <c r="B556" s="54" t="s">
        <v>94</v>
      </c>
      <c r="C556" s="54" t="s">
        <v>95</v>
      </c>
      <c r="D556" s="54" t="s">
        <v>96</v>
      </c>
      <c r="E556" s="54" t="s">
        <v>97</v>
      </c>
      <c r="F556" t="s">
        <v>35</v>
      </c>
      <c r="G556">
        <v>38340</v>
      </c>
      <c r="H556">
        <v>360</v>
      </c>
      <c r="I556" t="str">
        <f t="shared" si="24"/>
        <v>AAA BBB</v>
      </c>
      <c r="J556" t="str">
        <f t="shared" si="25"/>
        <v>XXX</v>
      </c>
      <c r="K556" t="str">
        <f t="shared" si="26"/>
        <v>ZZZ, TN, 38340</v>
      </c>
    </row>
    <row r="557" spans="1:11" x14ac:dyDescent="0.15">
      <c r="A557">
        <v>1018918</v>
      </c>
      <c r="B557" s="54" t="s">
        <v>94</v>
      </c>
      <c r="C557" s="54" t="s">
        <v>95</v>
      </c>
      <c r="D557" s="54" t="s">
        <v>96</v>
      </c>
      <c r="E557" s="54" t="s">
        <v>97</v>
      </c>
      <c r="F557" t="s">
        <v>35</v>
      </c>
      <c r="G557">
        <v>38340</v>
      </c>
      <c r="H557">
        <v>360</v>
      </c>
      <c r="I557" t="str">
        <f t="shared" si="24"/>
        <v>AAA BBB</v>
      </c>
      <c r="J557" t="str">
        <f t="shared" si="25"/>
        <v>XXX</v>
      </c>
      <c r="K557" t="str">
        <f t="shared" si="26"/>
        <v>ZZZ, TN, 38340</v>
      </c>
    </row>
    <row r="558" spans="1:11" x14ac:dyDescent="0.15">
      <c r="A558">
        <v>1018918</v>
      </c>
      <c r="B558" s="54" t="s">
        <v>94</v>
      </c>
      <c r="C558" s="54" t="s">
        <v>95</v>
      </c>
      <c r="D558" s="54" t="s">
        <v>96</v>
      </c>
      <c r="E558" s="54" t="s">
        <v>97</v>
      </c>
      <c r="F558" t="s">
        <v>35</v>
      </c>
      <c r="G558">
        <v>38340</v>
      </c>
      <c r="H558">
        <v>360</v>
      </c>
      <c r="I558" t="str">
        <f t="shared" si="24"/>
        <v>AAA BBB</v>
      </c>
      <c r="J558" t="str">
        <f t="shared" si="25"/>
        <v>XXX</v>
      </c>
      <c r="K558" t="str">
        <f t="shared" si="26"/>
        <v>ZZZ, TN, 38340</v>
      </c>
    </row>
    <row r="559" spans="1:11" x14ac:dyDescent="0.15">
      <c r="A559">
        <v>1018918</v>
      </c>
      <c r="B559" s="54" t="s">
        <v>94</v>
      </c>
      <c r="C559" s="54" t="s">
        <v>95</v>
      </c>
      <c r="D559" s="54" t="s">
        <v>96</v>
      </c>
      <c r="E559" s="54" t="s">
        <v>97</v>
      </c>
      <c r="F559" t="s">
        <v>35</v>
      </c>
      <c r="G559">
        <v>38340</v>
      </c>
      <c r="H559">
        <v>360</v>
      </c>
      <c r="I559" t="str">
        <f t="shared" si="24"/>
        <v>AAA BBB</v>
      </c>
      <c r="J559" t="str">
        <f t="shared" si="25"/>
        <v>XXX</v>
      </c>
      <c r="K559" t="str">
        <f t="shared" si="26"/>
        <v>ZZZ, TN, 38340</v>
      </c>
    </row>
    <row r="560" spans="1:11" x14ac:dyDescent="0.15">
      <c r="A560">
        <v>1018918</v>
      </c>
      <c r="B560" s="54" t="s">
        <v>94</v>
      </c>
      <c r="C560" s="54" t="s">
        <v>95</v>
      </c>
      <c r="D560" s="54" t="s">
        <v>96</v>
      </c>
      <c r="E560" s="54" t="s">
        <v>97</v>
      </c>
      <c r="F560" t="s">
        <v>35</v>
      </c>
      <c r="G560">
        <v>38340</v>
      </c>
      <c r="H560">
        <v>360</v>
      </c>
      <c r="I560" t="str">
        <f t="shared" si="24"/>
        <v>AAA BBB</v>
      </c>
      <c r="J560" t="str">
        <f t="shared" si="25"/>
        <v>XXX</v>
      </c>
      <c r="K560" t="str">
        <f t="shared" si="26"/>
        <v>ZZZ, TN, 38340</v>
      </c>
    </row>
    <row r="561" spans="1:11" x14ac:dyDescent="0.15">
      <c r="A561">
        <v>1018918</v>
      </c>
      <c r="B561" s="54" t="s">
        <v>94</v>
      </c>
      <c r="C561" s="54" t="s">
        <v>95</v>
      </c>
      <c r="D561" s="54" t="s">
        <v>96</v>
      </c>
      <c r="E561" s="54" t="s">
        <v>97</v>
      </c>
      <c r="F561" t="s">
        <v>35</v>
      </c>
      <c r="G561">
        <v>38340</v>
      </c>
      <c r="H561">
        <v>360</v>
      </c>
      <c r="I561" t="str">
        <f t="shared" si="24"/>
        <v>AAA BBB</v>
      </c>
      <c r="J561" t="str">
        <f t="shared" si="25"/>
        <v>XXX</v>
      </c>
      <c r="K561" t="str">
        <f t="shared" si="26"/>
        <v>ZZZ, TN, 38340</v>
      </c>
    </row>
    <row r="562" spans="1:11" x14ac:dyDescent="0.15">
      <c r="A562">
        <v>1018918</v>
      </c>
      <c r="B562" s="54" t="s">
        <v>94</v>
      </c>
      <c r="C562" s="54" t="s">
        <v>95</v>
      </c>
      <c r="D562" s="54" t="s">
        <v>96</v>
      </c>
      <c r="E562" s="54" t="s">
        <v>97</v>
      </c>
      <c r="F562" t="s">
        <v>35</v>
      </c>
      <c r="G562">
        <v>38340</v>
      </c>
      <c r="H562">
        <v>360</v>
      </c>
      <c r="I562" t="str">
        <f t="shared" si="24"/>
        <v>AAA BBB</v>
      </c>
      <c r="J562" t="str">
        <f t="shared" si="25"/>
        <v>XXX</v>
      </c>
      <c r="K562" t="str">
        <f t="shared" si="26"/>
        <v>ZZZ, TN, 38340</v>
      </c>
    </row>
    <row r="563" spans="1:11" x14ac:dyDescent="0.15">
      <c r="A563">
        <v>1018918</v>
      </c>
      <c r="B563" s="54" t="s">
        <v>94</v>
      </c>
      <c r="C563" s="54" t="s">
        <v>95</v>
      </c>
      <c r="D563" s="54" t="s">
        <v>96</v>
      </c>
      <c r="E563" s="54" t="s">
        <v>97</v>
      </c>
      <c r="F563" t="s">
        <v>35</v>
      </c>
      <c r="G563">
        <v>38340</v>
      </c>
      <c r="H563">
        <v>360</v>
      </c>
      <c r="I563" t="str">
        <f t="shared" si="24"/>
        <v>AAA BBB</v>
      </c>
      <c r="J563" t="str">
        <f t="shared" si="25"/>
        <v>XXX</v>
      </c>
      <c r="K563" t="str">
        <f t="shared" si="26"/>
        <v>ZZZ, TN, 38340</v>
      </c>
    </row>
    <row r="564" spans="1:11" x14ac:dyDescent="0.15">
      <c r="A564">
        <v>1018918</v>
      </c>
      <c r="B564" s="54" t="s">
        <v>94</v>
      </c>
      <c r="C564" s="54" t="s">
        <v>95</v>
      </c>
      <c r="D564" s="54" t="s">
        <v>96</v>
      </c>
      <c r="E564" s="54" t="s">
        <v>97</v>
      </c>
      <c r="F564" t="s">
        <v>35</v>
      </c>
      <c r="G564">
        <v>38340</v>
      </c>
      <c r="H564">
        <v>360</v>
      </c>
      <c r="I564" t="str">
        <f t="shared" si="24"/>
        <v>AAA BBB</v>
      </c>
      <c r="J564" t="str">
        <f t="shared" si="25"/>
        <v>XXX</v>
      </c>
      <c r="K564" t="str">
        <f t="shared" si="26"/>
        <v>ZZZ, TN, 38340</v>
      </c>
    </row>
    <row r="565" spans="1:11" x14ac:dyDescent="0.15">
      <c r="A565">
        <v>1018918</v>
      </c>
      <c r="B565" s="54" t="s">
        <v>94</v>
      </c>
      <c r="C565" s="54" t="s">
        <v>95</v>
      </c>
      <c r="D565" s="54" t="s">
        <v>96</v>
      </c>
      <c r="E565" s="54" t="s">
        <v>97</v>
      </c>
      <c r="F565" t="s">
        <v>35</v>
      </c>
      <c r="G565">
        <v>38340</v>
      </c>
      <c r="H565">
        <v>360</v>
      </c>
      <c r="I565" t="str">
        <f t="shared" si="24"/>
        <v>AAA BBB</v>
      </c>
      <c r="J565" t="str">
        <f t="shared" si="25"/>
        <v>XXX</v>
      </c>
      <c r="K565" t="str">
        <f t="shared" si="26"/>
        <v>ZZZ, TN, 38340</v>
      </c>
    </row>
    <row r="566" spans="1:11" x14ac:dyDescent="0.15">
      <c r="A566">
        <v>1018918</v>
      </c>
      <c r="B566" s="54" t="s">
        <v>94</v>
      </c>
      <c r="C566" s="54" t="s">
        <v>95</v>
      </c>
      <c r="D566" s="54" t="s">
        <v>96</v>
      </c>
      <c r="E566" s="54" t="s">
        <v>97</v>
      </c>
      <c r="F566" t="s">
        <v>35</v>
      </c>
      <c r="G566">
        <v>38340</v>
      </c>
      <c r="H566">
        <v>360</v>
      </c>
      <c r="I566" t="str">
        <f t="shared" si="24"/>
        <v>AAA BBB</v>
      </c>
      <c r="J566" t="str">
        <f t="shared" si="25"/>
        <v>XXX</v>
      </c>
      <c r="K566" t="str">
        <f t="shared" si="26"/>
        <v>ZZZ, TN, 38340</v>
      </c>
    </row>
    <row r="567" spans="1:11" x14ac:dyDescent="0.15">
      <c r="A567">
        <v>1018918</v>
      </c>
      <c r="B567" s="54" t="s">
        <v>94</v>
      </c>
      <c r="C567" s="54" t="s">
        <v>95</v>
      </c>
      <c r="D567" s="54" t="s">
        <v>96</v>
      </c>
      <c r="E567" s="54" t="s">
        <v>97</v>
      </c>
      <c r="F567" t="s">
        <v>35</v>
      </c>
      <c r="G567">
        <v>38340</v>
      </c>
      <c r="H567">
        <v>360</v>
      </c>
      <c r="I567" t="str">
        <f t="shared" si="24"/>
        <v>AAA BBB</v>
      </c>
      <c r="J567" t="str">
        <f t="shared" si="25"/>
        <v>XXX</v>
      </c>
      <c r="K567" t="str">
        <f t="shared" si="26"/>
        <v>ZZZ, TN, 38340</v>
      </c>
    </row>
    <row r="568" spans="1:11" x14ac:dyDescent="0.15">
      <c r="A568">
        <v>1018918</v>
      </c>
      <c r="B568" s="54" t="s">
        <v>94</v>
      </c>
      <c r="C568" s="54" t="s">
        <v>95</v>
      </c>
      <c r="D568" s="54" t="s">
        <v>96</v>
      </c>
      <c r="E568" s="54" t="s">
        <v>97</v>
      </c>
      <c r="F568" t="s">
        <v>35</v>
      </c>
      <c r="G568">
        <v>38340</v>
      </c>
      <c r="H568">
        <v>360</v>
      </c>
      <c r="I568" t="str">
        <f t="shared" si="24"/>
        <v>AAA BBB</v>
      </c>
      <c r="J568" t="str">
        <f t="shared" si="25"/>
        <v>XXX</v>
      </c>
      <c r="K568" t="str">
        <f t="shared" si="26"/>
        <v>ZZZ, TN, 38340</v>
      </c>
    </row>
    <row r="569" spans="1:11" x14ac:dyDescent="0.15">
      <c r="A569">
        <v>1018918</v>
      </c>
      <c r="B569" s="54" t="s">
        <v>94</v>
      </c>
      <c r="C569" s="54" t="s">
        <v>95</v>
      </c>
      <c r="D569" s="54" t="s">
        <v>96</v>
      </c>
      <c r="E569" s="54" t="s">
        <v>97</v>
      </c>
      <c r="F569" t="s">
        <v>35</v>
      </c>
      <c r="G569">
        <v>38340</v>
      </c>
      <c r="H569">
        <v>360</v>
      </c>
      <c r="I569" t="str">
        <f t="shared" si="24"/>
        <v>AAA BBB</v>
      </c>
      <c r="J569" t="str">
        <f t="shared" si="25"/>
        <v>XXX</v>
      </c>
      <c r="K569" t="str">
        <f t="shared" si="26"/>
        <v>ZZZ, TN, 38340</v>
      </c>
    </row>
    <row r="570" spans="1:11" x14ac:dyDescent="0.15">
      <c r="A570">
        <v>1018918</v>
      </c>
      <c r="B570" s="54" t="s">
        <v>94</v>
      </c>
      <c r="C570" s="54" t="s">
        <v>95</v>
      </c>
      <c r="D570" s="54" t="s">
        <v>96</v>
      </c>
      <c r="E570" s="54" t="s">
        <v>97</v>
      </c>
      <c r="F570" t="s">
        <v>35</v>
      </c>
      <c r="G570">
        <v>38340</v>
      </c>
      <c r="H570">
        <v>360</v>
      </c>
      <c r="I570" t="str">
        <f t="shared" si="24"/>
        <v>AAA BBB</v>
      </c>
      <c r="J570" t="str">
        <f t="shared" si="25"/>
        <v>XXX</v>
      </c>
      <c r="K570" t="str">
        <f t="shared" si="26"/>
        <v>ZZZ, TN, 38340</v>
      </c>
    </row>
    <row r="571" spans="1:11" x14ac:dyDescent="0.15">
      <c r="A571">
        <v>1018918</v>
      </c>
      <c r="B571" s="54" t="s">
        <v>94</v>
      </c>
      <c r="C571" s="54" t="s">
        <v>95</v>
      </c>
      <c r="D571" s="54" t="s">
        <v>96</v>
      </c>
      <c r="E571" s="54" t="s">
        <v>97</v>
      </c>
      <c r="F571" t="s">
        <v>35</v>
      </c>
      <c r="G571">
        <v>38340</v>
      </c>
      <c r="H571">
        <v>360</v>
      </c>
      <c r="I571" t="str">
        <f t="shared" si="24"/>
        <v>AAA BBB</v>
      </c>
      <c r="J571" t="str">
        <f t="shared" si="25"/>
        <v>XXX</v>
      </c>
      <c r="K571" t="str">
        <f t="shared" si="26"/>
        <v>ZZZ, TN, 38340</v>
      </c>
    </row>
    <row r="572" spans="1:11" x14ac:dyDescent="0.15">
      <c r="A572">
        <v>1018918</v>
      </c>
      <c r="B572" s="54" t="s">
        <v>94</v>
      </c>
      <c r="C572" s="54" t="s">
        <v>95</v>
      </c>
      <c r="D572" s="54" t="s">
        <v>96</v>
      </c>
      <c r="E572" s="54" t="s">
        <v>97</v>
      </c>
      <c r="F572" t="s">
        <v>35</v>
      </c>
      <c r="G572">
        <v>38340</v>
      </c>
      <c r="H572">
        <v>360</v>
      </c>
      <c r="I572" t="str">
        <f t="shared" si="24"/>
        <v>AAA BBB</v>
      </c>
      <c r="J572" t="str">
        <f t="shared" si="25"/>
        <v>XXX</v>
      </c>
      <c r="K572" t="str">
        <f t="shared" si="26"/>
        <v>ZZZ, TN, 38340</v>
      </c>
    </row>
    <row r="573" spans="1:11" x14ac:dyDescent="0.15">
      <c r="A573">
        <v>1018918</v>
      </c>
      <c r="B573" s="54" t="s">
        <v>94</v>
      </c>
      <c r="C573" s="54" t="s">
        <v>95</v>
      </c>
      <c r="D573" s="54" t="s">
        <v>96</v>
      </c>
      <c r="E573" s="54" t="s">
        <v>97</v>
      </c>
      <c r="F573" t="s">
        <v>35</v>
      </c>
      <c r="G573">
        <v>38340</v>
      </c>
      <c r="H573">
        <v>360</v>
      </c>
      <c r="I573" t="str">
        <f t="shared" si="24"/>
        <v>AAA BBB</v>
      </c>
      <c r="J573" t="str">
        <f t="shared" si="25"/>
        <v>XXX</v>
      </c>
      <c r="K573" t="str">
        <f t="shared" si="26"/>
        <v>ZZZ, TN, 38340</v>
      </c>
    </row>
    <row r="574" spans="1:11" x14ac:dyDescent="0.15">
      <c r="A574">
        <v>1018918</v>
      </c>
      <c r="B574" s="54" t="s">
        <v>94</v>
      </c>
      <c r="C574" s="54" t="s">
        <v>95</v>
      </c>
      <c r="D574" s="54" t="s">
        <v>96</v>
      </c>
      <c r="E574" s="54" t="s">
        <v>97</v>
      </c>
      <c r="F574" t="s">
        <v>35</v>
      </c>
      <c r="G574">
        <v>38340</v>
      </c>
      <c r="H574">
        <v>360</v>
      </c>
      <c r="I574" t="str">
        <f t="shared" si="24"/>
        <v>AAA BBB</v>
      </c>
      <c r="J574" t="str">
        <f t="shared" si="25"/>
        <v>XXX</v>
      </c>
      <c r="K574" t="str">
        <f t="shared" si="26"/>
        <v>ZZZ, TN, 38340</v>
      </c>
    </row>
    <row r="575" spans="1:11" x14ac:dyDescent="0.15">
      <c r="A575">
        <v>1018918</v>
      </c>
      <c r="B575" s="54" t="s">
        <v>94</v>
      </c>
      <c r="C575" s="54" t="s">
        <v>95</v>
      </c>
      <c r="D575" s="54" t="s">
        <v>96</v>
      </c>
      <c r="E575" s="54" t="s">
        <v>97</v>
      </c>
      <c r="F575" t="s">
        <v>35</v>
      </c>
      <c r="G575">
        <v>38340</v>
      </c>
      <c r="H575">
        <v>360</v>
      </c>
      <c r="I575" t="str">
        <f t="shared" si="24"/>
        <v>AAA BBB</v>
      </c>
      <c r="J575" t="str">
        <f t="shared" si="25"/>
        <v>XXX</v>
      </c>
      <c r="K575" t="str">
        <f t="shared" si="26"/>
        <v>ZZZ, TN, 38340</v>
      </c>
    </row>
    <row r="576" spans="1:11" x14ac:dyDescent="0.15">
      <c r="A576">
        <v>1018918</v>
      </c>
      <c r="B576" s="54" t="s">
        <v>94</v>
      </c>
      <c r="C576" s="54" t="s">
        <v>95</v>
      </c>
      <c r="D576" s="54" t="s">
        <v>96</v>
      </c>
      <c r="E576" s="54" t="s">
        <v>97</v>
      </c>
      <c r="F576" t="s">
        <v>35</v>
      </c>
      <c r="G576">
        <v>38340</v>
      </c>
      <c r="H576">
        <v>360</v>
      </c>
      <c r="I576" t="str">
        <f t="shared" si="24"/>
        <v>AAA BBB</v>
      </c>
      <c r="J576" t="str">
        <f t="shared" si="25"/>
        <v>XXX</v>
      </c>
      <c r="K576" t="str">
        <f t="shared" si="26"/>
        <v>ZZZ, TN, 38340</v>
      </c>
    </row>
    <row r="577" spans="1:11" x14ac:dyDescent="0.15">
      <c r="A577">
        <v>1018918</v>
      </c>
      <c r="B577" s="54" t="s">
        <v>94</v>
      </c>
      <c r="C577" s="54" t="s">
        <v>95</v>
      </c>
      <c r="D577" s="54" t="s">
        <v>96</v>
      </c>
      <c r="E577" s="54" t="s">
        <v>97</v>
      </c>
      <c r="F577" t="s">
        <v>35</v>
      </c>
      <c r="G577">
        <v>38340</v>
      </c>
      <c r="H577">
        <v>360</v>
      </c>
      <c r="I577" t="str">
        <f t="shared" si="24"/>
        <v>AAA BBB</v>
      </c>
      <c r="J577" t="str">
        <f t="shared" si="25"/>
        <v>XXX</v>
      </c>
      <c r="K577" t="str">
        <f t="shared" si="26"/>
        <v>ZZZ, TN, 38340</v>
      </c>
    </row>
    <row r="578" spans="1:11" x14ac:dyDescent="0.15">
      <c r="A578">
        <v>1018918</v>
      </c>
      <c r="B578" s="54" t="s">
        <v>94</v>
      </c>
      <c r="C578" s="54" t="s">
        <v>95</v>
      </c>
      <c r="D578" s="54" t="s">
        <v>96</v>
      </c>
      <c r="E578" s="54" t="s">
        <v>97</v>
      </c>
      <c r="F578" t="s">
        <v>35</v>
      </c>
      <c r="G578">
        <v>38340</v>
      </c>
      <c r="H578">
        <v>360</v>
      </c>
      <c r="I578" t="str">
        <f t="shared" si="24"/>
        <v>AAA BBB</v>
      </c>
      <c r="J578" t="str">
        <f t="shared" si="25"/>
        <v>XXX</v>
      </c>
      <c r="K578" t="str">
        <f t="shared" si="26"/>
        <v>ZZZ, TN, 38340</v>
      </c>
    </row>
    <row r="579" spans="1:11" x14ac:dyDescent="0.15">
      <c r="A579">
        <v>1018918</v>
      </c>
      <c r="B579" s="54" t="s">
        <v>94</v>
      </c>
      <c r="C579" s="54" t="s">
        <v>95</v>
      </c>
      <c r="D579" s="54" t="s">
        <v>96</v>
      </c>
      <c r="E579" s="54" t="s">
        <v>97</v>
      </c>
      <c r="F579" t="s">
        <v>35</v>
      </c>
      <c r="G579">
        <v>38340</v>
      </c>
      <c r="H579">
        <v>360</v>
      </c>
      <c r="I579" t="str">
        <f t="shared" ref="I579:I642" si="27">CONCATENATE(B579," ",C579)</f>
        <v>AAA BBB</v>
      </c>
      <c r="J579" t="str">
        <f t="shared" ref="J579:J642" si="28">D579</f>
        <v>XXX</v>
      </c>
      <c r="K579" t="str">
        <f t="shared" ref="K579:K642" si="29">CONCATENATE(E579,","," ",F579,","," ",G579)</f>
        <v>ZZZ, TN, 38340</v>
      </c>
    </row>
    <row r="580" spans="1:11" x14ac:dyDescent="0.15">
      <c r="A580">
        <v>1018918</v>
      </c>
      <c r="B580" s="54" t="s">
        <v>94</v>
      </c>
      <c r="C580" s="54" t="s">
        <v>95</v>
      </c>
      <c r="D580" s="54" t="s">
        <v>96</v>
      </c>
      <c r="E580" s="54" t="s">
        <v>97</v>
      </c>
      <c r="F580" t="s">
        <v>35</v>
      </c>
      <c r="G580">
        <v>38340</v>
      </c>
      <c r="H580">
        <v>360</v>
      </c>
      <c r="I580" t="str">
        <f t="shared" si="27"/>
        <v>AAA BBB</v>
      </c>
      <c r="J580" t="str">
        <f t="shared" si="28"/>
        <v>XXX</v>
      </c>
      <c r="K580" t="str">
        <f t="shared" si="29"/>
        <v>ZZZ, TN, 38340</v>
      </c>
    </row>
    <row r="581" spans="1:11" x14ac:dyDescent="0.15">
      <c r="A581">
        <v>1018918</v>
      </c>
      <c r="B581" s="54" t="s">
        <v>94</v>
      </c>
      <c r="C581" s="54" t="s">
        <v>95</v>
      </c>
      <c r="D581" s="54" t="s">
        <v>96</v>
      </c>
      <c r="E581" s="54" t="s">
        <v>97</v>
      </c>
      <c r="F581" t="s">
        <v>35</v>
      </c>
      <c r="G581">
        <v>38340</v>
      </c>
      <c r="H581">
        <v>360</v>
      </c>
      <c r="I581" t="str">
        <f t="shared" si="27"/>
        <v>AAA BBB</v>
      </c>
      <c r="J581" t="str">
        <f t="shared" si="28"/>
        <v>XXX</v>
      </c>
      <c r="K581" t="str">
        <f t="shared" si="29"/>
        <v>ZZZ, TN, 38340</v>
      </c>
    </row>
    <row r="582" spans="1:11" x14ac:dyDescent="0.15">
      <c r="A582">
        <v>1018918</v>
      </c>
      <c r="B582" s="54" t="s">
        <v>94</v>
      </c>
      <c r="C582" s="54" t="s">
        <v>95</v>
      </c>
      <c r="D582" s="54" t="s">
        <v>96</v>
      </c>
      <c r="E582" s="54" t="s">
        <v>97</v>
      </c>
      <c r="F582" t="s">
        <v>35</v>
      </c>
      <c r="G582">
        <v>38340</v>
      </c>
      <c r="H582">
        <v>360</v>
      </c>
      <c r="I582" t="str">
        <f t="shared" si="27"/>
        <v>AAA BBB</v>
      </c>
      <c r="J582" t="str">
        <f t="shared" si="28"/>
        <v>XXX</v>
      </c>
      <c r="K582" t="str">
        <f t="shared" si="29"/>
        <v>ZZZ, TN, 38340</v>
      </c>
    </row>
    <row r="583" spans="1:11" x14ac:dyDescent="0.15">
      <c r="A583">
        <v>1018918</v>
      </c>
      <c r="B583" s="54" t="s">
        <v>94</v>
      </c>
      <c r="C583" s="54" t="s">
        <v>95</v>
      </c>
      <c r="D583" s="54" t="s">
        <v>96</v>
      </c>
      <c r="E583" s="54" t="s">
        <v>97</v>
      </c>
      <c r="F583" t="s">
        <v>35</v>
      </c>
      <c r="G583">
        <v>38340</v>
      </c>
      <c r="H583">
        <v>360</v>
      </c>
      <c r="I583" t="str">
        <f t="shared" si="27"/>
        <v>AAA BBB</v>
      </c>
      <c r="J583" t="str">
        <f t="shared" si="28"/>
        <v>XXX</v>
      </c>
      <c r="K583" t="str">
        <f t="shared" si="29"/>
        <v>ZZZ, TN, 38340</v>
      </c>
    </row>
    <row r="584" spans="1:11" x14ac:dyDescent="0.15">
      <c r="A584">
        <v>1018918</v>
      </c>
      <c r="B584" s="54" t="s">
        <v>94</v>
      </c>
      <c r="C584" s="54" t="s">
        <v>95</v>
      </c>
      <c r="D584" s="54" t="s">
        <v>96</v>
      </c>
      <c r="E584" s="54" t="s">
        <v>97</v>
      </c>
      <c r="F584" t="s">
        <v>35</v>
      </c>
      <c r="G584">
        <v>38340</v>
      </c>
      <c r="H584">
        <v>360</v>
      </c>
      <c r="I584" t="str">
        <f t="shared" si="27"/>
        <v>AAA BBB</v>
      </c>
      <c r="J584" t="str">
        <f t="shared" si="28"/>
        <v>XXX</v>
      </c>
      <c r="K584" t="str">
        <f t="shared" si="29"/>
        <v>ZZZ, TN, 38340</v>
      </c>
    </row>
    <row r="585" spans="1:11" x14ac:dyDescent="0.15">
      <c r="A585">
        <v>1018918</v>
      </c>
      <c r="B585" s="54" t="s">
        <v>94</v>
      </c>
      <c r="C585" s="54" t="s">
        <v>95</v>
      </c>
      <c r="D585" s="54" t="s">
        <v>96</v>
      </c>
      <c r="E585" s="54" t="s">
        <v>97</v>
      </c>
      <c r="F585" t="s">
        <v>35</v>
      </c>
      <c r="G585">
        <v>38340</v>
      </c>
      <c r="H585">
        <v>360</v>
      </c>
      <c r="I585" t="str">
        <f t="shared" si="27"/>
        <v>AAA BBB</v>
      </c>
      <c r="J585" t="str">
        <f t="shared" si="28"/>
        <v>XXX</v>
      </c>
      <c r="K585" t="str">
        <f t="shared" si="29"/>
        <v>ZZZ, TN, 38340</v>
      </c>
    </row>
    <row r="586" spans="1:11" x14ac:dyDescent="0.15">
      <c r="A586">
        <v>1018918</v>
      </c>
      <c r="B586" s="54" t="s">
        <v>94</v>
      </c>
      <c r="C586" s="54" t="s">
        <v>95</v>
      </c>
      <c r="D586" s="54" t="s">
        <v>96</v>
      </c>
      <c r="E586" s="54" t="s">
        <v>97</v>
      </c>
      <c r="F586" t="s">
        <v>35</v>
      </c>
      <c r="G586">
        <v>38340</v>
      </c>
      <c r="H586">
        <v>360</v>
      </c>
      <c r="I586" t="str">
        <f t="shared" si="27"/>
        <v>AAA BBB</v>
      </c>
      <c r="J586" t="str">
        <f t="shared" si="28"/>
        <v>XXX</v>
      </c>
      <c r="K586" t="str">
        <f t="shared" si="29"/>
        <v>ZZZ, TN, 38340</v>
      </c>
    </row>
    <row r="587" spans="1:11" x14ac:dyDescent="0.15">
      <c r="A587">
        <v>1018918</v>
      </c>
      <c r="B587" s="54" t="s">
        <v>94</v>
      </c>
      <c r="C587" s="54" t="s">
        <v>95</v>
      </c>
      <c r="D587" s="54" t="s">
        <v>96</v>
      </c>
      <c r="E587" s="54" t="s">
        <v>97</v>
      </c>
      <c r="F587" t="s">
        <v>35</v>
      </c>
      <c r="G587">
        <v>38340</v>
      </c>
      <c r="H587">
        <v>360</v>
      </c>
      <c r="I587" t="str">
        <f t="shared" si="27"/>
        <v>AAA BBB</v>
      </c>
      <c r="J587" t="str">
        <f t="shared" si="28"/>
        <v>XXX</v>
      </c>
      <c r="K587" t="str">
        <f t="shared" si="29"/>
        <v>ZZZ, TN, 38340</v>
      </c>
    </row>
    <row r="588" spans="1:11" x14ac:dyDescent="0.15">
      <c r="A588">
        <v>1018918</v>
      </c>
      <c r="B588" s="54" t="s">
        <v>94</v>
      </c>
      <c r="C588" s="54" t="s">
        <v>95</v>
      </c>
      <c r="D588" s="54" t="s">
        <v>96</v>
      </c>
      <c r="E588" s="54" t="s">
        <v>97</v>
      </c>
      <c r="F588" t="s">
        <v>35</v>
      </c>
      <c r="G588">
        <v>38340</v>
      </c>
      <c r="H588">
        <v>360</v>
      </c>
      <c r="I588" t="str">
        <f t="shared" si="27"/>
        <v>AAA BBB</v>
      </c>
      <c r="J588" t="str">
        <f t="shared" si="28"/>
        <v>XXX</v>
      </c>
      <c r="K588" t="str">
        <f t="shared" si="29"/>
        <v>ZZZ, TN, 38340</v>
      </c>
    </row>
    <row r="589" spans="1:11" x14ac:dyDescent="0.15">
      <c r="A589">
        <v>1018918</v>
      </c>
      <c r="B589" s="54" t="s">
        <v>94</v>
      </c>
      <c r="C589" s="54" t="s">
        <v>95</v>
      </c>
      <c r="D589" s="54" t="s">
        <v>96</v>
      </c>
      <c r="E589" s="54" t="s">
        <v>97</v>
      </c>
      <c r="F589" t="s">
        <v>35</v>
      </c>
      <c r="G589">
        <v>38340</v>
      </c>
      <c r="H589">
        <v>360</v>
      </c>
      <c r="I589" t="str">
        <f t="shared" si="27"/>
        <v>AAA BBB</v>
      </c>
      <c r="J589" t="str">
        <f t="shared" si="28"/>
        <v>XXX</v>
      </c>
      <c r="K589" t="str">
        <f t="shared" si="29"/>
        <v>ZZZ, TN, 38340</v>
      </c>
    </row>
    <row r="590" spans="1:11" x14ac:dyDescent="0.15">
      <c r="A590">
        <v>1018918</v>
      </c>
      <c r="B590" s="54" t="s">
        <v>94</v>
      </c>
      <c r="C590" s="54" t="s">
        <v>95</v>
      </c>
      <c r="D590" s="54" t="s">
        <v>96</v>
      </c>
      <c r="E590" s="54" t="s">
        <v>97</v>
      </c>
      <c r="F590" t="s">
        <v>35</v>
      </c>
      <c r="G590">
        <v>38340</v>
      </c>
      <c r="H590">
        <v>360</v>
      </c>
      <c r="I590" t="str">
        <f t="shared" si="27"/>
        <v>AAA BBB</v>
      </c>
      <c r="J590" t="str">
        <f t="shared" si="28"/>
        <v>XXX</v>
      </c>
      <c r="K590" t="str">
        <f t="shared" si="29"/>
        <v>ZZZ, TN, 38340</v>
      </c>
    </row>
    <row r="591" spans="1:11" x14ac:dyDescent="0.15">
      <c r="A591">
        <v>1018918</v>
      </c>
      <c r="B591" s="54" t="s">
        <v>94</v>
      </c>
      <c r="C591" s="54" t="s">
        <v>95</v>
      </c>
      <c r="D591" s="54" t="s">
        <v>96</v>
      </c>
      <c r="E591" s="54" t="s">
        <v>97</v>
      </c>
      <c r="F591" t="s">
        <v>35</v>
      </c>
      <c r="G591">
        <v>38340</v>
      </c>
      <c r="H591">
        <v>360</v>
      </c>
      <c r="I591" t="str">
        <f t="shared" si="27"/>
        <v>AAA BBB</v>
      </c>
      <c r="J591" t="str">
        <f t="shared" si="28"/>
        <v>XXX</v>
      </c>
      <c r="K591" t="str">
        <f t="shared" si="29"/>
        <v>ZZZ, TN, 38340</v>
      </c>
    </row>
    <row r="592" spans="1:11" x14ac:dyDescent="0.15">
      <c r="A592">
        <v>1018918</v>
      </c>
      <c r="B592" s="54" t="s">
        <v>94</v>
      </c>
      <c r="C592" s="54" t="s">
        <v>95</v>
      </c>
      <c r="D592" s="54" t="s">
        <v>96</v>
      </c>
      <c r="E592" s="54" t="s">
        <v>97</v>
      </c>
      <c r="F592" t="s">
        <v>35</v>
      </c>
      <c r="G592">
        <v>38340</v>
      </c>
      <c r="H592">
        <v>360</v>
      </c>
      <c r="I592" t="str">
        <f t="shared" si="27"/>
        <v>AAA BBB</v>
      </c>
      <c r="J592" t="str">
        <f t="shared" si="28"/>
        <v>XXX</v>
      </c>
      <c r="K592" t="str">
        <f t="shared" si="29"/>
        <v>ZZZ, TN, 38340</v>
      </c>
    </row>
    <row r="593" spans="1:11" x14ac:dyDescent="0.15">
      <c r="A593">
        <v>1018918</v>
      </c>
      <c r="B593" s="54" t="s">
        <v>94</v>
      </c>
      <c r="C593" s="54" t="s">
        <v>95</v>
      </c>
      <c r="D593" s="54" t="s">
        <v>96</v>
      </c>
      <c r="E593" s="54" t="s">
        <v>97</v>
      </c>
      <c r="F593" t="s">
        <v>35</v>
      </c>
      <c r="G593">
        <v>38340</v>
      </c>
      <c r="H593">
        <v>360</v>
      </c>
      <c r="I593" t="str">
        <f t="shared" si="27"/>
        <v>AAA BBB</v>
      </c>
      <c r="J593" t="str">
        <f t="shared" si="28"/>
        <v>XXX</v>
      </c>
      <c r="K593" t="str">
        <f t="shared" si="29"/>
        <v>ZZZ, TN, 38340</v>
      </c>
    </row>
    <row r="594" spans="1:11" x14ac:dyDescent="0.15">
      <c r="A594">
        <v>1018918</v>
      </c>
      <c r="B594" s="54" t="s">
        <v>94</v>
      </c>
      <c r="C594" s="54" t="s">
        <v>95</v>
      </c>
      <c r="D594" s="54" t="s">
        <v>96</v>
      </c>
      <c r="E594" s="54" t="s">
        <v>97</v>
      </c>
      <c r="F594" t="s">
        <v>35</v>
      </c>
      <c r="G594">
        <v>38340</v>
      </c>
      <c r="H594">
        <v>360</v>
      </c>
      <c r="I594" t="str">
        <f t="shared" si="27"/>
        <v>AAA BBB</v>
      </c>
      <c r="J594" t="str">
        <f t="shared" si="28"/>
        <v>XXX</v>
      </c>
      <c r="K594" t="str">
        <f t="shared" si="29"/>
        <v>ZZZ, TN, 38340</v>
      </c>
    </row>
    <row r="595" spans="1:11" x14ac:dyDescent="0.15">
      <c r="A595">
        <v>1018918</v>
      </c>
      <c r="B595" s="54" t="s">
        <v>94</v>
      </c>
      <c r="C595" s="54" t="s">
        <v>95</v>
      </c>
      <c r="D595" s="54" t="s">
        <v>96</v>
      </c>
      <c r="E595" s="54" t="s">
        <v>97</v>
      </c>
      <c r="F595" t="s">
        <v>35</v>
      </c>
      <c r="G595">
        <v>38340</v>
      </c>
      <c r="H595">
        <v>360</v>
      </c>
      <c r="I595" t="str">
        <f t="shared" si="27"/>
        <v>AAA BBB</v>
      </c>
      <c r="J595" t="str">
        <f t="shared" si="28"/>
        <v>XXX</v>
      </c>
      <c r="K595" t="str">
        <f t="shared" si="29"/>
        <v>ZZZ, TN, 38340</v>
      </c>
    </row>
    <row r="596" spans="1:11" x14ac:dyDescent="0.15">
      <c r="A596">
        <v>1018918</v>
      </c>
      <c r="B596" s="54" t="s">
        <v>94</v>
      </c>
      <c r="C596" s="54" t="s">
        <v>95</v>
      </c>
      <c r="D596" s="54" t="s">
        <v>96</v>
      </c>
      <c r="E596" s="54" t="s">
        <v>97</v>
      </c>
      <c r="F596" t="s">
        <v>35</v>
      </c>
      <c r="G596">
        <v>38340</v>
      </c>
      <c r="H596">
        <v>360</v>
      </c>
      <c r="I596" t="str">
        <f t="shared" si="27"/>
        <v>AAA BBB</v>
      </c>
      <c r="J596" t="str">
        <f t="shared" si="28"/>
        <v>XXX</v>
      </c>
      <c r="K596" t="str">
        <f t="shared" si="29"/>
        <v>ZZZ, TN, 38340</v>
      </c>
    </row>
    <row r="597" spans="1:11" x14ac:dyDescent="0.15">
      <c r="A597">
        <v>1018918</v>
      </c>
      <c r="B597" s="54" t="s">
        <v>94</v>
      </c>
      <c r="C597" s="54" t="s">
        <v>95</v>
      </c>
      <c r="D597" s="54" t="s">
        <v>96</v>
      </c>
      <c r="E597" s="54" t="s">
        <v>97</v>
      </c>
      <c r="F597" t="s">
        <v>35</v>
      </c>
      <c r="G597">
        <v>38340</v>
      </c>
      <c r="H597">
        <v>360</v>
      </c>
      <c r="I597" t="str">
        <f t="shared" si="27"/>
        <v>AAA BBB</v>
      </c>
      <c r="J597" t="str">
        <f t="shared" si="28"/>
        <v>XXX</v>
      </c>
      <c r="K597" t="str">
        <f t="shared" si="29"/>
        <v>ZZZ, TN, 38340</v>
      </c>
    </row>
    <row r="598" spans="1:11" x14ac:dyDescent="0.15">
      <c r="A598">
        <v>1018918</v>
      </c>
      <c r="B598" s="54" t="s">
        <v>94</v>
      </c>
      <c r="C598" s="54" t="s">
        <v>95</v>
      </c>
      <c r="D598" s="54" t="s">
        <v>96</v>
      </c>
      <c r="E598" s="54" t="s">
        <v>97</v>
      </c>
      <c r="F598" t="s">
        <v>35</v>
      </c>
      <c r="G598">
        <v>38340</v>
      </c>
      <c r="H598">
        <v>360</v>
      </c>
      <c r="I598" t="str">
        <f t="shared" si="27"/>
        <v>AAA BBB</v>
      </c>
      <c r="J598" t="str">
        <f t="shared" si="28"/>
        <v>XXX</v>
      </c>
      <c r="K598" t="str">
        <f t="shared" si="29"/>
        <v>ZZZ, TN, 38340</v>
      </c>
    </row>
    <row r="599" spans="1:11" x14ac:dyDescent="0.15">
      <c r="A599">
        <v>1018918</v>
      </c>
      <c r="B599" s="54" t="s">
        <v>94</v>
      </c>
      <c r="C599" s="54" t="s">
        <v>95</v>
      </c>
      <c r="D599" s="54" t="s">
        <v>96</v>
      </c>
      <c r="E599" s="54" t="s">
        <v>97</v>
      </c>
      <c r="F599" t="s">
        <v>35</v>
      </c>
      <c r="G599">
        <v>38340</v>
      </c>
      <c r="H599">
        <v>360</v>
      </c>
      <c r="I599" t="str">
        <f t="shared" si="27"/>
        <v>AAA BBB</v>
      </c>
      <c r="J599" t="str">
        <f t="shared" si="28"/>
        <v>XXX</v>
      </c>
      <c r="K599" t="str">
        <f t="shared" si="29"/>
        <v>ZZZ, TN, 38340</v>
      </c>
    </row>
    <row r="600" spans="1:11" x14ac:dyDescent="0.15">
      <c r="A600">
        <v>1018918</v>
      </c>
      <c r="B600" s="54" t="s">
        <v>94</v>
      </c>
      <c r="C600" s="54" t="s">
        <v>95</v>
      </c>
      <c r="D600" s="54" t="s">
        <v>96</v>
      </c>
      <c r="E600" s="54" t="s">
        <v>97</v>
      </c>
      <c r="F600" t="s">
        <v>35</v>
      </c>
      <c r="G600">
        <v>38340</v>
      </c>
      <c r="H600">
        <v>360</v>
      </c>
      <c r="I600" t="str">
        <f t="shared" si="27"/>
        <v>AAA BBB</v>
      </c>
      <c r="J600" t="str">
        <f t="shared" si="28"/>
        <v>XXX</v>
      </c>
      <c r="K600" t="str">
        <f t="shared" si="29"/>
        <v>ZZZ, TN, 38340</v>
      </c>
    </row>
    <row r="601" spans="1:11" x14ac:dyDescent="0.15">
      <c r="A601">
        <v>1018918</v>
      </c>
      <c r="B601" s="54" t="s">
        <v>94</v>
      </c>
      <c r="C601" s="54" t="s">
        <v>95</v>
      </c>
      <c r="D601" s="54" t="s">
        <v>96</v>
      </c>
      <c r="E601" s="54" t="s">
        <v>97</v>
      </c>
      <c r="F601" t="s">
        <v>35</v>
      </c>
      <c r="G601">
        <v>38340</v>
      </c>
      <c r="H601">
        <v>360</v>
      </c>
      <c r="I601" t="str">
        <f t="shared" si="27"/>
        <v>AAA BBB</v>
      </c>
      <c r="J601" t="str">
        <f t="shared" si="28"/>
        <v>XXX</v>
      </c>
      <c r="K601" t="str">
        <f t="shared" si="29"/>
        <v>ZZZ, TN, 38340</v>
      </c>
    </row>
    <row r="602" spans="1:11" x14ac:dyDescent="0.15">
      <c r="A602">
        <v>1018918</v>
      </c>
      <c r="B602" s="54" t="s">
        <v>94</v>
      </c>
      <c r="C602" s="54" t="s">
        <v>95</v>
      </c>
      <c r="D602" s="54" t="s">
        <v>96</v>
      </c>
      <c r="E602" s="54" t="s">
        <v>97</v>
      </c>
      <c r="F602" t="s">
        <v>35</v>
      </c>
      <c r="G602">
        <v>38340</v>
      </c>
      <c r="H602">
        <v>360</v>
      </c>
      <c r="I602" t="str">
        <f t="shared" si="27"/>
        <v>AAA BBB</v>
      </c>
      <c r="J602" t="str">
        <f t="shared" si="28"/>
        <v>XXX</v>
      </c>
      <c r="K602" t="str">
        <f t="shared" si="29"/>
        <v>ZZZ, TN, 38340</v>
      </c>
    </row>
    <row r="603" spans="1:11" x14ac:dyDescent="0.15">
      <c r="A603">
        <v>1018918</v>
      </c>
      <c r="B603" s="54" t="s">
        <v>94</v>
      </c>
      <c r="C603" s="54" t="s">
        <v>95</v>
      </c>
      <c r="D603" s="54" t="s">
        <v>96</v>
      </c>
      <c r="E603" s="54" t="s">
        <v>97</v>
      </c>
      <c r="F603" t="s">
        <v>35</v>
      </c>
      <c r="G603">
        <v>38340</v>
      </c>
      <c r="H603">
        <v>360</v>
      </c>
      <c r="I603" t="str">
        <f t="shared" si="27"/>
        <v>AAA BBB</v>
      </c>
      <c r="J603" t="str">
        <f t="shared" si="28"/>
        <v>XXX</v>
      </c>
      <c r="K603" t="str">
        <f t="shared" si="29"/>
        <v>ZZZ, TN, 38340</v>
      </c>
    </row>
    <row r="604" spans="1:11" x14ac:dyDescent="0.15">
      <c r="A604">
        <v>1018918</v>
      </c>
      <c r="B604" s="54" t="s">
        <v>94</v>
      </c>
      <c r="C604" s="54" t="s">
        <v>95</v>
      </c>
      <c r="D604" s="54" t="s">
        <v>96</v>
      </c>
      <c r="E604" s="54" t="s">
        <v>97</v>
      </c>
      <c r="F604" t="s">
        <v>35</v>
      </c>
      <c r="G604">
        <v>38340</v>
      </c>
      <c r="H604">
        <v>360</v>
      </c>
      <c r="I604" t="str">
        <f t="shared" si="27"/>
        <v>AAA BBB</v>
      </c>
      <c r="J604" t="str">
        <f t="shared" si="28"/>
        <v>XXX</v>
      </c>
      <c r="K604" t="str">
        <f t="shared" si="29"/>
        <v>ZZZ, TN, 38340</v>
      </c>
    </row>
    <row r="605" spans="1:11" x14ac:dyDescent="0.15">
      <c r="A605">
        <v>1018918</v>
      </c>
      <c r="B605" s="54" t="s">
        <v>94</v>
      </c>
      <c r="C605" s="54" t="s">
        <v>95</v>
      </c>
      <c r="D605" s="54" t="s">
        <v>96</v>
      </c>
      <c r="E605" s="54" t="s">
        <v>97</v>
      </c>
      <c r="F605" t="s">
        <v>35</v>
      </c>
      <c r="G605">
        <v>38340</v>
      </c>
      <c r="H605">
        <v>360</v>
      </c>
      <c r="I605" t="str">
        <f t="shared" si="27"/>
        <v>AAA BBB</v>
      </c>
      <c r="J605" t="str">
        <f t="shared" si="28"/>
        <v>XXX</v>
      </c>
      <c r="K605" t="str">
        <f t="shared" si="29"/>
        <v>ZZZ, TN, 38340</v>
      </c>
    </row>
    <row r="606" spans="1:11" x14ac:dyDescent="0.15">
      <c r="A606">
        <v>1018918</v>
      </c>
      <c r="B606" s="54" t="s">
        <v>94</v>
      </c>
      <c r="C606" s="54" t="s">
        <v>95</v>
      </c>
      <c r="D606" s="54" t="s">
        <v>96</v>
      </c>
      <c r="E606" s="54" t="s">
        <v>97</v>
      </c>
      <c r="F606" t="s">
        <v>35</v>
      </c>
      <c r="G606">
        <v>38340</v>
      </c>
      <c r="H606">
        <v>360</v>
      </c>
      <c r="I606" t="str">
        <f t="shared" si="27"/>
        <v>AAA BBB</v>
      </c>
      <c r="J606" t="str">
        <f t="shared" si="28"/>
        <v>XXX</v>
      </c>
      <c r="K606" t="str">
        <f t="shared" si="29"/>
        <v>ZZZ, TN, 38340</v>
      </c>
    </row>
    <row r="607" spans="1:11" x14ac:dyDescent="0.15">
      <c r="A607">
        <v>1018918</v>
      </c>
      <c r="B607" s="54" t="s">
        <v>94</v>
      </c>
      <c r="C607" s="54" t="s">
        <v>95</v>
      </c>
      <c r="D607" s="54" t="s">
        <v>96</v>
      </c>
      <c r="E607" s="54" t="s">
        <v>97</v>
      </c>
      <c r="F607" t="s">
        <v>35</v>
      </c>
      <c r="G607">
        <v>38340</v>
      </c>
      <c r="H607">
        <v>360</v>
      </c>
      <c r="I607" t="str">
        <f t="shared" si="27"/>
        <v>AAA BBB</v>
      </c>
      <c r="J607" t="str">
        <f t="shared" si="28"/>
        <v>XXX</v>
      </c>
      <c r="K607" t="str">
        <f t="shared" si="29"/>
        <v>ZZZ, TN, 38340</v>
      </c>
    </row>
    <row r="608" spans="1:11" x14ac:dyDescent="0.15">
      <c r="A608">
        <v>1018918</v>
      </c>
      <c r="B608" s="54" t="s">
        <v>94</v>
      </c>
      <c r="C608" s="54" t="s">
        <v>95</v>
      </c>
      <c r="D608" s="54" t="s">
        <v>96</v>
      </c>
      <c r="E608" s="54" t="s">
        <v>97</v>
      </c>
      <c r="F608" t="s">
        <v>35</v>
      </c>
      <c r="G608">
        <v>38340</v>
      </c>
      <c r="H608">
        <v>360</v>
      </c>
      <c r="I608" t="str">
        <f t="shared" si="27"/>
        <v>AAA BBB</v>
      </c>
      <c r="J608" t="str">
        <f t="shared" si="28"/>
        <v>XXX</v>
      </c>
      <c r="K608" t="str">
        <f t="shared" si="29"/>
        <v>ZZZ, TN, 38340</v>
      </c>
    </row>
    <row r="609" spans="1:11" x14ac:dyDescent="0.15">
      <c r="A609">
        <v>1018918</v>
      </c>
      <c r="B609" s="54" t="s">
        <v>94</v>
      </c>
      <c r="C609" s="54" t="s">
        <v>95</v>
      </c>
      <c r="D609" s="54" t="s">
        <v>96</v>
      </c>
      <c r="E609" s="54" t="s">
        <v>97</v>
      </c>
      <c r="F609" t="s">
        <v>35</v>
      </c>
      <c r="G609">
        <v>38340</v>
      </c>
      <c r="H609">
        <v>360</v>
      </c>
      <c r="I609" t="str">
        <f t="shared" si="27"/>
        <v>AAA BBB</v>
      </c>
      <c r="J609" t="str">
        <f t="shared" si="28"/>
        <v>XXX</v>
      </c>
      <c r="K609" t="str">
        <f t="shared" si="29"/>
        <v>ZZZ, TN, 38340</v>
      </c>
    </row>
    <row r="610" spans="1:11" x14ac:dyDescent="0.15">
      <c r="A610">
        <v>1018918</v>
      </c>
      <c r="B610" s="54" t="s">
        <v>94</v>
      </c>
      <c r="C610" s="54" t="s">
        <v>95</v>
      </c>
      <c r="D610" s="54" t="s">
        <v>96</v>
      </c>
      <c r="E610" s="54" t="s">
        <v>97</v>
      </c>
      <c r="F610" t="s">
        <v>35</v>
      </c>
      <c r="G610">
        <v>38340</v>
      </c>
      <c r="H610">
        <v>360</v>
      </c>
      <c r="I610" t="str">
        <f t="shared" si="27"/>
        <v>AAA BBB</v>
      </c>
      <c r="J610" t="str">
        <f t="shared" si="28"/>
        <v>XXX</v>
      </c>
      <c r="K610" t="str">
        <f t="shared" si="29"/>
        <v>ZZZ, TN, 38340</v>
      </c>
    </row>
    <row r="611" spans="1:11" x14ac:dyDescent="0.15">
      <c r="A611">
        <v>1018918</v>
      </c>
      <c r="B611" s="54" t="s">
        <v>94</v>
      </c>
      <c r="C611" s="54" t="s">
        <v>95</v>
      </c>
      <c r="D611" s="54" t="s">
        <v>96</v>
      </c>
      <c r="E611" s="54" t="s">
        <v>97</v>
      </c>
      <c r="F611" t="s">
        <v>35</v>
      </c>
      <c r="G611">
        <v>38340</v>
      </c>
      <c r="H611">
        <v>360</v>
      </c>
      <c r="I611" t="str">
        <f t="shared" si="27"/>
        <v>AAA BBB</v>
      </c>
      <c r="J611" t="str">
        <f t="shared" si="28"/>
        <v>XXX</v>
      </c>
      <c r="K611" t="str">
        <f t="shared" si="29"/>
        <v>ZZZ, TN, 38340</v>
      </c>
    </row>
    <row r="612" spans="1:11" x14ac:dyDescent="0.15">
      <c r="A612">
        <v>1018918</v>
      </c>
      <c r="B612" s="54" t="s">
        <v>94</v>
      </c>
      <c r="C612" s="54" t="s">
        <v>95</v>
      </c>
      <c r="D612" s="54" t="s">
        <v>96</v>
      </c>
      <c r="E612" s="54" t="s">
        <v>97</v>
      </c>
      <c r="F612" t="s">
        <v>35</v>
      </c>
      <c r="G612">
        <v>38340</v>
      </c>
      <c r="H612">
        <v>360</v>
      </c>
      <c r="I612" t="str">
        <f t="shared" si="27"/>
        <v>AAA BBB</v>
      </c>
      <c r="J612" t="str">
        <f t="shared" si="28"/>
        <v>XXX</v>
      </c>
      <c r="K612" t="str">
        <f t="shared" si="29"/>
        <v>ZZZ, TN, 38340</v>
      </c>
    </row>
    <row r="613" spans="1:11" x14ac:dyDescent="0.15">
      <c r="A613">
        <v>1018918</v>
      </c>
      <c r="B613" s="54" t="s">
        <v>94</v>
      </c>
      <c r="C613" s="54" t="s">
        <v>95</v>
      </c>
      <c r="D613" s="54" t="s">
        <v>96</v>
      </c>
      <c r="E613" s="54" t="s">
        <v>97</v>
      </c>
      <c r="F613" t="s">
        <v>35</v>
      </c>
      <c r="G613">
        <v>38340</v>
      </c>
      <c r="H613">
        <v>360</v>
      </c>
      <c r="I613" t="str">
        <f t="shared" si="27"/>
        <v>AAA BBB</v>
      </c>
      <c r="J613" t="str">
        <f t="shared" si="28"/>
        <v>XXX</v>
      </c>
      <c r="K613" t="str">
        <f t="shared" si="29"/>
        <v>ZZZ, TN, 38340</v>
      </c>
    </row>
    <row r="614" spans="1:11" x14ac:dyDescent="0.15">
      <c r="A614">
        <v>1018918</v>
      </c>
      <c r="B614" s="54" t="s">
        <v>94</v>
      </c>
      <c r="C614" s="54" t="s">
        <v>95</v>
      </c>
      <c r="D614" s="54" t="s">
        <v>96</v>
      </c>
      <c r="E614" s="54" t="s">
        <v>97</v>
      </c>
      <c r="F614" t="s">
        <v>35</v>
      </c>
      <c r="G614">
        <v>38340</v>
      </c>
      <c r="H614">
        <v>360</v>
      </c>
      <c r="I614" t="str">
        <f t="shared" si="27"/>
        <v>AAA BBB</v>
      </c>
      <c r="J614" t="str">
        <f t="shared" si="28"/>
        <v>XXX</v>
      </c>
      <c r="K614" t="str">
        <f t="shared" si="29"/>
        <v>ZZZ, TN, 38340</v>
      </c>
    </row>
    <row r="615" spans="1:11" x14ac:dyDescent="0.15">
      <c r="A615">
        <v>1018918</v>
      </c>
      <c r="B615" s="54" t="s">
        <v>94</v>
      </c>
      <c r="C615" s="54" t="s">
        <v>95</v>
      </c>
      <c r="D615" s="54" t="s">
        <v>96</v>
      </c>
      <c r="E615" s="54" t="s">
        <v>97</v>
      </c>
      <c r="F615" t="s">
        <v>35</v>
      </c>
      <c r="G615">
        <v>38340</v>
      </c>
      <c r="H615">
        <v>360</v>
      </c>
      <c r="I615" t="str">
        <f t="shared" si="27"/>
        <v>AAA BBB</v>
      </c>
      <c r="J615" t="str">
        <f t="shared" si="28"/>
        <v>XXX</v>
      </c>
      <c r="K615" t="str">
        <f t="shared" si="29"/>
        <v>ZZZ, TN, 38340</v>
      </c>
    </row>
    <row r="616" spans="1:11" x14ac:dyDescent="0.15">
      <c r="A616">
        <v>1018918</v>
      </c>
      <c r="B616" s="54" t="s">
        <v>94</v>
      </c>
      <c r="C616" s="54" t="s">
        <v>95</v>
      </c>
      <c r="D616" s="54" t="s">
        <v>96</v>
      </c>
      <c r="E616" s="54" t="s">
        <v>97</v>
      </c>
      <c r="F616" t="s">
        <v>35</v>
      </c>
      <c r="G616">
        <v>38340</v>
      </c>
      <c r="H616">
        <v>360</v>
      </c>
      <c r="I616" t="str">
        <f t="shared" si="27"/>
        <v>AAA BBB</v>
      </c>
      <c r="J616" t="str">
        <f t="shared" si="28"/>
        <v>XXX</v>
      </c>
      <c r="K616" t="str">
        <f t="shared" si="29"/>
        <v>ZZZ, TN, 38340</v>
      </c>
    </row>
    <row r="617" spans="1:11" x14ac:dyDescent="0.15">
      <c r="A617">
        <v>1018918</v>
      </c>
      <c r="B617" s="54" t="s">
        <v>94</v>
      </c>
      <c r="C617" s="54" t="s">
        <v>95</v>
      </c>
      <c r="D617" s="54" t="s">
        <v>96</v>
      </c>
      <c r="E617" s="54" t="s">
        <v>97</v>
      </c>
      <c r="F617" t="s">
        <v>35</v>
      </c>
      <c r="G617">
        <v>38340</v>
      </c>
      <c r="H617">
        <v>360</v>
      </c>
      <c r="I617" t="str">
        <f t="shared" si="27"/>
        <v>AAA BBB</v>
      </c>
      <c r="J617" t="str">
        <f t="shared" si="28"/>
        <v>XXX</v>
      </c>
      <c r="K617" t="str">
        <f t="shared" si="29"/>
        <v>ZZZ, TN, 38340</v>
      </c>
    </row>
    <row r="618" spans="1:11" x14ac:dyDescent="0.15">
      <c r="A618">
        <v>1018918</v>
      </c>
      <c r="B618" s="54" t="s">
        <v>94</v>
      </c>
      <c r="C618" s="54" t="s">
        <v>95</v>
      </c>
      <c r="D618" s="54" t="s">
        <v>96</v>
      </c>
      <c r="E618" s="54" t="s">
        <v>97</v>
      </c>
      <c r="F618" t="s">
        <v>35</v>
      </c>
      <c r="G618">
        <v>38340</v>
      </c>
      <c r="H618">
        <v>360</v>
      </c>
      <c r="I618" t="str">
        <f t="shared" si="27"/>
        <v>AAA BBB</v>
      </c>
      <c r="J618" t="str">
        <f t="shared" si="28"/>
        <v>XXX</v>
      </c>
      <c r="K618" t="str">
        <f t="shared" si="29"/>
        <v>ZZZ, TN, 38340</v>
      </c>
    </row>
    <row r="619" spans="1:11" x14ac:dyDescent="0.15">
      <c r="A619">
        <v>1018918</v>
      </c>
      <c r="B619" s="54" t="s">
        <v>94</v>
      </c>
      <c r="C619" s="54" t="s">
        <v>95</v>
      </c>
      <c r="D619" s="54" t="s">
        <v>96</v>
      </c>
      <c r="E619" s="54" t="s">
        <v>97</v>
      </c>
      <c r="F619" t="s">
        <v>35</v>
      </c>
      <c r="G619">
        <v>38340</v>
      </c>
      <c r="H619">
        <v>360</v>
      </c>
      <c r="I619" t="str">
        <f t="shared" si="27"/>
        <v>AAA BBB</v>
      </c>
      <c r="J619" t="str">
        <f t="shared" si="28"/>
        <v>XXX</v>
      </c>
      <c r="K619" t="str">
        <f t="shared" si="29"/>
        <v>ZZZ, TN, 38340</v>
      </c>
    </row>
    <row r="620" spans="1:11" x14ac:dyDescent="0.15">
      <c r="A620">
        <v>1018918</v>
      </c>
      <c r="B620" s="54" t="s">
        <v>94</v>
      </c>
      <c r="C620" s="54" t="s">
        <v>95</v>
      </c>
      <c r="D620" s="54" t="s">
        <v>96</v>
      </c>
      <c r="E620" s="54" t="s">
        <v>97</v>
      </c>
      <c r="F620" t="s">
        <v>35</v>
      </c>
      <c r="G620">
        <v>38340</v>
      </c>
      <c r="H620">
        <v>360</v>
      </c>
      <c r="I620" t="str">
        <f t="shared" si="27"/>
        <v>AAA BBB</v>
      </c>
      <c r="J620" t="str">
        <f t="shared" si="28"/>
        <v>XXX</v>
      </c>
      <c r="K620" t="str">
        <f t="shared" si="29"/>
        <v>ZZZ, TN, 38340</v>
      </c>
    </row>
    <row r="621" spans="1:11" x14ac:dyDescent="0.15">
      <c r="A621">
        <v>1018918</v>
      </c>
      <c r="B621" s="54" t="s">
        <v>94</v>
      </c>
      <c r="C621" s="54" t="s">
        <v>95</v>
      </c>
      <c r="D621" s="54" t="s">
        <v>96</v>
      </c>
      <c r="E621" s="54" t="s">
        <v>97</v>
      </c>
      <c r="F621" t="s">
        <v>35</v>
      </c>
      <c r="G621">
        <v>38340</v>
      </c>
      <c r="H621">
        <v>360</v>
      </c>
      <c r="I621" t="str">
        <f t="shared" si="27"/>
        <v>AAA BBB</v>
      </c>
      <c r="J621" t="str">
        <f t="shared" si="28"/>
        <v>XXX</v>
      </c>
      <c r="K621" t="str">
        <f t="shared" si="29"/>
        <v>ZZZ, TN, 38340</v>
      </c>
    </row>
    <row r="622" spans="1:11" x14ac:dyDescent="0.15">
      <c r="A622">
        <v>1018918</v>
      </c>
      <c r="B622" s="54" t="s">
        <v>94</v>
      </c>
      <c r="C622" s="54" t="s">
        <v>95</v>
      </c>
      <c r="D622" s="54" t="s">
        <v>96</v>
      </c>
      <c r="E622" s="54" t="s">
        <v>97</v>
      </c>
      <c r="F622" t="s">
        <v>35</v>
      </c>
      <c r="G622">
        <v>38340</v>
      </c>
      <c r="H622">
        <v>360</v>
      </c>
      <c r="I622" t="str">
        <f t="shared" si="27"/>
        <v>AAA BBB</v>
      </c>
      <c r="J622" t="str">
        <f t="shared" si="28"/>
        <v>XXX</v>
      </c>
      <c r="K622" t="str">
        <f t="shared" si="29"/>
        <v>ZZZ, TN, 38340</v>
      </c>
    </row>
    <row r="623" spans="1:11" x14ac:dyDescent="0.15">
      <c r="A623">
        <v>1018918</v>
      </c>
      <c r="B623" s="54" t="s">
        <v>94</v>
      </c>
      <c r="C623" s="54" t="s">
        <v>95</v>
      </c>
      <c r="D623" s="54" t="s">
        <v>96</v>
      </c>
      <c r="E623" s="54" t="s">
        <v>97</v>
      </c>
      <c r="F623" t="s">
        <v>35</v>
      </c>
      <c r="G623">
        <v>38340</v>
      </c>
      <c r="H623">
        <v>360</v>
      </c>
      <c r="I623" t="str">
        <f t="shared" si="27"/>
        <v>AAA BBB</v>
      </c>
      <c r="J623" t="str">
        <f t="shared" si="28"/>
        <v>XXX</v>
      </c>
      <c r="K623" t="str">
        <f t="shared" si="29"/>
        <v>ZZZ, TN, 38340</v>
      </c>
    </row>
    <row r="624" spans="1:11" x14ac:dyDescent="0.15">
      <c r="A624">
        <v>1018918</v>
      </c>
      <c r="B624" s="54" t="s">
        <v>94</v>
      </c>
      <c r="C624" s="54" t="s">
        <v>95</v>
      </c>
      <c r="D624" s="54" t="s">
        <v>96</v>
      </c>
      <c r="E624" s="54" t="s">
        <v>97</v>
      </c>
      <c r="F624" t="s">
        <v>35</v>
      </c>
      <c r="G624">
        <v>38340</v>
      </c>
      <c r="H624">
        <v>360</v>
      </c>
      <c r="I624" t="str">
        <f t="shared" si="27"/>
        <v>AAA BBB</v>
      </c>
      <c r="J624" t="str">
        <f t="shared" si="28"/>
        <v>XXX</v>
      </c>
      <c r="K624" t="str">
        <f t="shared" si="29"/>
        <v>ZZZ, TN, 38340</v>
      </c>
    </row>
    <row r="625" spans="1:11" x14ac:dyDescent="0.15">
      <c r="A625">
        <v>1018918</v>
      </c>
      <c r="B625" s="54" t="s">
        <v>94</v>
      </c>
      <c r="C625" s="54" t="s">
        <v>95</v>
      </c>
      <c r="D625" s="54" t="s">
        <v>96</v>
      </c>
      <c r="E625" s="54" t="s">
        <v>97</v>
      </c>
      <c r="F625" t="s">
        <v>35</v>
      </c>
      <c r="G625">
        <v>38340</v>
      </c>
      <c r="H625">
        <v>360</v>
      </c>
      <c r="I625" t="str">
        <f t="shared" si="27"/>
        <v>AAA BBB</v>
      </c>
      <c r="J625" t="str">
        <f t="shared" si="28"/>
        <v>XXX</v>
      </c>
      <c r="K625" t="str">
        <f t="shared" si="29"/>
        <v>ZZZ, TN, 38340</v>
      </c>
    </row>
    <row r="626" spans="1:11" x14ac:dyDescent="0.15">
      <c r="A626">
        <v>1018918</v>
      </c>
      <c r="B626" s="54" t="s">
        <v>94</v>
      </c>
      <c r="C626" s="54" t="s">
        <v>95</v>
      </c>
      <c r="D626" s="54" t="s">
        <v>96</v>
      </c>
      <c r="E626" s="54" t="s">
        <v>97</v>
      </c>
      <c r="F626" t="s">
        <v>35</v>
      </c>
      <c r="G626">
        <v>38340</v>
      </c>
      <c r="H626">
        <v>360</v>
      </c>
      <c r="I626" t="str">
        <f t="shared" si="27"/>
        <v>AAA BBB</v>
      </c>
      <c r="J626" t="str">
        <f t="shared" si="28"/>
        <v>XXX</v>
      </c>
      <c r="K626" t="str">
        <f t="shared" si="29"/>
        <v>ZZZ, TN, 38340</v>
      </c>
    </row>
    <row r="627" spans="1:11" x14ac:dyDescent="0.15">
      <c r="A627">
        <v>1018918</v>
      </c>
      <c r="B627" s="54" t="s">
        <v>94</v>
      </c>
      <c r="C627" s="54" t="s">
        <v>95</v>
      </c>
      <c r="D627" s="54" t="s">
        <v>96</v>
      </c>
      <c r="E627" s="54" t="s">
        <v>97</v>
      </c>
      <c r="F627" t="s">
        <v>35</v>
      </c>
      <c r="G627">
        <v>38340</v>
      </c>
      <c r="H627">
        <v>360</v>
      </c>
      <c r="I627" t="str">
        <f t="shared" si="27"/>
        <v>AAA BBB</v>
      </c>
      <c r="J627" t="str">
        <f t="shared" si="28"/>
        <v>XXX</v>
      </c>
      <c r="K627" t="str">
        <f t="shared" si="29"/>
        <v>ZZZ, TN, 38340</v>
      </c>
    </row>
    <row r="628" spans="1:11" x14ac:dyDescent="0.15">
      <c r="A628">
        <v>1018918</v>
      </c>
      <c r="B628" s="54" t="s">
        <v>94</v>
      </c>
      <c r="C628" s="54" t="s">
        <v>95</v>
      </c>
      <c r="D628" s="54" t="s">
        <v>96</v>
      </c>
      <c r="E628" s="54" t="s">
        <v>97</v>
      </c>
      <c r="F628" t="s">
        <v>35</v>
      </c>
      <c r="G628">
        <v>38340</v>
      </c>
      <c r="H628">
        <v>360</v>
      </c>
      <c r="I628" t="str">
        <f t="shared" si="27"/>
        <v>AAA BBB</v>
      </c>
      <c r="J628" t="str">
        <f t="shared" si="28"/>
        <v>XXX</v>
      </c>
      <c r="K628" t="str">
        <f t="shared" si="29"/>
        <v>ZZZ, TN, 38340</v>
      </c>
    </row>
    <row r="629" spans="1:11" x14ac:dyDescent="0.15">
      <c r="A629">
        <v>1018918</v>
      </c>
      <c r="B629" s="54" t="s">
        <v>94</v>
      </c>
      <c r="C629" s="54" t="s">
        <v>95</v>
      </c>
      <c r="D629" s="54" t="s">
        <v>96</v>
      </c>
      <c r="E629" s="54" t="s">
        <v>97</v>
      </c>
      <c r="F629" t="s">
        <v>35</v>
      </c>
      <c r="G629">
        <v>38340</v>
      </c>
      <c r="H629">
        <v>360</v>
      </c>
      <c r="I629" t="str">
        <f t="shared" si="27"/>
        <v>AAA BBB</v>
      </c>
      <c r="J629" t="str">
        <f t="shared" si="28"/>
        <v>XXX</v>
      </c>
      <c r="K629" t="str">
        <f t="shared" si="29"/>
        <v>ZZZ, TN, 38340</v>
      </c>
    </row>
    <row r="630" spans="1:11" x14ac:dyDescent="0.15">
      <c r="A630">
        <v>1018918</v>
      </c>
      <c r="B630" s="54" t="s">
        <v>94</v>
      </c>
      <c r="C630" s="54" t="s">
        <v>95</v>
      </c>
      <c r="D630" s="54" t="s">
        <v>96</v>
      </c>
      <c r="E630" s="54" t="s">
        <v>97</v>
      </c>
      <c r="F630" t="s">
        <v>35</v>
      </c>
      <c r="G630">
        <v>38340</v>
      </c>
      <c r="H630">
        <v>360</v>
      </c>
      <c r="I630" t="str">
        <f t="shared" si="27"/>
        <v>AAA BBB</v>
      </c>
      <c r="J630" t="str">
        <f t="shared" si="28"/>
        <v>XXX</v>
      </c>
      <c r="K630" t="str">
        <f t="shared" si="29"/>
        <v>ZZZ, TN, 38340</v>
      </c>
    </row>
    <row r="631" spans="1:11" x14ac:dyDescent="0.15">
      <c r="A631">
        <v>1018918</v>
      </c>
      <c r="B631" s="54" t="s">
        <v>94</v>
      </c>
      <c r="C631" s="54" t="s">
        <v>95</v>
      </c>
      <c r="D631" s="54" t="s">
        <v>96</v>
      </c>
      <c r="E631" s="54" t="s">
        <v>97</v>
      </c>
      <c r="F631" t="s">
        <v>35</v>
      </c>
      <c r="G631">
        <v>38340</v>
      </c>
      <c r="H631">
        <v>360</v>
      </c>
      <c r="I631" t="str">
        <f t="shared" si="27"/>
        <v>AAA BBB</v>
      </c>
      <c r="J631" t="str">
        <f t="shared" si="28"/>
        <v>XXX</v>
      </c>
      <c r="K631" t="str">
        <f t="shared" si="29"/>
        <v>ZZZ, TN, 38340</v>
      </c>
    </row>
    <row r="632" spans="1:11" x14ac:dyDescent="0.15">
      <c r="A632">
        <v>1018918</v>
      </c>
      <c r="B632" s="54" t="s">
        <v>94</v>
      </c>
      <c r="C632" s="54" t="s">
        <v>95</v>
      </c>
      <c r="D632" s="54" t="s">
        <v>96</v>
      </c>
      <c r="E632" s="54" t="s">
        <v>97</v>
      </c>
      <c r="F632" t="s">
        <v>35</v>
      </c>
      <c r="G632">
        <v>38340</v>
      </c>
      <c r="H632">
        <v>360</v>
      </c>
      <c r="I632" t="str">
        <f t="shared" si="27"/>
        <v>AAA BBB</v>
      </c>
      <c r="J632" t="str">
        <f t="shared" si="28"/>
        <v>XXX</v>
      </c>
      <c r="K632" t="str">
        <f t="shared" si="29"/>
        <v>ZZZ, TN, 38340</v>
      </c>
    </row>
    <row r="633" spans="1:11" x14ac:dyDescent="0.15">
      <c r="A633">
        <v>1018918</v>
      </c>
      <c r="B633" s="54" t="s">
        <v>94</v>
      </c>
      <c r="C633" s="54" t="s">
        <v>95</v>
      </c>
      <c r="D633" s="54" t="s">
        <v>96</v>
      </c>
      <c r="E633" s="54" t="s">
        <v>97</v>
      </c>
      <c r="F633" t="s">
        <v>35</v>
      </c>
      <c r="G633">
        <v>38340</v>
      </c>
      <c r="H633">
        <v>360</v>
      </c>
      <c r="I633" t="str">
        <f t="shared" si="27"/>
        <v>AAA BBB</v>
      </c>
      <c r="J633" t="str">
        <f t="shared" si="28"/>
        <v>XXX</v>
      </c>
      <c r="K633" t="str">
        <f t="shared" si="29"/>
        <v>ZZZ, TN, 38340</v>
      </c>
    </row>
    <row r="634" spans="1:11" x14ac:dyDescent="0.15">
      <c r="A634">
        <v>1018918</v>
      </c>
      <c r="B634" s="54" t="s">
        <v>94</v>
      </c>
      <c r="C634" s="54" t="s">
        <v>95</v>
      </c>
      <c r="D634" s="54" t="s">
        <v>96</v>
      </c>
      <c r="E634" s="54" t="s">
        <v>97</v>
      </c>
      <c r="F634" t="s">
        <v>35</v>
      </c>
      <c r="G634">
        <v>38340</v>
      </c>
      <c r="H634">
        <v>360</v>
      </c>
      <c r="I634" t="str">
        <f t="shared" si="27"/>
        <v>AAA BBB</v>
      </c>
      <c r="J634" t="str">
        <f t="shared" si="28"/>
        <v>XXX</v>
      </c>
      <c r="K634" t="str">
        <f t="shared" si="29"/>
        <v>ZZZ, TN, 38340</v>
      </c>
    </row>
    <row r="635" spans="1:11" x14ac:dyDescent="0.15">
      <c r="A635">
        <v>1018918</v>
      </c>
      <c r="B635" s="54" t="s">
        <v>94</v>
      </c>
      <c r="C635" s="54" t="s">
        <v>95</v>
      </c>
      <c r="D635" s="54" t="s">
        <v>96</v>
      </c>
      <c r="E635" s="54" t="s">
        <v>97</v>
      </c>
      <c r="F635" t="s">
        <v>35</v>
      </c>
      <c r="G635">
        <v>38340</v>
      </c>
      <c r="H635">
        <v>360</v>
      </c>
      <c r="I635" t="str">
        <f t="shared" si="27"/>
        <v>AAA BBB</v>
      </c>
      <c r="J635" t="str">
        <f t="shared" si="28"/>
        <v>XXX</v>
      </c>
      <c r="K635" t="str">
        <f t="shared" si="29"/>
        <v>ZZZ, TN, 38340</v>
      </c>
    </row>
    <row r="636" spans="1:11" x14ac:dyDescent="0.15">
      <c r="A636">
        <v>1018918</v>
      </c>
      <c r="B636" s="54" t="s">
        <v>94</v>
      </c>
      <c r="C636" s="54" t="s">
        <v>95</v>
      </c>
      <c r="D636" s="54" t="s">
        <v>96</v>
      </c>
      <c r="E636" s="54" t="s">
        <v>97</v>
      </c>
      <c r="F636" t="s">
        <v>35</v>
      </c>
      <c r="G636">
        <v>38340</v>
      </c>
      <c r="H636">
        <v>360</v>
      </c>
      <c r="I636" t="str">
        <f t="shared" si="27"/>
        <v>AAA BBB</v>
      </c>
      <c r="J636" t="str">
        <f t="shared" si="28"/>
        <v>XXX</v>
      </c>
      <c r="K636" t="str">
        <f t="shared" si="29"/>
        <v>ZZZ, TN, 38340</v>
      </c>
    </row>
    <row r="637" spans="1:11" x14ac:dyDescent="0.15">
      <c r="A637">
        <v>1018918</v>
      </c>
      <c r="B637" s="54" t="s">
        <v>94</v>
      </c>
      <c r="C637" s="54" t="s">
        <v>95</v>
      </c>
      <c r="D637" s="54" t="s">
        <v>96</v>
      </c>
      <c r="E637" s="54" t="s">
        <v>97</v>
      </c>
      <c r="F637" t="s">
        <v>35</v>
      </c>
      <c r="G637">
        <v>38340</v>
      </c>
      <c r="H637">
        <v>360</v>
      </c>
      <c r="I637" t="str">
        <f t="shared" si="27"/>
        <v>AAA BBB</v>
      </c>
      <c r="J637" t="str">
        <f t="shared" si="28"/>
        <v>XXX</v>
      </c>
      <c r="K637" t="str">
        <f t="shared" si="29"/>
        <v>ZZZ, TN, 38340</v>
      </c>
    </row>
    <row r="638" spans="1:11" x14ac:dyDescent="0.15">
      <c r="A638">
        <v>1018918</v>
      </c>
      <c r="B638" s="54" t="s">
        <v>94</v>
      </c>
      <c r="C638" s="54" t="s">
        <v>95</v>
      </c>
      <c r="D638" s="54" t="s">
        <v>96</v>
      </c>
      <c r="E638" s="54" t="s">
        <v>97</v>
      </c>
      <c r="F638" t="s">
        <v>35</v>
      </c>
      <c r="G638">
        <v>38340</v>
      </c>
      <c r="H638">
        <v>360</v>
      </c>
      <c r="I638" t="str">
        <f t="shared" si="27"/>
        <v>AAA BBB</v>
      </c>
      <c r="J638" t="str">
        <f t="shared" si="28"/>
        <v>XXX</v>
      </c>
      <c r="K638" t="str">
        <f t="shared" si="29"/>
        <v>ZZZ, TN, 38340</v>
      </c>
    </row>
    <row r="639" spans="1:11" x14ac:dyDescent="0.15">
      <c r="A639">
        <v>1018918</v>
      </c>
      <c r="B639" s="54" t="s">
        <v>94</v>
      </c>
      <c r="C639" s="54" t="s">
        <v>95</v>
      </c>
      <c r="D639" s="54" t="s">
        <v>96</v>
      </c>
      <c r="E639" s="54" t="s">
        <v>97</v>
      </c>
      <c r="F639" t="s">
        <v>35</v>
      </c>
      <c r="G639">
        <v>38340</v>
      </c>
      <c r="H639">
        <v>360</v>
      </c>
      <c r="I639" t="str">
        <f t="shared" si="27"/>
        <v>AAA BBB</v>
      </c>
      <c r="J639" t="str">
        <f t="shared" si="28"/>
        <v>XXX</v>
      </c>
      <c r="K639" t="str">
        <f t="shared" si="29"/>
        <v>ZZZ, TN, 38340</v>
      </c>
    </row>
    <row r="640" spans="1:11" x14ac:dyDescent="0.15">
      <c r="A640">
        <v>1018918</v>
      </c>
      <c r="B640" s="54" t="s">
        <v>94</v>
      </c>
      <c r="C640" s="54" t="s">
        <v>95</v>
      </c>
      <c r="D640" s="54" t="s">
        <v>96</v>
      </c>
      <c r="E640" s="54" t="s">
        <v>97</v>
      </c>
      <c r="F640" t="s">
        <v>35</v>
      </c>
      <c r="G640">
        <v>38340</v>
      </c>
      <c r="H640">
        <v>360</v>
      </c>
      <c r="I640" t="str">
        <f t="shared" si="27"/>
        <v>AAA BBB</v>
      </c>
      <c r="J640" t="str">
        <f t="shared" si="28"/>
        <v>XXX</v>
      </c>
      <c r="K640" t="str">
        <f t="shared" si="29"/>
        <v>ZZZ, TN, 38340</v>
      </c>
    </row>
    <row r="641" spans="1:11" x14ac:dyDescent="0.15">
      <c r="A641">
        <v>1018918</v>
      </c>
      <c r="B641" s="54" t="s">
        <v>94</v>
      </c>
      <c r="C641" s="54" t="s">
        <v>95</v>
      </c>
      <c r="D641" s="54" t="s">
        <v>96</v>
      </c>
      <c r="E641" s="54" t="s">
        <v>97</v>
      </c>
      <c r="F641" t="s">
        <v>35</v>
      </c>
      <c r="G641">
        <v>38340</v>
      </c>
      <c r="H641">
        <v>360</v>
      </c>
      <c r="I641" t="str">
        <f t="shared" si="27"/>
        <v>AAA BBB</v>
      </c>
      <c r="J641" t="str">
        <f t="shared" si="28"/>
        <v>XXX</v>
      </c>
      <c r="K641" t="str">
        <f t="shared" si="29"/>
        <v>ZZZ, TN, 38340</v>
      </c>
    </row>
    <row r="642" spans="1:11" x14ac:dyDescent="0.15">
      <c r="A642">
        <v>1018918</v>
      </c>
      <c r="B642" s="54" t="s">
        <v>94</v>
      </c>
      <c r="C642" s="54" t="s">
        <v>95</v>
      </c>
      <c r="D642" s="54" t="s">
        <v>96</v>
      </c>
      <c r="E642" s="54" t="s">
        <v>97</v>
      </c>
      <c r="F642" t="s">
        <v>35</v>
      </c>
      <c r="G642">
        <v>38340</v>
      </c>
      <c r="H642">
        <v>360</v>
      </c>
      <c r="I642" t="str">
        <f t="shared" si="27"/>
        <v>AAA BBB</v>
      </c>
      <c r="J642" t="str">
        <f t="shared" si="28"/>
        <v>XXX</v>
      </c>
      <c r="K642" t="str">
        <f t="shared" si="29"/>
        <v>ZZZ, TN, 38340</v>
      </c>
    </row>
    <row r="643" spans="1:11" x14ac:dyDescent="0.15">
      <c r="A643">
        <v>1018918</v>
      </c>
      <c r="B643" s="54" t="s">
        <v>94</v>
      </c>
      <c r="C643" s="54" t="s">
        <v>95</v>
      </c>
      <c r="D643" s="54" t="s">
        <v>96</v>
      </c>
      <c r="E643" s="54" t="s">
        <v>97</v>
      </c>
      <c r="F643" t="s">
        <v>35</v>
      </c>
      <c r="G643">
        <v>38340</v>
      </c>
      <c r="H643">
        <v>360</v>
      </c>
      <c r="I643" t="str">
        <f t="shared" ref="I643:I706" si="30">CONCATENATE(B643," ",C643)</f>
        <v>AAA BBB</v>
      </c>
      <c r="J643" t="str">
        <f t="shared" ref="J643:J706" si="31">D643</f>
        <v>XXX</v>
      </c>
      <c r="K643" t="str">
        <f t="shared" ref="K643:K706" si="32">CONCATENATE(E643,","," ",F643,","," ",G643)</f>
        <v>ZZZ, TN, 38340</v>
      </c>
    </row>
    <row r="644" spans="1:11" x14ac:dyDescent="0.15">
      <c r="A644">
        <v>1018918</v>
      </c>
      <c r="B644" s="54" t="s">
        <v>94</v>
      </c>
      <c r="C644" s="54" t="s">
        <v>95</v>
      </c>
      <c r="D644" s="54" t="s">
        <v>96</v>
      </c>
      <c r="E644" s="54" t="s">
        <v>97</v>
      </c>
      <c r="F644" t="s">
        <v>35</v>
      </c>
      <c r="G644">
        <v>38340</v>
      </c>
      <c r="H644">
        <v>360</v>
      </c>
      <c r="I644" t="str">
        <f t="shared" si="30"/>
        <v>AAA BBB</v>
      </c>
      <c r="J644" t="str">
        <f t="shared" si="31"/>
        <v>XXX</v>
      </c>
      <c r="K644" t="str">
        <f t="shared" si="32"/>
        <v>ZZZ, TN, 38340</v>
      </c>
    </row>
    <row r="645" spans="1:11" x14ac:dyDescent="0.15">
      <c r="A645">
        <v>1018918</v>
      </c>
      <c r="B645" s="54" t="s">
        <v>94</v>
      </c>
      <c r="C645" s="54" t="s">
        <v>95</v>
      </c>
      <c r="D645" s="54" t="s">
        <v>96</v>
      </c>
      <c r="E645" s="54" t="s">
        <v>97</v>
      </c>
      <c r="F645" t="s">
        <v>35</v>
      </c>
      <c r="G645">
        <v>38340</v>
      </c>
      <c r="H645">
        <v>360</v>
      </c>
      <c r="I645" t="str">
        <f t="shared" si="30"/>
        <v>AAA BBB</v>
      </c>
      <c r="J645" t="str">
        <f t="shared" si="31"/>
        <v>XXX</v>
      </c>
      <c r="K645" t="str">
        <f t="shared" si="32"/>
        <v>ZZZ, TN, 38340</v>
      </c>
    </row>
    <row r="646" spans="1:11" x14ac:dyDescent="0.15">
      <c r="A646">
        <v>1018918</v>
      </c>
      <c r="B646" s="54" t="s">
        <v>94</v>
      </c>
      <c r="C646" s="54" t="s">
        <v>95</v>
      </c>
      <c r="D646" s="54" t="s">
        <v>96</v>
      </c>
      <c r="E646" s="54" t="s">
        <v>97</v>
      </c>
      <c r="F646" t="s">
        <v>35</v>
      </c>
      <c r="G646">
        <v>38340</v>
      </c>
      <c r="H646">
        <v>360</v>
      </c>
      <c r="I646" t="str">
        <f t="shared" si="30"/>
        <v>AAA BBB</v>
      </c>
      <c r="J646" t="str">
        <f t="shared" si="31"/>
        <v>XXX</v>
      </c>
      <c r="K646" t="str">
        <f t="shared" si="32"/>
        <v>ZZZ, TN, 38340</v>
      </c>
    </row>
    <row r="647" spans="1:11" x14ac:dyDescent="0.15">
      <c r="A647">
        <v>1018918</v>
      </c>
      <c r="B647" s="54" t="s">
        <v>94</v>
      </c>
      <c r="C647" s="54" t="s">
        <v>95</v>
      </c>
      <c r="D647" s="54" t="s">
        <v>96</v>
      </c>
      <c r="E647" s="54" t="s">
        <v>97</v>
      </c>
      <c r="F647" t="s">
        <v>35</v>
      </c>
      <c r="G647">
        <v>38340</v>
      </c>
      <c r="H647">
        <v>360</v>
      </c>
      <c r="I647" t="str">
        <f t="shared" si="30"/>
        <v>AAA BBB</v>
      </c>
      <c r="J647" t="str">
        <f t="shared" si="31"/>
        <v>XXX</v>
      </c>
      <c r="K647" t="str">
        <f t="shared" si="32"/>
        <v>ZZZ, TN, 38340</v>
      </c>
    </row>
    <row r="648" spans="1:11" x14ac:dyDescent="0.15">
      <c r="A648">
        <v>1018918</v>
      </c>
      <c r="B648" s="54" t="s">
        <v>94</v>
      </c>
      <c r="C648" s="54" t="s">
        <v>95</v>
      </c>
      <c r="D648" s="54" t="s">
        <v>96</v>
      </c>
      <c r="E648" s="54" t="s">
        <v>97</v>
      </c>
      <c r="F648" t="s">
        <v>35</v>
      </c>
      <c r="G648">
        <v>38340</v>
      </c>
      <c r="H648">
        <v>360</v>
      </c>
      <c r="I648" t="str">
        <f t="shared" si="30"/>
        <v>AAA BBB</v>
      </c>
      <c r="J648" t="str">
        <f t="shared" si="31"/>
        <v>XXX</v>
      </c>
      <c r="K648" t="str">
        <f t="shared" si="32"/>
        <v>ZZZ, TN, 38340</v>
      </c>
    </row>
    <row r="649" spans="1:11" x14ac:dyDescent="0.15">
      <c r="A649">
        <v>1018918</v>
      </c>
      <c r="B649" s="54" t="s">
        <v>94</v>
      </c>
      <c r="C649" s="54" t="s">
        <v>95</v>
      </c>
      <c r="D649" s="54" t="s">
        <v>96</v>
      </c>
      <c r="E649" s="54" t="s">
        <v>97</v>
      </c>
      <c r="F649" t="s">
        <v>35</v>
      </c>
      <c r="G649">
        <v>38340</v>
      </c>
      <c r="H649">
        <v>360</v>
      </c>
      <c r="I649" t="str">
        <f t="shared" si="30"/>
        <v>AAA BBB</v>
      </c>
      <c r="J649" t="str">
        <f t="shared" si="31"/>
        <v>XXX</v>
      </c>
      <c r="K649" t="str">
        <f t="shared" si="32"/>
        <v>ZZZ, TN, 38340</v>
      </c>
    </row>
    <row r="650" spans="1:11" x14ac:dyDescent="0.15">
      <c r="A650">
        <v>1018918</v>
      </c>
      <c r="B650" s="54" t="s">
        <v>94</v>
      </c>
      <c r="C650" s="54" t="s">
        <v>95</v>
      </c>
      <c r="D650" s="54" t="s">
        <v>96</v>
      </c>
      <c r="E650" s="54" t="s">
        <v>97</v>
      </c>
      <c r="F650" t="s">
        <v>35</v>
      </c>
      <c r="G650">
        <v>38340</v>
      </c>
      <c r="H650">
        <v>360</v>
      </c>
      <c r="I650" t="str">
        <f t="shared" si="30"/>
        <v>AAA BBB</v>
      </c>
      <c r="J650" t="str">
        <f t="shared" si="31"/>
        <v>XXX</v>
      </c>
      <c r="K650" t="str">
        <f t="shared" si="32"/>
        <v>ZZZ, TN, 38340</v>
      </c>
    </row>
    <row r="651" spans="1:11" x14ac:dyDescent="0.15">
      <c r="A651">
        <v>1018918</v>
      </c>
      <c r="B651" s="54" t="s">
        <v>94</v>
      </c>
      <c r="C651" s="54" t="s">
        <v>95</v>
      </c>
      <c r="D651" s="54" t="s">
        <v>96</v>
      </c>
      <c r="E651" s="54" t="s">
        <v>97</v>
      </c>
      <c r="F651" t="s">
        <v>35</v>
      </c>
      <c r="G651">
        <v>38340</v>
      </c>
      <c r="H651">
        <v>360</v>
      </c>
      <c r="I651" t="str">
        <f t="shared" si="30"/>
        <v>AAA BBB</v>
      </c>
      <c r="J651" t="str">
        <f t="shared" si="31"/>
        <v>XXX</v>
      </c>
      <c r="K651" t="str">
        <f t="shared" si="32"/>
        <v>ZZZ, TN, 38340</v>
      </c>
    </row>
    <row r="652" spans="1:11" x14ac:dyDescent="0.15">
      <c r="A652">
        <v>1018918</v>
      </c>
      <c r="B652" s="54" t="s">
        <v>94</v>
      </c>
      <c r="C652" s="54" t="s">
        <v>95</v>
      </c>
      <c r="D652" s="54" t="s">
        <v>96</v>
      </c>
      <c r="E652" s="54" t="s">
        <v>97</v>
      </c>
      <c r="F652" t="s">
        <v>35</v>
      </c>
      <c r="G652">
        <v>38340</v>
      </c>
      <c r="H652">
        <v>360</v>
      </c>
      <c r="I652" t="str">
        <f t="shared" si="30"/>
        <v>AAA BBB</v>
      </c>
      <c r="J652" t="str">
        <f t="shared" si="31"/>
        <v>XXX</v>
      </c>
      <c r="K652" t="str">
        <f t="shared" si="32"/>
        <v>ZZZ, TN, 38340</v>
      </c>
    </row>
    <row r="653" spans="1:11" x14ac:dyDescent="0.15">
      <c r="A653">
        <v>1018918</v>
      </c>
      <c r="B653" s="54" t="s">
        <v>94</v>
      </c>
      <c r="C653" s="54" t="s">
        <v>95</v>
      </c>
      <c r="D653" s="54" t="s">
        <v>96</v>
      </c>
      <c r="E653" s="54" t="s">
        <v>97</v>
      </c>
      <c r="F653" t="s">
        <v>35</v>
      </c>
      <c r="G653">
        <v>38340</v>
      </c>
      <c r="H653">
        <v>360</v>
      </c>
      <c r="I653" t="str">
        <f t="shared" si="30"/>
        <v>AAA BBB</v>
      </c>
      <c r="J653" t="str">
        <f t="shared" si="31"/>
        <v>XXX</v>
      </c>
      <c r="K653" t="str">
        <f t="shared" si="32"/>
        <v>ZZZ, TN, 38340</v>
      </c>
    </row>
    <row r="654" spans="1:11" x14ac:dyDescent="0.15">
      <c r="A654">
        <v>1018918</v>
      </c>
      <c r="B654" s="54" t="s">
        <v>94</v>
      </c>
      <c r="C654" s="54" t="s">
        <v>95</v>
      </c>
      <c r="D654" s="54" t="s">
        <v>96</v>
      </c>
      <c r="E654" s="54" t="s">
        <v>97</v>
      </c>
      <c r="F654" t="s">
        <v>35</v>
      </c>
      <c r="G654">
        <v>38340</v>
      </c>
      <c r="H654">
        <v>360</v>
      </c>
      <c r="I654" t="str">
        <f t="shared" si="30"/>
        <v>AAA BBB</v>
      </c>
      <c r="J654" t="str">
        <f t="shared" si="31"/>
        <v>XXX</v>
      </c>
      <c r="K654" t="str">
        <f t="shared" si="32"/>
        <v>ZZZ, TN, 38340</v>
      </c>
    </row>
    <row r="655" spans="1:11" x14ac:dyDescent="0.15">
      <c r="A655">
        <v>1018918</v>
      </c>
      <c r="B655" s="54" t="s">
        <v>94</v>
      </c>
      <c r="C655" s="54" t="s">
        <v>95</v>
      </c>
      <c r="D655" s="54" t="s">
        <v>96</v>
      </c>
      <c r="E655" s="54" t="s">
        <v>97</v>
      </c>
      <c r="F655" t="s">
        <v>35</v>
      </c>
      <c r="G655">
        <v>38340</v>
      </c>
      <c r="H655">
        <v>360</v>
      </c>
      <c r="I655" t="str">
        <f t="shared" si="30"/>
        <v>AAA BBB</v>
      </c>
      <c r="J655" t="str">
        <f t="shared" si="31"/>
        <v>XXX</v>
      </c>
      <c r="K655" t="str">
        <f t="shared" si="32"/>
        <v>ZZZ, TN, 38340</v>
      </c>
    </row>
    <row r="656" spans="1:11" x14ac:dyDescent="0.15">
      <c r="A656">
        <v>1018918</v>
      </c>
      <c r="B656" s="54" t="s">
        <v>94</v>
      </c>
      <c r="C656" s="54" t="s">
        <v>95</v>
      </c>
      <c r="D656" s="54" t="s">
        <v>96</v>
      </c>
      <c r="E656" s="54" t="s">
        <v>97</v>
      </c>
      <c r="F656" t="s">
        <v>35</v>
      </c>
      <c r="G656">
        <v>38340</v>
      </c>
      <c r="H656">
        <v>360</v>
      </c>
      <c r="I656" t="str">
        <f t="shared" si="30"/>
        <v>AAA BBB</v>
      </c>
      <c r="J656" t="str">
        <f t="shared" si="31"/>
        <v>XXX</v>
      </c>
      <c r="K656" t="str">
        <f t="shared" si="32"/>
        <v>ZZZ, TN, 38340</v>
      </c>
    </row>
    <row r="657" spans="1:11" x14ac:dyDescent="0.15">
      <c r="A657">
        <v>1018918</v>
      </c>
      <c r="B657" s="54" t="s">
        <v>94</v>
      </c>
      <c r="C657" s="54" t="s">
        <v>95</v>
      </c>
      <c r="D657" s="54" t="s">
        <v>96</v>
      </c>
      <c r="E657" s="54" t="s">
        <v>97</v>
      </c>
      <c r="F657" t="s">
        <v>35</v>
      </c>
      <c r="G657">
        <v>38340</v>
      </c>
      <c r="H657">
        <v>360</v>
      </c>
      <c r="I657" t="str">
        <f t="shared" si="30"/>
        <v>AAA BBB</v>
      </c>
      <c r="J657" t="str">
        <f t="shared" si="31"/>
        <v>XXX</v>
      </c>
      <c r="K657" t="str">
        <f t="shared" si="32"/>
        <v>ZZZ, TN, 38340</v>
      </c>
    </row>
    <row r="658" spans="1:11" x14ac:dyDescent="0.15">
      <c r="A658">
        <v>1018918</v>
      </c>
      <c r="B658" s="54" t="s">
        <v>94</v>
      </c>
      <c r="C658" s="54" t="s">
        <v>95</v>
      </c>
      <c r="D658" s="54" t="s">
        <v>96</v>
      </c>
      <c r="E658" s="54" t="s">
        <v>97</v>
      </c>
      <c r="F658" t="s">
        <v>35</v>
      </c>
      <c r="G658">
        <v>38340</v>
      </c>
      <c r="H658">
        <v>360</v>
      </c>
      <c r="I658" t="str">
        <f t="shared" si="30"/>
        <v>AAA BBB</v>
      </c>
      <c r="J658" t="str">
        <f t="shared" si="31"/>
        <v>XXX</v>
      </c>
      <c r="K658" t="str">
        <f t="shared" si="32"/>
        <v>ZZZ, TN, 38340</v>
      </c>
    </row>
    <row r="659" spans="1:11" x14ac:dyDescent="0.15">
      <c r="A659">
        <v>1018918</v>
      </c>
      <c r="B659" s="54" t="s">
        <v>94</v>
      </c>
      <c r="C659" s="54" t="s">
        <v>95</v>
      </c>
      <c r="D659" s="54" t="s">
        <v>96</v>
      </c>
      <c r="E659" s="54" t="s">
        <v>97</v>
      </c>
      <c r="F659" t="s">
        <v>35</v>
      </c>
      <c r="G659">
        <v>38340</v>
      </c>
      <c r="H659">
        <v>360</v>
      </c>
      <c r="I659" t="str">
        <f t="shared" si="30"/>
        <v>AAA BBB</v>
      </c>
      <c r="J659" t="str">
        <f t="shared" si="31"/>
        <v>XXX</v>
      </c>
      <c r="K659" t="str">
        <f t="shared" si="32"/>
        <v>ZZZ, TN, 38340</v>
      </c>
    </row>
    <row r="660" spans="1:11" x14ac:dyDescent="0.15">
      <c r="A660">
        <v>1018918</v>
      </c>
      <c r="B660" s="54" t="s">
        <v>94</v>
      </c>
      <c r="C660" s="54" t="s">
        <v>95</v>
      </c>
      <c r="D660" s="54" t="s">
        <v>96</v>
      </c>
      <c r="E660" s="54" t="s">
        <v>97</v>
      </c>
      <c r="F660" t="s">
        <v>35</v>
      </c>
      <c r="G660">
        <v>38340</v>
      </c>
      <c r="H660">
        <v>360</v>
      </c>
      <c r="I660" t="str">
        <f t="shared" si="30"/>
        <v>AAA BBB</v>
      </c>
      <c r="J660" t="str">
        <f t="shared" si="31"/>
        <v>XXX</v>
      </c>
      <c r="K660" t="str">
        <f t="shared" si="32"/>
        <v>ZZZ, TN, 38340</v>
      </c>
    </row>
    <row r="661" spans="1:11" x14ac:dyDescent="0.15">
      <c r="A661">
        <v>1018918</v>
      </c>
      <c r="B661" s="54" t="s">
        <v>94</v>
      </c>
      <c r="C661" s="54" t="s">
        <v>95</v>
      </c>
      <c r="D661" s="54" t="s">
        <v>96</v>
      </c>
      <c r="E661" s="54" t="s">
        <v>97</v>
      </c>
      <c r="F661" t="s">
        <v>35</v>
      </c>
      <c r="G661">
        <v>38340</v>
      </c>
      <c r="H661">
        <v>360</v>
      </c>
      <c r="I661" t="str">
        <f t="shared" si="30"/>
        <v>AAA BBB</v>
      </c>
      <c r="J661" t="str">
        <f t="shared" si="31"/>
        <v>XXX</v>
      </c>
      <c r="K661" t="str">
        <f t="shared" si="32"/>
        <v>ZZZ, TN, 38340</v>
      </c>
    </row>
    <row r="662" spans="1:11" x14ac:dyDescent="0.15">
      <c r="A662">
        <v>1018918</v>
      </c>
      <c r="B662" s="54" t="s">
        <v>94</v>
      </c>
      <c r="C662" s="54" t="s">
        <v>95</v>
      </c>
      <c r="D662" s="54" t="s">
        <v>96</v>
      </c>
      <c r="E662" s="54" t="s">
        <v>97</v>
      </c>
      <c r="F662" t="s">
        <v>35</v>
      </c>
      <c r="G662">
        <v>38340</v>
      </c>
      <c r="H662">
        <v>360</v>
      </c>
      <c r="I662" t="str">
        <f t="shared" si="30"/>
        <v>AAA BBB</v>
      </c>
      <c r="J662" t="str">
        <f t="shared" si="31"/>
        <v>XXX</v>
      </c>
      <c r="K662" t="str">
        <f t="shared" si="32"/>
        <v>ZZZ, TN, 38340</v>
      </c>
    </row>
    <row r="663" spans="1:11" x14ac:dyDescent="0.15">
      <c r="A663">
        <v>1018918</v>
      </c>
      <c r="B663" s="54" t="s">
        <v>94</v>
      </c>
      <c r="C663" s="54" t="s">
        <v>95</v>
      </c>
      <c r="D663" s="54" t="s">
        <v>96</v>
      </c>
      <c r="E663" s="54" t="s">
        <v>97</v>
      </c>
      <c r="F663" t="s">
        <v>35</v>
      </c>
      <c r="G663">
        <v>38340</v>
      </c>
      <c r="H663">
        <v>360</v>
      </c>
      <c r="I663" t="str">
        <f t="shared" si="30"/>
        <v>AAA BBB</v>
      </c>
      <c r="J663" t="str">
        <f t="shared" si="31"/>
        <v>XXX</v>
      </c>
      <c r="K663" t="str">
        <f t="shared" si="32"/>
        <v>ZZZ, TN, 38340</v>
      </c>
    </row>
    <row r="664" spans="1:11" x14ac:dyDescent="0.15">
      <c r="A664">
        <v>1018918</v>
      </c>
      <c r="B664" s="54" t="s">
        <v>94</v>
      </c>
      <c r="C664" s="54" t="s">
        <v>95</v>
      </c>
      <c r="D664" s="54" t="s">
        <v>96</v>
      </c>
      <c r="E664" s="54" t="s">
        <v>97</v>
      </c>
      <c r="F664" t="s">
        <v>35</v>
      </c>
      <c r="G664">
        <v>38340</v>
      </c>
      <c r="H664">
        <v>360</v>
      </c>
      <c r="I664" t="str">
        <f t="shared" si="30"/>
        <v>AAA BBB</v>
      </c>
      <c r="J664" t="str">
        <f t="shared" si="31"/>
        <v>XXX</v>
      </c>
      <c r="K664" t="str">
        <f t="shared" si="32"/>
        <v>ZZZ, TN, 38340</v>
      </c>
    </row>
    <row r="665" spans="1:11" x14ac:dyDescent="0.15">
      <c r="A665">
        <v>1018918</v>
      </c>
      <c r="B665" s="54" t="s">
        <v>94</v>
      </c>
      <c r="C665" s="54" t="s">
        <v>95</v>
      </c>
      <c r="D665" s="54" t="s">
        <v>96</v>
      </c>
      <c r="E665" s="54" t="s">
        <v>97</v>
      </c>
      <c r="F665" t="s">
        <v>35</v>
      </c>
      <c r="G665">
        <v>38340</v>
      </c>
      <c r="H665">
        <v>360</v>
      </c>
      <c r="I665" t="str">
        <f t="shared" si="30"/>
        <v>AAA BBB</v>
      </c>
      <c r="J665" t="str">
        <f t="shared" si="31"/>
        <v>XXX</v>
      </c>
      <c r="K665" t="str">
        <f t="shared" si="32"/>
        <v>ZZZ, TN, 38340</v>
      </c>
    </row>
    <row r="666" spans="1:11" x14ac:dyDescent="0.15">
      <c r="A666">
        <v>1018918</v>
      </c>
      <c r="B666" s="54" t="s">
        <v>94</v>
      </c>
      <c r="C666" s="54" t="s">
        <v>95</v>
      </c>
      <c r="D666" s="54" t="s">
        <v>96</v>
      </c>
      <c r="E666" s="54" t="s">
        <v>97</v>
      </c>
      <c r="F666" t="s">
        <v>35</v>
      </c>
      <c r="G666">
        <v>38340</v>
      </c>
      <c r="H666">
        <v>360</v>
      </c>
      <c r="I666" t="str">
        <f t="shared" si="30"/>
        <v>AAA BBB</v>
      </c>
      <c r="J666" t="str">
        <f t="shared" si="31"/>
        <v>XXX</v>
      </c>
      <c r="K666" t="str">
        <f t="shared" si="32"/>
        <v>ZZZ, TN, 38340</v>
      </c>
    </row>
    <row r="667" spans="1:11" x14ac:dyDescent="0.15">
      <c r="A667">
        <v>1018918</v>
      </c>
      <c r="B667" s="54" t="s">
        <v>94</v>
      </c>
      <c r="C667" s="54" t="s">
        <v>95</v>
      </c>
      <c r="D667" s="54" t="s">
        <v>96</v>
      </c>
      <c r="E667" s="54" t="s">
        <v>97</v>
      </c>
      <c r="F667" t="s">
        <v>35</v>
      </c>
      <c r="G667">
        <v>38340</v>
      </c>
      <c r="H667">
        <v>360</v>
      </c>
      <c r="I667" t="str">
        <f t="shared" si="30"/>
        <v>AAA BBB</v>
      </c>
      <c r="J667" t="str">
        <f t="shared" si="31"/>
        <v>XXX</v>
      </c>
      <c r="K667" t="str">
        <f t="shared" si="32"/>
        <v>ZZZ, TN, 38340</v>
      </c>
    </row>
    <row r="668" spans="1:11" x14ac:dyDescent="0.15">
      <c r="A668">
        <v>1018918</v>
      </c>
      <c r="B668" s="54" t="s">
        <v>94</v>
      </c>
      <c r="C668" s="54" t="s">
        <v>95</v>
      </c>
      <c r="D668" s="54" t="s">
        <v>96</v>
      </c>
      <c r="E668" s="54" t="s">
        <v>97</v>
      </c>
      <c r="F668" t="s">
        <v>35</v>
      </c>
      <c r="G668">
        <v>38340</v>
      </c>
      <c r="H668">
        <v>360</v>
      </c>
      <c r="I668" t="str">
        <f t="shared" si="30"/>
        <v>AAA BBB</v>
      </c>
      <c r="J668" t="str">
        <f t="shared" si="31"/>
        <v>XXX</v>
      </c>
      <c r="K668" t="str">
        <f t="shared" si="32"/>
        <v>ZZZ, TN, 38340</v>
      </c>
    </row>
    <row r="669" spans="1:11" x14ac:dyDescent="0.15">
      <c r="A669">
        <v>1018918</v>
      </c>
      <c r="B669" s="54" t="s">
        <v>94</v>
      </c>
      <c r="C669" s="54" t="s">
        <v>95</v>
      </c>
      <c r="D669" s="54" t="s">
        <v>96</v>
      </c>
      <c r="E669" s="54" t="s">
        <v>97</v>
      </c>
      <c r="F669" t="s">
        <v>35</v>
      </c>
      <c r="G669">
        <v>38340</v>
      </c>
      <c r="H669">
        <v>360</v>
      </c>
      <c r="I669" t="str">
        <f t="shared" si="30"/>
        <v>AAA BBB</v>
      </c>
      <c r="J669" t="str">
        <f t="shared" si="31"/>
        <v>XXX</v>
      </c>
      <c r="K669" t="str">
        <f t="shared" si="32"/>
        <v>ZZZ, TN, 38340</v>
      </c>
    </row>
    <row r="670" spans="1:11" x14ac:dyDescent="0.15">
      <c r="A670">
        <v>1018918</v>
      </c>
      <c r="B670" s="54" t="s">
        <v>94</v>
      </c>
      <c r="C670" s="54" t="s">
        <v>95</v>
      </c>
      <c r="D670" s="54" t="s">
        <v>96</v>
      </c>
      <c r="E670" s="54" t="s">
        <v>97</v>
      </c>
      <c r="F670" t="s">
        <v>35</v>
      </c>
      <c r="G670">
        <v>38340</v>
      </c>
      <c r="H670">
        <v>360</v>
      </c>
      <c r="I670" t="str">
        <f t="shared" si="30"/>
        <v>AAA BBB</v>
      </c>
      <c r="J670" t="str">
        <f t="shared" si="31"/>
        <v>XXX</v>
      </c>
      <c r="K670" t="str">
        <f t="shared" si="32"/>
        <v>ZZZ, TN, 38340</v>
      </c>
    </row>
    <row r="671" spans="1:11" x14ac:dyDescent="0.15">
      <c r="A671">
        <v>1018918</v>
      </c>
      <c r="B671" s="54" t="s">
        <v>94</v>
      </c>
      <c r="C671" s="54" t="s">
        <v>95</v>
      </c>
      <c r="D671" s="54" t="s">
        <v>96</v>
      </c>
      <c r="E671" s="54" t="s">
        <v>97</v>
      </c>
      <c r="F671" t="s">
        <v>35</v>
      </c>
      <c r="G671">
        <v>38340</v>
      </c>
      <c r="H671">
        <v>360</v>
      </c>
      <c r="I671" t="str">
        <f t="shared" si="30"/>
        <v>AAA BBB</v>
      </c>
      <c r="J671" t="str">
        <f t="shared" si="31"/>
        <v>XXX</v>
      </c>
      <c r="K671" t="str">
        <f t="shared" si="32"/>
        <v>ZZZ, TN, 38340</v>
      </c>
    </row>
    <row r="672" spans="1:11" x14ac:dyDescent="0.15">
      <c r="A672">
        <v>1018918</v>
      </c>
      <c r="B672" s="54" t="s">
        <v>94</v>
      </c>
      <c r="C672" s="54" t="s">
        <v>95</v>
      </c>
      <c r="D672" s="54" t="s">
        <v>96</v>
      </c>
      <c r="E672" s="54" t="s">
        <v>97</v>
      </c>
      <c r="F672" t="s">
        <v>35</v>
      </c>
      <c r="G672">
        <v>38340</v>
      </c>
      <c r="H672">
        <v>360</v>
      </c>
      <c r="I672" t="str">
        <f t="shared" si="30"/>
        <v>AAA BBB</v>
      </c>
      <c r="J672" t="str">
        <f t="shared" si="31"/>
        <v>XXX</v>
      </c>
      <c r="K672" t="str">
        <f t="shared" si="32"/>
        <v>ZZZ, TN, 38340</v>
      </c>
    </row>
    <row r="673" spans="1:11" x14ac:dyDescent="0.15">
      <c r="A673">
        <v>1018918</v>
      </c>
      <c r="B673" s="54" t="s">
        <v>94</v>
      </c>
      <c r="C673" s="54" t="s">
        <v>95</v>
      </c>
      <c r="D673" s="54" t="s">
        <v>96</v>
      </c>
      <c r="E673" s="54" t="s">
        <v>97</v>
      </c>
      <c r="F673" t="s">
        <v>35</v>
      </c>
      <c r="G673">
        <v>38340</v>
      </c>
      <c r="H673">
        <v>360</v>
      </c>
      <c r="I673" t="str">
        <f t="shared" si="30"/>
        <v>AAA BBB</v>
      </c>
      <c r="J673" t="str">
        <f t="shared" si="31"/>
        <v>XXX</v>
      </c>
      <c r="K673" t="str">
        <f t="shared" si="32"/>
        <v>ZZZ, TN, 38340</v>
      </c>
    </row>
    <row r="674" spans="1:11" x14ac:dyDescent="0.15">
      <c r="A674">
        <v>1018918</v>
      </c>
      <c r="B674" s="54" t="s">
        <v>94</v>
      </c>
      <c r="C674" s="54" t="s">
        <v>95</v>
      </c>
      <c r="D674" s="54" t="s">
        <v>96</v>
      </c>
      <c r="E674" s="54" t="s">
        <v>97</v>
      </c>
      <c r="F674" t="s">
        <v>35</v>
      </c>
      <c r="G674">
        <v>38340</v>
      </c>
      <c r="H674">
        <v>360</v>
      </c>
      <c r="I674" t="str">
        <f t="shared" si="30"/>
        <v>AAA BBB</v>
      </c>
      <c r="J674" t="str">
        <f t="shared" si="31"/>
        <v>XXX</v>
      </c>
      <c r="K674" t="str">
        <f t="shared" si="32"/>
        <v>ZZZ, TN, 38340</v>
      </c>
    </row>
    <row r="675" spans="1:11" x14ac:dyDescent="0.15">
      <c r="A675">
        <v>1018918</v>
      </c>
      <c r="B675" s="54" t="s">
        <v>94</v>
      </c>
      <c r="C675" s="54" t="s">
        <v>95</v>
      </c>
      <c r="D675" s="54" t="s">
        <v>96</v>
      </c>
      <c r="E675" s="54" t="s">
        <v>97</v>
      </c>
      <c r="F675" t="s">
        <v>35</v>
      </c>
      <c r="G675">
        <v>38340</v>
      </c>
      <c r="H675">
        <v>360</v>
      </c>
      <c r="I675" t="str">
        <f t="shared" si="30"/>
        <v>AAA BBB</v>
      </c>
      <c r="J675" t="str">
        <f t="shared" si="31"/>
        <v>XXX</v>
      </c>
      <c r="K675" t="str">
        <f t="shared" si="32"/>
        <v>ZZZ, TN, 38340</v>
      </c>
    </row>
    <row r="676" spans="1:11" x14ac:dyDescent="0.15">
      <c r="A676">
        <v>1018918</v>
      </c>
      <c r="B676" s="54" t="s">
        <v>94</v>
      </c>
      <c r="C676" s="54" t="s">
        <v>95</v>
      </c>
      <c r="D676" s="54" t="s">
        <v>96</v>
      </c>
      <c r="E676" s="54" t="s">
        <v>97</v>
      </c>
      <c r="F676" t="s">
        <v>35</v>
      </c>
      <c r="G676">
        <v>38340</v>
      </c>
      <c r="H676">
        <v>360</v>
      </c>
      <c r="I676" t="str">
        <f t="shared" si="30"/>
        <v>AAA BBB</v>
      </c>
      <c r="J676" t="str">
        <f t="shared" si="31"/>
        <v>XXX</v>
      </c>
      <c r="K676" t="str">
        <f t="shared" si="32"/>
        <v>ZZZ, TN, 38340</v>
      </c>
    </row>
    <row r="677" spans="1:11" x14ac:dyDescent="0.15">
      <c r="A677">
        <v>1018918</v>
      </c>
      <c r="B677" s="54" t="s">
        <v>94</v>
      </c>
      <c r="C677" s="54" t="s">
        <v>95</v>
      </c>
      <c r="D677" s="54" t="s">
        <v>96</v>
      </c>
      <c r="E677" s="54" t="s">
        <v>97</v>
      </c>
      <c r="F677" t="s">
        <v>35</v>
      </c>
      <c r="G677">
        <v>38340</v>
      </c>
      <c r="H677">
        <v>360</v>
      </c>
      <c r="I677" t="str">
        <f t="shared" si="30"/>
        <v>AAA BBB</v>
      </c>
      <c r="J677" t="str">
        <f t="shared" si="31"/>
        <v>XXX</v>
      </c>
      <c r="K677" t="str">
        <f t="shared" si="32"/>
        <v>ZZZ, TN, 38340</v>
      </c>
    </row>
    <row r="678" spans="1:11" x14ac:dyDescent="0.15">
      <c r="A678">
        <v>1018918</v>
      </c>
      <c r="B678" s="54" t="s">
        <v>94</v>
      </c>
      <c r="C678" s="54" t="s">
        <v>95</v>
      </c>
      <c r="D678" s="54" t="s">
        <v>96</v>
      </c>
      <c r="E678" s="54" t="s">
        <v>97</v>
      </c>
      <c r="F678" t="s">
        <v>35</v>
      </c>
      <c r="G678">
        <v>38340</v>
      </c>
      <c r="H678">
        <v>360</v>
      </c>
      <c r="I678" t="str">
        <f t="shared" si="30"/>
        <v>AAA BBB</v>
      </c>
      <c r="J678" t="str">
        <f t="shared" si="31"/>
        <v>XXX</v>
      </c>
      <c r="K678" t="str">
        <f t="shared" si="32"/>
        <v>ZZZ, TN, 38340</v>
      </c>
    </row>
    <row r="679" spans="1:11" x14ac:dyDescent="0.15">
      <c r="A679">
        <v>1018918</v>
      </c>
      <c r="B679" s="54" t="s">
        <v>94</v>
      </c>
      <c r="C679" s="54" t="s">
        <v>95</v>
      </c>
      <c r="D679" s="54" t="s">
        <v>96</v>
      </c>
      <c r="E679" s="54" t="s">
        <v>97</v>
      </c>
      <c r="F679" t="s">
        <v>35</v>
      </c>
      <c r="G679">
        <v>38340</v>
      </c>
      <c r="H679">
        <v>360</v>
      </c>
      <c r="I679" t="str">
        <f t="shared" si="30"/>
        <v>AAA BBB</v>
      </c>
      <c r="J679" t="str">
        <f t="shared" si="31"/>
        <v>XXX</v>
      </c>
      <c r="K679" t="str">
        <f t="shared" si="32"/>
        <v>ZZZ, TN, 38340</v>
      </c>
    </row>
    <row r="680" spans="1:11" x14ac:dyDescent="0.15">
      <c r="A680">
        <v>1018918</v>
      </c>
      <c r="B680" s="54" t="s">
        <v>94</v>
      </c>
      <c r="C680" s="54" t="s">
        <v>95</v>
      </c>
      <c r="D680" s="54" t="s">
        <v>96</v>
      </c>
      <c r="E680" s="54" t="s">
        <v>97</v>
      </c>
      <c r="F680" t="s">
        <v>35</v>
      </c>
      <c r="G680">
        <v>38340</v>
      </c>
      <c r="H680">
        <v>360</v>
      </c>
      <c r="I680" t="str">
        <f t="shared" si="30"/>
        <v>AAA BBB</v>
      </c>
      <c r="J680" t="str">
        <f t="shared" si="31"/>
        <v>XXX</v>
      </c>
      <c r="K680" t="str">
        <f t="shared" si="32"/>
        <v>ZZZ, TN, 38340</v>
      </c>
    </row>
    <row r="681" spans="1:11" x14ac:dyDescent="0.15">
      <c r="A681">
        <v>1018918</v>
      </c>
      <c r="B681" s="54" t="s">
        <v>94</v>
      </c>
      <c r="C681" s="54" t="s">
        <v>95</v>
      </c>
      <c r="D681" s="54" t="s">
        <v>96</v>
      </c>
      <c r="E681" s="54" t="s">
        <v>97</v>
      </c>
      <c r="F681" t="s">
        <v>35</v>
      </c>
      <c r="G681">
        <v>38340</v>
      </c>
      <c r="H681">
        <v>360</v>
      </c>
      <c r="I681" t="str">
        <f t="shared" si="30"/>
        <v>AAA BBB</v>
      </c>
      <c r="J681" t="str">
        <f t="shared" si="31"/>
        <v>XXX</v>
      </c>
      <c r="K681" t="str">
        <f t="shared" si="32"/>
        <v>ZZZ, TN, 38340</v>
      </c>
    </row>
    <row r="682" spans="1:11" x14ac:dyDescent="0.15">
      <c r="A682">
        <v>1018918</v>
      </c>
      <c r="B682" s="54" t="s">
        <v>94</v>
      </c>
      <c r="C682" s="54" t="s">
        <v>95</v>
      </c>
      <c r="D682" s="54" t="s">
        <v>96</v>
      </c>
      <c r="E682" s="54" t="s">
        <v>97</v>
      </c>
      <c r="F682" t="s">
        <v>35</v>
      </c>
      <c r="G682">
        <v>38340</v>
      </c>
      <c r="H682">
        <v>360</v>
      </c>
      <c r="I682" t="str">
        <f t="shared" si="30"/>
        <v>AAA BBB</v>
      </c>
      <c r="J682" t="str">
        <f t="shared" si="31"/>
        <v>XXX</v>
      </c>
      <c r="K682" t="str">
        <f t="shared" si="32"/>
        <v>ZZZ, TN, 38340</v>
      </c>
    </row>
    <row r="683" spans="1:11" x14ac:dyDescent="0.15">
      <c r="A683">
        <v>1018918</v>
      </c>
      <c r="B683" s="54" t="s">
        <v>94</v>
      </c>
      <c r="C683" s="54" t="s">
        <v>95</v>
      </c>
      <c r="D683" s="54" t="s">
        <v>96</v>
      </c>
      <c r="E683" s="54" t="s">
        <v>97</v>
      </c>
      <c r="F683" t="s">
        <v>35</v>
      </c>
      <c r="G683">
        <v>38340</v>
      </c>
      <c r="H683">
        <v>360</v>
      </c>
      <c r="I683" t="str">
        <f t="shared" si="30"/>
        <v>AAA BBB</v>
      </c>
      <c r="J683" t="str">
        <f t="shared" si="31"/>
        <v>XXX</v>
      </c>
      <c r="K683" t="str">
        <f t="shared" si="32"/>
        <v>ZZZ, TN, 38340</v>
      </c>
    </row>
    <row r="684" spans="1:11" x14ac:dyDescent="0.15">
      <c r="A684">
        <v>1018918</v>
      </c>
      <c r="B684" s="54" t="s">
        <v>94</v>
      </c>
      <c r="C684" s="54" t="s">
        <v>95</v>
      </c>
      <c r="D684" s="54" t="s">
        <v>96</v>
      </c>
      <c r="E684" s="54" t="s">
        <v>97</v>
      </c>
      <c r="F684" t="s">
        <v>35</v>
      </c>
      <c r="G684">
        <v>38340</v>
      </c>
      <c r="H684">
        <v>360</v>
      </c>
      <c r="I684" t="str">
        <f t="shared" si="30"/>
        <v>AAA BBB</v>
      </c>
      <c r="J684" t="str">
        <f t="shared" si="31"/>
        <v>XXX</v>
      </c>
      <c r="K684" t="str">
        <f t="shared" si="32"/>
        <v>ZZZ, TN, 38340</v>
      </c>
    </row>
    <row r="685" spans="1:11" x14ac:dyDescent="0.15">
      <c r="A685">
        <v>1018918</v>
      </c>
      <c r="B685" s="54" t="s">
        <v>94</v>
      </c>
      <c r="C685" s="54" t="s">
        <v>95</v>
      </c>
      <c r="D685" s="54" t="s">
        <v>96</v>
      </c>
      <c r="E685" s="54" t="s">
        <v>97</v>
      </c>
      <c r="F685" t="s">
        <v>35</v>
      </c>
      <c r="G685">
        <v>38340</v>
      </c>
      <c r="H685">
        <v>360</v>
      </c>
      <c r="I685" t="str">
        <f t="shared" si="30"/>
        <v>AAA BBB</v>
      </c>
      <c r="J685" t="str">
        <f t="shared" si="31"/>
        <v>XXX</v>
      </c>
      <c r="K685" t="str">
        <f t="shared" si="32"/>
        <v>ZZZ, TN, 38340</v>
      </c>
    </row>
    <row r="686" spans="1:11" x14ac:dyDescent="0.15">
      <c r="A686">
        <v>1018918</v>
      </c>
      <c r="B686" s="54" t="s">
        <v>94</v>
      </c>
      <c r="C686" s="54" t="s">
        <v>95</v>
      </c>
      <c r="D686" s="54" t="s">
        <v>96</v>
      </c>
      <c r="E686" s="54" t="s">
        <v>97</v>
      </c>
      <c r="F686" t="s">
        <v>35</v>
      </c>
      <c r="G686">
        <v>38340</v>
      </c>
      <c r="H686">
        <v>360</v>
      </c>
      <c r="I686" t="str">
        <f t="shared" si="30"/>
        <v>AAA BBB</v>
      </c>
      <c r="J686" t="str">
        <f t="shared" si="31"/>
        <v>XXX</v>
      </c>
      <c r="K686" t="str">
        <f t="shared" si="32"/>
        <v>ZZZ, TN, 38340</v>
      </c>
    </row>
    <row r="687" spans="1:11" x14ac:dyDescent="0.15">
      <c r="A687">
        <v>1018918</v>
      </c>
      <c r="B687" s="54" t="s">
        <v>94</v>
      </c>
      <c r="C687" s="54" t="s">
        <v>95</v>
      </c>
      <c r="D687" s="54" t="s">
        <v>96</v>
      </c>
      <c r="E687" s="54" t="s">
        <v>97</v>
      </c>
      <c r="F687" t="s">
        <v>35</v>
      </c>
      <c r="G687">
        <v>38340</v>
      </c>
      <c r="H687">
        <v>360</v>
      </c>
      <c r="I687" t="str">
        <f t="shared" si="30"/>
        <v>AAA BBB</v>
      </c>
      <c r="J687" t="str">
        <f t="shared" si="31"/>
        <v>XXX</v>
      </c>
      <c r="K687" t="str">
        <f t="shared" si="32"/>
        <v>ZZZ, TN, 38340</v>
      </c>
    </row>
    <row r="688" spans="1:11" x14ac:dyDescent="0.15">
      <c r="A688">
        <v>1018918</v>
      </c>
      <c r="B688" s="54" t="s">
        <v>94</v>
      </c>
      <c r="C688" s="54" t="s">
        <v>95</v>
      </c>
      <c r="D688" s="54" t="s">
        <v>96</v>
      </c>
      <c r="E688" s="54" t="s">
        <v>97</v>
      </c>
      <c r="F688" t="s">
        <v>35</v>
      </c>
      <c r="G688">
        <v>38340</v>
      </c>
      <c r="H688">
        <v>360</v>
      </c>
      <c r="I688" t="str">
        <f t="shared" si="30"/>
        <v>AAA BBB</v>
      </c>
      <c r="J688" t="str">
        <f t="shared" si="31"/>
        <v>XXX</v>
      </c>
      <c r="K688" t="str">
        <f t="shared" si="32"/>
        <v>ZZZ, TN, 38340</v>
      </c>
    </row>
    <row r="689" spans="1:11" x14ac:dyDescent="0.15">
      <c r="A689">
        <v>1018918</v>
      </c>
      <c r="B689" s="54" t="s">
        <v>94</v>
      </c>
      <c r="C689" s="54" t="s">
        <v>95</v>
      </c>
      <c r="D689" s="54" t="s">
        <v>96</v>
      </c>
      <c r="E689" s="54" t="s">
        <v>97</v>
      </c>
      <c r="F689" t="s">
        <v>35</v>
      </c>
      <c r="G689">
        <v>38340</v>
      </c>
      <c r="H689">
        <v>360</v>
      </c>
      <c r="I689" t="str">
        <f t="shared" si="30"/>
        <v>AAA BBB</v>
      </c>
      <c r="J689" t="str">
        <f t="shared" si="31"/>
        <v>XXX</v>
      </c>
      <c r="K689" t="str">
        <f t="shared" si="32"/>
        <v>ZZZ, TN, 38340</v>
      </c>
    </row>
    <row r="690" spans="1:11" x14ac:dyDescent="0.15">
      <c r="A690">
        <v>1018918</v>
      </c>
      <c r="B690" s="54" t="s">
        <v>94</v>
      </c>
      <c r="C690" s="54" t="s">
        <v>95</v>
      </c>
      <c r="D690" s="54" t="s">
        <v>96</v>
      </c>
      <c r="E690" s="54" t="s">
        <v>97</v>
      </c>
      <c r="F690" t="s">
        <v>35</v>
      </c>
      <c r="G690">
        <v>38340</v>
      </c>
      <c r="H690">
        <v>360</v>
      </c>
      <c r="I690" t="str">
        <f t="shared" si="30"/>
        <v>AAA BBB</v>
      </c>
      <c r="J690" t="str">
        <f t="shared" si="31"/>
        <v>XXX</v>
      </c>
      <c r="K690" t="str">
        <f t="shared" si="32"/>
        <v>ZZZ, TN, 38340</v>
      </c>
    </row>
    <row r="691" spans="1:11" x14ac:dyDescent="0.15">
      <c r="A691">
        <v>1018918</v>
      </c>
      <c r="B691" s="54" t="s">
        <v>94</v>
      </c>
      <c r="C691" s="54" t="s">
        <v>95</v>
      </c>
      <c r="D691" s="54" t="s">
        <v>96</v>
      </c>
      <c r="E691" s="54" t="s">
        <v>97</v>
      </c>
      <c r="F691" t="s">
        <v>35</v>
      </c>
      <c r="G691">
        <v>38340</v>
      </c>
      <c r="H691">
        <v>360</v>
      </c>
      <c r="I691" t="str">
        <f t="shared" si="30"/>
        <v>AAA BBB</v>
      </c>
      <c r="J691" t="str">
        <f t="shared" si="31"/>
        <v>XXX</v>
      </c>
      <c r="K691" t="str">
        <f t="shared" si="32"/>
        <v>ZZZ, TN, 38340</v>
      </c>
    </row>
    <row r="692" spans="1:11" x14ac:dyDescent="0.15">
      <c r="A692">
        <v>1018918</v>
      </c>
      <c r="B692" s="54" t="s">
        <v>94</v>
      </c>
      <c r="C692" s="54" t="s">
        <v>95</v>
      </c>
      <c r="D692" s="54" t="s">
        <v>96</v>
      </c>
      <c r="E692" s="54" t="s">
        <v>97</v>
      </c>
      <c r="F692" t="s">
        <v>35</v>
      </c>
      <c r="G692">
        <v>38340</v>
      </c>
      <c r="H692">
        <v>360</v>
      </c>
      <c r="I692" t="str">
        <f t="shared" si="30"/>
        <v>AAA BBB</v>
      </c>
      <c r="J692" t="str">
        <f t="shared" si="31"/>
        <v>XXX</v>
      </c>
      <c r="K692" t="str">
        <f t="shared" si="32"/>
        <v>ZZZ, TN, 38340</v>
      </c>
    </row>
    <row r="693" spans="1:11" x14ac:dyDescent="0.15">
      <c r="A693">
        <v>1018918</v>
      </c>
      <c r="B693" s="54" t="s">
        <v>94</v>
      </c>
      <c r="C693" s="54" t="s">
        <v>95</v>
      </c>
      <c r="D693" s="54" t="s">
        <v>96</v>
      </c>
      <c r="E693" s="54" t="s">
        <v>97</v>
      </c>
      <c r="F693" t="s">
        <v>35</v>
      </c>
      <c r="G693">
        <v>38340</v>
      </c>
      <c r="H693">
        <v>360</v>
      </c>
      <c r="I693" t="str">
        <f t="shared" si="30"/>
        <v>AAA BBB</v>
      </c>
      <c r="J693" t="str">
        <f t="shared" si="31"/>
        <v>XXX</v>
      </c>
      <c r="K693" t="str">
        <f t="shared" si="32"/>
        <v>ZZZ, TN, 38340</v>
      </c>
    </row>
    <row r="694" spans="1:11" x14ac:dyDescent="0.15">
      <c r="A694">
        <v>1018918</v>
      </c>
      <c r="B694" s="54" t="s">
        <v>94</v>
      </c>
      <c r="C694" s="54" t="s">
        <v>95</v>
      </c>
      <c r="D694" s="54" t="s">
        <v>96</v>
      </c>
      <c r="E694" s="54" t="s">
        <v>97</v>
      </c>
      <c r="F694" t="s">
        <v>35</v>
      </c>
      <c r="G694">
        <v>38340</v>
      </c>
      <c r="H694">
        <v>360</v>
      </c>
      <c r="I694" t="str">
        <f t="shared" si="30"/>
        <v>AAA BBB</v>
      </c>
      <c r="J694" t="str">
        <f t="shared" si="31"/>
        <v>XXX</v>
      </c>
      <c r="K694" t="str">
        <f t="shared" si="32"/>
        <v>ZZZ, TN, 38340</v>
      </c>
    </row>
    <row r="695" spans="1:11" x14ac:dyDescent="0.15">
      <c r="A695">
        <v>1018918</v>
      </c>
      <c r="B695" s="54" t="s">
        <v>94</v>
      </c>
      <c r="C695" s="54" t="s">
        <v>95</v>
      </c>
      <c r="D695" s="54" t="s">
        <v>96</v>
      </c>
      <c r="E695" s="54" t="s">
        <v>97</v>
      </c>
      <c r="F695" t="s">
        <v>35</v>
      </c>
      <c r="G695">
        <v>38340</v>
      </c>
      <c r="H695">
        <v>360</v>
      </c>
      <c r="I695" t="str">
        <f t="shared" si="30"/>
        <v>AAA BBB</v>
      </c>
      <c r="J695" t="str">
        <f t="shared" si="31"/>
        <v>XXX</v>
      </c>
      <c r="K695" t="str">
        <f t="shared" si="32"/>
        <v>ZZZ, TN, 38340</v>
      </c>
    </row>
    <row r="696" spans="1:11" x14ac:dyDescent="0.15">
      <c r="A696">
        <v>1018918</v>
      </c>
      <c r="B696" s="54" t="s">
        <v>94</v>
      </c>
      <c r="C696" s="54" t="s">
        <v>95</v>
      </c>
      <c r="D696" s="54" t="s">
        <v>96</v>
      </c>
      <c r="E696" s="54" t="s">
        <v>97</v>
      </c>
      <c r="F696" t="s">
        <v>35</v>
      </c>
      <c r="G696">
        <v>38340</v>
      </c>
      <c r="H696">
        <v>360</v>
      </c>
      <c r="I696" t="str">
        <f t="shared" si="30"/>
        <v>AAA BBB</v>
      </c>
      <c r="J696" t="str">
        <f t="shared" si="31"/>
        <v>XXX</v>
      </c>
      <c r="K696" t="str">
        <f t="shared" si="32"/>
        <v>ZZZ, TN, 38340</v>
      </c>
    </row>
    <row r="697" spans="1:11" x14ac:dyDescent="0.15">
      <c r="A697">
        <v>1018918</v>
      </c>
      <c r="B697" s="54" t="s">
        <v>94</v>
      </c>
      <c r="C697" s="54" t="s">
        <v>95</v>
      </c>
      <c r="D697" s="54" t="s">
        <v>96</v>
      </c>
      <c r="E697" s="54" t="s">
        <v>97</v>
      </c>
      <c r="F697" t="s">
        <v>35</v>
      </c>
      <c r="G697">
        <v>38340</v>
      </c>
      <c r="H697">
        <v>360</v>
      </c>
      <c r="I697" t="str">
        <f t="shared" si="30"/>
        <v>AAA BBB</v>
      </c>
      <c r="J697" t="str">
        <f t="shared" si="31"/>
        <v>XXX</v>
      </c>
      <c r="K697" t="str">
        <f t="shared" si="32"/>
        <v>ZZZ, TN, 38340</v>
      </c>
    </row>
    <row r="698" spans="1:11" x14ac:dyDescent="0.15">
      <c r="A698">
        <v>1018918</v>
      </c>
      <c r="B698" s="54" t="s">
        <v>94</v>
      </c>
      <c r="C698" s="54" t="s">
        <v>95</v>
      </c>
      <c r="D698" s="54" t="s">
        <v>96</v>
      </c>
      <c r="E698" s="54" t="s">
        <v>97</v>
      </c>
      <c r="F698" t="s">
        <v>35</v>
      </c>
      <c r="G698">
        <v>38340</v>
      </c>
      <c r="H698">
        <v>360</v>
      </c>
      <c r="I698" t="str">
        <f t="shared" si="30"/>
        <v>AAA BBB</v>
      </c>
      <c r="J698" t="str">
        <f t="shared" si="31"/>
        <v>XXX</v>
      </c>
      <c r="K698" t="str">
        <f t="shared" si="32"/>
        <v>ZZZ, TN, 38340</v>
      </c>
    </row>
    <row r="699" spans="1:11" x14ac:dyDescent="0.15">
      <c r="A699">
        <v>1018918</v>
      </c>
      <c r="B699" s="54" t="s">
        <v>94</v>
      </c>
      <c r="C699" s="54" t="s">
        <v>95</v>
      </c>
      <c r="D699" s="54" t="s">
        <v>96</v>
      </c>
      <c r="E699" s="54" t="s">
        <v>97</v>
      </c>
      <c r="F699" t="s">
        <v>35</v>
      </c>
      <c r="G699">
        <v>38340</v>
      </c>
      <c r="H699">
        <v>360</v>
      </c>
      <c r="I699" t="str">
        <f t="shared" si="30"/>
        <v>AAA BBB</v>
      </c>
      <c r="J699" t="str">
        <f t="shared" si="31"/>
        <v>XXX</v>
      </c>
      <c r="K699" t="str">
        <f t="shared" si="32"/>
        <v>ZZZ, TN, 38340</v>
      </c>
    </row>
    <row r="700" spans="1:11" x14ac:dyDescent="0.15">
      <c r="A700">
        <v>1018918</v>
      </c>
      <c r="B700" s="54" t="s">
        <v>94</v>
      </c>
      <c r="C700" s="54" t="s">
        <v>95</v>
      </c>
      <c r="D700" s="54" t="s">
        <v>96</v>
      </c>
      <c r="E700" s="54" t="s">
        <v>97</v>
      </c>
      <c r="F700" t="s">
        <v>35</v>
      </c>
      <c r="G700">
        <v>38340</v>
      </c>
      <c r="H700">
        <v>360</v>
      </c>
      <c r="I700" t="str">
        <f t="shared" si="30"/>
        <v>AAA BBB</v>
      </c>
      <c r="J700" t="str">
        <f t="shared" si="31"/>
        <v>XXX</v>
      </c>
      <c r="K700" t="str">
        <f t="shared" si="32"/>
        <v>ZZZ, TN, 38340</v>
      </c>
    </row>
    <row r="701" spans="1:11" x14ac:dyDescent="0.15">
      <c r="A701">
        <v>1018918</v>
      </c>
      <c r="B701" s="54" t="s">
        <v>94</v>
      </c>
      <c r="C701" s="54" t="s">
        <v>95</v>
      </c>
      <c r="D701" s="54" t="s">
        <v>96</v>
      </c>
      <c r="E701" s="54" t="s">
        <v>97</v>
      </c>
      <c r="F701" t="s">
        <v>35</v>
      </c>
      <c r="G701">
        <v>38340</v>
      </c>
      <c r="H701">
        <v>360</v>
      </c>
      <c r="I701" t="str">
        <f t="shared" si="30"/>
        <v>AAA BBB</v>
      </c>
      <c r="J701" t="str">
        <f t="shared" si="31"/>
        <v>XXX</v>
      </c>
      <c r="K701" t="str">
        <f t="shared" si="32"/>
        <v>ZZZ, TN, 38340</v>
      </c>
    </row>
    <row r="702" spans="1:11" x14ac:dyDescent="0.15">
      <c r="A702">
        <v>1018918</v>
      </c>
      <c r="B702" s="54" t="s">
        <v>94</v>
      </c>
      <c r="C702" s="54" t="s">
        <v>95</v>
      </c>
      <c r="D702" s="54" t="s">
        <v>96</v>
      </c>
      <c r="E702" s="54" t="s">
        <v>97</v>
      </c>
      <c r="F702" t="s">
        <v>35</v>
      </c>
      <c r="G702">
        <v>38340</v>
      </c>
      <c r="H702">
        <v>360</v>
      </c>
      <c r="I702" t="str">
        <f t="shared" si="30"/>
        <v>AAA BBB</v>
      </c>
      <c r="J702" t="str">
        <f t="shared" si="31"/>
        <v>XXX</v>
      </c>
      <c r="K702" t="str">
        <f t="shared" si="32"/>
        <v>ZZZ, TN, 38340</v>
      </c>
    </row>
    <row r="703" spans="1:11" x14ac:dyDescent="0.15">
      <c r="A703">
        <v>1018918</v>
      </c>
      <c r="B703" s="54" t="s">
        <v>94</v>
      </c>
      <c r="C703" s="54" t="s">
        <v>95</v>
      </c>
      <c r="D703" s="54" t="s">
        <v>96</v>
      </c>
      <c r="E703" s="54" t="s">
        <v>97</v>
      </c>
      <c r="F703" t="s">
        <v>35</v>
      </c>
      <c r="G703">
        <v>38340</v>
      </c>
      <c r="H703">
        <v>360</v>
      </c>
      <c r="I703" t="str">
        <f t="shared" si="30"/>
        <v>AAA BBB</v>
      </c>
      <c r="J703" t="str">
        <f t="shared" si="31"/>
        <v>XXX</v>
      </c>
      <c r="K703" t="str">
        <f t="shared" si="32"/>
        <v>ZZZ, TN, 38340</v>
      </c>
    </row>
    <row r="704" spans="1:11" x14ac:dyDescent="0.15">
      <c r="A704">
        <v>1018918</v>
      </c>
      <c r="B704" s="54" t="s">
        <v>94</v>
      </c>
      <c r="C704" s="54" t="s">
        <v>95</v>
      </c>
      <c r="D704" s="54" t="s">
        <v>96</v>
      </c>
      <c r="E704" s="54" t="s">
        <v>97</v>
      </c>
      <c r="F704" t="s">
        <v>35</v>
      </c>
      <c r="G704">
        <v>38340</v>
      </c>
      <c r="H704">
        <v>360</v>
      </c>
      <c r="I704" t="str">
        <f t="shared" si="30"/>
        <v>AAA BBB</v>
      </c>
      <c r="J704" t="str">
        <f t="shared" si="31"/>
        <v>XXX</v>
      </c>
      <c r="K704" t="str">
        <f t="shared" si="32"/>
        <v>ZZZ, TN, 38340</v>
      </c>
    </row>
    <row r="705" spans="1:11" x14ac:dyDescent="0.15">
      <c r="A705">
        <v>1018918</v>
      </c>
      <c r="B705" s="54" t="s">
        <v>94</v>
      </c>
      <c r="C705" s="54" t="s">
        <v>95</v>
      </c>
      <c r="D705" s="54" t="s">
        <v>96</v>
      </c>
      <c r="E705" s="54" t="s">
        <v>97</v>
      </c>
      <c r="F705" t="s">
        <v>35</v>
      </c>
      <c r="G705">
        <v>38340</v>
      </c>
      <c r="H705">
        <v>360</v>
      </c>
      <c r="I705" t="str">
        <f t="shared" si="30"/>
        <v>AAA BBB</v>
      </c>
      <c r="J705" t="str">
        <f t="shared" si="31"/>
        <v>XXX</v>
      </c>
      <c r="K705" t="str">
        <f t="shared" si="32"/>
        <v>ZZZ, TN, 38340</v>
      </c>
    </row>
    <row r="706" spans="1:11" x14ac:dyDescent="0.15">
      <c r="A706">
        <v>1018918</v>
      </c>
      <c r="B706" s="54" t="s">
        <v>94</v>
      </c>
      <c r="C706" s="54" t="s">
        <v>95</v>
      </c>
      <c r="D706" s="54" t="s">
        <v>96</v>
      </c>
      <c r="E706" s="54" t="s">
        <v>97</v>
      </c>
      <c r="F706" t="s">
        <v>35</v>
      </c>
      <c r="G706">
        <v>38340</v>
      </c>
      <c r="H706">
        <v>360</v>
      </c>
      <c r="I706" t="str">
        <f t="shared" si="30"/>
        <v>AAA BBB</v>
      </c>
      <c r="J706" t="str">
        <f t="shared" si="31"/>
        <v>XXX</v>
      </c>
      <c r="K706" t="str">
        <f t="shared" si="32"/>
        <v>ZZZ, TN, 38340</v>
      </c>
    </row>
    <row r="707" spans="1:11" x14ac:dyDescent="0.15">
      <c r="A707">
        <v>1018918</v>
      </c>
      <c r="B707" s="54" t="s">
        <v>94</v>
      </c>
      <c r="C707" s="54" t="s">
        <v>95</v>
      </c>
      <c r="D707" s="54" t="s">
        <v>96</v>
      </c>
      <c r="E707" s="54" t="s">
        <v>97</v>
      </c>
      <c r="F707" t="s">
        <v>35</v>
      </c>
      <c r="G707">
        <v>38340</v>
      </c>
      <c r="H707">
        <v>360</v>
      </c>
      <c r="I707" t="str">
        <f t="shared" ref="I707:I770" si="33">CONCATENATE(B707," ",C707)</f>
        <v>AAA BBB</v>
      </c>
      <c r="J707" t="str">
        <f t="shared" ref="J707:J770" si="34">D707</f>
        <v>XXX</v>
      </c>
      <c r="K707" t="str">
        <f t="shared" ref="K707:K770" si="35">CONCATENATE(E707,","," ",F707,","," ",G707)</f>
        <v>ZZZ, TN, 38340</v>
      </c>
    </row>
    <row r="708" spans="1:11" x14ac:dyDescent="0.15">
      <c r="A708">
        <v>1018918</v>
      </c>
      <c r="B708" s="54" t="s">
        <v>94</v>
      </c>
      <c r="C708" s="54" t="s">
        <v>95</v>
      </c>
      <c r="D708" s="54" t="s">
        <v>96</v>
      </c>
      <c r="E708" s="54" t="s">
        <v>97</v>
      </c>
      <c r="F708" t="s">
        <v>35</v>
      </c>
      <c r="G708">
        <v>38340</v>
      </c>
      <c r="H708">
        <v>360</v>
      </c>
      <c r="I708" t="str">
        <f t="shared" si="33"/>
        <v>AAA BBB</v>
      </c>
      <c r="J708" t="str">
        <f t="shared" si="34"/>
        <v>XXX</v>
      </c>
      <c r="K708" t="str">
        <f t="shared" si="35"/>
        <v>ZZZ, TN, 38340</v>
      </c>
    </row>
    <row r="709" spans="1:11" x14ac:dyDescent="0.15">
      <c r="A709">
        <v>1018918</v>
      </c>
      <c r="B709" s="54" t="s">
        <v>94</v>
      </c>
      <c r="C709" s="54" t="s">
        <v>95</v>
      </c>
      <c r="D709" s="54" t="s">
        <v>96</v>
      </c>
      <c r="E709" s="54" t="s">
        <v>97</v>
      </c>
      <c r="F709" t="s">
        <v>35</v>
      </c>
      <c r="G709">
        <v>38340</v>
      </c>
      <c r="H709">
        <v>360</v>
      </c>
      <c r="I709" t="str">
        <f t="shared" si="33"/>
        <v>AAA BBB</v>
      </c>
      <c r="J709" t="str">
        <f t="shared" si="34"/>
        <v>XXX</v>
      </c>
      <c r="K709" t="str">
        <f t="shared" si="35"/>
        <v>ZZZ, TN, 38340</v>
      </c>
    </row>
    <row r="710" spans="1:11" x14ac:dyDescent="0.15">
      <c r="A710">
        <v>1018918</v>
      </c>
      <c r="B710" s="54" t="s">
        <v>94</v>
      </c>
      <c r="C710" s="54" t="s">
        <v>95</v>
      </c>
      <c r="D710" s="54" t="s">
        <v>96</v>
      </c>
      <c r="E710" s="54" t="s">
        <v>97</v>
      </c>
      <c r="F710" t="s">
        <v>35</v>
      </c>
      <c r="G710">
        <v>38340</v>
      </c>
      <c r="H710">
        <v>360</v>
      </c>
      <c r="I710" t="str">
        <f t="shared" si="33"/>
        <v>AAA BBB</v>
      </c>
      <c r="J710" t="str">
        <f t="shared" si="34"/>
        <v>XXX</v>
      </c>
      <c r="K710" t="str">
        <f t="shared" si="35"/>
        <v>ZZZ, TN, 38340</v>
      </c>
    </row>
    <row r="711" spans="1:11" x14ac:dyDescent="0.15">
      <c r="A711">
        <v>1018918</v>
      </c>
      <c r="B711" s="54" t="s">
        <v>94</v>
      </c>
      <c r="C711" s="54" t="s">
        <v>95</v>
      </c>
      <c r="D711" s="54" t="s">
        <v>96</v>
      </c>
      <c r="E711" s="54" t="s">
        <v>97</v>
      </c>
      <c r="F711" t="s">
        <v>35</v>
      </c>
      <c r="G711">
        <v>38340</v>
      </c>
      <c r="H711">
        <v>360</v>
      </c>
      <c r="I711" t="str">
        <f t="shared" si="33"/>
        <v>AAA BBB</v>
      </c>
      <c r="J711" t="str">
        <f t="shared" si="34"/>
        <v>XXX</v>
      </c>
      <c r="K711" t="str">
        <f t="shared" si="35"/>
        <v>ZZZ, TN, 38340</v>
      </c>
    </row>
    <row r="712" spans="1:11" x14ac:dyDescent="0.15">
      <c r="A712">
        <v>1018918</v>
      </c>
      <c r="B712" s="54" t="s">
        <v>94</v>
      </c>
      <c r="C712" s="54" t="s">
        <v>95</v>
      </c>
      <c r="D712" s="54" t="s">
        <v>96</v>
      </c>
      <c r="E712" s="54" t="s">
        <v>97</v>
      </c>
      <c r="F712" t="s">
        <v>35</v>
      </c>
      <c r="G712">
        <v>38340</v>
      </c>
      <c r="H712">
        <v>360</v>
      </c>
      <c r="I712" t="str">
        <f t="shared" si="33"/>
        <v>AAA BBB</v>
      </c>
      <c r="J712" t="str">
        <f t="shared" si="34"/>
        <v>XXX</v>
      </c>
      <c r="K712" t="str">
        <f t="shared" si="35"/>
        <v>ZZZ, TN, 38340</v>
      </c>
    </row>
    <row r="713" spans="1:11" x14ac:dyDescent="0.15">
      <c r="A713">
        <v>1018918</v>
      </c>
      <c r="B713" s="54" t="s">
        <v>94</v>
      </c>
      <c r="C713" s="54" t="s">
        <v>95</v>
      </c>
      <c r="D713" s="54" t="s">
        <v>96</v>
      </c>
      <c r="E713" s="54" t="s">
        <v>97</v>
      </c>
      <c r="F713" t="s">
        <v>35</v>
      </c>
      <c r="G713">
        <v>38340</v>
      </c>
      <c r="H713">
        <v>360</v>
      </c>
      <c r="I713" t="str">
        <f t="shared" si="33"/>
        <v>AAA BBB</v>
      </c>
      <c r="J713" t="str">
        <f t="shared" si="34"/>
        <v>XXX</v>
      </c>
      <c r="K713" t="str">
        <f t="shared" si="35"/>
        <v>ZZZ, TN, 38340</v>
      </c>
    </row>
    <row r="714" spans="1:11" x14ac:dyDescent="0.15">
      <c r="A714">
        <v>1018918</v>
      </c>
      <c r="B714" s="54" t="s">
        <v>94</v>
      </c>
      <c r="C714" s="54" t="s">
        <v>95</v>
      </c>
      <c r="D714" s="54" t="s">
        <v>96</v>
      </c>
      <c r="E714" s="54" t="s">
        <v>97</v>
      </c>
      <c r="F714" t="s">
        <v>35</v>
      </c>
      <c r="G714">
        <v>38340</v>
      </c>
      <c r="H714">
        <v>360</v>
      </c>
      <c r="I714" t="str">
        <f t="shared" si="33"/>
        <v>AAA BBB</v>
      </c>
      <c r="J714" t="str">
        <f t="shared" si="34"/>
        <v>XXX</v>
      </c>
      <c r="K714" t="str">
        <f t="shared" si="35"/>
        <v>ZZZ, TN, 38340</v>
      </c>
    </row>
    <row r="715" spans="1:11" x14ac:dyDescent="0.15">
      <c r="A715">
        <v>1018918</v>
      </c>
      <c r="B715" s="54" t="s">
        <v>94</v>
      </c>
      <c r="C715" s="54" t="s">
        <v>95</v>
      </c>
      <c r="D715" s="54" t="s">
        <v>96</v>
      </c>
      <c r="E715" s="54" t="s">
        <v>97</v>
      </c>
      <c r="F715" t="s">
        <v>35</v>
      </c>
      <c r="G715">
        <v>38340</v>
      </c>
      <c r="H715">
        <v>360</v>
      </c>
      <c r="I715" t="str">
        <f t="shared" si="33"/>
        <v>AAA BBB</v>
      </c>
      <c r="J715" t="str">
        <f t="shared" si="34"/>
        <v>XXX</v>
      </c>
      <c r="K715" t="str">
        <f t="shared" si="35"/>
        <v>ZZZ, TN, 38340</v>
      </c>
    </row>
    <row r="716" spans="1:11" x14ac:dyDescent="0.15">
      <c r="A716">
        <v>1018918</v>
      </c>
      <c r="B716" s="54" t="s">
        <v>94</v>
      </c>
      <c r="C716" s="54" t="s">
        <v>95</v>
      </c>
      <c r="D716" s="54" t="s">
        <v>96</v>
      </c>
      <c r="E716" s="54" t="s">
        <v>97</v>
      </c>
      <c r="F716" t="s">
        <v>35</v>
      </c>
      <c r="G716">
        <v>38340</v>
      </c>
      <c r="H716">
        <v>360</v>
      </c>
      <c r="I716" t="str">
        <f t="shared" si="33"/>
        <v>AAA BBB</v>
      </c>
      <c r="J716" t="str">
        <f t="shared" si="34"/>
        <v>XXX</v>
      </c>
      <c r="K716" t="str">
        <f t="shared" si="35"/>
        <v>ZZZ, TN, 38340</v>
      </c>
    </row>
    <row r="717" spans="1:11" x14ac:dyDescent="0.15">
      <c r="A717">
        <v>1018918</v>
      </c>
      <c r="B717" s="54" t="s">
        <v>94</v>
      </c>
      <c r="C717" s="54" t="s">
        <v>95</v>
      </c>
      <c r="D717" s="54" t="s">
        <v>96</v>
      </c>
      <c r="E717" s="54" t="s">
        <v>97</v>
      </c>
      <c r="F717" t="s">
        <v>35</v>
      </c>
      <c r="G717">
        <v>38340</v>
      </c>
      <c r="H717">
        <v>360</v>
      </c>
      <c r="I717" t="str">
        <f t="shared" si="33"/>
        <v>AAA BBB</v>
      </c>
      <c r="J717" t="str">
        <f t="shared" si="34"/>
        <v>XXX</v>
      </c>
      <c r="K717" t="str">
        <f t="shared" si="35"/>
        <v>ZZZ, TN, 38340</v>
      </c>
    </row>
    <row r="718" spans="1:11" x14ac:dyDescent="0.15">
      <c r="A718">
        <v>1018918</v>
      </c>
      <c r="B718" s="54" t="s">
        <v>94</v>
      </c>
      <c r="C718" s="54" t="s">
        <v>95</v>
      </c>
      <c r="D718" s="54" t="s">
        <v>96</v>
      </c>
      <c r="E718" s="54" t="s">
        <v>97</v>
      </c>
      <c r="F718" t="s">
        <v>35</v>
      </c>
      <c r="G718">
        <v>38340</v>
      </c>
      <c r="H718">
        <v>360</v>
      </c>
      <c r="I718" t="str">
        <f t="shared" si="33"/>
        <v>AAA BBB</v>
      </c>
      <c r="J718" t="str">
        <f t="shared" si="34"/>
        <v>XXX</v>
      </c>
      <c r="K718" t="str">
        <f t="shared" si="35"/>
        <v>ZZZ, TN, 38340</v>
      </c>
    </row>
    <row r="719" spans="1:11" x14ac:dyDescent="0.15">
      <c r="A719">
        <v>1018918</v>
      </c>
      <c r="B719" s="54" t="s">
        <v>94</v>
      </c>
      <c r="C719" s="54" t="s">
        <v>95</v>
      </c>
      <c r="D719" s="54" t="s">
        <v>96</v>
      </c>
      <c r="E719" s="54" t="s">
        <v>97</v>
      </c>
      <c r="F719" t="s">
        <v>35</v>
      </c>
      <c r="G719">
        <v>38340</v>
      </c>
      <c r="H719">
        <v>360</v>
      </c>
      <c r="I719" t="str">
        <f t="shared" si="33"/>
        <v>AAA BBB</v>
      </c>
      <c r="J719" t="str">
        <f t="shared" si="34"/>
        <v>XXX</v>
      </c>
      <c r="K719" t="str">
        <f t="shared" si="35"/>
        <v>ZZZ, TN, 38340</v>
      </c>
    </row>
    <row r="720" spans="1:11" x14ac:dyDescent="0.15">
      <c r="A720">
        <v>1018918</v>
      </c>
      <c r="B720" s="54" t="s">
        <v>94</v>
      </c>
      <c r="C720" s="54" t="s">
        <v>95</v>
      </c>
      <c r="D720" s="54" t="s">
        <v>96</v>
      </c>
      <c r="E720" s="54" t="s">
        <v>97</v>
      </c>
      <c r="F720" t="s">
        <v>35</v>
      </c>
      <c r="G720">
        <v>38340</v>
      </c>
      <c r="H720">
        <v>360</v>
      </c>
      <c r="I720" t="str">
        <f t="shared" si="33"/>
        <v>AAA BBB</v>
      </c>
      <c r="J720" t="str">
        <f t="shared" si="34"/>
        <v>XXX</v>
      </c>
      <c r="K720" t="str">
        <f t="shared" si="35"/>
        <v>ZZZ, TN, 38340</v>
      </c>
    </row>
    <row r="721" spans="1:11" x14ac:dyDescent="0.15">
      <c r="A721">
        <v>1018918</v>
      </c>
      <c r="B721" s="54" t="s">
        <v>94</v>
      </c>
      <c r="C721" s="54" t="s">
        <v>95</v>
      </c>
      <c r="D721" s="54" t="s">
        <v>96</v>
      </c>
      <c r="E721" s="54" t="s">
        <v>97</v>
      </c>
      <c r="F721" t="s">
        <v>35</v>
      </c>
      <c r="G721">
        <v>38340</v>
      </c>
      <c r="H721">
        <v>360</v>
      </c>
      <c r="I721" t="str">
        <f t="shared" si="33"/>
        <v>AAA BBB</v>
      </c>
      <c r="J721" t="str">
        <f t="shared" si="34"/>
        <v>XXX</v>
      </c>
      <c r="K721" t="str">
        <f t="shared" si="35"/>
        <v>ZZZ, TN, 38340</v>
      </c>
    </row>
    <row r="722" spans="1:11" x14ac:dyDescent="0.15">
      <c r="A722">
        <v>1018918</v>
      </c>
      <c r="B722" s="54" t="s">
        <v>94</v>
      </c>
      <c r="C722" s="54" t="s">
        <v>95</v>
      </c>
      <c r="D722" s="54" t="s">
        <v>96</v>
      </c>
      <c r="E722" s="54" t="s">
        <v>97</v>
      </c>
      <c r="F722" t="s">
        <v>35</v>
      </c>
      <c r="G722">
        <v>38340</v>
      </c>
      <c r="H722">
        <v>360</v>
      </c>
      <c r="I722" t="str">
        <f t="shared" si="33"/>
        <v>AAA BBB</v>
      </c>
      <c r="J722" t="str">
        <f t="shared" si="34"/>
        <v>XXX</v>
      </c>
      <c r="K722" t="str">
        <f t="shared" si="35"/>
        <v>ZZZ, TN, 38340</v>
      </c>
    </row>
    <row r="723" spans="1:11" x14ac:dyDescent="0.15">
      <c r="A723">
        <v>1018918</v>
      </c>
      <c r="B723" s="54" t="s">
        <v>94</v>
      </c>
      <c r="C723" s="54" t="s">
        <v>95</v>
      </c>
      <c r="D723" s="54" t="s">
        <v>96</v>
      </c>
      <c r="E723" s="54" t="s">
        <v>97</v>
      </c>
      <c r="F723" t="s">
        <v>35</v>
      </c>
      <c r="G723">
        <v>38340</v>
      </c>
      <c r="H723">
        <v>360</v>
      </c>
      <c r="I723" t="str">
        <f t="shared" si="33"/>
        <v>AAA BBB</v>
      </c>
      <c r="J723" t="str">
        <f t="shared" si="34"/>
        <v>XXX</v>
      </c>
      <c r="K723" t="str">
        <f t="shared" si="35"/>
        <v>ZZZ, TN, 38340</v>
      </c>
    </row>
    <row r="724" spans="1:11" x14ac:dyDescent="0.15">
      <c r="A724">
        <v>1018918</v>
      </c>
      <c r="B724" s="54" t="s">
        <v>94</v>
      </c>
      <c r="C724" s="54" t="s">
        <v>95</v>
      </c>
      <c r="D724" s="54" t="s">
        <v>96</v>
      </c>
      <c r="E724" s="54" t="s">
        <v>97</v>
      </c>
      <c r="F724" t="s">
        <v>35</v>
      </c>
      <c r="G724">
        <v>38340</v>
      </c>
      <c r="H724">
        <v>360</v>
      </c>
      <c r="I724" t="str">
        <f t="shared" si="33"/>
        <v>AAA BBB</v>
      </c>
      <c r="J724" t="str">
        <f t="shared" si="34"/>
        <v>XXX</v>
      </c>
      <c r="K724" t="str">
        <f t="shared" si="35"/>
        <v>ZZZ, TN, 38340</v>
      </c>
    </row>
    <row r="725" spans="1:11" x14ac:dyDescent="0.15">
      <c r="A725">
        <v>1018918</v>
      </c>
      <c r="B725" s="54" t="s">
        <v>94</v>
      </c>
      <c r="C725" s="54" t="s">
        <v>95</v>
      </c>
      <c r="D725" s="54" t="s">
        <v>96</v>
      </c>
      <c r="E725" s="54" t="s">
        <v>97</v>
      </c>
      <c r="F725" t="s">
        <v>35</v>
      </c>
      <c r="G725">
        <v>38340</v>
      </c>
      <c r="H725">
        <v>360</v>
      </c>
      <c r="I725" t="str">
        <f t="shared" si="33"/>
        <v>AAA BBB</v>
      </c>
      <c r="J725" t="str">
        <f t="shared" si="34"/>
        <v>XXX</v>
      </c>
      <c r="K725" t="str">
        <f t="shared" si="35"/>
        <v>ZZZ, TN, 38340</v>
      </c>
    </row>
    <row r="726" spans="1:11" x14ac:dyDescent="0.15">
      <c r="A726">
        <v>1018918</v>
      </c>
      <c r="B726" s="54" t="s">
        <v>94</v>
      </c>
      <c r="C726" s="54" t="s">
        <v>95</v>
      </c>
      <c r="D726" s="54" t="s">
        <v>96</v>
      </c>
      <c r="E726" s="54" t="s">
        <v>97</v>
      </c>
      <c r="F726" t="s">
        <v>35</v>
      </c>
      <c r="G726">
        <v>38340</v>
      </c>
      <c r="H726">
        <v>360</v>
      </c>
      <c r="I726" t="str">
        <f t="shared" si="33"/>
        <v>AAA BBB</v>
      </c>
      <c r="J726" t="str">
        <f t="shared" si="34"/>
        <v>XXX</v>
      </c>
      <c r="K726" t="str">
        <f t="shared" si="35"/>
        <v>ZZZ, TN, 38340</v>
      </c>
    </row>
    <row r="727" spans="1:11" x14ac:dyDescent="0.15">
      <c r="A727">
        <v>1018918</v>
      </c>
      <c r="B727" s="54" t="s">
        <v>94</v>
      </c>
      <c r="C727" s="54" t="s">
        <v>95</v>
      </c>
      <c r="D727" s="54" t="s">
        <v>96</v>
      </c>
      <c r="E727" s="54" t="s">
        <v>97</v>
      </c>
      <c r="F727" t="s">
        <v>35</v>
      </c>
      <c r="G727">
        <v>38340</v>
      </c>
      <c r="H727">
        <v>360</v>
      </c>
      <c r="I727" t="str">
        <f t="shared" si="33"/>
        <v>AAA BBB</v>
      </c>
      <c r="J727" t="str">
        <f t="shared" si="34"/>
        <v>XXX</v>
      </c>
      <c r="K727" t="str">
        <f t="shared" si="35"/>
        <v>ZZZ, TN, 38340</v>
      </c>
    </row>
    <row r="728" spans="1:11" x14ac:dyDescent="0.15">
      <c r="A728">
        <v>1018918</v>
      </c>
      <c r="B728" s="54" t="s">
        <v>94</v>
      </c>
      <c r="C728" s="54" t="s">
        <v>95</v>
      </c>
      <c r="D728" s="54" t="s">
        <v>96</v>
      </c>
      <c r="E728" s="54" t="s">
        <v>97</v>
      </c>
      <c r="F728" t="s">
        <v>35</v>
      </c>
      <c r="G728">
        <v>38340</v>
      </c>
      <c r="H728">
        <v>360</v>
      </c>
      <c r="I728" t="str">
        <f t="shared" si="33"/>
        <v>AAA BBB</v>
      </c>
      <c r="J728" t="str">
        <f t="shared" si="34"/>
        <v>XXX</v>
      </c>
      <c r="K728" t="str">
        <f t="shared" si="35"/>
        <v>ZZZ, TN, 38340</v>
      </c>
    </row>
    <row r="729" spans="1:11" x14ac:dyDescent="0.15">
      <c r="A729">
        <v>1018918</v>
      </c>
      <c r="B729" s="54" t="s">
        <v>94</v>
      </c>
      <c r="C729" s="54" t="s">
        <v>95</v>
      </c>
      <c r="D729" s="54" t="s">
        <v>96</v>
      </c>
      <c r="E729" s="54" t="s">
        <v>97</v>
      </c>
      <c r="F729" t="s">
        <v>35</v>
      </c>
      <c r="G729">
        <v>38340</v>
      </c>
      <c r="H729">
        <v>360</v>
      </c>
      <c r="I729" t="str">
        <f t="shared" si="33"/>
        <v>AAA BBB</v>
      </c>
      <c r="J729" t="str">
        <f t="shared" si="34"/>
        <v>XXX</v>
      </c>
      <c r="K729" t="str">
        <f t="shared" si="35"/>
        <v>ZZZ, TN, 38340</v>
      </c>
    </row>
    <row r="730" spans="1:11" x14ac:dyDescent="0.15">
      <c r="A730">
        <v>1018918</v>
      </c>
      <c r="B730" s="54" t="s">
        <v>94</v>
      </c>
      <c r="C730" s="54" t="s">
        <v>95</v>
      </c>
      <c r="D730" s="54" t="s">
        <v>96</v>
      </c>
      <c r="E730" s="54" t="s">
        <v>97</v>
      </c>
      <c r="F730" t="s">
        <v>35</v>
      </c>
      <c r="G730">
        <v>38340</v>
      </c>
      <c r="H730">
        <v>360</v>
      </c>
      <c r="I730" t="str">
        <f t="shared" si="33"/>
        <v>AAA BBB</v>
      </c>
      <c r="J730" t="str">
        <f t="shared" si="34"/>
        <v>XXX</v>
      </c>
      <c r="K730" t="str">
        <f t="shared" si="35"/>
        <v>ZZZ, TN, 38340</v>
      </c>
    </row>
    <row r="731" spans="1:11" x14ac:dyDescent="0.15">
      <c r="A731">
        <v>1018918</v>
      </c>
      <c r="B731" s="54" t="s">
        <v>94</v>
      </c>
      <c r="C731" s="54" t="s">
        <v>95</v>
      </c>
      <c r="D731" s="54" t="s">
        <v>96</v>
      </c>
      <c r="E731" s="54" t="s">
        <v>97</v>
      </c>
      <c r="F731" t="s">
        <v>35</v>
      </c>
      <c r="G731">
        <v>38340</v>
      </c>
      <c r="H731">
        <v>360</v>
      </c>
      <c r="I731" t="str">
        <f t="shared" si="33"/>
        <v>AAA BBB</v>
      </c>
      <c r="J731" t="str">
        <f t="shared" si="34"/>
        <v>XXX</v>
      </c>
      <c r="K731" t="str">
        <f t="shared" si="35"/>
        <v>ZZZ, TN, 38340</v>
      </c>
    </row>
    <row r="732" spans="1:11" x14ac:dyDescent="0.15">
      <c r="A732">
        <v>1018918</v>
      </c>
      <c r="B732" s="54" t="s">
        <v>94</v>
      </c>
      <c r="C732" s="54" t="s">
        <v>95</v>
      </c>
      <c r="D732" s="54" t="s">
        <v>96</v>
      </c>
      <c r="E732" s="54" t="s">
        <v>97</v>
      </c>
      <c r="F732" t="s">
        <v>35</v>
      </c>
      <c r="G732">
        <v>38340</v>
      </c>
      <c r="H732">
        <v>360</v>
      </c>
      <c r="I732" t="str">
        <f t="shared" si="33"/>
        <v>AAA BBB</v>
      </c>
      <c r="J732" t="str">
        <f t="shared" si="34"/>
        <v>XXX</v>
      </c>
      <c r="K732" t="str">
        <f t="shared" si="35"/>
        <v>ZZZ, TN, 38340</v>
      </c>
    </row>
    <row r="733" spans="1:11" x14ac:dyDescent="0.15">
      <c r="A733">
        <v>1018918</v>
      </c>
      <c r="B733" s="54" t="s">
        <v>94</v>
      </c>
      <c r="C733" s="54" t="s">
        <v>95</v>
      </c>
      <c r="D733" s="54" t="s">
        <v>96</v>
      </c>
      <c r="E733" s="54" t="s">
        <v>97</v>
      </c>
      <c r="F733" t="s">
        <v>35</v>
      </c>
      <c r="G733">
        <v>38340</v>
      </c>
      <c r="H733">
        <v>360</v>
      </c>
      <c r="I733" t="str">
        <f t="shared" si="33"/>
        <v>AAA BBB</v>
      </c>
      <c r="J733" t="str">
        <f t="shared" si="34"/>
        <v>XXX</v>
      </c>
      <c r="K733" t="str">
        <f t="shared" si="35"/>
        <v>ZZZ, TN, 38340</v>
      </c>
    </row>
    <row r="734" spans="1:11" x14ac:dyDescent="0.15">
      <c r="A734">
        <v>1018918</v>
      </c>
      <c r="B734" s="54" t="s">
        <v>94</v>
      </c>
      <c r="C734" s="54" t="s">
        <v>95</v>
      </c>
      <c r="D734" s="54" t="s">
        <v>96</v>
      </c>
      <c r="E734" s="54" t="s">
        <v>97</v>
      </c>
      <c r="F734" t="s">
        <v>35</v>
      </c>
      <c r="G734">
        <v>38340</v>
      </c>
      <c r="H734">
        <v>360</v>
      </c>
      <c r="I734" t="str">
        <f t="shared" si="33"/>
        <v>AAA BBB</v>
      </c>
      <c r="J734" t="str">
        <f t="shared" si="34"/>
        <v>XXX</v>
      </c>
      <c r="K734" t="str">
        <f t="shared" si="35"/>
        <v>ZZZ, TN, 38340</v>
      </c>
    </row>
    <row r="735" spans="1:11" x14ac:dyDescent="0.15">
      <c r="A735">
        <v>1018918</v>
      </c>
      <c r="B735" s="54" t="s">
        <v>94</v>
      </c>
      <c r="C735" s="54" t="s">
        <v>95</v>
      </c>
      <c r="D735" s="54" t="s">
        <v>96</v>
      </c>
      <c r="E735" s="54" t="s">
        <v>97</v>
      </c>
      <c r="F735" t="s">
        <v>35</v>
      </c>
      <c r="G735">
        <v>38340</v>
      </c>
      <c r="H735">
        <v>360</v>
      </c>
      <c r="I735" t="str">
        <f t="shared" si="33"/>
        <v>AAA BBB</v>
      </c>
      <c r="J735" t="str">
        <f t="shared" si="34"/>
        <v>XXX</v>
      </c>
      <c r="K735" t="str">
        <f t="shared" si="35"/>
        <v>ZZZ, TN, 38340</v>
      </c>
    </row>
    <row r="736" spans="1:11" x14ac:dyDescent="0.15">
      <c r="A736">
        <v>1018918</v>
      </c>
      <c r="B736" s="54" t="s">
        <v>94</v>
      </c>
      <c r="C736" s="54" t="s">
        <v>95</v>
      </c>
      <c r="D736" s="54" t="s">
        <v>96</v>
      </c>
      <c r="E736" s="54" t="s">
        <v>97</v>
      </c>
      <c r="F736" t="s">
        <v>35</v>
      </c>
      <c r="G736">
        <v>38340</v>
      </c>
      <c r="H736">
        <v>360</v>
      </c>
      <c r="I736" t="str">
        <f t="shared" si="33"/>
        <v>AAA BBB</v>
      </c>
      <c r="J736" t="str">
        <f t="shared" si="34"/>
        <v>XXX</v>
      </c>
      <c r="K736" t="str">
        <f t="shared" si="35"/>
        <v>ZZZ, TN, 38340</v>
      </c>
    </row>
    <row r="737" spans="1:11" x14ac:dyDescent="0.15">
      <c r="A737">
        <v>1018918</v>
      </c>
      <c r="B737" s="54" t="s">
        <v>94</v>
      </c>
      <c r="C737" s="54" t="s">
        <v>95</v>
      </c>
      <c r="D737" s="54" t="s">
        <v>96</v>
      </c>
      <c r="E737" s="54" t="s">
        <v>97</v>
      </c>
      <c r="F737" t="s">
        <v>35</v>
      </c>
      <c r="G737">
        <v>38340</v>
      </c>
      <c r="H737">
        <v>360</v>
      </c>
      <c r="I737" t="str">
        <f t="shared" si="33"/>
        <v>AAA BBB</v>
      </c>
      <c r="J737" t="str">
        <f t="shared" si="34"/>
        <v>XXX</v>
      </c>
      <c r="K737" t="str">
        <f t="shared" si="35"/>
        <v>ZZZ, TN, 38340</v>
      </c>
    </row>
    <row r="738" spans="1:11" x14ac:dyDescent="0.15">
      <c r="A738">
        <v>1018918</v>
      </c>
      <c r="B738" s="54" t="s">
        <v>94</v>
      </c>
      <c r="C738" s="54" t="s">
        <v>95</v>
      </c>
      <c r="D738" s="54" t="s">
        <v>96</v>
      </c>
      <c r="E738" s="54" t="s">
        <v>97</v>
      </c>
      <c r="F738" t="s">
        <v>35</v>
      </c>
      <c r="G738">
        <v>38340</v>
      </c>
      <c r="H738">
        <v>360</v>
      </c>
      <c r="I738" t="str">
        <f t="shared" si="33"/>
        <v>AAA BBB</v>
      </c>
      <c r="J738" t="str">
        <f t="shared" si="34"/>
        <v>XXX</v>
      </c>
      <c r="K738" t="str">
        <f t="shared" si="35"/>
        <v>ZZZ, TN, 38340</v>
      </c>
    </row>
    <row r="739" spans="1:11" x14ac:dyDescent="0.15">
      <c r="A739">
        <v>1018918</v>
      </c>
      <c r="B739" s="54" t="s">
        <v>94</v>
      </c>
      <c r="C739" s="54" t="s">
        <v>95</v>
      </c>
      <c r="D739" s="54" t="s">
        <v>96</v>
      </c>
      <c r="E739" s="54" t="s">
        <v>97</v>
      </c>
      <c r="F739" t="s">
        <v>35</v>
      </c>
      <c r="G739">
        <v>38340</v>
      </c>
      <c r="H739">
        <v>360</v>
      </c>
      <c r="I739" t="str">
        <f t="shared" si="33"/>
        <v>AAA BBB</v>
      </c>
      <c r="J739" t="str">
        <f t="shared" si="34"/>
        <v>XXX</v>
      </c>
      <c r="K739" t="str">
        <f t="shared" si="35"/>
        <v>ZZZ, TN, 38340</v>
      </c>
    </row>
    <row r="740" spans="1:11" x14ac:dyDescent="0.15">
      <c r="A740">
        <v>1018918</v>
      </c>
      <c r="B740" s="54" t="s">
        <v>94</v>
      </c>
      <c r="C740" s="54" t="s">
        <v>95</v>
      </c>
      <c r="D740" s="54" t="s">
        <v>96</v>
      </c>
      <c r="E740" s="54" t="s">
        <v>97</v>
      </c>
      <c r="F740" t="s">
        <v>35</v>
      </c>
      <c r="G740">
        <v>38340</v>
      </c>
      <c r="H740">
        <v>360</v>
      </c>
      <c r="I740" t="str">
        <f t="shared" si="33"/>
        <v>AAA BBB</v>
      </c>
      <c r="J740" t="str">
        <f t="shared" si="34"/>
        <v>XXX</v>
      </c>
      <c r="K740" t="str">
        <f t="shared" si="35"/>
        <v>ZZZ, TN, 38340</v>
      </c>
    </row>
    <row r="741" spans="1:11" x14ac:dyDescent="0.15">
      <c r="A741">
        <v>1018918</v>
      </c>
      <c r="B741" s="54" t="s">
        <v>94</v>
      </c>
      <c r="C741" s="54" t="s">
        <v>95</v>
      </c>
      <c r="D741" s="54" t="s">
        <v>96</v>
      </c>
      <c r="E741" s="54" t="s">
        <v>97</v>
      </c>
      <c r="F741" t="s">
        <v>35</v>
      </c>
      <c r="G741">
        <v>38340</v>
      </c>
      <c r="H741">
        <v>360</v>
      </c>
      <c r="I741" t="str">
        <f t="shared" si="33"/>
        <v>AAA BBB</v>
      </c>
      <c r="J741" t="str">
        <f t="shared" si="34"/>
        <v>XXX</v>
      </c>
      <c r="K741" t="str">
        <f t="shared" si="35"/>
        <v>ZZZ, TN, 38340</v>
      </c>
    </row>
    <row r="742" spans="1:11" x14ac:dyDescent="0.15">
      <c r="A742">
        <v>1018918</v>
      </c>
      <c r="B742" s="54" t="s">
        <v>94</v>
      </c>
      <c r="C742" s="54" t="s">
        <v>95</v>
      </c>
      <c r="D742" s="54" t="s">
        <v>96</v>
      </c>
      <c r="E742" s="54" t="s">
        <v>97</v>
      </c>
      <c r="F742" t="s">
        <v>35</v>
      </c>
      <c r="G742">
        <v>38340</v>
      </c>
      <c r="H742">
        <v>360</v>
      </c>
      <c r="I742" t="str">
        <f t="shared" si="33"/>
        <v>AAA BBB</v>
      </c>
      <c r="J742" t="str">
        <f t="shared" si="34"/>
        <v>XXX</v>
      </c>
      <c r="K742" t="str">
        <f t="shared" si="35"/>
        <v>ZZZ, TN, 38340</v>
      </c>
    </row>
    <row r="743" spans="1:11" x14ac:dyDescent="0.15">
      <c r="A743">
        <v>1018918</v>
      </c>
      <c r="B743" s="54" t="s">
        <v>94</v>
      </c>
      <c r="C743" s="54" t="s">
        <v>95</v>
      </c>
      <c r="D743" s="54" t="s">
        <v>96</v>
      </c>
      <c r="E743" s="54" t="s">
        <v>97</v>
      </c>
      <c r="F743" t="s">
        <v>35</v>
      </c>
      <c r="G743">
        <v>38340</v>
      </c>
      <c r="H743">
        <v>360</v>
      </c>
      <c r="I743" t="str">
        <f t="shared" si="33"/>
        <v>AAA BBB</v>
      </c>
      <c r="J743" t="str">
        <f t="shared" si="34"/>
        <v>XXX</v>
      </c>
      <c r="K743" t="str">
        <f t="shared" si="35"/>
        <v>ZZZ, TN, 38340</v>
      </c>
    </row>
    <row r="744" spans="1:11" x14ac:dyDescent="0.15">
      <c r="A744">
        <v>1018918</v>
      </c>
      <c r="B744" s="54" t="s">
        <v>94</v>
      </c>
      <c r="C744" s="54" t="s">
        <v>95</v>
      </c>
      <c r="D744" s="54" t="s">
        <v>96</v>
      </c>
      <c r="E744" s="54" t="s">
        <v>97</v>
      </c>
      <c r="F744" t="s">
        <v>35</v>
      </c>
      <c r="G744">
        <v>38340</v>
      </c>
      <c r="H744">
        <v>360</v>
      </c>
      <c r="I744" t="str">
        <f t="shared" si="33"/>
        <v>AAA BBB</v>
      </c>
      <c r="J744" t="str">
        <f t="shared" si="34"/>
        <v>XXX</v>
      </c>
      <c r="K744" t="str">
        <f t="shared" si="35"/>
        <v>ZZZ, TN, 38340</v>
      </c>
    </row>
    <row r="745" spans="1:11" x14ac:dyDescent="0.15">
      <c r="A745">
        <v>1018918</v>
      </c>
      <c r="B745" s="54" t="s">
        <v>94</v>
      </c>
      <c r="C745" s="54" t="s">
        <v>95</v>
      </c>
      <c r="D745" s="54" t="s">
        <v>96</v>
      </c>
      <c r="E745" s="54" t="s">
        <v>97</v>
      </c>
      <c r="F745" t="s">
        <v>35</v>
      </c>
      <c r="G745">
        <v>38340</v>
      </c>
      <c r="H745">
        <v>360</v>
      </c>
      <c r="I745" t="str">
        <f t="shared" si="33"/>
        <v>AAA BBB</v>
      </c>
      <c r="J745" t="str">
        <f t="shared" si="34"/>
        <v>XXX</v>
      </c>
      <c r="K745" t="str">
        <f t="shared" si="35"/>
        <v>ZZZ, TN, 38340</v>
      </c>
    </row>
    <row r="746" spans="1:11" x14ac:dyDescent="0.15">
      <c r="A746">
        <v>1018918</v>
      </c>
      <c r="B746" s="54" t="s">
        <v>94</v>
      </c>
      <c r="C746" s="54" t="s">
        <v>95</v>
      </c>
      <c r="D746" s="54" t="s">
        <v>96</v>
      </c>
      <c r="E746" s="54" t="s">
        <v>97</v>
      </c>
      <c r="F746" t="s">
        <v>35</v>
      </c>
      <c r="G746">
        <v>38340</v>
      </c>
      <c r="H746">
        <v>360</v>
      </c>
      <c r="I746" t="str">
        <f t="shared" si="33"/>
        <v>AAA BBB</v>
      </c>
      <c r="J746" t="str">
        <f t="shared" si="34"/>
        <v>XXX</v>
      </c>
      <c r="K746" t="str">
        <f t="shared" si="35"/>
        <v>ZZZ, TN, 38340</v>
      </c>
    </row>
    <row r="747" spans="1:11" x14ac:dyDescent="0.15">
      <c r="A747">
        <v>1018918</v>
      </c>
      <c r="B747" s="54" t="s">
        <v>94</v>
      </c>
      <c r="C747" s="54" t="s">
        <v>95</v>
      </c>
      <c r="D747" s="54" t="s">
        <v>96</v>
      </c>
      <c r="E747" s="54" t="s">
        <v>97</v>
      </c>
      <c r="F747" t="s">
        <v>35</v>
      </c>
      <c r="G747">
        <v>38340</v>
      </c>
      <c r="H747">
        <v>360</v>
      </c>
      <c r="I747" t="str">
        <f t="shared" si="33"/>
        <v>AAA BBB</v>
      </c>
      <c r="J747" t="str">
        <f t="shared" si="34"/>
        <v>XXX</v>
      </c>
      <c r="K747" t="str">
        <f t="shared" si="35"/>
        <v>ZZZ, TN, 38340</v>
      </c>
    </row>
    <row r="748" spans="1:11" x14ac:dyDescent="0.15">
      <c r="A748">
        <v>1018918</v>
      </c>
      <c r="B748" s="54" t="s">
        <v>94</v>
      </c>
      <c r="C748" s="54" t="s">
        <v>95</v>
      </c>
      <c r="D748" s="54" t="s">
        <v>96</v>
      </c>
      <c r="E748" s="54" t="s">
        <v>97</v>
      </c>
      <c r="F748" t="s">
        <v>35</v>
      </c>
      <c r="G748">
        <v>38340</v>
      </c>
      <c r="H748">
        <v>360</v>
      </c>
      <c r="I748" t="str">
        <f t="shared" si="33"/>
        <v>AAA BBB</v>
      </c>
      <c r="J748" t="str">
        <f t="shared" si="34"/>
        <v>XXX</v>
      </c>
      <c r="K748" t="str">
        <f t="shared" si="35"/>
        <v>ZZZ, TN, 38340</v>
      </c>
    </row>
    <row r="749" spans="1:11" x14ac:dyDescent="0.15">
      <c r="A749">
        <v>1018918</v>
      </c>
      <c r="B749" s="54" t="s">
        <v>94</v>
      </c>
      <c r="C749" s="54" t="s">
        <v>95</v>
      </c>
      <c r="D749" s="54" t="s">
        <v>96</v>
      </c>
      <c r="E749" s="54" t="s">
        <v>97</v>
      </c>
      <c r="F749" t="s">
        <v>35</v>
      </c>
      <c r="G749">
        <v>38340</v>
      </c>
      <c r="H749">
        <v>360</v>
      </c>
      <c r="I749" t="str">
        <f t="shared" si="33"/>
        <v>AAA BBB</v>
      </c>
      <c r="J749" t="str">
        <f t="shared" si="34"/>
        <v>XXX</v>
      </c>
      <c r="K749" t="str">
        <f t="shared" si="35"/>
        <v>ZZZ, TN, 38340</v>
      </c>
    </row>
    <row r="750" spans="1:11" x14ac:dyDescent="0.15">
      <c r="A750">
        <v>1018918</v>
      </c>
      <c r="B750" s="54" t="s">
        <v>94</v>
      </c>
      <c r="C750" s="54" t="s">
        <v>95</v>
      </c>
      <c r="D750" s="54" t="s">
        <v>96</v>
      </c>
      <c r="E750" s="54" t="s">
        <v>97</v>
      </c>
      <c r="F750" t="s">
        <v>35</v>
      </c>
      <c r="G750">
        <v>38340</v>
      </c>
      <c r="H750">
        <v>360</v>
      </c>
      <c r="I750" t="str">
        <f t="shared" si="33"/>
        <v>AAA BBB</v>
      </c>
      <c r="J750" t="str">
        <f t="shared" si="34"/>
        <v>XXX</v>
      </c>
      <c r="K750" t="str">
        <f t="shared" si="35"/>
        <v>ZZZ, TN, 38340</v>
      </c>
    </row>
    <row r="751" spans="1:11" x14ac:dyDescent="0.15">
      <c r="A751">
        <v>1018918</v>
      </c>
      <c r="B751" s="54" t="s">
        <v>94</v>
      </c>
      <c r="C751" s="54" t="s">
        <v>95</v>
      </c>
      <c r="D751" s="54" t="s">
        <v>96</v>
      </c>
      <c r="E751" s="54" t="s">
        <v>97</v>
      </c>
      <c r="F751" t="s">
        <v>35</v>
      </c>
      <c r="G751">
        <v>38340</v>
      </c>
      <c r="H751">
        <v>360</v>
      </c>
      <c r="I751" t="str">
        <f t="shared" si="33"/>
        <v>AAA BBB</v>
      </c>
      <c r="J751" t="str">
        <f t="shared" si="34"/>
        <v>XXX</v>
      </c>
      <c r="K751" t="str">
        <f t="shared" si="35"/>
        <v>ZZZ, TN, 38340</v>
      </c>
    </row>
    <row r="752" spans="1:11" x14ac:dyDescent="0.15">
      <c r="A752">
        <v>1018918</v>
      </c>
      <c r="B752" s="54" t="s">
        <v>94</v>
      </c>
      <c r="C752" s="54" t="s">
        <v>95</v>
      </c>
      <c r="D752" s="54" t="s">
        <v>96</v>
      </c>
      <c r="E752" s="54" t="s">
        <v>97</v>
      </c>
      <c r="F752" t="s">
        <v>35</v>
      </c>
      <c r="G752">
        <v>38340</v>
      </c>
      <c r="H752">
        <v>360</v>
      </c>
      <c r="I752" t="str">
        <f t="shared" si="33"/>
        <v>AAA BBB</v>
      </c>
      <c r="J752" t="str">
        <f t="shared" si="34"/>
        <v>XXX</v>
      </c>
      <c r="K752" t="str">
        <f t="shared" si="35"/>
        <v>ZZZ, TN, 38340</v>
      </c>
    </row>
    <row r="753" spans="1:11" x14ac:dyDescent="0.15">
      <c r="A753">
        <v>1018918</v>
      </c>
      <c r="B753" s="54" t="s">
        <v>94</v>
      </c>
      <c r="C753" s="54" t="s">
        <v>95</v>
      </c>
      <c r="D753" s="54" t="s">
        <v>96</v>
      </c>
      <c r="E753" s="54" t="s">
        <v>97</v>
      </c>
      <c r="F753" t="s">
        <v>35</v>
      </c>
      <c r="G753">
        <v>38340</v>
      </c>
      <c r="H753">
        <v>360</v>
      </c>
      <c r="I753" t="str">
        <f t="shared" si="33"/>
        <v>AAA BBB</v>
      </c>
      <c r="J753" t="str">
        <f t="shared" si="34"/>
        <v>XXX</v>
      </c>
      <c r="K753" t="str">
        <f t="shared" si="35"/>
        <v>ZZZ, TN, 38340</v>
      </c>
    </row>
    <row r="754" spans="1:11" x14ac:dyDescent="0.15">
      <c r="A754">
        <v>1018918</v>
      </c>
      <c r="B754" s="54" t="s">
        <v>94</v>
      </c>
      <c r="C754" s="54" t="s">
        <v>95</v>
      </c>
      <c r="D754" s="54" t="s">
        <v>96</v>
      </c>
      <c r="E754" s="54" t="s">
        <v>97</v>
      </c>
      <c r="F754" t="s">
        <v>35</v>
      </c>
      <c r="G754">
        <v>38340</v>
      </c>
      <c r="H754">
        <v>360</v>
      </c>
      <c r="I754" t="str">
        <f t="shared" si="33"/>
        <v>AAA BBB</v>
      </c>
      <c r="J754" t="str">
        <f t="shared" si="34"/>
        <v>XXX</v>
      </c>
      <c r="K754" t="str">
        <f t="shared" si="35"/>
        <v>ZZZ, TN, 38340</v>
      </c>
    </row>
    <row r="755" spans="1:11" x14ac:dyDescent="0.15">
      <c r="A755">
        <v>1018918</v>
      </c>
      <c r="B755" s="54" t="s">
        <v>94</v>
      </c>
      <c r="C755" s="54" t="s">
        <v>95</v>
      </c>
      <c r="D755" s="54" t="s">
        <v>96</v>
      </c>
      <c r="E755" s="54" t="s">
        <v>97</v>
      </c>
      <c r="F755" t="s">
        <v>35</v>
      </c>
      <c r="G755">
        <v>38340</v>
      </c>
      <c r="H755">
        <v>360</v>
      </c>
      <c r="I755" t="str">
        <f t="shared" si="33"/>
        <v>AAA BBB</v>
      </c>
      <c r="J755" t="str">
        <f t="shared" si="34"/>
        <v>XXX</v>
      </c>
      <c r="K755" t="str">
        <f t="shared" si="35"/>
        <v>ZZZ, TN, 38340</v>
      </c>
    </row>
    <row r="756" spans="1:11" x14ac:dyDescent="0.15">
      <c r="A756">
        <v>1018918</v>
      </c>
      <c r="B756" s="54" t="s">
        <v>94</v>
      </c>
      <c r="C756" s="54" t="s">
        <v>95</v>
      </c>
      <c r="D756" s="54" t="s">
        <v>96</v>
      </c>
      <c r="E756" s="54" t="s">
        <v>97</v>
      </c>
      <c r="F756" t="s">
        <v>35</v>
      </c>
      <c r="G756">
        <v>38340</v>
      </c>
      <c r="H756">
        <v>360</v>
      </c>
      <c r="I756" t="str">
        <f t="shared" si="33"/>
        <v>AAA BBB</v>
      </c>
      <c r="J756" t="str">
        <f t="shared" si="34"/>
        <v>XXX</v>
      </c>
      <c r="K756" t="str">
        <f t="shared" si="35"/>
        <v>ZZZ, TN, 38340</v>
      </c>
    </row>
    <row r="757" spans="1:11" x14ac:dyDescent="0.15">
      <c r="A757">
        <v>1018918</v>
      </c>
      <c r="B757" s="54" t="s">
        <v>94</v>
      </c>
      <c r="C757" s="54" t="s">
        <v>95</v>
      </c>
      <c r="D757" s="54" t="s">
        <v>96</v>
      </c>
      <c r="E757" s="54" t="s">
        <v>97</v>
      </c>
      <c r="F757" t="s">
        <v>35</v>
      </c>
      <c r="G757">
        <v>38340</v>
      </c>
      <c r="H757">
        <v>360</v>
      </c>
      <c r="I757" t="str">
        <f t="shared" si="33"/>
        <v>AAA BBB</v>
      </c>
      <c r="J757" t="str">
        <f t="shared" si="34"/>
        <v>XXX</v>
      </c>
      <c r="K757" t="str">
        <f t="shared" si="35"/>
        <v>ZZZ, TN, 38340</v>
      </c>
    </row>
    <row r="758" spans="1:11" x14ac:dyDescent="0.15">
      <c r="A758">
        <v>1018918</v>
      </c>
      <c r="B758" s="54" t="s">
        <v>94</v>
      </c>
      <c r="C758" s="54" t="s">
        <v>95</v>
      </c>
      <c r="D758" s="54" t="s">
        <v>96</v>
      </c>
      <c r="E758" s="54" t="s">
        <v>97</v>
      </c>
      <c r="F758" t="s">
        <v>35</v>
      </c>
      <c r="G758">
        <v>38340</v>
      </c>
      <c r="H758">
        <v>360</v>
      </c>
      <c r="I758" t="str">
        <f t="shared" si="33"/>
        <v>AAA BBB</v>
      </c>
      <c r="J758" t="str">
        <f t="shared" si="34"/>
        <v>XXX</v>
      </c>
      <c r="K758" t="str">
        <f t="shared" si="35"/>
        <v>ZZZ, TN, 38340</v>
      </c>
    </row>
    <row r="759" spans="1:11" x14ac:dyDescent="0.15">
      <c r="A759">
        <v>1018918</v>
      </c>
      <c r="B759" s="54" t="s">
        <v>94</v>
      </c>
      <c r="C759" s="54" t="s">
        <v>95</v>
      </c>
      <c r="D759" s="54" t="s">
        <v>96</v>
      </c>
      <c r="E759" s="54" t="s">
        <v>97</v>
      </c>
      <c r="F759" t="s">
        <v>35</v>
      </c>
      <c r="G759">
        <v>38340</v>
      </c>
      <c r="H759">
        <v>360</v>
      </c>
      <c r="I759" t="str">
        <f t="shared" si="33"/>
        <v>AAA BBB</v>
      </c>
      <c r="J759" t="str">
        <f t="shared" si="34"/>
        <v>XXX</v>
      </c>
      <c r="K759" t="str">
        <f t="shared" si="35"/>
        <v>ZZZ, TN, 38340</v>
      </c>
    </row>
    <row r="760" spans="1:11" x14ac:dyDescent="0.15">
      <c r="A760">
        <v>1018918</v>
      </c>
      <c r="B760" s="54" t="s">
        <v>94</v>
      </c>
      <c r="C760" s="54" t="s">
        <v>95</v>
      </c>
      <c r="D760" s="54" t="s">
        <v>96</v>
      </c>
      <c r="E760" s="54" t="s">
        <v>97</v>
      </c>
      <c r="F760" t="s">
        <v>35</v>
      </c>
      <c r="G760">
        <v>38340</v>
      </c>
      <c r="H760">
        <v>360</v>
      </c>
      <c r="I760" t="str">
        <f t="shared" si="33"/>
        <v>AAA BBB</v>
      </c>
      <c r="J760" t="str">
        <f t="shared" si="34"/>
        <v>XXX</v>
      </c>
      <c r="K760" t="str">
        <f t="shared" si="35"/>
        <v>ZZZ, TN, 38340</v>
      </c>
    </row>
    <row r="761" spans="1:11" x14ac:dyDescent="0.15">
      <c r="A761">
        <v>1018918</v>
      </c>
      <c r="B761" s="54" t="s">
        <v>94</v>
      </c>
      <c r="C761" s="54" t="s">
        <v>95</v>
      </c>
      <c r="D761" s="54" t="s">
        <v>96</v>
      </c>
      <c r="E761" s="54" t="s">
        <v>97</v>
      </c>
      <c r="F761" t="s">
        <v>35</v>
      </c>
      <c r="G761">
        <v>38340</v>
      </c>
      <c r="H761">
        <v>360</v>
      </c>
      <c r="I761" t="str">
        <f t="shared" si="33"/>
        <v>AAA BBB</v>
      </c>
      <c r="J761" t="str">
        <f t="shared" si="34"/>
        <v>XXX</v>
      </c>
      <c r="K761" t="str">
        <f t="shared" si="35"/>
        <v>ZZZ, TN, 38340</v>
      </c>
    </row>
    <row r="762" spans="1:11" x14ac:dyDescent="0.15">
      <c r="A762">
        <v>1018918</v>
      </c>
      <c r="B762" s="54" t="s">
        <v>94</v>
      </c>
      <c r="C762" s="54" t="s">
        <v>95</v>
      </c>
      <c r="D762" s="54" t="s">
        <v>96</v>
      </c>
      <c r="E762" s="54" t="s">
        <v>97</v>
      </c>
      <c r="F762" t="s">
        <v>35</v>
      </c>
      <c r="G762">
        <v>38340</v>
      </c>
      <c r="H762">
        <v>360</v>
      </c>
      <c r="I762" t="str">
        <f t="shared" si="33"/>
        <v>AAA BBB</v>
      </c>
      <c r="J762" t="str">
        <f t="shared" si="34"/>
        <v>XXX</v>
      </c>
      <c r="K762" t="str">
        <f t="shared" si="35"/>
        <v>ZZZ, TN, 38340</v>
      </c>
    </row>
    <row r="763" spans="1:11" x14ac:dyDescent="0.15">
      <c r="A763">
        <v>1018918</v>
      </c>
      <c r="B763" s="54" t="s">
        <v>94</v>
      </c>
      <c r="C763" s="54" t="s">
        <v>95</v>
      </c>
      <c r="D763" s="54" t="s">
        <v>96</v>
      </c>
      <c r="E763" s="54" t="s">
        <v>97</v>
      </c>
      <c r="F763" t="s">
        <v>35</v>
      </c>
      <c r="G763">
        <v>38340</v>
      </c>
      <c r="H763">
        <v>360</v>
      </c>
      <c r="I763" t="str">
        <f t="shared" si="33"/>
        <v>AAA BBB</v>
      </c>
      <c r="J763" t="str">
        <f t="shared" si="34"/>
        <v>XXX</v>
      </c>
      <c r="K763" t="str">
        <f t="shared" si="35"/>
        <v>ZZZ, TN, 38340</v>
      </c>
    </row>
    <row r="764" spans="1:11" x14ac:dyDescent="0.15">
      <c r="A764">
        <v>1018918</v>
      </c>
      <c r="B764" s="54" t="s">
        <v>94</v>
      </c>
      <c r="C764" s="54" t="s">
        <v>95</v>
      </c>
      <c r="D764" s="54" t="s">
        <v>96</v>
      </c>
      <c r="E764" s="54" t="s">
        <v>97</v>
      </c>
      <c r="F764" t="s">
        <v>35</v>
      </c>
      <c r="G764">
        <v>38340</v>
      </c>
      <c r="H764">
        <v>360</v>
      </c>
      <c r="I764" t="str">
        <f t="shared" si="33"/>
        <v>AAA BBB</v>
      </c>
      <c r="J764" t="str">
        <f t="shared" si="34"/>
        <v>XXX</v>
      </c>
      <c r="K764" t="str">
        <f t="shared" si="35"/>
        <v>ZZZ, TN, 38340</v>
      </c>
    </row>
    <row r="765" spans="1:11" x14ac:dyDescent="0.15">
      <c r="A765">
        <v>1018918</v>
      </c>
      <c r="B765" s="54" t="s">
        <v>94</v>
      </c>
      <c r="C765" s="54" t="s">
        <v>95</v>
      </c>
      <c r="D765" s="54" t="s">
        <v>96</v>
      </c>
      <c r="E765" s="54" t="s">
        <v>97</v>
      </c>
      <c r="F765" t="s">
        <v>35</v>
      </c>
      <c r="G765">
        <v>38340</v>
      </c>
      <c r="H765">
        <v>360</v>
      </c>
      <c r="I765" t="str">
        <f t="shared" si="33"/>
        <v>AAA BBB</v>
      </c>
      <c r="J765" t="str">
        <f t="shared" si="34"/>
        <v>XXX</v>
      </c>
      <c r="K765" t="str">
        <f t="shared" si="35"/>
        <v>ZZZ, TN, 38340</v>
      </c>
    </row>
    <row r="766" spans="1:11" x14ac:dyDescent="0.15">
      <c r="A766">
        <v>1018918</v>
      </c>
      <c r="B766" s="54" t="s">
        <v>94</v>
      </c>
      <c r="C766" s="54" t="s">
        <v>95</v>
      </c>
      <c r="D766" s="54" t="s">
        <v>96</v>
      </c>
      <c r="E766" s="54" t="s">
        <v>97</v>
      </c>
      <c r="F766" t="s">
        <v>35</v>
      </c>
      <c r="G766">
        <v>38340</v>
      </c>
      <c r="H766">
        <v>360</v>
      </c>
      <c r="I766" t="str">
        <f t="shared" si="33"/>
        <v>AAA BBB</v>
      </c>
      <c r="J766" t="str">
        <f t="shared" si="34"/>
        <v>XXX</v>
      </c>
      <c r="K766" t="str">
        <f t="shared" si="35"/>
        <v>ZZZ, TN, 38340</v>
      </c>
    </row>
    <row r="767" spans="1:11" x14ac:dyDescent="0.15">
      <c r="A767">
        <v>1018918</v>
      </c>
      <c r="B767" s="54" t="s">
        <v>94</v>
      </c>
      <c r="C767" s="54" t="s">
        <v>95</v>
      </c>
      <c r="D767" s="54" t="s">
        <v>96</v>
      </c>
      <c r="E767" s="54" t="s">
        <v>97</v>
      </c>
      <c r="F767" t="s">
        <v>35</v>
      </c>
      <c r="G767">
        <v>38340</v>
      </c>
      <c r="H767">
        <v>360</v>
      </c>
      <c r="I767" t="str">
        <f t="shared" si="33"/>
        <v>AAA BBB</v>
      </c>
      <c r="J767" t="str">
        <f t="shared" si="34"/>
        <v>XXX</v>
      </c>
      <c r="K767" t="str">
        <f t="shared" si="35"/>
        <v>ZZZ, TN, 38340</v>
      </c>
    </row>
    <row r="768" spans="1:11" x14ac:dyDescent="0.15">
      <c r="A768">
        <v>1018918</v>
      </c>
      <c r="B768" s="54" t="s">
        <v>94</v>
      </c>
      <c r="C768" s="54" t="s">
        <v>95</v>
      </c>
      <c r="D768" s="54" t="s">
        <v>96</v>
      </c>
      <c r="E768" s="54" t="s">
        <v>97</v>
      </c>
      <c r="F768" t="s">
        <v>35</v>
      </c>
      <c r="G768">
        <v>38340</v>
      </c>
      <c r="H768">
        <v>360</v>
      </c>
      <c r="I768" t="str">
        <f t="shared" si="33"/>
        <v>AAA BBB</v>
      </c>
      <c r="J768" t="str">
        <f t="shared" si="34"/>
        <v>XXX</v>
      </c>
      <c r="K768" t="str">
        <f t="shared" si="35"/>
        <v>ZZZ, TN, 38340</v>
      </c>
    </row>
    <row r="769" spans="1:11" x14ac:dyDescent="0.15">
      <c r="A769">
        <v>1018918</v>
      </c>
      <c r="B769" s="54" t="s">
        <v>94</v>
      </c>
      <c r="C769" s="54" t="s">
        <v>95</v>
      </c>
      <c r="D769" s="54" t="s">
        <v>96</v>
      </c>
      <c r="E769" s="54" t="s">
        <v>97</v>
      </c>
      <c r="F769" t="s">
        <v>35</v>
      </c>
      <c r="G769">
        <v>38340</v>
      </c>
      <c r="H769">
        <v>360</v>
      </c>
      <c r="I769" t="str">
        <f t="shared" si="33"/>
        <v>AAA BBB</v>
      </c>
      <c r="J769" t="str">
        <f t="shared" si="34"/>
        <v>XXX</v>
      </c>
      <c r="K769" t="str">
        <f t="shared" si="35"/>
        <v>ZZZ, TN, 38340</v>
      </c>
    </row>
    <row r="770" spans="1:11" x14ac:dyDescent="0.15">
      <c r="A770">
        <v>1018918</v>
      </c>
      <c r="B770" s="54" t="s">
        <v>94</v>
      </c>
      <c r="C770" s="54" t="s">
        <v>95</v>
      </c>
      <c r="D770" s="54" t="s">
        <v>96</v>
      </c>
      <c r="E770" s="54" t="s">
        <v>97</v>
      </c>
      <c r="F770" t="s">
        <v>35</v>
      </c>
      <c r="G770">
        <v>38340</v>
      </c>
      <c r="H770">
        <v>360</v>
      </c>
      <c r="I770" t="str">
        <f t="shared" si="33"/>
        <v>AAA BBB</v>
      </c>
      <c r="J770" t="str">
        <f t="shared" si="34"/>
        <v>XXX</v>
      </c>
      <c r="K770" t="str">
        <f t="shared" si="35"/>
        <v>ZZZ, TN, 38340</v>
      </c>
    </row>
    <row r="771" spans="1:11" x14ac:dyDescent="0.15">
      <c r="A771">
        <v>1018918</v>
      </c>
      <c r="B771" s="54" t="s">
        <v>94</v>
      </c>
      <c r="C771" s="54" t="s">
        <v>95</v>
      </c>
      <c r="D771" s="54" t="s">
        <v>96</v>
      </c>
      <c r="E771" s="54" t="s">
        <v>97</v>
      </c>
      <c r="F771" t="s">
        <v>35</v>
      </c>
      <c r="G771">
        <v>38340</v>
      </c>
      <c r="H771">
        <v>360</v>
      </c>
      <c r="I771" t="str">
        <f t="shared" ref="I771:I834" si="36">CONCATENATE(B771," ",C771)</f>
        <v>AAA BBB</v>
      </c>
      <c r="J771" t="str">
        <f t="shared" ref="J771:J834" si="37">D771</f>
        <v>XXX</v>
      </c>
      <c r="K771" t="str">
        <f t="shared" ref="K771:K834" si="38">CONCATENATE(E771,","," ",F771,","," ",G771)</f>
        <v>ZZZ, TN, 38340</v>
      </c>
    </row>
    <row r="772" spans="1:11" x14ac:dyDescent="0.15">
      <c r="A772">
        <v>1018918</v>
      </c>
      <c r="B772" s="54" t="s">
        <v>94</v>
      </c>
      <c r="C772" s="54" t="s">
        <v>95</v>
      </c>
      <c r="D772" s="54" t="s">
        <v>96</v>
      </c>
      <c r="E772" s="54" t="s">
        <v>97</v>
      </c>
      <c r="F772" t="s">
        <v>35</v>
      </c>
      <c r="G772">
        <v>38340</v>
      </c>
      <c r="H772">
        <v>360</v>
      </c>
      <c r="I772" t="str">
        <f t="shared" si="36"/>
        <v>AAA BBB</v>
      </c>
      <c r="J772" t="str">
        <f t="shared" si="37"/>
        <v>XXX</v>
      </c>
      <c r="K772" t="str">
        <f t="shared" si="38"/>
        <v>ZZZ, TN, 38340</v>
      </c>
    </row>
    <row r="773" spans="1:11" x14ac:dyDescent="0.15">
      <c r="A773">
        <v>1018918</v>
      </c>
      <c r="B773" s="54" t="s">
        <v>94</v>
      </c>
      <c r="C773" s="54" t="s">
        <v>95</v>
      </c>
      <c r="D773" s="54" t="s">
        <v>96</v>
      </c>
      <c r="E773" s="54" t="s">
        <v>97</v>
      </c>
      <c r="F773" t="s">
        <v>35</v>
      </c>
      <c r="G773">
        <v>38340</v>
      </c>
      <c r="H773">
        <v>360</v>
      </c>
      <c r="I773" t="str">
        <f t="shared" si="36"/>
        <v>AAA BBB</v>
      </c>
      <c r="J773" t="str">
        <f t="shared" si="37"/>
        <v>XXX</v>
      </c>
      <c r="K773" t="str">
        <f t="shared" si="38"/>
        <v>ZZZ, TN, 38340</v>
      </c>
    </row>
    <row r="774" spans="1:11" x14ac:dyDescent="0.15">
      <c r="A774">
        <v>1018918</v>
      </c>
      <c r="B774" s="54" t="s">
        <v>94</v>
      </c>
      <c r="C774" s="54" t="s">
        <v>95</v>
      </c>
      <c r="D774" s="54" t="s">
        <v>96</v>
      </c>
      <c r="E774" s="54" t="s">
        <v>97</v>
      </c>
      <c r="F774" t="s">
        <v>35</v>
      </c>
      <c r="G774">
        <v>38340</v>
      </c>
      <c r="H774">
        <v>360</v>
      </c>
      <c r="I774" t="str">
        <f t="shared" si="36"/>
        <v>AAA BBB</v>
      </c>
      <c r="J774" t="str">
        <f t="shared" si="37"/>
        <v>XXX</v>
      </c>
      <c r="K774" t="str">
        <f t="shared" si="38"/>
        <v>ZZZ, TN, 38340</v>
      </c>
    </row>
    <row r="775" spans="1:11" x14ac:dyDescent="0.15">
      <c r="A775">
        <v>1018918</v>
      </c>
      <c r="B775" s="54" t="s">
        <v>94</v>
      </c>
      <c r="C775" s="54" t="s">
        <v>95</v>
      </c>
      <c r="D775" s="54" t="s">
        <v>96</v>
      </c>
      <c r="E775" s="54" t="s">
        <v>97</v>
      </c>
      <c r="F775" t="s">
        <v>35</v>
      </c>
      <c r="G775">
        <v>38340</v>
      </c>
      <c r="H775">
        <v>360</v>
      </c>
      <c r="I775" t="str">
        <f t="shared" si="36"/>
        <v>AAA BBB</v>
      </c>
      <c r="J775" t="str">
        <f t="shared" si="37"/>
        <v>XXX</v>
      </c>
      <c r="K775" t="str">
        <f t="shared" si="38"/>
        <v>ZZZ, TN, 38340</v>
      </c>
    </row>
    <row r="776" spans="1:11" x14ac:dyDescent="0.15">
      <c r="A776">
        <v>1018918</v>
      </c>
      <c r="B776" s="54" t="s">
        <v>94</v>
      </c>
      <c r="C776" s="54" t="s">
        <v>95</v>
      </c>
      <c r="D776" s="54" t="s">
        <v>96</v>
      </c>
      <c r="E776" s="54" t="s">
        <v>97</v>
      </c>
      <c r="F776" t="s">
        <v>35</v>
      </c>
      <c r="G776">
        <v>38340</v>
      </c>
      <c r="H776">
        <v>360</v>
      </c>
      <c r="I776" t="str">
        <f t="shared" si="36"/>
        <v>AAA BBB</v>
      </c>
      <c r="J776" t="str">
        <f t="shared" si="37"/>
        <v>XXX</v>
      </c>
      <c r="K776" t="str">
        <f t="shared" si="38"/>
        <v>ZZZ, TN, 38340</v>
      </c>
    </row>
    <row r="777" spans="1:11" x14ac:dyDescent="0.15">
      <c r="A777">
        <v>1018918</v>
      </c>
      <c r="B777" s="54" t="s">
        <v>94</v>
      </c>
      <c r="C777" s="54" t="s">
        <v>95</v>
      </c>
      <c r="D777" s="54" t="s">
        <v>96</v>
      </c>
      <c r="E777" s="54" t="s">
        <v>97</v>
      </c>
      <c r="F777" t="s">
        <v>35</v>
      </c>
      <c r="G777">
        <v>38340</v>
      </c>
      <c r="H777">
        <v>360</v>
      </c>
      <c r="I777" t="str">
        <f t="shared" si="36"/>
        <v>AAA BBB</v>
      </c>
      <c r="J777" t="str">
        <f t="shared" si="37"/>
        <v>XXX</v>
      </c>
      <c r="K777" t="str">
        <f t="shared" si="38"/>
        <v>ZZZ, TN, 38340</v>
      </c>
    </row>
    <row r="778" spans="1:11" x14ac:dyDescent="0.15">
      <c r="A778">
        <v>1018918</v>
      </c>
      <c r="B778" s="54" t="s">
        <v>94</v>
      </c>
      <c r="C778" s="54" t="s">
        <v>95</v>
      </c>
      <c r="D778" s="54" t="s">
        <v>96</v>
      </c>
      <c r="E778" s="54" t="s">
        <v>97</v>
      </c>
      <c r="F778" t="s">
        <v>35</v>
      </c>
      <c r="G778">
        <v>38340</v>
      </c>
      <c r="H778">
        <v>360</v>
      </c>
      <c r="I778" t="str">
        <f t="shared" si="36"/>
        <v>AAA BBB</v>
      </c>
      <c r="J778" t="str">
        <f t="shared" si="37"/>
        <v>XXX</v>
      </c>
      <c r="K778" t="str">
        <f t="shared" si="38"/>
        <v>ZZZ, TN, 38340</v>
      </c>
    </row>
    <row r="779" spans="1:11" x14ac:dyDescent="0.15">
      <c r="A779">
        <v>1018918</v>
      </c>
      <c r="B779" s="54" t="s">
        <v>94</v>
      </c>
      <c r="C779" s="54" t="s">
        <v>95</v>
      </c>
      <c r="D779" s="54" t="s">
        <v>96</v>
      </c>
      <c r="E779" s="54" t="s">
        <v>97</v>
      </c>
      <c r="F779" t="s">
        <v>35</v>
      </c>
      <c r="G779">
        <v>38340</v>
      </c>
      <c r="H779">
        <v>360</v>
      </c>
      <c r="I779" t="str">
        <f t="shared" si="36"/>
        <v>AAA BBB</v>
      </c>
      <c r="J779" t="str">
        <f t="shared" si="37"/>
        <v>XXX</v>
      </c>
      <c r="K779" t="str">
        <f t="shared" si="38"/>
        <v>ZZZ, TN, 38340</v>
      </c>
    </row>
    <row r="780" spans="1:11" x14ac:dyDescent="0.15">
      <c r="A780">
        <v>1018918</v>
      </c>
      <c r="B780" s="54" t="s">
        <v>94</v>
      </c>
      <c r="C780" s="54" t="s">
        <v>95</v>
      </c>
      <c r="D780" s="54" t="s">
        <v>96</v>
      </c>
      <c r="E780" s="54" t="s">
        <v>97</v>
      </c>
      <c r="F780" t="s">
        <v>35</v>
      </c>
      <c r="G780">
        <v>38340</v>
      </c>
      <c r="H780">
        <v>360</v>
      </c>
      <c r="I780" t="str">
        <f t="shared" si="36"/>
        <v>AAA BBB</v>
      </c>
      <c r="J780" t="str">
        <f t="shared" si="37"/>
        <v>XXX</v>
      </c>
      <c r="K780" t="str">
        <f t="shared" si="38"/>
        <v>ZZZ, TN, 38340</v>
      </c>
    </row>
    <row r="781" spans="1:11" x14ac:dyDescent="0.15">
      <c r="A781">
        <v>1018918</v>
      </c>
      <c r="B781" s="54" t="s">
        <v>94</v>
      </c>
      <c r="C781" s="54" t="s">
        <v>95</v>
      </c>
      <c r="D781" s="54" t="s">
        <v>96</v>
      </c>
      <c r="E781" s="54" t="s">
        <v>97</v>
      </c>
      <c r="F781" t="s">
        <v>35</v>
      </c>
      <c r="G781">
        <v>38340</v>
      </c>
      <c r="H781">
        <v>360</v>
      </c>
      <c r="I781" t="str">
        <f t="shared" si="36"/>
        <v>AAA BBB</v>
      </c>
      <c r="J781" t="str">
        <f t="shared" si="37"/>
        <v>XXX</v>
      </c>
      <c r="K781" t="str">
        <f t="shared" si="38"/>
        <v>ZZZ, TN, 38340</v>
      </c>
    </row>
    <row r="782" spans="1:11" x14ac:dyDescent="0.15">
      <c r="A782">
        <v>1018918</v>
      </c>
      <c r="B782" s="54" t="s">
        <v>94</v>
      </c>
      <c r="C782" s="54" t="s">
        <v>95</v>
      </c>
      <c r="D782" s="54" t="s">
        <v>96</v>
      </c>
      <c r="E782" s="54" t="s">
        <v>97</v>
      </c>
      <c r="F782" t="s">
        <v>35</v>
      </c>
      <c r="G782">
        <v>38340</v>
      </c>
      <c r="H782">
        <v>360</v>
      </c>
      <c r="I782" t="str">
        <f t="shared" si="36"/>
        <v>AAA BBB</v>
      </c>
      <c r="J782" t="str">
        <f t="shared" si="37"/>
        <v>XXX</v>
      </c>
      <c r="K782" t="str">
        <f t="shared" si="38"/>
        <v>ZZZ, TN, 38340</v>
      </c>
    </row>
    <row r="783" spans="1:11" x14ac:dyDescent="0.15">
      <c r="A783">
        <v>1018918</v>
      </c>
      <c r="B783" s="54" t="s">
        <v>94</v>
      </c>
      <c r="C783" s="54" t="s">
        <v>95</v>
      </c>
      <c r="D783" s="54" t="s">
        <v>96</v>
      </c>
      <c r="E783" s="54" t="s">
        <v>97</v>
      </c>
      <c r="F783" t="s">
        <v>35</v>
      </c>
      <c r="G783">
        <v>38340</v>
      </c>
      <c r="H783">
        <v>360</v>
      </c>
      <c r="I783" t="str">
        <f t="shared" si="36"/>
        <v>AAA BBB</v>
      </c>
      <c r="J783" t="str">
        <f t="shared" si="37"/>
        <v>XXX</v>
      </c>
      <c r="K783" t="str">
        <f t="shared" si="38"/>
        <v>ZZZ, TN, 38340</v>
      </c>
    </row>
    <row r="784" spans="1:11" x14ac:dyDescent="0.15">
      <c r="A784">
        <v>1018918</v>
      </c>
      <c r="B784" s="54" t="s">
        <v>94</v>
      </c>
      <c r="C784" s="54" t="s">
        <v>95</v>
      </c>
      <c r="D784" s="54" t="s">
        <v>96</v>
      </c>
      <c r="E784" s="54" t="s">
        <v>97</v>
      </c>
      <c r="F784" t="s">
        <v>35</v>
      </c>
      <c r="G784">
        <v>38340</v>
      </c>
      <c r="H784">
        <v>360</v>
      </c>
      <c r="I784" t="str">
        <f t="shared" si="36"/>
        <v>AAA BBB</v>
      </c>
      <c r="J784" t="str">
        <f t="shared" si="37"/>
        <v>XXX</v>
      </c>
      <c r="K784" t="str">
        <f t="shared" si="38"/>
        <v>ZZZ, TN, 38340</v>
      </c>
    </row>
    <row r="785" spans="1:11" x14ac:dyDescent="0.15">
      <c r="A785">
        <v>1018918</v>
      </c>
      <c r="B785" s="54" t="s">
        <v>94</v>
      </c>
      <c r="C785" s="54" t="s">
        <v>95</v>
      </c>
      <c r="D785" s="54" t="s">
        <v>96</v>
      </c>
      <c r="E785" s="54" t="s">
        <v>97</v>
      </c>
      <c r="F785" t="s">
        <v>35</v>
      </c>
      <c r="G785">
        <v>38340</v>
      </c>
      <c r="H785">
        <v>360</v>
      </c>
      <c r="I785" t="str">
        <f t="shared" si="36"/>
        <v>AAA BBB</v>
      </c>
      <c r="J785" t="str">
        <f t="shared" si="37"/>
        <v>XXX</v>
      </c>
      <c r="K785" t="str">
        <f t="shared" si="38"/>
        <v>ZZZ, TN, 38340</v>
      </c>
    </row>
    <row r="786" spans="1:11" x14ac:dyDescent="0.15">
      <c r="A786">
        <v>1018918</v>
      </c>
      <c r="B786" s="54" t="s">
        <v>94</v>
      </c>
      <c r="C786" s="54" t="s">
        <v>95</v>
      </c>
      <c r="D786" s="54" t="s">
        <v>96</v>
      </c>
      <c r="E786" s="54" t="s">
        <v>97</v>
      </c>
      <c r="F786" t="s">
        <v>35</v>
      </c>
      <c r="G786">
        <v>38340</v>
      </c>
      <c r="H786">
        <v>360</v>
      </c>
      <c r="I786" t="str">
        <f t="shared" si="36"/>
        <v>AAA BBB</v>
      </c>
      <c r="J786" t="str">
        <f t="shared" si="37"/>
        <v>XXX</v>
      </c>
      <c r="K786" t="str">
        <f t="shared" si="38"/>
        <v>ZZZ, TN, 38340</v>
      </c>
    </row>
    <row r="787" spans="1:11" x14ac:dyDescent="0.15">
      <c r="A787">
        <v>1018918</v>
      </c>
      <c r="B787" s="54" t="s">
        <v>94</v>
      </c>
      <c r="C787" s="54" t="s">
        <v>95</v>
      </c>
      <c r="D787" s="54" t="s">
        <v>96</v>
      </c>
      <c r="E787" s="54" t="s">
        <v>97</v>
      </c>
      <c r="F787" t="s">
        <v>35</v>
      </c>
      <c r="G787">
        <v>38340</v>
      </c>
      <c r="H787">
        <v>360</v>
      </c>
      <c r="I787" t="str">
        <f t="shared" si="36"/>
        <v>AAA BBB</v>
      </c>
      <c r="J787" t="str">
        <f t="shared" si="37"/>
        <v>XXX</v>
      </c>
      <c r="K787" t="str">
        <f t="shared" si="38"/>
        <v>ZZZ, TN, 38340</v>
      </c>
    </row>
    <row r="788" spans="1:11" x14ac:dyDescent="0.15">
      <c r="A788">
        <v>1018918</v>
      </c>
      <c r="B788" s="54" t="s">
        <v>94</v>
      </c>
      <c r="C788" s="54" t="s">
        <v>95</v>
      </c>
      <c r="D788" s="54" t="s">
        <v>96</v>
      </c>
      <c r="E788" s="54" t="s">
        <v>97</v>
      </c>
      <c r="F788" t="s">
        <v>35</v>
      </c>
      <c r="G788">
        <v>38340</v>
      </c>
      <c r="H788">
        <v>360</v>
      </c>
      <c r="I788" t="str">
        <f t="shared" si="36"/>
        <v>AAA BBB</v>
      </c>
      <c r="J788" t="str">
        <f t="shared" si="37"/>
        <v>XXX</v>
      </c>
      <c r="K788" t="str">
        <f t="shared" si="38"/>
        <v>ZZZ, TN, 38340</v>
      </c>
    </row>
    <row r="789" spans="1:11" x14ac:dyDescent="0.15">
      <c r="A789">
        <v>1018918</v>
      </c>
      <c r="B789" s="54" t="s">
        <v>94</v>
      </c>
      <c r="C789" s="54" t="s">
        <v>95</v>
      </c>
      <c r="D789" s="54" t="s">
        <v>96</v>
      </c>
      <c r="E789" s="54" t="s">
        <v>97</v>
      </c>
      <c r="F789" t="s">
        <v>35</v>
      </c>
      <c r="G789">
        <v>38340</v>
      </c>
      <c r="H789">
        <v>360</v>
      </c>
      <c r="I789" t="str">
        <f t="shared" si="36"/>
        <v>AAA BBB</v>
      </c>
      <c r="J789" t="str">
        <f t="shared" si="37"/>
        <v>XXX</v>
      </c>
      <c r="K789" t="str">
        <f t="shared" si="38"/>
        <v>ZZZ, TN, 38340</v>
      </c>
    </row>
    <row r="790" spans="1:11" x14ac:dyDescent="0.15">
      <c r="A790">
        <v>1018918</v>
      </c>
      <c r="B790" s="54" t="s">
        <v>94</v>
      </c>
      <c r="C790" s="54" t="s">
        <v>95</v>
      </c>
      <c r="D790" s="54" t="s">
        <v>96</v>
      </c>
      <c r="E790" s="54" t="s">
        <v>97</v>
      </c>
      <c r="F790" t="s">
        <v>35</v>
      </c>
      <c r="G790">
        <v>38340</v>
      </c>
      <c r="H790">
        <v>360</v>
      </c>
      <c r="I790" t="str">
        <f t="shared" si="36"/>
        <v>AAA BBB</v>
      </c>
      <c r="J790" t="str">
        <f t="shared" si="37"/>
        <v>XXX</v>
      </c>
      <c r="K790" t="str">
        <f t="shared" si="38"/>
        <v>ZZZ, TN, 38340</v>
      </c>
    </row>
    <row r="791" spans="1:11" x14ac:dyDescent="0.15">
      <c r="A791">
        <v>1018918</v>
      </c>
      <c r="B791" s="54" t="s">
        <v>94</v>
      </c>
      <c r="C791" s="54" t="s">
        <v>95</v>
      </c>
      <c r="D791" s="54" t="s">
        <v>96</v>
      </c>
      <c r="E791" s="54" t="s">
        <v>97</v>
      </c>
      <c r="F791" t="s">
        <v>35</v>
      </c>
      <c r="G791">
        <v>38340</v>
      </c>
      <c r="H791">
        <v>360</v>
      </c>
      <c r="I791" t="str">
        <f t="shared" si="36"/>
        <v>AAA BBB</v>
      </c>
      <c r="J791" t="str">
        <f t="shared" si="37"/>
        <v>XXX</v>
      </c>
      <c r="K791" t="str">
        <f t="shared" si="38"/>
        <v>ZZZ, TN, 38340</v>
      </c>
    </row>
    <row r="792" spans="1:11" x14ac:dyDescent="0.15">
      <c r="A792">
        <v>1018918</v>
      </c>
      <c r="B792" s="54" t="s">
        <v>94</v>
      </c>
      <c r="C792" s="54" t="s">
        <v>95</v>
      </c>
      <c r="D792" s="54" t="s">
        <v>96</v>
      </c>
      <c r="E792" s="54" t="s">
        <v>97</v>
      </c>
      <c r="F792" t="s">
        <v>35</v>
      </c>
      <c r="G792">
        <v>38340</v>
      </c>
      <c r="H792">
        <v>360</v>
      </c>
      <c r="I792" t="str">
        <f t="shared" si="36"/>
        <v>AAA BBB</v>
      </c>
      <c r="J792" t="str">
        <f t="shared" si="37"/>
        <v>XXX</v>
      </c>
      <c r="K792" t="str">
        <f t="shared" si="38"/>
        <v>ZZZ, TN, 38340</v>
      </c>
    </row>
    <row r="793" spans="1:11" x14ac:dyDescent="0.15">
      <c r="A793">
        <v>1018918</v>
      </c>
      <c r="B793" s="54" t="s">
        <v>94</v>
      </c>
      <c r="C793" s="54" t="s">
        <v>95</v>
      </c>
      <c r="D793" s="54" t="s">
        <v>96</v>
      </c>
      <c r="E793" s="54" t="s">
        <v>97</v>
      </c>
      <c r="F793" t="s">
        <v>35</v>
      </c>
      <c r="G793">
        <v>38340</v>
      </c>
      <c r="H793">
        <v>360</v>
      </c>
      <c r="I793" t="str">
        <f t="shared" si="36"/>
        <v>AAA BBB</v>
      </c>
      <c r="J793" t="str">
        <f t="shared" si="37"/>
        <v>XXX</v>
      </c>
      <c r="K793" t="str">
        <f t="shared" si="38"/>
        <v>ZZZ, TN, 38340</v>
      </c>
    </row>
    <row r="794" spans="1:11" x14ac:dyDescent="0.15">
      <c r="A794">
        <v>1018918</v>
      </c>
      <c r="B794" s="54" t="s">
        <v>94</v>
      </c>
      <c r="C794" s="54" t="s">
        <v>95</v>
      </c>
      <c r="D794" s="54" t="s">
        <v>96</v>
      </c>
      <c r="E794" s="54" t="s">
        <v>97</v>
      </c>
      <c r="F794" t="s">
        <v>35</v>
      </c>
      <c r="G794">
        <v>38340</v>
      </c>
      <c r="H794">
        <v>360</v>
      </c>
      <c r="I794" t="str">
        <f t="shared" si="36"/>
        <v>AAA BBB</v>
      </c>
      <c r="J794" t="str">
        <f t="shared" si="37"/>
        <v>XXX</v>
      </c>
      <c r="K794" t="str">
        <f t="shared" si="38"/>
        <v>ZZZ, TN, 38340</v>
      </c>
    </row>
    <row r="795" spans="1:11" x14ac:dyDescent="0.15">
      <c r="A795">
        <v>1018918</v>
      </c>
      <c r="B795" s="54" t="s">
        <v>94</v>
      </c>
      <c r="C795" s="54" t="s">
        <v>95</v>
      </c>
      <c r="D795" s="54" t="s">
        <v>96</v>
      </c>
      <c r="E795" s="54" t="s">
        <v>97</v>
      </c>
      <c r="F795" t="s">
        <v>35</v>
      </c>
      <c r="G795">
        <v>38340</v>
      </c>
      <c r="H795">
        <v>360</v>
      </c>
      <c r="I795" t="str">
        <f t="shared" si="36"/>
        <v>AAA BBB</v>
      </c>
      <c r="J795" t="str">
        <f t="shared" si="37"/>
        <v>XXX</v>
      </c>
      <c r="K795" t="str">
        <f t="shared" si="38"/>
        <v>ZZZ, TN, 38340</v>
      </c>
    </row>
    <row r="796" spans="1:11" x14ac:dyDescent="0.15">
      <c r="A796">
        <v>1018918</v>
      </c>
      <c r="B796" s="54" t="s">
        <v>94</v>
      </c>
      <c r="C796" s="54" t="s">
        <v>95</v>
      </c>
      <c r="D796" s="54" t="s">
        <v>96</v>
      </c>
      <c r="E796" s="54" t="s">
        <v>97</v>
      </c>
      <c r="F796" t="s">
        <v>35</v>
      </c>
      <c r="G796">
        <v>38340</v>
      </c>
      <c r="H796">
        <v>360</v>
      </c>
      <c r="I796" t="str">
        <f t="shared" si="36"/>
        <v>AAA BBB</v>
      </c>
      <c r="J796" t="str">
        <f t="shared" si="37"/>
        <v>XXX</v>
      </c>
      <c r="K796" t="str">
        <f t="shared" si="38"/>
        <v>ZZZ, TN, 38340</v>
      </c>
    </row>
    <row r="797" spans="1:11" x14ac:dyDescent="0.15">
      <c r="A797">
        <v>1018918</v>
      </c>
      <c r="B797" s="54" t="s">
        <v>94</v>
      </c>
      <c r="C797" s="54" t="s">
        <v>95</v>
      </c>
      <c r="D797" s="54" t="s">
        <v>96</v>
      </c>
      <c r="E797" s="54" t="s">
        <v>97</v>
      </c>
      <c r="F797" t="s">
        <v>35</v>
      </c>
      <c r="G797">
        <v>38340</v>
      </c>
      <c r="H797">
        <v>360</v>
      </c>
      <c r="I797" t="str">
        <f t="shared" si="36"/>
        <v>AAA BBB</v>
      </c>
      <c r="J797" t="str">
        <f t="shared" si="37"/>
        <v>XXX</v>
      </c>
      <c r="K797" t="str">
        <f t="shared" si="38"/>
        <v>ZZZ, TN, 38340</v>
      </c>
    </row>
    <row r="798" spans="1:11" x14ac:dyDescent="0.15">
      <c r="A798">
        <v>1018918</v>
      </c>
      <c r="B798" s="54" t="s">
        <v>94</v>
      </c>
      <c r="C798" s="54" t="s">
        <v>95</v>
      </c>
      <c r="D798" s="54" t="s">
        <v>96</v>
      </c>
      <c r="E798" s="54" t="s">
        <v>97</v>
      </c>
      <c r="F798" t="s">
        <v>35</v>
      </c>
      <c r="G798">
        <v>38340</v>
      </c>
      <c r="H798">
        <v>360</v>
      </c>
      <c r="I798" t="str">
        <f t="shared" si="36"/>
        <v>AAA BBB</v>
      </c>
      <c r="J798" t="str">
        <f t="shared" si="37"/>
        <v>XXX</v>
      </c>
      <c r="K798" t="str">
        <f t="shared" si="38"/>
        <v>ZZZ, TN, 38340</v>
      </c>
    </row>
    <row r="799" spans="1:11" x14ac:dyDescent="0.15">
      <c r="A799">
        <v>1018918</v>
      </c>
      <c r="B799" s="54" t="s">
        <v>94</v>
      </c>
      <c r="C799" s="54" t="s">
        <v>95</v>
      </c>
      <c r="D799" s="54" t="s">
        <v>96</v>
      </c>
      <c r="E799" s="54" t="s">
        <v>97</v>
      </c>
      <c r="F799" t="s">
        <v>35</v>
      </c>
      <c r="G799">
        <v>38340</v>
      </c>
      <c r="H799">
        <v>360</v>
      </c>
      <c r="I799" t="str">
        <f t="shared" si="36"/>
        <v>AAA BBB</v>
      </c>
      <c r="J799" t="str">
        <f t="shared" si="37"/>
        <v>XXX</v>
      </c>
      <c r="K799" t="str">
        <f t="shared" si="38"/>
        <v>ZZZ, TN, 38340</v>
      </c>
    </row>
    <row r="800" spans="1:11" x14ac:dyDescent="0.15">
      <c r="A800">
        <v>1018918</v>
      </c>
      <c r="B800" s="54" t="s">
        <v>94</v>
      </c>
      <c r="C800" s="54" t="s">
        <v>95</v>
      </c>
      <c r="D800" s="54" t="s">
        <v>96</v>
      </c>
      <c r="E800" s="54" t="s">
        <v>97</v>
      </c>
      <c r="F800" t="s">
        <v>35</v>
      </c>
      <c r="G800">
        <v>38340</v>
      </c>
      <c r="H800">
        <v>360</v>
      </c>
      <c r="I800" t="str">
        <f t="shared" si="36"/>
        <v>AAA BBB</v>
      </c>
      <c r="J800" t="str">
        <f t="shared" si="37"/>
        <v>XXX</v>
      </c>
      <c r="K800" t="str">
        <f t="shared" si="38"/>
        <v>ZZZ, TN, 38340</v>
      </c>
    </row>
    <row r="801" spans="1:11" x14ac:dyDescent="0.15">
      <c r="A801">
        <v>1018918</v>
      </c>
      <c r="B801" s="54" t="s">
        <v>94</v>
      </c>
      <c r="C801" s="54" t="s">
        <v>95</v>
      </c>
      <c r="D801" s="54" t="s">
        <v>96</v>
      </c>
      <c r="E801" s="54" t="s">
        <v>97</v>
      </c>
      <c r="F801" t="s">
        <v>35</v>
      </c>
      <c r="G801">
        <v>38340</v>
      </c>
      <c r="H801">
        <v>360</v>
      </c>
      <c r="I801" t="str">
        <f t="shared" si="36"/>
        <v>AAA BBB</v>
      </c>
      <c r="J801" t="str">
        <f t="shared" si="37"/>
        <v>XXX</v>
      </c>
      <c r="K801" t="str">
        <f t="shared" si="38"/>
        <v>ZZZ, TN, 38340</v>
      </c>
    </row>
    <row r="802" spans="1:11" x14ac:dyDescent="0.15">
      <c r="A802">
        <v>1018918</v>
      </c>
      <c r="B802" s="54" t="s">
        <v>94</v>
      </c>
      <c r="C802" s="54" t="s">
        <v>95</v>
      </c>
      <c r="D802" s="54" t="s">
        <v>96</v>
      </c>
      <c r="E802" s="54" t="s">
        <v>97</v>
      </c>
      <c r="F802" t="s">
        <v>35</v>
      </c>
      <c r="G802">
        <v>38340</v>
      </c>
      <c r="H802">
        <v>360</v>
      </c>
      <c r="I802" t="str">
        <f t="shared" si="36"/>
        <v>AAA BBB</v>
      </c>
      <c r="J802" t="str">
        <f t="shared" si="37"/>
        <v>XXX</v>
      </c>
      <c r="K802" t="str">
        <f t="shared" si="38"/>
        <v>ZZZ, TN, 38340</v>
      </c>
    </row>
    <row r="803" spans="1:11" x14ac:dyDescent="0.15">
      <c r="A803">
        <v>1018918</v>
      </c>
      <c r="B803" s="54" t="s">
        <v>94</v>
      </c>
      <c r="C803" s="54" t="s">
        <v>95</v>
      </c>
      <c r="D803" s="54" t="s">
        <v>96</v>
      </c>
      <c r="E803" s="54" t="s">
        <v>97</v>
      </c>
      <c r="F803" t="s">
        <v>35</v>
      </c>
      <c r="G803">
        <v>38340</v>
      </c>
      <c r="H803">
        <v>360</v>
      </c>
      <c r="I803" t="str">
        <f t="shared" si="36"/>
        <v>AAA BBB</v>
      </c>
      <c r="J803" t="str">
        <f t="shared" si="37"/>
        <v>XXX</v>
      </c>
      <c r="K803" t="str">
        <f t="shared" si="38"/>
        <v>ZZZ, TN, 38340</v>
      </c>
    </row>
    <row r="804" spans="1:11" x14ac:dyDescent="0.15">
      <c r="A804">
        <v>1018918</v>
      </c>
      <c r="B804" s="54" t="s">
        <v>94</v>
      </c>
      <c r="C804" s="54" t="s">
        <v>95</v>
      </c>
      <c r="D804" s="54" t="s">
        <v>96</v>
      </c>
      <c r="E804" s="54" t="s">
        <v>97</v>
      </c>
      <c r="F804" t="s">
        <v>35</v>
      </c>
      <c r="G804">
        <v>38340</v>
      </c>
      <c r="H804">
        <v>360</v>
      </c>
      <c r="I804" t="str">
        <f t="shared" si="36"/>
        <v>AAA BBB</v>
      </c>
      <c r="J804" t="str">
        <f t="shared" si="37"/>
        <v>XXX</v>
      </c>
      <c r="K804" t="str">
        <f t="shared" si="38"/>
        <v>ZZZ, TN, 38340</v>
      </c>
    </row>
    <row r="805" spans="1:11" x14ac:dyDescent="0.15">
      <c r="A805">
        <v>1018918</v>
      </c>
      <c r="B805" s="54" t="s">
        <v>94</v>
      </c>
      <c r="C805" s="54" t="s">
        <v>95</v>
      </c>
      <c r="D805" s="54" t="s">
        <v>96</v>
      </c>
      <c r="E805" s="54" t="s">
        <v>97</v>
      </c>
      <c r="F805" t="s">
        <v>35</v>
      </c>
      <c r="G805">
        <v>38340</v>
      </c>
      <c r="H805">
        <v>360</v>
      </c>
      <c r="I805" t="str">
        <f t="shared" si="36"/>
        <v>AAA BBB</v>
      </c>
      <c r="J805" t="str">
        <f t="shared" si="37"/>
        <v>XXX</v>
      </c>
      <c r="K805" t="str">
        <f t="shared" si="38"/>
        <v>ZZZ, TN, 38340</v>
      </c>
    </row>
    <row r="806" spans="1:11" x14ac:dyDescent="0.15">
      <c r="A806">
        <v>1018918</v>
      </c>
      <c r="B806" s="54" t="s">
        <v>94</v>
      </c>
      <c r="C806" s="54" t="s">
        <v>95</v>
      </c>
      <c r="D806" s="54" t="s">
        <v>96</v>
      </c>
      <c r="E806" s="54" t="s">
        <v>97</v>
      </c>
      <c r="F806" t="s">
        <v>35</v>
      </c>
      <c r="G806">
        <v>38340</v>
      </c>
      <c r="H806">
        <v>360</v>
      </c>
      <c r="I806" t="str">
        <f t="shared" si="36"/>
        <v>AAA BBB</v>
      </c>
      <c r="J806" t="str">
        <f t="shared" si="37"/>
        <v>XXX</v>
      </c>
      <c r="K806" t="str">
        <f t="shared" si="38"/>
        <v>ZZZ, TN, 38340</v>
      </c>
    </row>
    <row r="807" spans="1:11" x14ac:dyDescent="0.15">
      <c r="A807">
        <v>1018918</v>
      </c>
      <c r="B807" s="54" t="s">
        <v>94</v>
      </c>
      <c r="C807" s="54" t="s">
        <v>95</v>
      </c>
      <c r="D807" s="54" t="s">
        <v>96</v>
      </c>
      <c r="E807" s="54" t="s">
        <v>97</v>
      </c>
      <c r="F807" t="s">
        <v>35</v>
      </c>
      <c r="G807">
        <v>38340</v>
      </c>
      <c r="H807">
        <v>360</v>
      </c>
      <c r="I807" t="str">
        <f t="shared" si="36"/>
        <v>AAA BBB</v>
      </c>
      <c r="J807" t="str">
        <f t="shared" si="37"/>
        <v>XXX</v>
      </c>
      <c r="K807" t="str">
        <f t="shared" si="38"/>
        <v>ZZZ, TN, 38340</v>
      </c>
    </row>
    <row r="808" spans="1:11" x14ac:dyDescent="0.15">
      <c r="A808">
        <v>1018918</v>
      </c>
      <c r="B808" s="54" t="s">
        <v>94</v>
      </c>
      <c r="C808" s="54" t="s">
        <v>95</v>
      </c>
      <c r="D808" s="54" t="s">
        <v>96</v>
      </c>
      <c r="E808" s="54" t="s">
        <v>97</v>
      </c>
      <c r="F808" t="s">
        <v>35</v>
      </c>
      <c r="G808">
        <v>38340</v>
      </c>
      <c r="H808">
        <v>360</v>
      </c>
      <c r="I808" t="str">
        <f t="shared" si="36"/>
        <v>AAA BBB</v>
      </c>
      <c r="J808" t="str">
        <f t="shared" si="37"/>
        <v>XXX</v>
      </c>
      <c r="K808" t="str">
        <f t="shared" si="38"/>
        <v>ZZZ, TN, 38340</v>
      </c>
    </row>
    <row r="809" spans="1:11" x14ac:dyDescent="0.15">
      <c r="A809">
        <v>1018918</v>
      </c>
      <c r="B809" s="54" t="s">
        <v>94</v>
      </c>
      <c r="C809" s="54" t="s">
        <v>95</v>
      </c>
      <c r="D809" s="54" t="s">
        <v>96</v>
      </c>
      <c r="E809" s="54" t="s">
        <v>97</v>
      </c>
      <c r="F809" t="s">
        <v>35</v>
      </c>
      <c r="G809">
        <v>38340</v>
      </c>
      <c r="H809">
        <v>360</v>
      </c>
      <c r="I809" t="str">
        <f t="shared" si="36"/>
        <v>AAA BBB</v>
      </c>
      <c r="J809" t="str">
        <f t="shared" si="37"/>
        <v>XXX</v>
      </c>
      <c r="K809" t="str">
        <f t="shared" si="38"/>
        <v>ZZZ, TN, 38340</v>
      </c>
    </row>
    <row r="810" spans="1:11" x14ac:dyDescent="0.15">
      <c r="A810">
        <v>1018918</v>
      </c>
      <c r="B810" s="54" t="s">
        <v>94</v>
      </c>
      <c r="C810" s="54" t="s">
        <v>95</v>
      </c>
      <c r="D810" s="54" t="s">
        <v>96</v>
      </c>
      <c r="E810" s="54" t="s">
        <v>97</v>
      </c>
      <c r="F810" t="s">
        <v>35</v>
      </c>
      <c r="G810">
        <v>38340</v>
      </c>
      <c r="H810">
        <v>360</v>
      </c>
      <c r="I810" t="str">
        <f t="shared" si="36"/>
        <v>AAA BBB</v>
      </c>
      <c r="J810" t="str">
        <f t="shared" si="37"/>
        <v>XXX</v>
      </c>
      <c r="K810" t="str">
        <f t="shared" si="38"/>
        <v>ZZZ, TN, 38340</v>
      </c>
    </row>
    <row r="811" spans="1:11" x14ac:dyDescent="0.15">
      <c r="A811">
        <v>1018918</v>
      </c>
      <c r="B811" s="54" t="s">
        <v>94</v>
      </c>
      <c r="C811" s="54" t="s">
        <v>95</v>
      </c>
      <c r="D811" s="54" t="s">
        <v>96</v>
      </c>
      <c r="E811" s="54" t="s">
        <v>97</v>
      </c>
      <c r="F811" t="s">
        <v>35</v>
      </c>
      <c r="G811">
        <v>38340</v>
      </c>
      <c r="H811">
        <v>360</v>
      </c>
      <c r="I811" t="str">
        <f t="shared" si="36"/>
        <v>AAA BBB</v>
      </c>
      <c r="J811" t="str">
        <f t="shared" si="37"/>
        <v>XXX</v>
      </c>
      <c r="K811" t="str">
        <f t="shared" si="38"/>
        <v>ZZZ, TN, 38340</v>
      </c>
    </row>
    <row r="812" spans="1:11" x14ac:dyDescent="0.15">
      <c r="A812">
        <v>1018918</v>
      </c>
      <c r="B812" s="54" t="s">
        <v>94</v>
      </c>
      <c r="C812" s="54" t="s">
        <v>95</v>
      </c>
      <c r="D812" s="54" t="s">
        <v>96</v>
      </c>
      <c r="E812" s="54" t="s">
        <v>97</v>
      </c>
      <c r="F812" t="s">
        <v>35</v>
      </c>
      <c r="G812">
        <v>38340</v>
      </c>
      <c r="H812">
        <v>360</v>
      </c>
      <c r="I812" t="str">
        <f t="shared" si="36"/>
        <v>AAA BBB</v>
      </c>
      <c r="J812" t="str">
        <f t="shared" si="37"/>
        <v>XXX</v>
      </c>
      <c r="K812" t="str">
        <f t="shared" si="38"/>
        <v>ZZZ, TN, 38340</v>
      </c>
    </row>
    <row r="813" spans="1:11" x14ac:dyDescent="0.15">
      <c r="A813">
        <v>1018918</v>
      </c>
      <c r="B813" s="54" t="s">
        <v>94</v>
      </c>
      <c r="C813" s="54" t="s">
        <v>95</v>
      </c>
      <c r="D813" s="54" t="s">
        <v>96</v>
      </c>
      <c r="E813" s="54" t="s">
        <v>97</v>
      </c>
      <c r="F813" t="s">
        <v>35</v>
      </c>
      <c r="G813">
        <v>38340</v>
      </c>
      <c r="H813">
        <v>360</v>
      </c>
      <c r="I813" t="str">
        <f t="shared" si="36"/>
        <v>AAA BBB</v>
      </c>
      <c r="J813" t="str">
        <f t="shared" si="37"/>
        <v>XXX</v>
      </c>
      <c r="K813" t="str">
        <f t="shared" si="38"/>
        <v>ZZZ, TN, 38340</v>
      </c>
    </row>
    <row r="814" spans="1:11" x14ac:dyDescent="0.15">
      <c r="A814">
        <v>1018918</v>
      </c>
      <c r="B814" s="54" t="s">
        <v>94</v>
      </c>
      <c r="C814" s="54" t="s">
        <v>95</v>
      </c>
      <c r="D814" s="54" t="s">
        <v>96</v>
      </c>
      <c r="E814" s="54" t="s">
        <v>97</v>
      </c>
      <c r="F814" t="s">
        <v>35</v>
      </c>
      <c r="G814">
        <v>38340</v>
      </c>
      <c r="H814">
        <v>360</v>
      </c>
      <c r="I814" t="str">
        <f t="shared" si="36"/>
        <v>AAA BBB</v>
      </c>
      <c r="J814" t="str">
        <f t="shared" si="37"/>
        <v>XXX</v>
      </c>
      <c r="K814" t="str">
        <f t="shared" si="38"/>
        <v>ZZZ, TN, 38340</v>
      </c>
    </row>
    <row r="815" spans="1:11" x14ac:dyDescent="0.15">
      <c r="A815">
        <v>1018918</v>
      </c>
      <c r="B815" s="54" t="s">
        <v>94</v>
      </c>
      <c r="C815" s="54" t="s">
        <v>95</v>
      </c>
      <c r="D815" s="54" t="s">
        <v>96</v>
      </c>
      <c r="E815" s="54" t="s">
        <v>97</v>
      </c>
      <c r="F815" t="s">
        <v>35</v>
      </c>
      <c r="G815">
        <v>38340</v>
      </c>
      <c r="H815">
        <v>360</v>
      </c>
      <c r="I815" t="str">
        <f t="shared" si="36"/>
        <v>AAA BBB</v>
      </c>
      <c r="J815" t="str">
        <f t="shared" si="37"/>
        <v>XXX</v>
      </c>
      <c r="K815" t="str">
        <f t="shared" si="38"/>
        <v>ZZZ, TN, 38340</v>
      </c>
    </row>
    <row r="816" spans="1:11" x14ac:dyDescent="0.15">
      <c r="A816">
        <v>1018918</v>
      </c>
      <c r="B816" s="54" t="s">
        <v>94</v>
      </c>
      <c r="C816" s="54" t="s">
        <v>95</v>
      </c>
      <c r="D816" s="54" t="s">
        <v>96</v>
      </c>
      <c r="E816" s="54" t="s">
        <v>97</v>
      </c>
      <c r="F816" t="s">
        <v>35</v>
      </c>
      <c r="G816">
        <v>38340</v>
      </c>
      <c r="H816">
        <v>360</v>
      </c>
      <c r="I816" t="str">
        <f t="shared" si="36"/>
        <v>AAA BBB</v>
      </c>
      <c r="J816" t="str">
        <f t="shared" si="37"/>
        <v>XXX</v>
      </c>
      <c r="K816" t="str">
        <f t="shared" si="38"/>
        <v>ZZZ, TN, 38340</v>
      </c>
    </row>
    <row r="817" spans="1:11" x14ac:dyDescent="0.15">
      <c r="A817">
        <v>1018918</v>
      </c>
      <c r="B817" s="54" t="s">
        <v>94</v>
      </c>
      <c r="C817" s="54" t="s">
        <v>95</v>
      </c>
      <c r="D817" s="54" t="s">
        <v>96</v>
      </c>
      <c r="E817" s="54" t="s">
        <v>97</v>
      </c>
      <c r="F817" t="s">
        <v>35</v>
      </c>
      <c r="G817">
        <v>38340</v>
      </c>
      <c r="H817">
        <v>360</v>
      </c>
      <c r="I817" t="str">
        <f t="shared" si="36"/>
        <v>AAA BBB</v>
      </c>
      <c r="J817" t="str">
        <f t="shared" si="37"/>
        <v>XXX</v>
      </c>
      <c r="K817" t="str">
        <f t="shared" si="38"/>
        <v>ZZZ, TN, 38340</v>
      </c>
    </row>
    <row r="818" spans="1:11" x14ac:dyDescent="0.15">
      <c r="A818">
        <v>1018918</v>
      </c>
      <c r="B818" s="54" t="s">
        <v>94</v>
      </c>
      <c r="C818" s="54" t="s">
        <v>95</v>
      </c>
      <c r="D818" s="54" t="s">
        <v>96</v>
      </c>
      <c r="E818" s="54" t="s">
        <v>97</v>
      </c>
      <c r="F818" t="s">
        <v>35</v>
      </c>
      <c r="G818">
        <v>38340</v>
      </c>
      <c r="H818">
        <v>360</v>
      </c>
      <c r="I818" t="str">
        <f t="shared" si="36"/>
        <v>AAA BBB</v>
      </c>
      <c r="J818" t="str">
        <f t="shared" si="37"/>
        <v>XXX</v>
      </c>
      <c r="K818" t="str">
        <f t="shared" si="38"/>
        <v>ZZZ, TN, 38340</v>
      </c>
    </row>
    <row r="819" spans="1:11" x14ac:dyDescent="0.15">
      <c r="A819">
        <v>1018918</v>
      </c>
      <c r="B819" s="54" t="s">
        <v>94</v>
      </c>
      <c r="C819" s="54" t="s">
        <v>95</v>
      </c>
      <c r="D819" s="54" t="s">
        <v>96</v>
      </c>
      <c r="E819" s="54" t="s">
        <v>97</v>
      </c>
      <c r="F819" t="s">
        <v>35</v>
      </c>
      <c r="G819">
        <v>38340</v>
      </c>
      <c r="H819">
        <v>360</v>
      </c>
      <c r="I819" t="str">
        <f t="shared" si="36"/>
        <v>AAA BBB</v>
      </c>
      <c r="J819" t="str">
        <f t="shared" si="37"/>
        <v>XXX</v>
      </c>
      <c r="K819" t="str">
        <f t="shared" si="38"/>
        <v>ZZZ, TN, 38340</v>
      </c>
    </row>
    <row r="820" spans="1:11" x14ac:dyDescent="0.15">
      <c r="A820">
        <v>1018918</v>
      </c>
      <c r="B820" s="54" t="s">
        <v>94</v>
      </c>
      <c r="C820" s="54" t="s">
        <v>95</v>
      </c>
      <c r="D820" s="54" t="s">
        <v>96</v>
      </c>
      <c r="E820" s="54" t="s">
        <v>97</v>
      </c>
      <c r="F820" t="s">
        <v>35</v>
      </c>
      <c r="G820">
        <v>38340</v>
      </c>
      <c r="H820">
        <v>360</v>
      </c>
      <c r="I820" t="str">
        <f t="shared" si="36"/>
        <v>AAA BBB</v>
      </c>
      <c r="J820" t="str">
        <f t="shared" si="37"/>
        <v>XXX</v>
      </c>
      <c r="K820" t="str">
        <f t="shared" si="38"/>
        <v>ZZZ, TN, 38340</v>
      </c>
    </row>
    <row r="821" spans="1:11" x14ac:dyDescent="0.15">
      <c r="A821">
        <v>1018918</v>
      </c>
      <c r="B821" s="54" t="s">
        <v>94</v>
      </c>
      <c r="C821" s="54" t="s">
        <v>95</v>
      </c>
      <c r="D821" s="54" t="s">
        <v>96</v>
      </c>
      <c r="E821" s="54" t="s">
        <v>97</v>
      </c>
      <c r="F821" t="s">
        <v>35</v>
      </c>
      <c r="G821">
        <v>38340</v>
      </c>
      <c r="H821">
        <v>360</v>
      </c>
      <c r="I821" t="str">
        <f t="shared" si="36"/>
        <v>AAA BBB</v>
      </c>
      <c r="J821" t="str">
        <f t="shared" si="37"/>
        <v>XXX</v>
      </c>
      <c r="K821" t="str">
        <f t="shared" si="38"/>
        <v>ZZZ, TN, 38340</v>
      </c>
    </row>
    <row r="822" spans="1:11" x14ac:dyDescent="0.15">
      <c r="A822">
        <v>1018918</v>
      </c>
      <c r="B822" s="54" t="s">
        <v>94</v>
      </c>
      <c r="C822" s="54" t="s">
        <v>95</v>
      </c>
      <c r="D822" s="54" t="s">
        <v>96</v>
      </c>
      <c r="E822" s="54" t="s">
        <v>97</v>
      </c>
      <c r="F822" t="s">
        <v>35</v>
      </c>
      <c r="G822">
        <v>38340</v>
      </c>
      <c r="H822">
        <v>360</v>
      </c>
      <c r="I822" t="str">
        <f t="shared" si="36"/>
        <v>AAA BBB</v>
      </c>
      <c r="J822" t="str">
        <f t="shared" si="37"/>
        <v>XXX</v>
      </c>
      <c r="K822" t="str">
        <f t="shared" si="38"/>
        <v>ZZZ, TN, 38340</v>
      </c>
    </row>
    <row r="823" spans="1:11" x14ac:dyDescent="0.15">
      <c r="A823">
        <v>1018918</v>
      </c>
      <c r="B823" s="54" t="s">
        <v>94</v>
      </c>
      <c r="C823" s="54" t="s">
        <v>95</v>
      </c>
      <c r="D823" s="54" t="s">
        <v>96</v>
      </c>
      <c r="E823" s="54" t="s">
        <v>97</v>
      </c>
      <c r="F823" t="s">
        <v>35</v>
      </c>
      <c r="G823">
        <v>38340</v>
      </c>
      <c r="H823">
        <v>360</v>
      </c>
      <c r="I823" t="str">
        <f t="shared" si="36"/>
        <v>AAA BBB</v>
      </c>
      <c r="J823" t="str">
        <f t="shared" si="37"/>
        <v>XXX</v>
      </c>
      <c r="K823" t="str">
        <f t="shared" si="38"/>
        <v>ZZZ, TN, 38340</v>
      </c>
    </row>
    <row r="824" spans="1:11" x14ac:dyDescent="0.15">
      <c r="A824">
        <v>1018918</v>
      </c>
      <c r="B824" s="54" t="s">
        <v>94</v>
      </c>
      <c r="C824" s="54" t="s">
        <v>95</v>
      </c>
      <c r="D824" s="54" t="s">
        <v>96</v>
      </c>
      <c r="E824" s="54" t="s">
        <v>97</v>
      </c>
      <c r="F824" t="s">
        <v>35</v>
      </c>
      <c r="G824">
        <v>38340</v>
      </c>
      <c r="H824">
        <v>360</v>
      </c>
      <c r="I824" t="str">
        <f t="shared" si="36"/>
        <v>AAA BBB</v>
      </c>
      <c r="J824" t="str">
        <f t="shared" si="37"/>
        <v>XXX</v>
      </c>
      <c r="K824" t="str">
        <f t="shared" si="38"/>
        <v>ZZZ, TN, 38340</v>
      </c>
    </row>
    <row r="825" spans="1:11" x14ac:dyDescent="0.15">
      <c r="A825">
        <v>1018918</v>
      </c>
      <c r="B825" s="54" t="s">
        <v>94</v>
      </c>
      <c r="C825" s="54" t="s">
        <v>95</v>
      </c>
      <c r="D825" s="54" t="s">
        <v>96</v>
      </c>
      <c r="E825" s="54" t="s">
        <v>97</v>
      </c>
      <c r="F825" t="s">
        <v>35</v>
      </c>
      <c r="G825">
        <v>38340</v>
      </c>
      <c r="H825">
        <v>360</v>
      </c>
      <c r="I825" t="str">
        <f t="shared" si="36"/>
        <v>AAA BBB</v>
      </c>
      <c r="J825" t="str">
        <f t="shared" si="37"/>
        <v>XXX</v>
      </c>
      <c r="K825" t="str">
        <f t="shared" si="38"/>
        <v>ZZZ, TN, 38340</v>
      </c>
    </row>
    <row r="826" spans="1:11" x14ac:dyDescent="0.15">
      <c r="A826">
        <v>1018918</v>
      </c>
      <c r="B826" s="54" t="s">
        <v>94</v>
      </c>
      <c r="C826" s="54" t="s">
        <v>95</v>
      </c>
      <c r="D826" s="54" t="s">
        <v>96</v>
      </c>
      <c r="E826" s="54" t="s">
        <v>97</v>
      </c>
      <c r="F826" t="s">
        <v>35</v>
      </c>
      <c r="G826">
        <v>38340</v>
      </c>
      <c r="H826">
        <v>360</v>
      </c>
      <c r="I826" t="str">
        <f t="shared" si="36"/>
        <v>AAA BBB</v>
      </c>
      <c r="J826" t="str">
        <f t="shared" si="37"/>
        <v>XXX</v>
      </c>
      <c r="K826" t="str">
        <f t="shared" si="38"/>
        <v>ZZZ, TN, 38340</v>
      </c>
    </row>
    <row r="827" spans="1:11" x14ac:dyDescent="0.15">
      <c r="A827">
        <v>1018918</v>
      </c>
      <c r="B827" s="54" t="s">
        <v>94</v>
      </c>
      <c r="C827" s="54" t="s">
        <v>95</v>
      </c>
      <c r="D827" s="54" t="s">
        <v>96</v>
      </c>
      <c r="E827" s="54" t="s">
        <v>97</v>
      </c>
      <c r="F827" t="s">
        <v>35</v>
      </c>
      <c r="G827">
        <v>38340</v>
      </c>
      <c r="H827">
        <v>360</v>
      </c>
      <c r="I827" t="str">
        <f t="shared" si="36"/>
        <v>AAA BBB</v>
      </c>
      <c r="J827" t="str">
        <f t="shared" si="37"/>
        <v>XXX</v>
      </c>
      <c r="K827" t="str">
        <f t="shared" si="38"/>
        <v>ZZZ, TN, 38340</v>
      </c>
    </row>
    <row r="828" spans="1:11" x14ac:dyDescent="0.15">
      <c r="A828">
        <v>1018918</v>
      </c>
      <c r="B828" s="54" t="s">
        <v>94</v>
      </c>
      <c r="C828" s="54" t="s">
        <v>95</v>
      </c>
      <c r="D828" s="54" t="s">
        <v>96</v>
      </c>
      <c r="E828" s="54" t="s">
        <v>97</v>
      </c>
      <c r="F828" t="s">
        <v>35</v>
      </c>
      <c r="G828">
        <v>38340</v>
      </c>
      <c r="H828">
        <v>360</v>
      </c>
      <c r="I828" t="str">
        <f t="shared" si="36"/>
        <v>AAA BBB</v>
      </c>
      <c r="J828" t="str">
        <f t="shared" si="37"/>
        <v>XXX</v>
      </c>
      <c r="K828" t="str">
        <f t="shared" si="38"/>
        <v>ZZZ, TN, 38340</v>
      </c>
    </row>
    <row r="829" spans="1:11" x14ac:dyDescent="0.15">
      <c r="A829">
        <v>1018918</v>
      </c>
      <c r="B829" s="54" t="s">
        <v>94</v>
      </c>
      <c r="C829" s="54" t="s">
        <v>95</v>
      </c>
      <c r="D829" s="54" t="s">
        <v>96</v>
      </c>
      <c r="E829" s="54" t="s">
        <v>97</v>
      </c>
      <c r="F829" t="s">
        <v>35</v>
      </c>
      <c r="G829">
        <v>38340</v>
      </c>
      <c r="H829">
        <v>360</v>
      </c>
      <c r="I829" t="str">
        <f t="shared" si="36"/>
        <v>AAA BBB</v>
      </c>
      <c r="J829" t="str">
        <f t="shared" si="37"/>
        <v>XXX</v>
      </c>
      <c r="K829" t="str">
        <f t="shared" si="38"/>
        <v>ZZZ, TN, 38340</v>
      </c>
    </row>
    <row r="830" spans="1:11" x14ac:dyDescent="0.15">
      <c r="A830">
        <v>1018918</v>
      </c>
      <c r="B830" s="54" t="s">
        <v>94</v>
      </c>
      <c r="C830" s="54" t="s">
        <v>95</v>
      </c>
      <c r="D830" s="54" t="s">
        <v>96</v>
      </c>
      <c r="E830" s="54" t="s">
        <v>97</v>
      </c>
      <c r="F830" t="s">
        <v>35</v>
      </c>
      <c r="G830">
        <v>38340</v>
      </c>
      <c r="H830">
        <v>360</v>
      </c>
      <c r="I830" t="str">
        <f t="shared" si="36"/>
        <v>AAA BBB</v>
      </c>
      <c r="J830" t="str">
        <f t="shared" si="37"/>
        <v>XXX</v>
      </c>
      <c r="K830" t="str">
        <f t="shared" si="38"/>
        <v>ZZZ, TN, 38340</v>
      </c>
    </row>
    <row r="831" spans="1:11" x14ac:dyDescent="0.15">
      <c r="A831">
        <v>1018918</v>
      </c>
      <c r="B831" s="54" t="s">
        <v>94</v>
      </c>
      <c r="C831" s="54" t="s">
        <v>95</v>
      </c>
      <c r="D831" s="54" t="s">
        <v>96</v>
      </c>
      <c r="E831" s="54" t="s">
        <v>97</v>
      </c>
      <c r="F831" t="s">
        <v>35</v>
      </c>
      <c r="G831">
        <v>38340</v>
      </c>
      <c r="H831">
        <v>360</v>
      </c>
      <c r="I831" t="str">
        <f t="shared" si="36"/>
        <v>AAA BBB</v>
      </c>
      <c r="J831" t="str">
        <f t="shared" si="37"/>
        <v>XXX</v>
      </c>
      <c r="K831" t="str">
        <f t="shared" si="38"/>
        <v>ZZZ, TN, 38340</v>
      </c>
    </row>
    <row r="832" spans="1:11" x14ac:dyDescent="0.15">
      <c r="A832">
        <v>1018918</v>
      </c>
      <c r="B832" s="54" t="s">
        <v>94</v>
      </c>
      <c r="C832" s="54" t="s">
        <v>95</v>
      </c>
      <c r="D832" s="54" t="s">
        <v>96</v>
      </c>
      <c r="E832" s="54" t="s">
        <v>97</v>
      </c>
      <c r="F832" t="s">
        <v>35</v>
      </c>
      <c r="G832">
        <v>38340</v>
      </c>
      <c r="H832">
        <v>360</v>
      </c>
      <c r="I832" t="str">
        <f t="shared" si="36"/>
        <v>AAA BBB</v>
      </c>
      <c r="J832" t="str">
        <f t="shared" si="37"/>
        <v>XXX</v>
      </c>
      <c r="K832" t="str">
        <f t="shared" si="38"/>
        <v>ZZZ, TN, 38340</v>
      </c>
    </row>
    <row r="833" spans="1:11" x14ac:dyDescent="0.15">
      <c r="A833">
        <v>1018918</v>
      </c>
      <c r="B833" s="54" t="s">
        <v>94</v>
      </c>
      <c r="C833" s="54" t="s">
        <v>95</v>
      </c>
      <c r="D833" s="54" t="s">
        <v>96</v>
      </c>
      <c r="E833" s="54" t="s">
        <v>97</v>
      </c>
      <c r="F833" t="s">
        <v>35</v>
      </c>
      <c r="G833">
        <v>38340</v>
      </c>
      <c r="H833">
        <v>360</v>
      </c>
      <c r="I833" t="str">
        <f t="shared" si="36"/>
        <v>AAA BBB</v>
      </c>
      <c r="J833" t="str">
        <f t="shared" si="37"/>
        <v>XXX</v>
      </c>
      <c r="K833" t="str">
        <f t="shared" si="38"/>
        <v>ZZZ, TN, 38340</v>
      </c>
    </row>
    <row r="834" spans="1:11" x14ac:dyDescent="0.15">
      <c r="A834">
        <v>1018918</v>
      </c>
      <c r="B834" s="54" t="s">
        <v>94</v>
      </c>
      <c r="C834" s="54" t="s">
        <v>95</v>
      </c>
      <c r="D834" s="54" t="s">
        <v>96</v>
      </c>
      <c r="E834" s="54" t="s">
        <v>97</v>
      </c>
      <c r="F834" t="s">
        <v>35</v>
      </c>
      <c r="G834">
        <v>38340</v>
      </c>
      <c r="H834">
        <v>360</v>
      </c>
      <c r="I834" t="str">
        <f t="shared" si="36"/>
        <v>AAA BBB</v>
      </c>
      <c r="J834" t="str">
        <f t="shared" si="37"/>
        <v>XXX</v>
      </c>
      <c r="K834" t="str">
        <f t="shared" si="38"/>
        <v>ZZZ, TN, 38340</v>
      </c>
    </row>
    <row r="835" spans="1:11" x14ac:dyDescent="0.15">
      <c r="A835">
        <v>1018918</v>
      </c>
      <c r="B835" s="54" t="s">
        <v>94</v>
      </c>
      <c r="C835" s="54" t="s">
        <v>95</v>
      </c>
      <c r="D835" s="54" t="s">
        <v>96</v>
      </c>
      <c r="E835" s="54" t="s">
        <v>97</v>
      </c>
      <c r="F835" t="s">
        <v>35</v>
      </c>
      <c r="G835">
        <v>38340</v>
      </c>
      <c r="H835">
        <v>360</v>
      </c>
      <c r="I835" t="str">
        <f t="shared" ref="I835:I898" si="39">CONCATENATE(B835," ",C835)</f>
        <v>AAA BBB</v>
      </c>
      <c r="J835" t="str">
        <f t="shared" ref="J835:J898" si="40">D835</f>
        <v>XXX</v>
      </c>
      <c r="K835" t="str">
        <f t="shared" ref="K835:K898" si="41">CONCATENATE(E835,","," ",F835,","," ",G835)</f>
        <v>ZZZ, TN, 38340</v>
      </c>
    </row>
    <row r="836" spans="1:11" x14ac:dyDescent="0.15">
      <c r="A836">
        <v>1018918</v>
      </c>
      <c r="B836" s="54" t="s">
        <v>94</v>
      </c>
      <c r="C836" s="54" t="s">
        <v>95</v>
      </c>
      <c r="D836" s="54" t="s">
        <v>96</v>
      </c>
      <c r="E836" s="54" t="s">
        <v>97</v>
      </c>
      <c r="F836" t="s">
        <v>35</v>
      </c>
      <c r="G836">
        <v>38340</v>
      </c>
      <c r="H836">
        <v>360</v>
      </c>
      <c r="I836" t="str">
        <f t="shared" si="39"/>
        <v>AAA BBB</v>
      </c>
      <c r="J836" t="str">
        <f t="shared" si="40"/>
        <v>XXX</v>
      </c>
      <c r="K836" t="str">
        <f t="shared" si="41"/>
        <v>ZZZ, TN, 38340</v>
      </c>
    </row>
    <row r="837" spans="1:11" x14ac:dyDescent="0.15">
      <c r="A837">
        <v>1018918</v>
      </c>
      <c r="B837" s="54" t="s">
        <v>94</v>
      </c>
      <c r="C837" s="54" t="s">
        <v>95</v>
      </c>
      <c r="D837" s="54" t="s">
        <v>96</v>
      </c>
      <c r="E837" s="54" t="s">
        <v>97</v>
      </c>
      <c r="F837" t="s">
        <v>35</v>
      </c>
      <c r="G837">
        <v>38340</v>
      </c>
      <c r="H837">
        <v>360</v>
      </c>
      <c r="I837" t="str">
        <f t="shared" si="39"/>
        <v>AAA BBB</v>
      </c>
      <c r="J837" t="str">
        <f t="shared" si="40"/>
        <v>XXX</v>
      </c>
      <c r="K837" t="str">
        <f t="shared" si="41"/>
        <v>ZZZ, TN, 38340</v>
      </c>
    </row>
    <row r="838" spans="1:11" x14ac:dyDescent="0.15">
      <c r="A838">
        <v>1018918</v>
      </c>
      <c r="B838" s="54" t="s">
        <v>94</v>
      </c>
      <c r="C838" s="54" t="s">
        <v>95</v>
      </c>
      <c r="D838" s="54" t="s">
        <v>96</v>
      </c>
      <c r="E838" s="54" t="s">
        <v>97</v>
      </c>
      <c r="F838" t="s">
        <v>35</v>
      </c>
      <c r="G838">
        <v>38340</v>
      </c>
      <c r="H838">
        <v>360</v>
      </c>
      <c r="I838" t="str">
        <f t="shared" si="39"/>
        <v>AAA BBB</v>
      </c>
      <c r="J838" t="str">
        <f t="shared" si="40"/>
        <v>XXX</v>
      </c>
      <c r="K838" t="str">
        <f t="shared" si="41"/>
        <v>ZZZ, TN, 38340</v>
      </c>
    </row>
    <row r="839" spans="1:11" x14ac:dyDescent="0.15">
      <c r="A839">
        <v>1018918</v>
      </c>
      <c r="B839" s="54" t="s">
        <v>94</v>
      </c>
      <c r="C839" s="54" t="s">
        <v>95</v>
      </c>
      <c r="D839" s="54" t="s">
        <v>96</v>
      </c>
      <c r="E839" s="54" t="s">
        <v>97</v>
      </c>
      <c r="F839" t="s">
        <v>35</v>
      </c>
      <c r="G839">
        <v>38340</v>
      </c>
      <c r="H839">
        <v>360</v>
      </c>
      <c r="I839" t="str">
        <f t="shared" si="39"/>
        <v>AAA BBB</v>
      </c>
      <c r="J839" t="str">
        <f t="shared" si="40"/>
        <v>XXX</v>
      </c>
      <c r="K839" t="str">
        <f t="shared" si="41"/>
        <v>ZZZ, TN, 38340</v>
      </c>
    </row>
    <row r="840" spans="1:11" x14ac:dyDescent="0.15">
      <c r="A840">
        <v>1018918</v>
      </c>
      <c r="B840" s="54" t="s">
        <v>94</v>
      </c>
      <c r="C840" s="54" t="s">
        <v>95</v>
      </c>
      <c r="D840" s="54" t="s">
        <v>96</v>
      </c>
      <c r="E840" s="54" t="s">
        <v>97</v>
      </c>
      <c r="F840" t="s">
        <v>35</v>
      </c>
      <c r="G840">
        <v>38340</v>
      </c>
      <c r="H840">
        <v>360</v>
      </c>
      <c r="I840" t="str">
        <f t="shared" si="39"/>
        <v>AAA BBB</v>
      </c>
      <c r="J840" t="str">
        <f t="shared" si="40"/>
        <v>XXX</v>
      </c>
      <c r="K840" t="str">
        <f t="shared" si="41"/>
        <v>ZZZ, TN, 38340</v>
      </c>
    </row>
    <row r="841" spans="1:11" x14ac:dyDescent="0.15">
      <c r="A841">
        <v>1018918</v>
      </c>
      <c r="B841" s="54" t="s">
        <v>94</v>
      </c>
      <c r="C841" s="54" t="s">
        <v>95</v>
      </c>
      <c r="D841" s="54" t="s">
        <v>96</v>
      </c>
      <c r="E841" s="54" t="s">
        <v>97</v>
      </c>
      <c r="F841" t="s">
        <v>35</v>
      </c>
      <c r="G841">
        <v>38340</v>
      </c>
      <c r="H841">
        <v>360</v>
      </c>
      <c r="I841" t="str">
        <f t="shared" si="39"/>
        <v>AAA BBB</v>
      </c>
      <c r="J841" t="str">
        <f t="shared" si="40"/>
        <v>XXX</v>
      </c>
      <c r="K841" t="str">
        <f t="shared" si="41"/>
        <v>ZZZ, TN, 38340</v>
      </c>
    </row>
    <row r="842" spans="1:11" x14ac:dyDescent="0.15">
      <c r="A842">
        <v>1018918</v>
      </c>
      <c r="B842" s="54" t="s">
        <v>94</v>
      </c>
      <c r="C842" s="54" t="s">
        <v>95</v>
      </c>
      <c r="D842" s="54" t="s">
        <v>96</v>
      </c>
      <c r="E842" s="54" t="s">
        <v>97</v>
      </c>
      <c r="F842" t="s">
        <v>35</v>
      </c>
      <c r="G842">
        <v>38340</v>
      </c>
      <c r="H842">
        <v>360</v>
      </c>
      <c r="I842" t="str">
        <f t="shared" si="39"/>
        <v>AAA BBB</v>
      </c>
      <c r="J842" t="str">
        <f t="shared" si="40"/>
        <v>XXX</v>
      </c>
      <c r="K842" t="str">
        <f t="shared" si="41"/>
        <v>ZZZ, TN, 38340</v>
      </c>
    </row>
    <row r="843" spans="1:11" x14ac:dyDescent="0.15">
      <c r="A843">
        <v>1018918</v>
      </c>
      <c r="B843" s="54" t="s">
        <v>94</v>
      </c>
      <c r="C843" s="54" t="s">
        <v>95</v>
      </c>
      <c r="D843" s="54" t="s">
        <v>96</v>
      </c>
      <c r="E843" s="54" t="s">
        <v>97</v>
      </c>
      <c r="F843" t="s">
        <v>35</v>
      </c>
      <c r="G843">
        <v>38340</v>
      </c>
      <c r="H843">
        <v>360</v>
      </c>
      <c r="I843" t="str">
        <f t="shared" si="39"/>
        <v>AAA BBB</v>
      </c>
      <c r="J843" t="str">
        <f t="shared" si="40"/>
        <v>XXX</v>
      </c>
      <c r="K843" t="str">
        <f t="shared" si="41"/>
        <v>ZZZ, TN, 38340</v>
      </c>
    </row>
    <row r="844" spans="1:11" x14ac:dyDescent="0.15">
      <c r="A844">
        <v>1018918</v>
      </c>
      <c r="B844" s="54" t="s">
        <v>94</v>
      </c>
      <c r="C844" s="54" t="s">
        <v>95</v>
      </c>
      <c r="D844" s="54" t="s">
        <v>96</v>
      </c>
      <c r="E844" s="54" t="s">
        <v>97</v>
      </c>
      <c r="F844" t="s">
        <v>35</v>
      </c>
      <c r="G844">
        <v>38340</v>
      </c>
      <c r="H844">
        <v>360</v>
      </c>
      <c r="I844" t="str">
        <f t="shared" si="39"/>
        <v>AAA BBB</v>
      </c>
      <c r="J844" t="str">
        <f t="shared" si="40"/>
        <v>XXX</v>
      </c>
      <c r="K844" t="str">
        <f t="shared" si="41"/>
        <v>ZZZ, TN, 38340</v>
      </c>
    </row>
    <row r="845" spans="1:11" x14ac:dyDescent="0.15">
      <c r="A845">
        <v>1018918</v>
      </c>
      <c r="B845" s="54" t="s">
        <v>94</v>
      </c>
      <c r="C845" s="54" t="s">
        <v>95</v>
      </c>
      <c r="D845" s="54" t="s">
        <v>96</v>
      </c>
      <c r="E845" s="54" t="s">
        <v>97</v>
      </c>
      <c r="F845" t="s">
        <v>35</v>
      </c>
      <c r="G845">
        <v>38340</v>
      </c>
      <c r="H845">
        <v>360</v>
      </c>
      <c r="I845" t="str">
        <f t="shared" si="39"/>
        <v>AAA BBB</v>
      </c>
      <c r="J845" t="str">
        <f t="shared" si="40"/>
        <v>XXX</v>
      </c>
      <c r="K845" t="str">
        <f t="shared" si="41"/>
        <v>ZZZ, TN, 38340</v>
      </c>
    </row>
    <row r="846" spans="1:11" x14ac:dyDescent="0.15">
      <c r="A846">
        <v>1018918</v>
      </c>
      <c r="B846" s="54" t="s">
        <v>94</v>
      </c>
      <c r="C846" s="54" t="s">
        <v>95</v>
      </c>
      <c r="D846" s="54" t="s">
        <v>96</v>
      </c>
      <c r="E846" s="54" t="s">
        <v>97</v>
      </c>
      <c r="F846" t="s">
        <v>35</v>
      </c>
      <c r="G846">
        <v>38340</v>
      </c>
      <c r="H846">
        <v>360</v>
      </c>
      <c r="I846" t="str">
        <f t="shared" si="39"/>
        <v>AAA BBB</v>
      </c>
      <c r="J846" t="str">
        <f t="shared" si="40"/>
        <v>XXX</v>
      </c>
      <c r="K846" t="str">
        <f t="shared" si="41"/>
        <v>ZZZ, TN, 38340</v>
      </c>
    </row>
    <row r="847" spans="1:11" x14ac:dyDescent="0.15">
      <c r="A847">
        <v>1018918</v>
      </c>
      <c r="B847" s="54" t="s">
        <v>94</v>
      </c>
      <c r="C847" s="54" t="s">
        <v>95</v>
      </c>
      <c r="D847" s="54" t="s">
        <v>96</v>
      </c>
      <c r="E847" s="54" t="s">
        <v>97</v>
      </c>
      <c r="F847" t="s">
        <v>35</v>
      </c>
      <c r="G847">
        <v>38340</v>
      </c>
      <c r="H847">
        <v>360</v>
      </c>
      <c r="I847" t="str">
        <f t="shared" si="39"/>
        <v>AAA BBB</v>
      </c>
      <c r="J847" t="str">
        <f t="shared" si="40"/>
        <v>XXX</v>
      </c>
      <c r="K847" t="str">
        <f t="shared" si="41"/>
        <v>ZZZ, TN, 38340</v>
      </c>
    </row>
    <row r="848" spans="1:11" x14ac:dyDescent="0.15">
      <c r="A848">
        <v>1018918</v>
      </c>
      <c r="B848" s="54" t="s">
        <v>94</v>
      </c>
      <c r="C848" s="54" t="s">
        <v>95</v>
      </c>
      <c r="D848" s="54" t="s">
        <v>96</v>
      </c>
      <c r="E848" s="54" t="s">
        <v>97</v>
      </c>
      <c r="F848" t="s">
        <v>35</v>
      </c>
      <c r="G848">
        <v>38340</v>
      </c>
      <c r="H848">
        <v>360</v>
      </c>
      <c r="I848" t="str">
        <f t="shared" si="39"/>
        <v>AAA BBB</v>
      </c>
      <c r="J848" t="str">
        <f t="shared" si="40"/>
        <v>XXX</v>
      </c>
      <c r="K848" t="str">
        <f t="shared" si="41"/>
        <v>ZZZ, TN, 38340</v>
      </c>
    </row>
    <row r="849" spans="1:11" x14ac:dyDescent="0.15">
      <c r="A849">
        <v>1018918</v>
      </c>
      <c r="B849" s="54" t="s">
        <v>94</v>
      </c>
      <c r="C849" s="54" t="s">
        <v>95</v>
      </c>
      <c r="D849" s="54" t="s">
        <v>96</v>
      </c>
      <c r="E849" s="54" t="s">
        <v>97</v>
      </c>
      <c r="F849" t="s">
        <v>35</v>
      </c>
      <c r="G849">
        <v>38340</v>
      </c>
      <c r="H849">
        <v>360</v>
      </c>
      <c r="I849" t="str">
        <f t="shared" si="39"/>
        <v>AAA BBB</v>
      </c>
      <c r="J849" t="str">
        <f t="shared" si="40"/>
        <v>XXX</v>
      </c>
      <c r="K849" t="str">
        <f t="shared" si="41"/>
        <v>ZZZ, TN, 38340</v>
      </c>
    </row>
    <row r="850" spans="1:11" x14ac:dyDescent="0.15">
      <c r="A850">
        <v>1018918</v>
      </c>
      <c r="B850" s="54" t="s">
        <v>94</v>
      </c>
      <c r="C850" s="54" t="s">
        <v>95</v>
      </c>
      <c r="D850" s="54" t="s">
        <v>96</v>
      </c>
      <c r="E850" s="54" t="s">
        <v>97</v>
      </c>
      <c r="F850" t="s">
        <v>35</v>
      </c>
      <c r="G850">
        <v>38340</v>
      </c>
      <c r="H850">
        <v>360</v>
      </c>
      <c r="I850" t="str">
        <f t="shared" si="39"/>
        <v>AAA BBB</v>
      </c>
      <c r="J850" t="str">
        <f t="shared" si="40"/>
        <v>XXX</v>
      </c>
      <c r="K850" t="str">
        <f t="shared" si="41"/>
        <v>ZZZ, TN, 38340</v>
      </c>
    </row>
    <row r="851" spans="1:11" x14ac:dyDescent="0.15">
      <c r="A851">
        <v>1018918</v>
      </c>
      <c r="B851" s="54" t="s">
        <v>94</v>
      </c>
      <c r="C851" s="54" t="s">
        <v>95</v>
      </c>
      <c r="D851" s="54" t="s">
        <v>96</v>
      </c>
      <c r="E851" s="54" t="s">
        <v>97</v>
      </c>
      <c r="F851" t="s">
        <v>35</v>
      </c>
      <c r="G851">
        <v>38340</v>
      </c>
      <c r="H851">
        <v>360</v>
      </c>
      <c r="I851" t="str">
        <f t="shared" si="39"/>
        <v>AAA BBB</v>
      </c>
      <c r="J851" t="str">
        <f t="shared" si="40"/>
        <v>XXX</v>
      </c>
      <c r="K851" t="str">
        <f t="shared" si="41"/>
        <v>ZZZ, TN, 38340</v>
      </c>
    </row>
    <row r="852" spans="1:11" x14ac:dyDescent="0.15">
      <c r="A852">
        <v>1018918</v>
      </c>
      <c r="B852" s="54" t="s">
        <v>94</v>
      </c>
      <c r="C852" s="54" t="s">
        <v>95</v>
      </c>
      <c r="D852" s="54" t="s">
        <v>96</v>
      </c>
      <c r="E852" s="54" t="s">
        <v>97</v>
      </c>
      <c r="F852" t="s">
        <v>35</v>
      </c>
      <c r="G852">
        <v>38340</v>
      </c>
      <c r="H852">
        <v>360</v>
      </c>
      <c r="I852" t="str">
        <f t="shared" si="39"/>
        <v>AAA BBB</v>
      </c>
      <c r="J852" t="str">
        <f t="shared" si="40"/>
        <v>XXX</v>
      </c>
      <c r="K852" t="str">
        <f t="shared" si="41"/>
        <v>ZZZ, TN, 38340</v>
      </c>
    </row>
    <row r="853" spans="1:11" x14ac:dyDescent="0.15">
      <c r="A853">
        <v>1018918</v>
      </c>
      <c r="B853" s="54" t="s">
        <v>94</v>
      </c>
      <c r="C853" s="54" t="s">
        <v>95</v>
      </c>
      <c r="D853" s="54" t="s">
        <v>96</v>
      </c>
      <c r="E853" s="54" t="s">
        <v>97</v>
      </c>
      <c r="F853" t="s">
        <v>35</v>
      </c>
      <c r="G853">
        <v>38340</v>
      </c>
      <c r="H853">
        <v>360</v>
      </c>
      <c r="I853" t="str">
        <f t="shared" si="39"/>
        <v>AAA BBB</v>
      </c>
      <c r="J853" t="str">
        <f t="shared" si="40"/>
        <v>XXX</v>
      </c>
      <c r="K853" t="str">
        <f t="shared" si="41"/>
        <v>ZZZ, TN, 38340</v>
      </c>
    </row>
    <row r="854" spans="1:11" x14ac:dyDescent="0.15">
      <c r="A854">
        <v>1018918</v>
      </c>
      <c r="B854" s="54" t="s">
        <v>94</v>
      </c>
      <c r="C854" s="54" t="s">
        <v>95</v>
      </c>
      <c r="D854" s="54" t="s">
        <v>96</v>
      </c>
      <c r="E854" s="54" t="s">
        <v>97</v>
      </c>
      <c r="F854" t="s">
        <v>35</v>
      </c>
      <c r="G854">
        <v>38340</v>
      </c>
      <c r="H854">
        <v>360</v>
      </c>
      <c r="I854" t="str">
        <f t="shared" si="39"/>
        <v>AAA BBB</v>
      </c>
      <c r="J854" t="str">
        <f t="shared" si="40"/>
        <v>XXX</v>
      </c>
      <c r="K854" t="str">
        <f t="shared" si="41"/>
        <v>ZZZ, TN, 38340</v>
      </c>
    </row>
    <row r="855" spans="1:11" x14ac:dyDescent="0.15">
      <c r="A855">
        <v>1018918</v>
      </c>
      <c r="B855" s="54" t="s">
        <v>94</v>
      </c>
      <c r="C855" s="54" t="s">
        <v>95</v>
      </c>
      <c r="D855" s="54" t="s">
        <v>96</v>
      </c>
      <c r="E855" s="54" t="s">
        <v>97</v>
      </c>
      <c r="F855" t="s">
        <v>35</v>
      </c>
      <c r="G855">
        <v>38340</v>
      </c>
      <c r="H855">
        <v>360</v>
      </c>
      <c r="I855" t="str">
        <f t="shared" si="39"/>
        <v>AAA BBB</v>
      </c>
      <c r="J855" t="str">
        <f t="shared" si="40"/>
        <v>XXX</v>
      </c>
      <c r="K855" t="str">
        <f t="shared" si="41"/>
        <v>ZZZ, TN, 38340</v>
      </c>
    </row>
    <row r="856" spans="1:11" x14ac:dyDescent="0.15">
      <c r="A856">
        <v>1018918</v>
      </c>
      <c r="B856" s="54" t="s">
        <v>94</v>
      </c>
      <c r="C856" s="54" t="s">
        <v>95</v>
      </c>
      <c r="D856" s="54" t="s">
        <v>96</v>
      </c>
      <c r="E856" s="54" t="s">
        <v>97</v>
      </c>
      <c r="F856" t="s">
        <v>35</v>
      </c>
      <c r="G856">
        <v>38340</v>
      </c>
      <c r="H856">
        <v>360</v>
      </c>
      <c r="I856" t="str">
        <f t="shared" si="39"/>
        <v>AAA BBB</v>
      </c>
      <c r="J856" t="str">
        <f t="shared" si="40"/>
        <v>XXX</v>
      </c>
      <c r="K856" t="str">
        <f t="shared" si="41"/>
        <v>ZZZ, TN, 38340</v>
      </c>
    </row>
    <row r="857" spans="1:11" x14ac:dyDescent="0.15">
      <c r="A857">
        <v>1018918</v>
      </c>
      <c r="B857" s="54" t="s">
        <v>94</v>
      </c>
      <c r="C857" s="54" t="s">
        <v>95</v>
      </c>
      <c r="D857" s="54" t="s">
        <v>96</v>
      </c>
      <c r="E857" s="54" t="s">
        <v>97</v>
      </c>
      <c r="F857" t="s">
        <v>35</v>
      </c>
      <c r="G857">
        <v>38340</v>
      </c>
      <c r="H857">
        <v>360</v>
      </c>
      <c r="I857" t="str">
        <f t="shared" si="39"/>
        <v>AAA BBB</v>
      </c>
      <c r="J857" t="str">
        <f t="shared" si="40"/>
        <v>XXX</v>
      </c>
      <c r="K857" t="str">
        <f t="shared" si="41"/>
        <v>ZZZ, TN, 38340</v>
      </c>
    </row>
    <row r="858" spans="1:11" x14ac:dyDescent="0.15">
      <c r="A858">
        <v>1018918</v>
      </c>
      <c r="B858" s="54" t="s">
        <v>94</v>
      </c>
      <c r="C858" s="54" t="s">
        <v>95</v>
      </c>
      <c r="D858" s="54" t="s">
        <v>96</v>
      </c>
      <c r="E858" s="54" t="s">
        <v>97</v>
      </c>
      <c r="F858" t="s">
        <v>35</v>
      </c>
      <c r="G858">
        <v>38340</v>
      </c>
      <c r="H858">
        <v>360</v>
      </c>
      <c r="I858" t="str">
        <f t="shared" si="39"/>
        <v>AAA BBB</v>
      </c>
      <c r="J858" t="str">
        <f t="shared" si="40"/>
        <v>XXX</v>
      </c>
      <c r="K858" t="str">
        <f t="shared" si="41"/>
        <v>ZZZ, TN, 38340</v>
      </c>
    </row>
    <row r="859" spans="1:11" x14ac:dyDescent="0.15">
      <c r="A859">
        <v>1018918</v>
      </c>
      <c r="B859" s="54" t="s">
        <v>94</v>
      </c>
      <c r="C859" s="54" t="s">
        <v>95</v>
      </c>
      <c r="D859" s="54" t="s">
        <v>96</v>
      </c>
      <c r="E859" s="54" t="s">
        <v>97</v>
      </c>
      <c r="F859" t="s">
        <v>35</v>
      </c>
      <c r="G859">
        <v>38340</v>
      </c>
      <c r="H859">
        <v>360</v>
      </c>
      <c r="I859" t="str">
        <f t="shared" si="39"/>
        <v>AAA BBB</v>
      </c>
      <c r="J859" t="str">
        <f t="shared" si="40"/>
        <v>XXX</v>
      </c>
      <c r="K859" t="str">
        <f t="shared" si="41"/>
        <v>ZZZ, TN, 38340</v>
      </c>
    </row>
    <row r="860" spans="1:11" x14ac:dyDescent="0.15">
      <c r="A860">
        <v>1018918</v>
      </c>
      <c r="B860" s="54" t="s">
        <v>94</v>
      </c>
      <c r="C860" s="54" t="s">
        <v>95</v>
      </c>
      <c r="D860" s="54" t="s">
        <v>96</v>
      </c>
      <c r="E860" s="54" t="s">
        <v>97</v>
      </c>
      <c r="F860" t="s">
        <v>35</v>
      </c>
      <c r="G860">
        <v>38340</v>
      </c>
      <c r="H860">
        <v>360</v>
      </c>
      <c r="I860" t="str">
        <f t="shared" si="39"/>
        <v>AAA BBB</v>
      </c>
      <c r="J860" t="str">
        <f t="shared" si="40"/>
        <v>XXX</v>
      </c>
      <c r="K860" t="str">
        <f t="shared" si="41"/>
        <v>ZZZ, TN, 38340</v>
      </c>
    </row>
    <row r="861" spans="1:11" x14ac:dyDescent="0.15">
      <c r="A861">
        <v>1018918</v>
      </c>
      <c r="B861" s="54" t="s">
        <v>94</v>
      </c>
      <c r="C861" s="54" t="s">
        <v>95</v>
      </c>
      <c r="D861" s="54" t="s">
        <v>96</v>
      </c>
      <c r="E861" s="54" t="s">
        <v>97</v>
      </c>
      <c r="F861" t="s">
        <v>35</v>
      </c>
      <c r="G861">
        <v>38340</v>
      </c>
      <c r="H861">
        <v>360</v>
      </c>
      <c r="I861" t="str">
        <f t="shared" si="39"/>
        <v>AAA BBB</v>
      </c>
      <c r="J861" t="str">
        <f t="shared" si="40"/>
        <v>XXX</v>
      </c>
      <c r="K861" t="str">
        <f t="shared" si="41"/>
        <v>ZZZ, TN, 38340</v>
      </c>
    </row>
    <row r="862" spans="1:11" x14ac:dyDescent="0.15">
      <c r="A862">
        <v>1018918</v>
      </c>
      <c r="B862" s="54" t="s">
        <v>94</v>
      </c>
      <c r="C862" s="54" t="s">
        <v>95</v>
      </c>
      <c r="D862" s="54" t="s">
        <v>96</v>
      </c>
      <c r="E862" s="54" t="s">
        <v>97</v>
      </c>
      <c r="F862" t="s">
        <v>35</v>
      </c>
      <c r="G862">
        <v>38340</v>
      </c>
      <c r="H862">
        <v>360</v>
      </c>
      <c r="I862" t="str">
        <f t="shared" si="39"/>
        <v>AAA BBB</v>
      </c>
      <c r="J862" t="str">
        <f t="shared" si="40"/>
        <v>XXX</v>
      </c>
      <c r="K862" t="str">
        <f t="shared" si="41"/>
        <v>ZZZ, TN, 38340</v>
      </c>
    </row>
    <row r="863" spans="1:11" x14ac:dyDescent="0.15">
      <c r="A863">
        <v>1018918</v>
      </c>
      <c r="B863" s="54" t="s">
        <v>94</v>
      </c>
      <c r="C863" s="54" t="s">
        <v>95</v>
      </c>
      <c r="D863" s="54" t="s">
        <v>96</v>
      </c>
      <c r="E863" s="54" t="s">
        <v>97</v>
      </c>
      <c r="F863" t="s">
        <v>35</v>
      </c>
      <c r="G863">
        <v>38340</v>
      </c>
      <c r="H863">
        <v>360</v>
      </c>
      <c r="I863" t="str">
        <f t="shared" si="39"/>
        <v>AAA BBB</v>
      </c>
      <c r="J863" t="str">
        <f t="shared" si="40"/>
        <v>XXX</v>
      </c>
      <c r="K863" t="str">
        <f t="shared" si="41"/>
        <v>ZZZ, TN, 38340</v>
      </c>
    </row>
    <row r="864" spans="1:11" x14ac:dyDescent="0.15">
      <c r="A864">
        <v>1018918</v>
      </c>
      <c r="B864" s="54" t="s">
        <v>94</v>
      </c>
      <c r="C864" s="54" t="s">
        <v>95</v>
      </c>
      <c r="D864" s="54" t="s">
        <v>96</v>
      </c>
      <c r="E864" s="54" t="s">
        <v>97</v>
      </c>
      <c r="F864" t="s">
        <v>35</v>
      </c>
      <c r="G864">
        <v>38340</v>
      </c>
      <c r="H864">
        <v>360</v>
      </c>
      <c r="I864" t="str">
        <f t="shared" si="39"/>
        <v>AAA BBB</v>
      </c>
      <c r="J864" t="str">
        <f t="shared" si="40"/>
        <v>XXX</v>
      </c>
      <c r="K864" t="str">
        <f t="shared" si="41"/>
        <v>ZZZ, TN, 38340</v>
      </c>
    </row>
    <row r="865" spans="1:11" x14ac:dyDescent="0.15">
      <c r="A865">
        <v>1018918</v>
      </c>
      <c r="B865" s="54" t="s">
        <v>94</v>
      </c>
      <c r="C865" s="54" t="s">
        <v>95</v>
      </c>
      <c r="D865" s="54" t="s">
        <v>96</v>
      </c>
      <c r="E865" s="54" t="s">
        <v>97</v>
      </c>
      <c r="F865" t="s">
        <v>35</v>
      </c>
      <c r="G865">
        <v>38340</v>
      </c>
      <c r="H865">
        <v>360</v>
      </c>
      <c r="I865" t="str">
        <f t="shared" si="39"/>
        <v>AAA BBB</v>
      </c>
      <c r="J865" t="str">
        <f t="shared" si="40"/>
        <v>XXX</v>
      </c>
      <c r="K865" t="str">
        <f t="shared" si="41"/>
        <v>ZZZ, TN, 38340</v>
      </c>
    </row>
    <row r="866" spans="1:11" x14ac:dyDescent="0.15">
      <c r="A866">
        <v>1018918</v>
      </c>
      <c r="B866" s="54" t="s">
        <v>94</v>
      </c>
      <c r="C866" s="54" t="s">
        <v>95</v>
      </c>
      <c r="D866" s="54" t="s">
        <v>96</v>
      </c>
      <c r="E866" s="54" t="s">
        <v>97</v>
      </c>
      <c r="F866" t="s">
        <v>35</v>
      </c>
      <c r="G866">
        <v>38340</v>
      </c>
      <c r="H866">
        <v>360</v>
      </c>
      <c r="I866" t="str">
        <f t="shared" si="39"/>
        <v>AAA BBB</v>
      </c>
      <c r="J866" t="str">
        <f t="shared" si="40"/>
        <v>XXX</v>
      </c>
      <c r="K866" t="str">
        <f t="shared" si="41"/>
        <v>ZZZ, TN, 38340</v>
      </c>
    </row>
    <row r="867" spans="1:11" x14ac:dyDescent="0.15">
      <c r="A867">
        <v>1018918</v>
      </c>
      <c r="B867" s="54" t="s">
        <v>94</v>
      </c>
      <c r="C867" s="54" t="s">
        <v>95</v>
      </c>
      <c r="D867" s="54" t="s">
        <v>96</v>
      </c>
      <c r="E867" s="54" t="s">
        <v>97</v>
      </c>
      <c r="F867" t="s">
        <v>35</v>
      </c>
      <c r="G867">
        <v>38340</v>
      </c>
      <c r="H867">
        <v>360</v>
      </c>
      <c r="I867" t="str">
        <f t="shared" si="39"/>
        <v>AAA BBB</v>
      </c>
      <c r="J867" t="str">
        <f t="shared" si="40"/>
        <v>XXX</v>
      </c>
      <c r="K867" t="str">
        <f t="shared" si="41"/>
        <v>ZZZ, TN, 38340</v>
      </c>
    </row>
    <row r="868" spans="1:11" x14ac:dyDescent="0.15">
      <c r="A868">
        <v>1018918</v>
      </c>
      <c r="B868" s="54" t="s">
        <v>94</v>
      </c>
      <c r="C868" s="54" t="s">
        <v>95</v>
      </c>
      <c r="D868" s="54" t="s">
        <v>96</v>
      </c>
      <c r="E868" s="54" t="s">
        <v>97</v>
      </c>
      <c r="F868" t="s">
        <v>35</v>
      </c>
      <c r="G868">
        <v>38340</v>
      </c>
      <c r="H868">
        <v>360</v>
      </c>
      <c r="I868" t="str">
        <f t="shared" si="39"/>
        <v>AAA BBB</v>
      </c>
      <c r="J868" t="str">
        <f t="shared" si="40"/>
        <v>XXX</v>
      </c>
      <c r="K868" t="str">
        <f t="shared" si="41"/>
        <v>ZZZ, TN, 38340</v>
      </c>
    </row>
    <row r="869" spans="1:11" x14ac:dyDescent="0.15">
      <c r="A869">
        <v>1018918</v>
      </c>
      <c r="B869" s="54" t="s">
        <v>94</v>
      </c>
      <c r="C869" s="54" t="s">
        <v>95</v>
      </c>
      <c r="D869" s="54" t="s">
        <v>96</v>
      </c>
      <c r="E869" s="54" t="s">
        <v>97</v>
      </c>
      <c r="F869" t="s">
        <v>35</v>
      </c>
      <c r="G869">
        <v>38340</v>
      </c>
      <c r="H869">
        <v>360</v>
      </c>
      <c r="I869" t="str">
        <f t="shared" si="39"/>
        <v>AAA BBB</v>
      </c>
      <c r="J869" t="str">
        <f t="shared" si="40"/>
        <v>XXX</v>
      </c>
      <c r="K869" t="str">
        <f t="shared" si="41"/>
        <v>ZZZ, TN, 38340</v>
      </c>
    </row>
    <row r="870" spans="1:11" x14ac:dyDescent="0.15">
      <c r="A870">
        <v>1018918</v>
      </c>
      <c r="B870" s="54" t="s">
        <v>94</v>
      </c>
      <c r="C870" s="54" t="s">
        <v>95</v>
      </c>
      <c r="D870" s="54" t="s">
        <v>96</v>
      </c>
      <c r="E870" s="54" t="s">
        <v>97</v>
      </c>
      <c r="F870" t="s">
        <v>35</v>
      </c>
      <c r="G870">
        <v>38340</v>
      </c>
      <c r="H870">
        <v>360</v>
      </c>
      <c r="I870" t="str">
        <f t="shared" si="39"/>
        <v>AAA BBB</v>
      </c>
      <c r="J870" t="str">
        <f t="shared" si="40"/>
        <v>XXX</v>
      </c>
      <c r="K870" t="str">
        <f t="shared" si="41"/>
        <v>ZZZ, TN, 38340</v>
      </c>
    </row>
    <row r="871" spans="1:11" x14ac:dyDescent="0.15">
      <c r="A871">
        <v>1018918</v>
      </c>
      <c r="B871" s="54" t="s">
        <v>94</v>
      </c>
      <c r="C871" s="54" t="s">
        <v>95</v>
      </c>
      <c r="D871" s="54" t="s">
        <v>96</v>
      </c>
      <c r="E871" s="54" t="s">
        <v>97</v>
      </c>
      <c r="F871" t="s">
        <v>35</v>
      </c>
      <c r="G871">
        <v>38340</v>
      </c>
      <c r="H871">
        <v>360</v>
      </c>
      <c r="I871" t="str">
        <f t="shared" si="39"/>
        <v>AAA BBB</v>
      </c>
      <c r="J871" t="str">
        <f t="shared" si="40"/>
        <v>XXX</v>
      </c>
      <c r="K871" t="str">
        <f t="shared" si="41"/>
        <v>ZZZ, TN, 38340</v>
      </c>
    </row>
    <row r="872" spans="1:11" x14ac:dyDescent="0.15">
      <c r="A872">
        <v>1018918</v>
      </c>
      <c r="B872" s="54" t="s">
        <v>94</v>
      </c>
      <c r="C872" s="54" t="s">
        <v>95</v>
      </c>
      <c r="D872" s="54" t="s">
        <v>96</v>
      </c>
      <c r="E872" s="54" t="s">
        <v>97</v>
      </c>
      <c r="F872" t="s">
        <v>35</v>
      </c>
      <c r="G872">
        <v>38340</v>
      </c>
      <c r="H872">
        <v>360</v>
      </c>
      <c r="I872" t="str">
        <f t="shared" si="39"/>
        <v>AAA BBB</v>
      </c>
      <c r="J872" t="str">
        <f t="shared" si="40"/>
        <v>XXX</v>
      </c>
      <c r="K872" t="str">
        <f t="shared" si="41"/>
        <v>ZZZ, TN, 38340</v>
      </c>
    </row>
    <row r="873" spans="1:11" x14ac:dyDescent="0.15">
      <c r="A873">
        <v>1018918</v>
      </c>
      <c r="B873" s="54" t="s">
        <v>94</v>
      </c>
      <c r="C873" s="54" t="s">
        <v>95</v>
      </c>
      <c r="D873" s="54" t="s">
        <v>96</v>
      </c>
      <c r="E873" s="54" t="s">
        <v>97</v>
      </c>
      <c r="F873" t="s">
        <v>35</v>
      </c>
      <c r="G873">
        <v>38340</v>
      </c>
      <c r="H873">
        <v>360</v>
      </c>
      <c r="I873" t="str">
        <f t="shared" si="39"/>
        <v>AAA BBB</v>
      </c>
      <c r="J873" t="str">
        <f t="shared" si="40"/>
        <v>XXX</v>
      </c>
      <c r="K873" t="str">
        <f t="shared" si="41"/>
        <v>ZZZ, TN, 38340</v>
      </c>
    </row>
    <row r="874" spans="1:11" x14ac:dyDescent="0.15">
      <c r="A874">
        <v>1018918</v>
      </c>
      <c r="B874" s="54" t="s">
        <v>94</v>
      </c>
      <c r="C874" s="54" t="s">
        <v>95</v>
      </c>
      <c r="D874" s="54" t="s">
        <v>96</v>
      </c>
      <c r="E874" s="54" t="s">
        <v>97</v>
      </c>
      <c r="F874" t="s">
        <v>35</v>
      </c>
      <c r="G874">
        <v>38340</v>
      </c>
      <c r="H874">
        <v>360</v>
      </c>
      <c r="I874" t="str">
        <f t="shared" si="39"/>
        <v>AAA BBB</v>
      </c>
      <c r="J874" t="str">
        <f t="shared" si="40"/>
        <v>XXX</v>
      </c>
      <c r="K874" t="str">
        <f t="shared" si="41"/>
        <v>ZZZ, TN, 38340</v>
      </c>
    </row>
    <row r="875" spans="1:11" x14ac:dyDescent="0.15">
      <c r="A875">
        <v>1018918</v>
      </c>
      <c r="B875" s="54" t="s">
        <v>94</v>
      </c>
      <c r="C875" s="54" t="s">
        <v>95</v>
      </c>
      <c r="D875" s="54" t="s">
        <v>96</v>
      </c>
      <c r="E875" s="54" t="s">
        <v>97</v>
      </c>
      <c r="F875" t="s">
        <v>35</v>
      </c>
      <c r="G875">
        <v>38340</v>
      </c>
      <c r="H875">
        <v>360</v>
      </c>
      <c r="I875" t="str">
        <f t="shared" si="39"/>
        <v>AAA BBB</v>
      </c>
      <c r="J875" t="str">
        <f t="shared" si="40"/>
        <v>XXX</v>
      </c>
      <c r="K875" t="str">
        <f t="shared" si="41"/>
        <v>ZZZ, TN, 38340</v>
      </c>
    </row>
    <row r="876" spans="1:11" x14ac:dyDescent="0.15">
      <c r="A876">
        <v>1018918</v>
      </c>
      <c r="B876" s="54" t="s">
        <v>94</v>
      </c>
      <c r="C876" s="54" t="s">
        <v>95</v>
      </c>
      <c r="D876" s="54" t="s">
        <v>96</v>
      </c>
      <c r="E876" s="54" t="s">
        <v>97</v>
      </c>
      <c r="F876" t="s">
        <v>35</v>
      </c>
      <c r="G876">
        <v>38340</v>
      </c>
      <c r="H876">
        <v>360</v>
      </c>
      <c r="I876" t="str">
        <f t="shared" si="39"/>
        <v>AAA BBB</v>
      </c>
      <c r="J876" t="str">
        <f t="shared" si="40"/>
        <v>XXX</v>
      </c>
      <c r="K876" t="str">
        <f t="shared" si="41"/>
        <v>ZZZ, TN, 38340</v>
      </c>
    </row>
    <row r="877" spans="1:11" x14ac:dyDescent="0.15">
      <c r="A877">
        <v>1018918</v>
      </c>
      <c r="B877" s="54" t="s">
        <v>94</v>
      </c>
      <c r="C877" s="54" t="s">
        <v>95</v>
      </c>
      <c r="D877" s="54" t="s">
        <v>96</v>
      </c>
      <c r="E877" s="54" t="s">
        <v>97</v>
      </c>
      <c r="F877" t="s">
        <v>35</v>
      </c>
      <c r="G877">
        <v>38340</v>
      </c>
      <c r="H877">
        <v>360</v>
      </c>
      <c r="I877" t="str">
        <f t="shared" si="39"/>
        <v>AAA BBB</v>
      </c>
      <c r="J877" t="str">
        <f t="shared" si="40"/>
        <v>XXX</v>
      </c>
      <c r="K877" t="str">
        <f t="shared" si="41"/>
        <v>ZZZ, TN, 38340</v>
      </c>
    </row>
    <row r="878" spans="1:11" x14ac:dyDescent="0.15">
      <c r="A878">
        <v>1018918</v>
      </c>
      <c r="B878" s="54" t="s">
        <v>94</v>
      </c>
      <c r="C878" s="54" t="s">
        <v>95</v>
      </c>
      <c r="D878" s="54" t="s">
        <v>96</v>
      </c>
      <c r="E878" s="54" t="s">
        <v>97</v>
      </c>
      <c r="F878" t="s">
        <v>35</v>
      </c>
      <c r="G878">
        <v>38340</v>
      </c>
      <c r="H878">
        <v>360</v>
      </c>
      <c r="I878" t="str">
        <f t="shared" si="39"/>
        <v>AAA BBB</v>
      </c>
      <c r="J878" t="str">
        <f t="shared" si="40"/>
        <v>XXX</v>
      </c>
      <c r="K878" t="str">
        <f t="shared" si="41"/>
        <v>ZZZ, TN, 38340</v>
      </c>
    </row>
    <row r="879" spans="1:11" x14ac:dyDescent="0.15">
      <c r="A879">
        <v>1018918</v>
      </c>
      <c r="B879" s="54" t="s">
        <v>94</v>
      </c>
      <c r="C879" s="54" t="s">
        <v>95</v>
      </c>
      <c r="D879" s="54" t="s">
        <v>96</v>
      </c>
      <c r="E879" s="54" t="s">
        <v>97</v>
      </c>
      <c r="F879" t="s">
        <v>35</v>
      </c>
      <c r="G879">
        <v>38340</v>
      </c>
      <c r="H879">
        <v>360</v>
      </c>
      <c r="I879" t="str">
        <f t="shared" si="39"/>
        <v>AAA BBB</v>
      </c>
      <c r="J879" t="str">
        <f t="shared" si="40"/>
        <v>XXX</v>
      </c>
      <c r="K879" t="str">
        <f t="shared" si="41"/>
        <v>ZZZ, TN, 38340</v>
      </c>
    </row>
    <row r="880" spans="1:11" x14ac:dyDescent="0.15">
      <c r="A880">
        <v>1018918</v>
      </c>
      <c r="B880" s="54" t="s">
        <v>94</v>
      </c>
      <c r="C880" s="54" t="s">
        <v>95</v>
      </c>
      <c r="D880" s="54" t="s">
        <v>96</v>
      </c>
      <c r="E880" s="54" t="s">
        <v>97</v>
      </c>
      <c r="F880" t="s">
        <v>35</v>
      </c>
      <c r="G880">
        <v>38340</v>
      </c>
      <c r="H880">
        <v>360</v>
      </c>
      <c r="I880" t="str">
        <f t="shared" si="39"/>
        <v>AAA BBB</v>
      </c>
      <c r="J880" t="str">
        <f t="shared" si="40"/>
        <v>XXX</v>
      </c>
      <c r="K880" t="str">
        <f t="shared" si="41"/>
        <v>ZZZ, TN, 38340</v>
      </c>
    </row>
    <row r="881" spans="1:11" x14ac:dyDescent="0.15">
      <c r="A881">
        <v>1018918</v>
      </c>
      <c r="B881" s="54" t="s">
        <v>94</v>
      </c>
      <c r="C881" s="54" t="s">
        <v>95</v>
      </c>
      <c r="D881" s="54" t="s">
        <v>96</v>
      </c>
      <c r="E881" s="54" t="s">
        <v>97</v>
      </c>
      <c r="F881" t="s">
        <v>35</v>
      </c>
      <c r="G881">
        <v>38340</v>
      </c>
      <c r="H881">
        <v>360</v>
      </c>
      <c r="I881" t="str">
        <f t="shared" si="39"/>
        <v>AAA BBB</v>
      </c>
      <c r="J881" t="str">
        <f t="shared" si="40"/>
        <v>XXX</v>
      </c>
      <c r="K881" t="str">
        <f t="shared" si="41"/>
        <v>ZZZ, TN, 38340</v>
      </c>
    </row>
    <row r="882" spans="1:11" x14ac:dyDescent="0.15">
      <c r="A882">
        <v>1018918</v>
      </c>
      <c r="B882" s="54" t="s">
        <v>94</v>
      </c>
      <c r="C882" s="54" t="s">
        <v>95</v>
      </c>
      <c r="D882" s="54" t="s">
        <v>96</v>
      </c>
      <c r="E882" s="54" t="s">
        <v>97</v>
      </c>
      <c r="F882" t="s">
        <v>35</v>
      </c>
      <c r="G882">
        <v>38340</v>
      </c>
      <c r="H882">
        <v>360</v>
      </c>
      <c r="I882" t="str">
        <f t="shared" si="39"/>
        <v>AAA BBB</v>
      </c>
      <c r="J882" t="str">
        <f t="shared" si="40"/>
        <v>XXX</v>
      </c>
      <c r="K882" t="str">
        <f t="shared" si="41"/>
        <v>ZZZ, TN, 38340</v>
      </c>
    </row>
    <row r="883" spans="1:11" x14ac:dyDescent="0.15">
      <c r="A883">
        <v>1018918</v>
      </c>
      <c r="B883" s="54" t="s">
        <v>94</v>
      </c>
      <c r="C883" s="54" t="s">
        <v>95</v>
      </c>
      <c r="D883" s="54" t="s">
        <v>96</v>
      </c>
      <c r="E883" s="54" t="s">
        <v>97</v>
      </c>
      <c r="F883" t="s">
        <v>35</v>
      </c>
      <c r="G883">
        <v>38340</v>
      </c>
      <c r="H883">
        <v>360</v>
      </c>
      <c r="I883" t="str">
        <f t="shared" si="39"/>
        <v>AAA BBB</v>
      </c>
      <c r="J883" t="str">
        <f t="shared" si="40"/>
        <v>XXX</v>
      </c>
      <c r="K883" t="str">
        <f t="shared" si="41"/>
        <v>ZZZ, TN, 38340</v>
      </c>
    </row>
    <row r="884" spans="1:11" x14ac:dyDescent="0.15">
      <c r="A884">
        <v>1018918</v>
      </c>
      <c r="B884" s="54" t="s">
        <v>94</v>
      </c>
      <c r="C884" s="54" t="s">
        <v>95</v>
      </c>
      <c r="D884" s="54" t="s">
        <v>96</v>
      </c>
      <c r="E884" s="54" t="s">
        <v>97</v>
      </c>
      <c r="F884" t="s">
        <v>35</v>
      </c>
      <c r="G884">
        <v>38340</v>
      </c>
      <c r="H884">
        <v>360</v>
      </c>
      <c r="I884" t="str">
        <f t="shared" si="39"/>
        <v>AAA BBB</v>
      </c>
      <c r="J884" t="str">
        <f t="shared" si="40"/>
        <v>XXX</v>
      </c>
      <c r="K884" t="str">
        <f t="shared" si="41"/>
        <v>ZZZ, TN, 38340</v>
      </c>
    </row>
    <row r="885" spans="1:11" x14ac:dyDescent="0.15">
      <c r="A885">
        <v>1018918</v>
      </c>
      <c r="B885" s="54" t="s">
        <v>94</v>
      </c>
      <c r="C885" s="54" t="s">
        <v>95</v>
      </c>
      <c r="D885" s="54" t="s">
        <v>96</v>
      </c>
      <c r="E885" s="54" t="s">
        <v>97</v>
      </c>
      <c r="F885" t="s">
        <v>35</v>
      </c>
      <c r="G885">
        <v>38340</v>
      </c>
      <c r="H885">
        <v>360</v>
      </c>
      <c r="I885" t="str">
        <f t="shared" si="39"/>
        <v>AAA BBB</v>
      </c>
      <c r="J885" t="str">
        <f t="shared" si="40"/>
        <v>XXX</v>
      </c>
      <c r="K885" t="str">
        <f t="shared" si="41"/>
        <v>ZZZ, TN, 38340</v>
      </c>
    </row>
    <row r="886" spans="1:11" x14ac:dyDescent="0.15">
      <c r="A886">
        <v>1018918</v>
      </c>
      <c r="B886" s="54" t="s">
        <v>94</v>
      </c>
      <c r="C886" s="54" t="s">
        <v>95</v>
      </c>
      <c r="D886" s="54" t="s">
        <v>96</v>
      </c>
      <c r="E886" s="54" t="s">
        <v>97</v>
      </c>
      <c r="F886" t="s">
        <v>35</v>
      </c>
      <c r="G886">
        <v>38340</v>
      </c>
      <c r="H886">
        <v>360</v>
      </c>
      <c r="I886" t="str">
        <f t="shared" si="39"/>
        <v>AAA BBB</v>
      </c>
      <c r="J886" t="str">
        <f t="shared" si="40"/>
        <v>XXX</v>
      </c>
      <c r="K886" t="str">
        <f t="shared" si="41"/>
        <v>ZZZ, TN, 38340</v>
      </c>
    </row>
    <row r="887" spans="1:11" x14ac:dyDescent="0.15">
      <c r="A887">
        <v>1018918</v>
      </c>
      <c r="B887" s="54" t="s">
        <v>94</v>
      </c>
      <c r="C887" s="54" t="s">
        <v>95</v>
      </c>
      <c r="D887" s="54" t="s">
        <v>96</v>
      </c>
      <c r="E887" s="54" t="s">
        <v>97</v>
      </c>
      <c r="F887" t="s">
        <v>35</v>
      </c>
      <c r="G887">
        <v>38340</v>
      </c>
      <c r="H887">
        <v>360</v>
      </c>
      <c r="I887" t="str">
        <f t="shared" si="39"/>
        <v>AAA BBB</v>
      </c>
      <c r="J887" t="str">
        <f t="shared" si="40"/>
        <v>XXX</v>
      </c>
      <c r="K887" t="str">
        <f t="shared" si="41"/>
        <v>ZZZ, TN, 38340</v>
      </c>
    </row>
    <row r="888" spans="1:11" x14ac:dyDescent="0.15">
      <c r="A888">
        <v>1018918</v>
      </c>
      <c r="B888" s="54" t="s">
        <v>94</v>
      </c>
      <c r="C888" s="54" t="s">
        <v>95</v>
      </c>
      <c r="D888" s="54" t="s">
        <v>96</v>
      </c>
      <c r="E888" s="54" t="s">
        <v>97</v>
      </c>
      <c r="F888" t="s">
        <v>35</v>
      </c>
      <c r="G888">
        <v>38340</v>
      </c>
      <c r="H888">
        <v>360</v>
      </c>
      <c r="I888" t="str">
        <f t="shared" si="39"/>
        <v>AAA BBB</v>
      </c>
      <c r="J888" t="str">
        <f t="shared" si="40"/>
        <v>XXX</v>
      </c>
      <c r="K888" t="str">
        <f t="shared" si="41"/>
        <v>ZZZ, TN, 38340</v>
      </c>
    </row>
    <row r="889" spans="1:11" x14ac:dyDescent="0.15">
      <c r="A889">
        <v>1018918</v>
      </c>
      <c r="B889" s="54" t="s">
        <v>94</v>
      </c>
      <c r="C889" s="54" t="s">
        <v>95</v>
      </c>
      <c r="D889" s="54" t="s">
        <v>96</v>
      </c>
      <c r="E889" s="54" t="s">
        <v>97</v>
      </c>
      <c r="F889" t="s">
        <v>35</v>
      </c>
      <c r="G889">
        <v>38340</v>
      </c>
      <c r="H889">
        <v>360</v>
      </c>
      <c r="I889" t="str">
        <f t="shared" si="39"/>
        <v>AAA BBB</v>
      </c>
      <c r="J889" t="str">
        <f t="shared" si="40"/>
        <v>XXX</v>
      </c>
      <c r="K889" t="str">
        <f t="shared" si="41"/>
        <v>ZZZ, TN, 38340</v>
      </c>
    </row>
    <row r="890" spans="1:11" x14ac:dyDescent="0.15">
      <c r="A890">
        <v>1018918</v>
      </c>
      <c r="B890" s="54" t="s">
        <v>94</v>
      </c>
      <c r="C890" s="54" t="s">
        <v>95</v>
      </c>
      <c r="D890" s="54" t="s">
        <v>96</v>
      </c>
      <c r="E890" s="54" t="s">
        <v>97</v>
      </c>
      <c r="F890" t="s">
        <v>35</v>
      </c>
      <c r="G890">
        <v>38340</v>
      </c>
      <c r="H890">
        <v>360</v>
      </c>
      <c r="I890" t="str">
        <f t="shared" si="39"/>
        <v>AAA BBB</v>
      </c>
      <c r="J890" t="str">
        <f t="shared" si="40"/>
        <v>XXX</v>
      </c>
      <c r="K890" t="str">
        <f t="shared" si="41"/>
        <v>ZZZ, TN, 38340</v>
      </c>
    </row>
    <row r="891" spans="1:11" x14ac:dyDescent="0.15">
      <c r="A891">
        <v>1018918</v>
      </c>
      <c r="B891" s="54" t="s">
        <v>94</v>
      </c>
      <c r="C891" s="54" t="s">
        <v>95</v>
      </c>
      <c r="D891" s="54" t="s">
        <v>96</v>
      </c>
      <c r="E891" s="54" t="s">
        <v>97</v>
      </c>
      <c r="F891" t="s">
        <v>35</v>
      </c>
      <c r="G891">
        <v>38340</v>
      </c>
      <c r="H891">
        <v>360</v>
      </c>
      <c r="I891" t="str">
        <f t="shared" si="39"/>
        <v>AAA BBB</v>
      </c>
      <c r="J891" t="str">
        <f t="shared" si="40"/>
        <v>XXX</v>
      </c>
      <c r="K891" t="str">
        <f t="shared" si="41"/>
        <v>ZZZ, TN, 38340</v>
      </c>
    </row>
    <row r="892" spans="1:11" x14ac:dyDescent="0.15">
      <c r="A892">
        <v>1018918</v>
      </c>
      <c r="B892" s="54" t="s">
        <v>94</v>
      </c>
      <c r="C892" s="54" t="s">
        <v>95</v>
      </c>
      <c r="D892" s="54" t="s">
        <v>96</v>
      </c>
      <c r="E892" s="54" t="s">
        <v>97</v>
      </c>
      <c r="F892" t="s">
        <v>35</v>
      </c>
      <c r="G892">
        <v>38340</v>
      </c>
      <c r="H892">
        <v>360</v>
      </c>
      <c r="I892" t="str">
        <f t="shared" si="39"/>
        <v>AAA BBB</v>
      </c>
      <c r="J892" t="str">
        <f t="shared" si="40"/>
        <v>XXX</v>
      </c>
      <c r="K892" t="str">
        <f t="shared" si="41"/>
        <v>ZZZ, TN, 38340</v>
      </c>
    </row>
    <row r="893" spans="1:11" x14ac:dyDescent="0.15">
      <c r="A893">
        <v>1018918</v>
      </c>
      <c r="B893" s="54" t="s">
        <v>94</v>
      </c>
      <c r="C893" s="54" t="s">
        <v>95</v>
      </c>
      <c r="D893" s="54" t="s">
        <v>96</v>
      </c>
      <c r="E893" s="54" t="s">
        <v>97</v>
      </c>
      <c r="F893" t="s">
        <v>35</v>
      </c>
      <c r="G893">
        <v>38340</v>
      </c>
      <c r="H893">
        <v>360</v>
      </c>
      <c r="I893" t="str">
        <f t="shared" si="39"/>
        <v>AAA BBB</v>
      </c>
      <c r="J893" t="str">
        <f t="shared" si="40"/>
        <v>XXX</v>
      </c>
      <c r="K893" t="str">
        <f t="shared" si="41"/>
        <v>ZZZ, TN, 38340</v>
      </c>
    </row>
    <row r="894" spans="1:11" x14ac:dyDescent="0.15">
      <c r="A894">
        <v>1018918</v>
      </c>
      <c r="B894" s="54" t="s">
        <v>94</v>
      </c>
      <c r="C894" s="54" t="s">
        <v>95</v>
      </c>
      <c r="D894" s="54" t="s">
        <v>96</v>
      </c>
      <c r="E894" s="54" t="s">
        <v>97</v>
      </c>
      <c r="F894" t="s">
        <v>35</v>
      </c>
      <c r="G894">
        <v>38340</v>
      </c>
      <c r="H894">
        <v>360</v>
      </c>
      <c r="I894" t="str">
        <f t="shared" si="39"/>
        <v>AAA BBB</v>
      </c>
      <c r="J894" t="str">
        <f t="shared" si="40"/>
        <v>XXX</v>
      </c>
      <c r="K894" t="str">
        <f t="shared" si="41"/>
        <v>ZZZ, TN, 38340</v>
      </c>
    </row>
    <row r="895" spans="1:11" x14ac:dyDescent="0.15">
      <c r="A895">
        <v>1018918</v>
      </c>
      <c r="B895" s="54" t="s">
        <v>94</v>
      </c>
      <c r="C895" s="54" t="s">
        <v>95</v>
      </c>
      <c r="D895" s="54" t="s">
        <v>96</v>
      </c>
      <c r="E895" s="54" t="s">
        <v>97</v>
      </c>
      <c r="F895" t="s">
        <v>35</v>
      </c>
      <c r="G895">
        <v>38340</v>
      </c>
      <c r="H895">
        <v>360</v>
      </c>
      <c r="I895" t="str">
        <f t="shared" si="39"/>
        <v>AAA BBB</v>
      </c>
      <c r="J895" t="str">
        <f t="shared" si="40"/>
        <v>XXX</v>
      </c>
      <c r="K895" t="str">
        <f t="shared" si="41"/>
        <v>ZZZ, TN, 38340</v>
      </c>
    </row>
    <row r="896" spans="1:11" x14ac:dyDescent="0.15">
      <c r="A896">
        <v>1018918</v>
      </c>
      <c r="B896" s="54" t="s">
        <v>94</v>
      </c>
      <c r="C896" s="54" t="s">
        <v>95</v>
      </c>
      <c r="D896" s="54" t="s">
        <v>96</v>
      </c>
      <c r="E896" s="54" t="s">
        <v>97</v>
      </c>
      <c r="F896" t="s">
        <v>35</v>
      </c>
      <c r="G896">
        <v>38340</v>
      </c>
      <c r="H896">
        <v>360</v>
      </c>
      <c r="I896" t="str">
        <f t="shared" si="39"/>
        <v>AAA BBB</v>
      </c>
      <c r="J896" t="str">
        <f t="shared" si="40"/>
        <v>XXX</v>
      </c>
      <c r="K896" t="str">
        <f t="shared" si="41"/>
        <v>ZZZ, TN, 38340</v>
      </c>
    </row>
    <row r="897" spans="1:11" x14ac:dyDescent="0.15">
      <c r="A897">
        <v>1018918</v>
      </c>
      <c r="B897" s="54" t="s">
        <v>94</v>
      </c>
      <c r="C897" s="54" t="s">
        <v>95</v>
      </c>
      <c r="D897" s="54" t="s">
        <v>96</v>
      </c>
      <c r="E897" s="54" t="s">
        <v>97</v>
      </c>
      <c r="F897" t="s">
        <v>35</v>
      </c>
      <c r="G897">
        <v>38340</v>
      </c>
      <c r="H897">
        <v>360</v>
      </c>
      <c r="I897" t="str">
        <f t="shared" si="39"/>
        <v>AAA BBB</v>
      </c>
      <c r="J897" t="str">
        <f t="shared" si="40"/>
        <v>XXX</v>
      </c>
      <c r="K897" t="str">
        <f t="shared" si="41"/>
        <v>ZZZ, TN, 38340</v>
      </c>
    </row>
    <row r="898" spans="1:11" x14ac:dyDescent="0.15">
      <c r="A898">
        <v>1018918</v>
      </c>
      <c r="B898" s="54" t="s">
        <v>94</v>
      </c>
      <c r="C898" s="54" t="s">
        <v>95</v>
      </c>
      <c r="D898" s="54" t="s">
        <v>96</v>
      </c>
      <c r="E898" s="54" t="s">
        <v>97</v>
      </c>
      <c r="F898" t="s">
        <v>35</v>
      </c>
      <c r="G898">
        <v>38340</v>
      </c>
      <c r="H898">
        <v>360</v>
      </c>
      <c r="I898" t="str">
        <f t="shared" si="39"/>
        <v>AAA BBB</v>
      </c>
      <c r="J898" t="str">
        <f t="shared" si="40"/>
        <v>XXX</v>
      </c>
      <c r="K898" t="str">
        <f t="shared" si="41"/>
        <v>ZZZ, TN, 38340</v>
      </c>
    </row>
    <row r="899" spans="1:11" x14ac:dyDescent="0.15">
      <c r="A899">
        <v>1018918</v>
      </c>
      <c r="B899" s="54" t="s">
        <v>94</v>
      </c>
      <c r="C899" s="54" t="s">
        <v>95</v>
      </c>
      <c r="D899" s="54" t="s">
        <v>96</v>
      </c>
      <c r="E899" s="54" t="s">
        <v>97</v>
      </c>
      <c r="F899" t="s">
        <v>35</v>
      </c>
      <c r="G899">
        <v>38340</v>
      </c>
      <c r="H899">
        <v>360</v>
      </c>
      <c r="I899" t="str">
        <f t="shared" ref="I899:I962" si="42">CONCATENATE(B899," ",C899)</f>
        <v>AAA BBB</v>
      </c>
      <c r="J899" t="str">
        <f t="shared" ref="J899:J962" si="43">D899</f>
        <v>XXX</v>
      </c>
      <c r="K899" t="str">
        <f t="shared" ref="K899:K962" si="44">CONCATENATE(E899,","," ",F899,","," ",G899)</f>
        <v>ZZZ, TN, 38340</v>
      </c>
    </row>
    <row r="900" spans="1:11" x14ac:dyDescent="0.15">
      <c r="A900">
        <v>1018918</v>
      </c>
      <c r="B900" s="54" t="s">
        <v>94</v>
      </c>
      <c r="C900" s="54" t="s">
        <v>95</v>
      </c>
      <c r="D900" s="54" t="s">
        <v>96</v>
      </c>
      <c r="E900" s="54" t="s">
        <v>97</v>
      </c>
      <c r="F900" t="s">
        <v>35</v>
      </c>
      <c r="G900">
        <v>38340</v>
      </c>
      <c r="H900">
        <v>360</v>
      </c>
      <c r="I900" t="str">
        <f t="shared" si="42"/>
        <v>AAA BBB</v>
      </c>
      <c r="J900" t="str">
        <f t="shared" si="43"/>
        <v>XXX</v>
      </c>
      <c r="K900" t="str">
        <f t="shared" si="44"/>
        <v>ZZZ, TN, 38340</v>
      </c>
    </row>
    <row r="901" spans="1:11" x14ac:dyDescent="0.15">
      <c r="A901">
        <v>1018918</v>
      </c>
      <c r="B901" s="54" t="s">
        <v>94</v>
      </c>
      <c r="C901" s="54" t="s">
        <v>95</v>
      </c>
      <c r="D901" s="54" t="s">
        <v>96</v>
      </c>
      <c r="E901" s="54" t="s">
        <v>97</v>
      </c>
      <c r="F901" t="s">
        <v>35</v>
      </c>
      <c r="G901">
        <v>38340</v>
      </c>
      <c r="H901">
        <v>360</v>
      </c>
      <c r="I901" t="str">
        <f t="shared" si="42"/>
        <v>AAA BBB</v>
      </c>
      <c r="J901" t="str">
        <f t="shared" si="43"/>
        <v>XXX</v>
      </c>
      <c r="K901" t="str">
        <f t="shared" si="44"/>
        <v>ZZZ, TN, 38340</v>
      </c>
    </row>
    <row r="902" spans="1:11" x14ac:dyDescent="0.15">
      <c r="A902">
        <v>1018918</v>
      </c>
      <c r="B902" s="54" t="s">
        <v>94</v>
      </c>
      <c r="C902" s="54" t="s">
        <v>95</v>
      </c>
      <c r="D902" s="54" t="s">
        <v>96</v>
      </c>
      <c r="E902" s="54" t="s">
        <v>97</v>
      </c>
      <c r="F902" t="s">
        <v>35</v>
      </c>
      <c r="G902">
        <v>38340</v>
      </c>
      <c r="H902">
        <v>360</v>
      </c>
      <c r="I902" t="str">
        <f t="shared" si="42"/>
        <v>AAA BBB</v>
      </c>
      <c r="J902" t="str">
        <f t="shared" si="43"/>
        <v>XXX</v>
      </c>
      <c r="K902" t="str">
        <f t="shared" si="44"/>
        <v>ZZZ, TN, 38340</v>
      </c>
    </row>
    <row r="903" spans="1:11" x14ac:dyDescent="0.15">
      <c r="A903">
        <v>1018918</v>
      </c>
      <c r="B903" s="54" t="s">
        <v>94</v>
      </c>
      <c r="C903" s="54" t="s">
        <v>95</v>
      </c>
      <c r="D903" s="54" t="s">
        <v>96</v>
      </c>
      <c r="E903" s="54" t="s">
        <v>97</v>
      </c>
      <c r="F903" t="s">
        <v>35</v>
      </c>
      <c r="G903">
        <v>38340</v>
      </c>
      <c r="H903">
        <v>360</v>
      </c>
      <c r="I903" t="str">
        <f t="shared" si="42"/>
        <v>AAA BBB</v>
      </c>
      <c r="J903" t="str">
        <f t="shared" si="43"/>
        <v>XXX</v>
      </c>
      <c r="K903" t="str">
        <f t="shared" si="44"/>
        <v>ZZZ, TN, 38340</v>
      </c>
    </row>
    <row r="904" spans="1:11" x14ac:dyDescent="0.15">
      <c r="A904">
        <v>1018918</v>
      </c>
      <c r="B904" s="54" t="s">
        <v>94</v>
      </c>
      <c r="C904" s="54" t="s">
        <v>95</v>
      </c>
      <c r="D904" s="54" t="s">
        <v>96</v>
      </c>
      <c r="E904" s="54" t="s">
        <v>97</v>
      </c>
      <c r="F904" t="s">
        <v>35</v>
      </c>
      <c r="G904">
        <v>38340</v>
      </c>
      <c r="H904">
        <v>360</v>
      </c>
      <c r="I904" t="str">
        <f t="shared" si="42"/>
        <v>AAA BBB</v>
      </c>
      <c r="J904" t="str">
        <f t="shared" si="43"/>
        <v>XXX</v>
      </c>
      <c r="K904" t="str">
        <f t="shared" si="44"/>
        <v>ZZZ, TN, 38340</v>
      </c>
    </row>
    <row r="905" spans="1:11" x14ac:dyDescent="0.15">
      <c r="A905">
        <v>1018918</v>
      </c>
      <c r="B905" s="54" t="s">
        <v>94</v>
      </c>
      <c r="C905" s="54" t="s">
        <v>95</v>
      </c>
      <c r="D905" s="54" t="s">
        <v>96</v>
      </c>
      <c r="E905" s="54" t="s">
        <v>97</v>
      </c>
      <c r="F905" t="s">
        <v>35</v>
      </c>
      <c r="G905">
        <v>38340</v>
      </c>
      <c r="H905">
        <v>360</v>
      </c>
      <c r="I905" t="str">
        <f t="shared" si="42"/>
        <v>AAA BBB</v>
      </c>
      <c r="J905" t="str">
        <f t="shared" si="43"/>
        <v>XXX</v>
      </c>
      <c r="K905" t="str">
        <f t="shared" si="44"/>
        <v>ZZZ, TN, 38340</v>
      </c>
    </row>
    <row r="906" spans="1:11" x14ac:dyDescent="0.15">
      <c r="A906">
        <v>1018918</v>
      </c>
      <c r="B906" s="54" t="s">
        <v>94</v>
      </c>
      <c r="C906" s="54" t="s">
        <v>95</v>
      </c>
      <c r="D906" s="54" t="s">
        <v>96</v>
      </c>
      <c r="E906" s="54" t="s">
        <v>97</v>
      </c>
      <c r="F906" t="s">
        <v>35</v>
      </c>
      <c r="G906">
        <v>38340</v>
      </c>
      <c r="H906">
        <v>360</v>
      </c>
      <c r="I906" t="str">
        <f t="shared" si="42"/>
        <v>AAA BBB</v>
      </c>
      <c r="J906" t="str">
        <f t="shared" si="43"/>
        <v>XXX</v>
      </c>
      <c r="K906" t="str">
        <f t="shared" si="44"/>
        <v>ZZZ, TN, 38340</v>
      </c>
    </row>
    <row r="907" spans="1:11" x14ac:dyDescent="0.15">
      <c r="A907">
        <v>1018918</v>
      </c>
      <c r="B907" s="54" t="s">
        <v>94</v>
      </c>
      <c r="C907" s="54" t="s">
        <v>95</v>
      </c>
      <c r="D907" s="54" t="s">
        <v>96</v>
      </c>
      <c r="E907" s="54" t="s">
        <v>97</v>
      </c>
      <c r="F907" t="s">
        <v>35</v>
      </c>
      <c r="G907">
        <v>38340</v>
      </c>
      <c r="H907">
        <v>360</v>
      </c>
      <c r="I907" t="str">
        <f t="shared" si="42"/>
        <v>AAA BBB</v>
      </c>
      <c r="J907" t="str">
        <f t="shared" si="43"/>
        <v>XXX</v>
      </c>
      <c r="K907" t="str">
        <f t="shared" si="44"/>
        <v>ZZZ, TN, 38340</v>
      </c>
    </row>
    <row r="908" spans="1:11" x14ac:dyDescent="0.15">
      <c r="A908">
        <v>1018918</v>
      </c>
      <c r="B908" s="54" t="s">
        <v>94</v>
      </c>
      <c r="C908" s="54" t="s">
        <v>95</v>
      </c>
      <c r="D908" s="54" t="s">
        <v>96</v>
      </c>
      <c r="E908" s="54" t="s">
        <v>97</v>
      </c>
      <c r="F908" t="s">
        <v>35</v>
      </c>
      <c r="G908">
        <v>38340</v>
      </c>
      <c r="H908">
        <v>360</v>
      </c>
      <c r="I908" t="str">
        <f t="shared" si="42"/>
        <v>AAA BBB</v>
      </c>
      <c r="J908" t="str">
        <f t="shared" si="43"/>
        <v>XXX</v>
      </c>
      <c r="K908" t="str">
        <f t="shared" si="44"/>
        <v>ZZZ, TN, 38340</v>
      </c>
    </row>
    <row r="909" spans="1:11" x14ac:dyDescent="0.15">
      <c r="A909">
        <v>1018918</v>
      </c>
      <c r="B909" s="54" t="s">
        <v>94</v>
      </c>
      <c r="C909" s="54" t="s">
        <v>95</v>
      </c>
      <c r="D909" s="54" t="s">
        <v>96</v>
      </c>
      <c r="E909" s="54" t="s">
        <v>97</v>
      </c>
      <c r="F909" t="s">
        <v>35</v>
      </c>
      <c r="G909">
        <v>38340</v>
      </c>
      <c r="H909">
        <v>360</v>
      </c>
      <c r="I909" t="str">
        <f t="shared" si="42"/>
        <v>AAA BBB</v>
      </c>
      <c r="J909" t="str">
        <f t="shared" si="43"/>
        <v>XXX</v>
      </c>
      <c r="K909" t="str">
        <f t="shared" si="44"/>
        <v>ZZZ, TN, 38340</v>
      </c>
    </row>
    <row r="910" spans="1:11" x14ac:dyDescent="0.15">
      <c r="A910">
        <v>1018918</v>
      </c>
      <c r="B910" s="54" t="s">
        <v>94</v>
      </c>
      <c r="C910" s="54" t="s">
        <v>95</v>
      </c>
      <c r="D910" s="54" t="s">
        <v>96</v>
      </c>
      <c r="E910" s="54" t="s">
        <v>97</v>
      </c>
      <c r="F910" t="s">
        <v>35</v>
      </c>
      <c r="G910">
        <v>38340</v>
      </c>
      <c r="H910">
        <v>360</v>
      </c>
      <c r="I910" t="str">
        <f t="shared" si="42"/>
        <v>AAA BBB</v>
      </c>
      <c r="J910" t="str">
        <f t="shared" si="43"/>
        <v>XXX</v>
      </c>
      <c r="K910" t="str">
        <f t="shared" si="44"/>
        <v>ZZZ, TN, 38340</v>
      </c>
    </row>
    <row r="911" spans="1:11" x14ac:dyDescent="0.15">
      <c r="A911">
        <v>1018918</v>
      </c>
      <c r="B911" s="54" t="s">
        <v>94</v>
      </c>
      <c r="C911" s="54" t="s">
        <v>95</v>
      </c>
      <c r="D911" s="54" t="s">
        <v>96</v>
      </c>
      <c r="E911" s="54" t="s">
        <v>97</v>
      </c>
      <c r="F911" t="s">
        <v>35</v>
      </c>
      <c r="G911">
        <v>38340</v>
      </c>
      <c r="H911">
        <v>360</v>
      </c>
      <c r="I911" t="str">
        <f t="shared" si="42"/>
        <v>AAA BBB</v>
      </c>
      <c r="J911" t="str">
        <f t="shared" si="43"/>
        <v>XXX</v>
      </c>
      <c r="K911" t="str">
        <f t="shared" si="44"/>
        <v>ZZZ, TN, 38340</v>
      </c>
    </row>
    <row r="912" spans="1:11" x14ac:dyDescent="0.15">
      <c r="A912">
        <v>1018918</v>
      </c>
      <c r="B912" s="54" t="s">
        <v>94</v>
      </c>
      <c r="C912" s="54" t="s">
        <v>95</v>
      </c>
      <c r="D912" s="54" t="s">
        <v>96</v>
      </c>
      <c r="E912" s="54" t="s">
        <v>97</v>
      </c>
      <c r="F912" t="s">
        <v>35</v>
      </c>
      <c r="G912">
        <v>38340</v>
      </c>
      <c r="H912">
        <v>360</v>
      </c>
      <c r="I912" t="str">
        <f t="shared" si="42"/>
        <v>AAA BBB</v>
      </c>
      <c r="J912" t="str">
        <f t="shared" si="43"/>
        <v>XXX</v>
      </c>
      <c r="K912" t="str">
        <f t="shared" si="44"/>
        <v>ZZZ, TN, 38340</v>
      </c>
    </row>
    <row r="913" spans="1:11" x14ac:dyDescent="0.15">
      <c r="A913">
        <v>1018918</v>
      </c>
      <c r="B913" s="54" t="s">
        <v>94</v>
      </c>
      <c r="C913" s="54" t="s">
        <v>95</v>
      </c>
      <c r="D913" s="54" t="s">
        <v>96</v>
      </c>
      <c r="E913" s="54" t="s">
        <v>97</v>
      </c>
      <c r="F913" t="s">
        <v>35</v>
      </c>
      <c r="G913">
        <v>38340</v>
      </c>
      <c r="H913">
        <v>360</v>
      </c>
      <c r="I913" t="str">
        <f t="shared" si="42"/>
        <v>AAA BBB</v>
      </c>
      <c r="J913" t="str">
        <f t="shared" si="43"/>
        <v>XXX</v>
      </c>
      <c r="K913" t="str">
        <f t="shared" si="44"/>
        <v>ZZZ, TN, 38340</v>
      </c>
    </row>
    <row r="914" spans="1:11" x14ac:dyDescent="0.15">
      <c r="A914">
        <v>1018918</v>
      </c>
      <c r="B914" s="54" t="s">
        <v>94</v>
      </c>
      <c r="C914" s="54" t="s">
        <v>95</v>
      </c>
      <c r="D914" s="54" t="s">
        <v>96</v>
      </c>
      <c r="E914" s="54" t="s">
        <v>97</v>
      </c>
      <c r="F914" t="s">
        <v>35</v>
      </c>
      <c r="G914">
        <v>38340</v>
      </c>
      <c r="H914">
        <v>360</v>
      </c>
      <c r="I914" t="str">
        <f t="shared" si="42"/>
        <v>AAA BBB</v>
      </c>
      <c r="J914" t="str">
        <f t="shared" si="43"/>
        <v>XXX</v>
      </c>
      <c r="K914" t="str">
        <f t="shared" si="44"/>
        <v>ZZZ, TN, 38340</v>
      </c>
    </row>
    <row r="915" spans="1:11" x14ac:dyDescent="0.15">
      <c r="A915">
        <v>1018918</v>
      </c>
      <c r="B915" s="54" t="s">
        <v>94</v>
      </c>
      <c r="C915" s="54" t="s">
        <v>95</v>
      </c>
      <c r="D915" s="54" t="s">
        <v>96</v>
      </c>
      <c r="E915" s="54" t="s">
        <v>97</v>
      </c>
      <c r="F915" t="s">
        <v>35</v>
      </c>
      <c r="G915">
        <v>38340</v>
      </c>
      <c r="H915">
        <v>360</v>
      </c>
      <c r="I915" t="str">
        <f t="shared" si="42"/>
        <v>AAA BBB</v>
      </c>
      <c r="J915" t="str">
        <f t="shared" si="43"/>
        <v>XXX</v>
      </c>
      <c r="K915" t="str">
        <f t="shared" si="44"/>
        <v>ZZZ, TN, 38340</v>
      </c>
    </row>
    <row r="916" spans="1:11" x14ac:dyDescent="0.15">
      <c r="A916">
        <v>1018918</v>
      </c>
      <c r="B916" s="54" t="s">
        <v>94</v>
      </c>
      <c r="C916" s="54" t="s">
        <v>95</v>
      </c>
      <c r="D916" s="54" t="s">
        <v>96</v>
      </c>
      <c r="E916" s="54" t="s">
        <v>97</v>
      </c>
      <c r="F916" t="s">
        <v>35</v>
      </c>
      <c r="G916">
        <v>38340</v>
      </c>
      <c r="H916">
        <v>360</v>
      </c>
      <c r="I916" t="str">
        <f t="shared" si="42"/>
        <v>AAA BBB</v>
      </c>
      <c r="J916" t="str">
        <f t="shared" si="43"/>
        <v>XXX</v>
      </c>
      <c r="K916" t="str">
        <f t="shared" si="44"/>
        <v>ZZZ, TN, 38340</v>
      </c>
    </row>
    <row r="917" spans="1:11" x14ac:dyDescent="0.15">
      <c r="A917">
        <v>1018918</v>
      </c>
      <c r="B917" s="54" t="s">
        <v>94</v>
      </c>
      <c r="C917" s="54" t="s">
        <v>95</v>
      </c>
      <c r="D917" s="54" t="s">
        <v>96</v>
      </c>
      <c r="E917" s="54" t="s">
        <v>97</v>
      </c>
      <c r="F917" t="s">
        <v>35</v>
      </c>
      <c r="G917">
        <v>38340</v>
      </c>
      <c r="H917">
        <v>360</v>
      </c>
      <c r="I917" t="str">
        <f t="shared" si="42"/>
        <v>AAA BBB</v>
      </c>
      <c r="J917" t="str">
        <f t="shared" si="43"/>
        <v>XXX</v>
      </c>
      <c r="K917" t="str">
        <f t="shared" si="44"/>
        <v>ZZZ, TN, 38340</v>
      </c>
    </row>
    <row r="918" spans="1:11" x14ac:dyDescent="0.15">
      <c r="A918">
        <v>1018918</v>
      </c>
      <c r="B918" s="54" t="s">
        <v>94</v>
      </c>
      <c r="C918" s="54" t="s">
        <v>95</v>
      </c>
      <c r="D918" s="54" t="s">
        <v>96</v>
      </c>
      <c r="E918" s="54" t="s">
        <v>97</v>
      </c>
      <c r="F918" t="s">
        <v>35</v>
      </c>
      <c r="G918">
        <v>38340</v>
      </c>
      <c r="H918">
        <v>360</v>
      </c>
      <c r="I918" t="str">
        <f t="shared" si="42"/>
        <v>AAA BBB</v>
      </c>
      <c r="J918" t="str">
        <f t="shared" si="43"/>
        <v>XXX</v>
      </c>
      <c r="K918" t="str">
        <f t="shared" si="44"/>
        <v>ZZZ, TN, 38340</v>
      </c>
    </row>
    <row r="919" spans="1:11" x14ac:dyDescent="0.15">
      <c r="A919">
        <v>1018918</v>
      </c>
      <c r="B919" s="54" t="s">
        <v>94</v>
      </c>
      <c r="C919" s="54" t="s">
        <v>95</v>
      </c>
      <c r="D919" s="54" t="s">
        <v>96</v>
      </c>
      <c r="E919" s="54" t="s">
        <v>97</v>
      </c>
      <c r="F919" t="s">
        <v>35</v>
      </c>
      <c r="G919">
        <v>38340</v>
      </c>
      <c r="H919">
        <v>360</v>
      </c>
      <c r="I919" t="str">
        <f t="shared" si="42"/>
        <v>AAA BBB</v>
      </c>
      <c r="J919" t="str">
        <f t="shared" si="43"/>
        <v>XXX</v>
      </c>
      <c r="K919" t="str">
        <f t="shared" si="44"/>
        <v>ZZZ, TN, 38340</v>
      </c>
    </row>
    <row r="920" spans="1:11" x14ac:dyDescent="0.15">
      <c r="A920">
        <v>1018918</v>
      </c>
      <c r="B920" s="54" t="s">
        <v>94</v>
      </c>
      <c r="C920" s="54" t="s">
        <v>95</v>
      </c>
      <c r="D920" s="54" t="s">
        <v>96</v>
      </c>
      <c r="E920" s="54" t="s">
        <v>97</v>
      </c>
      <c r="F920" t="s">
        <v>35</v>
      </c>
      <c r="G920">
        <v>38340</v>
      </c>
      <c r="H920">
        <v>360</v>
      </c>
      <c r="I920" t="str">
        <f t="shared" si="42"/>
        <v>AAA BBB</v>
      </c>
      <c r="J920" t="str">
        <f t="shared" si="43"/>
        <v>XXX</v>
      </c>
      <c r="K920" t="str">
        <f t="shared" si="44"/>
        <v>ZZZ, TN, 38340</v>
      </c>
    </row>
    <row r="921" spans="1:11" x14ac:dyDescent="0.15">
      <c r="A921">
        <v>1018918</v>
      </c>
      <c r="B921" s="54" t="s">
        <v>94</v>
      </c>
      <c r="C921" s="54" t="s">
        <v>95</v>
      </c>
      <c r="D921" s="54" t="s">
        <v>96</v>
      </c>
      <c r="E921" s="54" t="s">
        <v>97</v>
      </c>
      <c r="F921" t="s">
        <v>35</v>
      </c>
      <c r="G921">
        <v>38340</v>
      </c>
      <c r="H921">
        <v>360</v>
      </c>
      <c r="I921" t="str">
        <f t="shared" si="42"/>
        <v>AAA BBB</v>
      </c>
      <c r="J921" t="str">
        <f t="shared" si="43"/>
        <v>XXX</v>
      </c>
      <c r="K921" t="str">
        <f t="shared" si="44"/>
        <v>ZZZ, TN, 38340</v>
      </c>
    </row>
    <row r="922" spans="1:11" x14ac:dyDescent="0.15">
      <c r="A922">
        <v>1018918</v>
      </c>
      <c r="B922" s="54" t="s">
        <v>94</v>
      </c>
      <c r="C922" s="54" t="s">
        <v>95</v>
      </c>
      <c r="D922" s="54" t="s">
        <v>96</v>
      </c>
      <c r="E922" s="54" t="s">
        <v>97</v>
      </c>
      <c r="F922" t="s">
        <v>35</v>
      </c>
      <c r="G922">
        <v>38340</v>
      </c>
      <c r="H922">
        <v>360</v>
      </c>
      <c r="I922" t="str">
        <f t="shared" si="42"/>
        <v>AAA BBB</v>
      </c>
      <c r="J922" t="str">
        <f t="shared" si="43"/>
        <v>XXX</v>
      </c>
      <c r="K922" t="str">
        <f t="shared" si="44"/>
        <v>ZZZ, TN, 38340</v>
      </c>
    </row>
    <row r="923" spans="1:11" x14ac:dyDescent="0.15">
      <c r="A923">
        <v>1018918</v>
      </c>
      <c r="B923" s="54" t="s">
        <v>94</v>
      </c>
      <c r="C923" s="54" t="s">
        <v>95</v>
      </c>
      <c r="D923" s="54" t="s">
        <v>96</v>
      </c>
      <c r="E923" s="54" t="s">
        <v>97</v>
      </c>
      <c r="F923" t="s">
        <v>35</v>
      </c>
      <c r="G923">
        <v>38340</v>
      </c>
      <c r="H923">
        <v>360</v>
      </c>
      <c r="I923" t="str">
        <f t="shared" si="42"/>
        <v>AAA BBB</v>
      </c>
      <c r="J923" t="str">
        <f t="shared" si="43"/>
        <v>XXX</v>
      </c>
      <c r="K923" t="str">
        <f t="shared" si="44"/>
        <v>ZZZ, TN, 38340</v>
      </c>
    </row>
    <row r="924" spans="1:11" x14ac:dyDescent="0.15">
      <c r="A924">
        <v>1018918</v>
      </c>
      <c r="B924" s="54" t="s">
        <v>94</v>
      </c>
      <c r="C924" s="54" t="s">
        <v>95</v>
      </c>
      <c r="D924" s="54" t="s">
        <v>96</v>
      </c>
      <c r="E924" s="54" t="s">
        <v>97</v>
      </c>
      <c r="F924" t="s">
        <v>35</v>
      </c>
      <c r="G924">
        <v>38340</v>
      </c>
      <c r="H924">
        <v>360</v>
      </c>
      <c r="I924" t="str">
        <f t="shared" si="42"/>
        <v>AAA BBB</v>
      </c>
      <c r="J924" t="str">
        <f t="shared" si="43"/>
        <v>XXX</v>
      </c>
      <c r="K924" t="str">
        <f t="shared" si="44"/>
        <v>ZZZ, TN, 38340</v>
      </c>
    </row>
    <row r="925" spans="1:11" x14ac:dyDescent="0.15">
      <c r="A925">
        <v>1018918</v>
      </c>
      <c r="B925" s="54" t="s">
        <v>94</v>
      </c>
      <c r="C925" s="54" t="s">
        <v>95</v>
      </c>
      <c r="D925" s="54" t="s">
        <v>96</v>
      </c>
      <c r="E925" s="54" t="s">
        <v>97</v>
      </c>
      <c r="F925" t="s">
        <v>35</v>
      </c>
      <c r="G925">
        <v>38340</v>
      </c>
      <c r="H925">
        <v>360</v>
      </c>
      <c r="I925" t="str">
        <f t="shared" si="42"/>
        <v>AAA BBB</v>
      </c>
      <c r="J925" t="str">
        <f t="shared" si="43"/>
        <v>XXX</v>
      </c>
      <c r="K925" t="str">
        <f t="shared" si="44"/>
        <v>ZZZ, TN, 38340</v>
      </c>
    </row>
    <row r="926" spans="1:11" x14ac:dyDescent="0.15">
      <c r="A926">
        <v>1018918</v>
      </c>
      <c r="B926" s="54" t="s">
        <v>94</v>
      </c>
      <c r="C926" s="54" t="s">
        <v>95</v>
      </c>
      <c r="D926" s="54" t="s">
        <v>96</v>
      </c>
      <c r="E926" s="54" t="s">
        <v>97</v>
      </c>
      <c r="F926" t="s">
        <v>35</v>
      </c>
      <c r="G926">
        <v>38340</v>
      </c>
      <c r="H926">
        <v>360</v>
      </c>
      <c r="I926" t="str">
        <f t="shared" si="42"/>
        <v>AAA BBB</v>
      </c>
      <c r="J926" t="str">
        <f t="shared" si="43"/>
        <v>XXX</v>
      </c>
      <c r="K926" t="str">
        <f t="shared" si="44"/>
        <v>ZZZ, TN, 38340</v>
      </c>
    </row>
    <row r="927" spans="1:11" x14ac:dyDescent="0.15">
      <c r="A927">
        <v>1018918</v>
      </c>
      <c r="B927" s="54" t="s">
        <v>94</v>
      </c>
      <c r="C927" s="54" t="s">
        <v>95</v>
      </c>
      <c r="D927" s="54" t="s">
        <v>96</v>
      </c>
      <c r="E927" s="54" t="s">
        <v>97</v>
      </c>
      <c r="F927" t="s">
        <v>35</v>
      </c>
      <c r="G927">
        <v>38340</v>
      </c>
      <c r="H927">
        <v>360</v>
      </c>
      <c r="I927" t="str">
        <f t="shared" si="42"/>
        <v>AAA BBB</v>
      </c>
      <c r="J927" t="str">
        <f t="shared" si="43"/>
        <v>XXX</v>
      </c>
      <c r="K927" t="str">
        <f t="shared" si="44"/>
        <v>ZZZ, TN, 38340</v>
      </c>
    </row>
    <row r="928" spans="1:11" x14ac:dyDescent="0.15">
      <c r="A928">
        <v>1018918</v>
      </c>
      <c r="B928" s="54" t="s">
        <v>94</v>
      </c>
      <c r="C928" s="54" t="s">
        <v>95</v>
      </c>
      <c r="D928" s="54" t="s">
        <v>96</v>
      </c>
      <c r="E928" s="54" t="s">
        <v>97</v>
      </c>
      <c r="F928" t="s">
        <v>35</v>
      </c>
      <c r="G928">
        <v>38340</v>
      </c>
      <c r="H928">
        <v>360</v>
      </c>
      <c r="I928" t="str">
        <f t="shared" si="42"/>
        <v>AAA BBB</v>
      </c>
      <c r="J928" t="str">
        <f t="shared" si="43"/>
        <v>XXX</v>
      </c>
      <c r="K928" t="str">
        <f t="shared" si="44"/>
        <v>ZZZ, TN, 38340</v>
      </c>
    </row>
    <row r="929" spans="1:11" x14ac:dyDescent="0.15">
      <c r="A929">
        <v>1018918</v>
      </c>
      <c r="B929" s="54" t="s">
        <v>94</v>
      </c>
      <c r="C929" s="54" t="s">
        <v>95</v>
      </c>
      <c r="D929" s="54" t="s">
        <v>96</v>
      </c>
      <c r="E929" s="54" t="s">
        <v>97</v>
      </c>
      <c r="F929" t="s">
        <v>35</v>
      </c>
      <c r="G929">
        <v>38340</v>
      </c>
      <c r="H929">
        <v>360</v>
      </c>
      <c r="I929" t="str">
        <f t="shared" si="42"/>
        <v>AAA BBB</v>
      </c>
      <c r="J929" t="str">
        <f t="shared" si="43"/>
        <v>XXX</v>
      </c>
      <c r="K929" t="str">
        <f t="shared" si="44"/>
        <v>ZZZ, TN, 38340</v>
      </c>
    </row>
    <row r="930" spans="1:11" x14ac:dyDescent="0.15">
      <c r="A930">
        <v>1018918</v>
      </c>
      <c r="B930" s="54" t="s">
        <v>94</v>
      </c>
      <c r="C930" s="54" t="s">
        <v>95</v>
      </c>
      <c r="D930" s="54" t="s">
        <v>96</v>
      </c>
      <c r="E930" s="54" t="s">
        <v>97</v>
      </c>
      <c r="F930" t="s">
        <v>35</v>
      </c>
      <c r="G930">
        <v>38340</v>
      </c>
      <c r="H930">
        <v>360</v>
      </c>
      <c r="I930" t="str">
        <f t="shared" si="42"/>
        <v>AAA BBB</v>
      </c>
      <c r="J930" t="str">
        <f t="shared" si="43"/>
        <v>XXX</v>
      </c>
      <c r="K930" t="str">
        <f t="shared" si="44"/>
        <v>ZZZ, TN, 38340</v>
      </c>
    </row>
    <row r="931" spans="1:11" x14ac:dyDescent="0.15">
      <c r="A931">
        <v>1018918</v>
      </c>
      <c r="B931" s="54" t="s">
        <v>94</v>
      </c>
      <c r="C931" s="54" t="s">
        <v>95</v>
      </c>
      <c r="D931" s="54" t="s">
        <v>96</v>
      </c>
      <c r="E931" s="54" t="s">
        <v>97</v>
      </c>
      <c r="F931" t="s">
        <v>35</v>
      </c>
      <c r="G931">
        <v>38340</v>
      </c>
      <c r="H931">
        <v>360</v>
      </c>
      <c r="I931" t="str">
        <f t="shared" si="42"/>
        <v>AAA BBB</v>
      </c>
      <c r="J931" t="str">
        <f t="shared" si="43"/>
        <v>XXX</v>
      </c>
      <c r="K931" t="str">
        <f t="shared" si="44"/>
        <v>ZZZ, TN, 38340</v>
      </c>
    </row>
    <row r="932" spans="1:11" x14ac:dyDescent="0.15">
      <c r="A932">
        <v>1018918</v>
      </c>
      <c r="B932" s="54" t="s">
        <v>94</v>
      </c>
      <c r="C932" s="54" t="s">
        <v>95</v>
      </c>
      <c r="D932" s="54" t="s">
        <v>96</v>
      </c>
      <c r="E932" s="54" t="s">
        <v>97</v>
      </c>
      <c r="F932" t="s">
        <v>35</v>
      </c>
      <c r="G932">
        <v>38340</v>
      </c>
      <c r="H932">
        <v>360</v>
      </c>
      <c r="I932" t="str">
        <f t="shared" si="42"/>
        <v>AAA BBB</v>
      </c>
      <c r="J932" t="str">
        <f t="shared" si="43"/>
        <v>XXX</v>
      </c>
      <c r="K932" t="str">
        <f t="shared" si="44"/>
        <v>ZZZ, TN, 38340</v>
      </c>
    </row>
    <row r="933" spans="1:11" x14ac:dyDescent="0.15">
      <c r="A933">
        <v>1018918</v>
      </c>
      <c r="B933" s="54" t="s">
        <v>94</v>
      </c>
      <c r="C933" s="54" t="s">
        <v>95</v>
      </c>
      <c r="D933" s="54" t="s">
        <v>96</v>
      </c>
      <c r="E933" s="54" t="s">
        <v>97</v>
      </c>
      <c r="F933" t="s">
        <v>35</v>
      </c>
      <c r="G933">
        <v>38340</v>
      </c>
      <c r="H933">
        <v>360</v>
      </c>
      <c r="I933" t="str">
        <f t="shared" si="42"/>
        <v>AAA BBB</v>
      </c>
      <c r="J933" t="str">
        <f t="shared" si="43"/>
        <v>XXX</v>
      </c>
      <c r="K933" t="str">
        <f t="shared" si="44"/>
        <v>ZZZ, TN, 38340</v>
      </c>
    </row>
    <row r="934" spans="1:11" x14ac:dyDescent="0.15">
      <c r="A934">
        <v>1018918</v>
      </c>
      <c r="B934" s="54" t="s">
        <v>94</v>
      </c>
      <c r="C934" s="54" t="s">
        <v>95</v>
      </c>
      <c r="D934" s="54" t="s">
        <v>96</v>
      </c>
      <c r="E934" s="54" t="s">
        <v>97</v>
      </c>
      <c r="F934" t="s">
        <v>35</v>
      </c>
      <c r="G934">
        <v>38340</v>
      </c>
      <c r="H934">
        <v>360</v>
      </c>
      <c r="I934" t="str">
        <f t="shared" si="42"/>
        <v>AAA BBB</v>
      </c>
      <c r="J934" t="str">
        <f t="shared" si="43"/>
        <v>XXX</v>
      </c>
      <c r="K934" t="str">
        <f t="shared" si="44"/>
        <v>ZZZ, TN, 38340</v>
      </c>
    </row>
    <row r="935" spans="1:11" x14ac:dyDescent="0.15">
      <c r="A935">
        <v>1018918</v>
      </c>
      <c r="B935" s="54" t="s">
        <v>94</v>
      </c>
      <c r="C935" s="54" t="s">
        <v>95</v>
      </c>
      <c r="D935" s="54" t="s">
        <v>96</v>
      </c>
      <c r="E935" s="54" t="s">
        <v>97</v>
      </c>
      <c r="F935" t="s">
        <v>35</v>
      </c>
      <c r="G935">
        <v>38340</v>
      </c>
      <c r="H935">
        <v>360</v>
      </c>
      <c r="I935" t="str">
        <f t="shared" si="42"/>
        <v>AAA BBB</v>
      </c>
      <c r="J935" t="str">
        <f t="shared" si="43"/>
        <v>XXX</v>
      </c>
      <c r="K935" t="str">
        <f t="shared" si="44"/>
        <v>ZZZ, TN, 38340</v>
      </c>
    </row>
    <row r="936" spans="1:11" x14ac:dyDescent="0.15">
      <c r="A936">
        <v>1018918</v>
      </c>
      <c r="B936" s="54" t="s">
        <v>94</v>
      </c>
      <c r="C936" s="54" t="s">
        <v>95</v>
      </c>
      <c r="D936" s="54" t="s">
        <v>96</v>
      </c>
      <c r="E936" s="54" t="s">
        <v>97</v>
      </c>
      <c r="F936" t="s">
        <v>35</v>
      </c>
      <c r="G936">
        <v>38340</v>
      </c>
      <c r="H936">
        <v>360</v>
      </c>
      <c r="I936" t="str">
        <f t="shared" si="42"/>
        <v>AAA BBB</v>
      </c>
      <c r="J936" t="str">
        <f t="shared" si="43"/>
        <v>XXX</v>
      </c>
      <c r="K936" t="str">
        <f t="shared" si="44"/>
        <v>ZZZ, TN, 38340</v>
      </c>
    </row>
    <row r="937" spans="1:11" x14ac:dyDescent="0.15">
      <c r="A937">
        <v>1018918</v>
      </c>
      <c r="B937" s="54" t="s">
        <v>94</v>
      </c>
      <c r="C937" s="54" t="s">
        <v>95</v>
      </c>
      <c r="D937" s="54" t="s">
        <v>96</v>
      </c>
      <c r="E937" s="54" t="s">
        <v>97</v>
      </c>
      <c r="F937" t="s">
        <v>35</v>
      </c>
      <c r="G937">
        <v>38340</v>
      </c>
      <c r="H937">
        <v>360</v>
      </c>
      <c r="I937" t="str">
        <f t="shared" si="42"/>
        <v>AAA BBB</v>
      </c>
      <c r="J937" t="str">
        <f t="shared" si="43"/>
        <v>XXX</v>
      </c>
      <c r="K937" t="str">
        <f t="shared" si="44"/>
        <v>ZZZ, TN, 38340</v>
      </c>
    </row>
    <row r="938" spans="1:11" x14ac:dyDescent="0.15">
      <c r="A938">
        <v>1018918</v>
      </c>
      <c r="B938" s="54" t="s">
        <v>94</v>
      </c>
      <c r="C938" s="54" t="s">
        <v>95</v>
      </c>
      <c r="D938" s="54" t="s">
        <v>96</v>
      </c>
      <c r="E938" s="54" t="s">
        <v>97</v>
      </c>
      <c r="F938" t="s">
        <v>35</v>
      </c>
      <c r="G938">
        <v>38340</v>
      </c>
      <c r="H938">
        <v>360</v>
      </c>
      <c r="I938" t="str">
        <f t="shared" si="42"/>
        <v>AAA BBB</v>
      </c>
      <c r="J938" t="str">
        <f t="shared" si="43"/>
        <v>XXX</v>
      </c>
      <c r="K938" t="str">
        <f t="shared" si="44"/>
        <v>ZZZ, TN, 38340</v>
      </c>
    </row>
    <row r="939" spans="1:11" x14ac:dyDescent="0.15">
      <c r="A939">
        <v>1018918</v>
      </c>
      <c r="B939" s="54" t="s">
        <v>94</v>
      </c>
      <c r="C939" s="54" t="s">
        <v>95</v>
      </c>
      <c r="D939" s="54" t="s">
        <v>96</v>
      </c>
      <c r="E939" s="54" t="s">
        <v>97</v>
      </c>
      <c r="F939" t="s">
        <v>35</v>
      </c>
      <c r="G939">
        <v>38340</v>
      </c>
      <c r="H939">
        <v>360</v>
      </c>
      <c r="I939" t="str">
        <f t="shared" si="42"/>
        <v>AAA BBB</v>
      </c>
      <c r="J939" t="str">
        <f t="shared" si="43"/>
        <v>XXX</v>
      </c>
      <c r="K939" t="str">
        <f t="shared" si="44"/>
        <v>ZZZ, TN, 38340</v>
      </c>
    </row>
    <row r="940" spans="1:11" x14ac:dyDescent="0.15">
      <c r="A940">
        <v>1018918</v>
      </c>
      <c r="B940" s="54" t="s">
        <v>94</v>
      </c>
      <c r="C940" s="54" t="s">
        <v>95</v>
      </c>
      <c r="D940" s="54" t="s">
        <v>96</v>
      </c>
      <c r="E940" s="54" t="s">
        <v>97</v>
      </c>
      <c r="F940" t="s">
        <v>35</v>
      </c>
      <c r="G940">
        <v>38340</v>
      </c>
      <c r="H940">
        <v>360</v>
      </c>
      <c r="I940" t="str">
        <f t="shared" si="42"/>
        <v>AAA BBB</v>
      </c>
      <c r="J940" t="str">
        <f t="shared" si="43"/>
        <v>XXX</v>
      </c>
      <c r="K940" t="str">
        <f t="shared" si="44"/>
        <v>ZZZ, TN, 38340</v>
      </c>
    </row>
    <row r="941" spans="1:11" x14ac:dyDescent="0.15">
      <c r="A941">
        <v>1018918</v>
      </c>
      <c r="B941" s="54" t="s">
        <v>94</v>
      </c>
      <c r="C941" s="54" t="s">
        <v>95</v>
      </c>
      <c r="D941" s="54" t="s">
        <v>96</v>
      </c>
      <c r="E941" s="54" t="s">
        <v>97</v>
      </c>
      <c r="F941" t="s">
        <v>35</v>
      </c>
      <c r="G941">
        <v>38340</v>
      </c>
      <c r="H941">
        <v>360</v>
      </c>
      <c r="I941" t="str">
        <f t="shared" si="42"/>
        <v>AAA BBB</v>
      </c>
      <c r="J941" t="str">
        <f t="shared" si="43"/>
        <v>XXX</v>
      </c>
      <c r="K941" t="str">
        <f t="shared" si="44"/>
        <v>ZZZ, TN, 38340</v>
      </c>
    </row>
    <row r="942" spans="1:11" x14ac:dyDescent="0.15">
      <c r="A942">
        <v>1018918</v>
      </c>
      <c r="B942" s="54" t="s">
        <v>94</v>
      </c>
      <c r="C942" s="54" t="s">
        <v>95</v>
      </c>
      <c r="D942" s="54" t="s">
        <v>96</v>
      </c>
      <c r="E942" s="54" t="s">
        <v>97</v>
      </c>
      <c r="F942" t="s">
        <v>35</v>
      </c>
      <c r="G942">
        <v>38340</v>
      </c>
      <c r="H942">
        <v>360</v>
      </c>
      <c r="I942" t="str">
        <f t="shared" si="42"/>
        <v>AAA BBB</v>
      </c>
      <c r="J942" t="str">
        <f t="shared" si="43"/>
        <v>XXX</v>
      </c>
      <c r="K942" t="str">
        <f t="shared" si="44"/>
        <v>ZZZ, TN, 38340</v>
      </c>
    </row>
    <row r="943" spans="1:11" x14ac:dyDescent="0.15">
      <c r="A943">
        <v>1018918</v>
      </c>
      <c r="B943" s="54" t="s">
        <v>94</v>
      </c>
      <c r="C943" s="54" t="s">
        <v>95</v>
      </c>
      <c r="D943" s="54" t="s">
        <v>96</v>
      </c>
      <c r="E943" s="54" t="s">
        <v>97</v>
      </c>
      <c r="F943" t="s">
        <v>35</v>
      </c>
      <c r="G943">
        <v>38340</v>
      </c>
      <c r="H943">
        <v>360</v>
      </c>
      <c r="I943" t="str">
        <f t="shared" si="42"/>
        <v>AAA BBB</v>
      </c>
      <c r="J943" t="str">
        <f t="shared" si="43"/>
        <v>XXX</v>
      </c>
      <c r="K943" t="str">
        <f t="shared" si="44"/>
        <v>ZZZ, TN, 38340</v>
      </c>
    </row>
    <row r="944" spans="1:11" x14ac:dyDescent="0.15">
      <c r="A944">
        <v>1018918</v>
      </c>
      <c r="B944" s="54" t="s">
        <v>94</v>
      </c>
      <c r="C944" s="54" t="s">
        <v>95</v>
      </c>
      <c r="D944" s="54" t="s">
        <v>96</v>
      </c>
      <c r="E944" s="54" t="s">
        <v>97</v>
      </c>
      <c r="F944" t="s">
        <v>35</v>
      </c>
      <c r="G944">
        <v>38340</v>
      </c>
      <c r="H944">
        <v>360</v>
      </c>
      <c r="I944" t="str">
        <f t="shared" si="42"/>
        <v>AAA BBB</v>
      </c>
      <c r="J944" t="str">
        <f t="shared" si="43"/>
        <v>XXX</v>
      </c>
      <c r="K944" t="str">
        <f t="shared" si="44"/>
        <v>ZZZ, TN, 38340</v>
      </c>
    </row>
    <row r="945" spans="1:11" x14ac:dyDescent="0.15">
      <c r="A945">
        <v>1018918</v>
      </c>
      <c r="B945" s="54" t="s">
        <v>94</v>
      </c>
      <c r="C945" s="54" t="s">
        <v>95</v>
      </c>
      <c r="D945" s="54" t="s">
        <v>96</v>
      </c>
      <c r="E945" s="54" t="s">
        <v>97</v>
      </c>
      <c r="F945" t="s">
        <v>35</v>
      </c>
      <c r="G945">
        <v>38340</v>
      </c>
      <c r="H945">
        <v>360</v>
      </c>
      <c r="I945" t="str">
        <f t="shared" si="42"/>
        <v>AAA BBB</v>
      </c>
      <c r="J945" t="str">
        <f t="shared" si="43"/>
        <v>XXX</v>
      </c>
      <c r="K945" t="str">
        <f t="shared" si="44"/>
        <v>ZZZ, TN, 38340</v>
      </c>
    </row>
    <row r="946" spans="1:11" x14ac:dyDescent="0.15">
      <c r="A946">
        <v>1018918</v>
      </c>
      <c r="B946" s="54" t="s">
        <v>94</v>
      </c>
      <c r="C946" s="54" t="s">
        <v>95</v>
      </c>
      <c r="D946" s="54" t="s">
        <v>96</v>
      </c>
      <c r="E946" s="54" t="s">
        <v>97</v>
      </c>
      <c r="F946" t="s">
        <v>35</v>
      </c>
      <c r="G946">
        <v>38340</v>
      </c>
      <c r="H946">
        <v>360</v>
      </c>
      <c r="I946" t="str">
        <f t="shared" si="42"/>
        <v>AAA BBB</v>
      </c>
      <c r="J946" t="str">
        <f t="shared" si="43"/>
        <v>XXX</v>
      </c>
      <c r="K946" t="str">
        <f t="shared" si="44"/>
        <v>ZZZ, TN, 38340</v>
      </c>
    </row>
    <row r="947" spans="1:11" x14ac:dyDescent="0.15">
      <c r="A947">
        <v>1018918</v>
      </c>
      <c r="B947" s="54" t="s">
        <v>94</v>
      </c>
      <c r="C947" s="54" t="s">
        <v>95</v>
      </c>
      <c r="D947" s="54" t="s">
        <v>96</v>
      </c>
      <c r="E947" s="54" t="s">
        <v>97</v>
      </c>
      <c r="F947" t="s">
        <v>35</v>
      </c>
      <c r="G947">
        <v>38340</v>
      </c>
      <c r="H947">
        <v>360</v>
      </c>
      <c r="I947" t="str">
        <f t="shared" si="42"/>
        <v>AAA BBB</v>
      </c>
      <c r="J947" t="str">
        <f t="shared" si="43"/>
        <v>XXX</v>
      </c>
      <c r="K947" t="str">
        <f t="shared" si="44"/>
        <v>ZZZ, TN, 38340</v>
      </c>
    </row>
    <row r="948" spans="1:11" x14ac:dyDescent="0.15">
      <c r="A948">
        <v>1018918</v>
      </c>
      <c r="B948" s="54" t="s">
        <v>94</v>
      </c>
      <c r="C948" s="54" t="s">
        <v>95</v>
      </c>
      <c r="D948" s="54" t="s">
        <v>96</v>
      </c>
      <c r="E948" s="54" t="s">
        <v>97</v>
      </c>
      <c r="F948" t="s">
        <v>35</v>
      </c>
      <c r="G948">
        <v>38340</v>
      </c>
      <c r="H948">
        <v>360</v>
      </c>
      <c r="I948" t="str">
        <f t="shared" si="42"/>
        <v>AAA BBB</v>
      </c>
      <c r="J948" t="str">
        <f t="shared" si="43"/>
        <v>XXX</v>
      </c>
      <c r="K948" t="str">
        <f t="shared" si="44"/>
        <v>ZZZ, TN, 38340</v>
      </c>
    </row>
    <row r="949" spans="1:11" x14ac:dyDescent="0.15">
      <c r="A949">
        <v>1018918</v>
      </c>
      <c r="B949" s="54" t="s">
        <v>94</v>
      </c>
      <c r="C949" s="54" t="s">
        <v>95</v>
      </c>
      <c r="D949" s="54" t="s">
        <v>96</v>
      </c>
      <c r="E949" s="54" t="s">
        <v>97</v>
      </c>
      <c r="F949" t="s">
        <v>35</v>
      </c>
      <c r="G949">
        <v>38340</v>
      </c>
      <c r="H949">
        <v>360</v>
      </c>
      <c r="I949" t="str">
        <f t="shared" si="42"/>
        <v>AAA BBB</v>
      </c>
      <c r="J949" t="str">
        <f t="shared" si="43"/>
        <v>XXX</v>
      </c>
      <c r="K949" t="str">
        <f t="shared" si="44"/>
        <v>ZZZ, TN, 38340</v>
      </c>
    </row>
    <row r="950" spans="1:11" x14ac:dyDescent="0.15">
      <c r="A950">
        <v>1018918</v>
      </c>
      <c r="B950" s="54" t="s">
        <v>94</v>
      </c>
      <c r="C950" s="54" t="s">
        <v>95</v>
      </c>
      <c r="D950" s="54" t="s">
        <v>96</v>
      </c>
      <c r="E950" s="54" t="s">
        <v>97</v>
      </c>
      <c r="F950" t="s">
        <v>35</v>
      </c>
      <c r="G950">
        <v>38340</v>
      </c>
      <c r="H950">
        <v>360</v>
      </c>
      <c r="I950" t="str">
        <f t="shared" si="42"/>
        <v>AAA BBB</v>
      </c>
      <c r="J950" t="str">
        <f t="shared" si="43"/>
        <v>XXX</v>
      </c>
      <c r="K950" t="str">
        <f t="shared" si="44"/>
        <v>ZZZ, TN, 38340</v>
      </c>
    </row>
    <row r="951" spans="1:11" x14ac:dyDescent="0.15">
      <c r="A951">
        <v>1018918</v>
      </c>
      <c r="B951" s="54" t="s">
        <v>94</v>
      </c>
      <c r="C951" s="54" t="s">
        <v>95</v>
      </c>
      <c r="D951" s="54" t="s">
        <v>96</v>
      </c>
      <c r="E951" s="54" t="s">
        <v>97</v>
      </c>
      <c r="F951" t="s">
        <v>35</v>
      </c>
      <c r="G951">
        <v>38340</v>
      </c>
      <c r="H951">
        <v>360</v>
      </c>
      <c r="I951" t="str">
        <f t="shared" si="42"/>
        <v>AAA BBB</v>
      </c>
      <c r="J951" t="str">
        <f t="shared" si="43"/>
        <v>XXX</v>
      </c>
      <c r="K951" t="str">
        <f t="shared" si="44"/>
        <v>ZZZ, TN, 38340</v>
      </c>
    </row>
    <row r="952" spans="1:11" x14ac:dyDescent="0.15">
      <c r="A952">
        <v>1018918</v>
      </c>
      <c r="B952" s="54" t="s">
        <v>94</v>
      </c>
      <c r="C952" s="54" t="s">
        <v>95</v>
      </c>
      <c r="D952" s="54" t="s">
        <v>96</v>
      </c>
      <c r="E952" s="54" t="s">
        <v>97</v>
      </c>
      <c r="F952" t="s">
        <v>35</v>
      </c>
      <c r="G952">
        <v>38340</v>
      </c>
      <c r="H952">
        <v>360</v>
      </c>
      <c r="I952" t="str">
        <f t="shared" si="42"/>
        <v>AAA BBB</v>
      </c>
      <c r="J952" t="str">
        <f t="shared" si="43"/>
        <v>XXX</v>
      </c>
      <c r="K952" t="str">
        <f t="shared" si="44"/>
        <v>ZZZ, TN, 38340</v>
      </c>
    </row>
    <row r="953" spans="1:11" x14ac:dyDescent="0.15">
      <c r="A953">
        <v>1018918</v>
      </c>
      <c r="B953" s="54" t="s">
        <v>94</v>
      </c>
      <c r="C953" s="54" t="s">
        <v>95</v>
      </c>
      <c r="D953" s="54" t="s">
        <v>96</v>
      </c>
      <c r="E953" s="54" t="s">
        <v>97</v>
      </c>
      <c r="F953" t="s">
        <v>35</v>
      </c>
      <c r="G953">
        <v>38340</v>
      </c>
      <c r="H953">
        <v>360</v>
      </c>
      <c r="I953" t="str">
        <f t="shared" si="42"/>
        <v>AAA BBB</v>
      </c>
      <c r="J953" t="str">
        <f t="shared" si="43"/>
        <v>XXX</v>
      </c>
      <c r="K953" t="str">
        <f t="shared" si="44"/>
        <v>ZZZ, TN, 38340</v>
      </c>
    </row>
    <row r="954" spans="1:11" x14ac:dyDescent="0.15">
      <c r="A954">
        <v>1018918</v>
      </c>
      <c r="B954" s="54" t="s">
        <v>94</v>
      </c>
      <c r="C954" s="54" t="s">
        <v>95</v>
      </c>
      <c r="D954" s="54" t="s">
        <v>96</v>
      </c>
      <c r="E954" s="54" t="s">
        <v>97</v>
      </c>
      <c r="F954" t="s">
        <v>35</v>
      </c>
      <c r="G954">
        <v>38340</v>
      </c>
      <c r="H954">
        <v>360</v>
      </c>
      <c r="I954" t="str">
        <f t="shared" si="42"/>
        <v>AAA BBB</v>
      </c>
      <c r="J954" t="str">
        <f t="shared" si="43"/>
        <v>XXX</v>
      </c>
      <c r="K954" t="str">
        <f t="shared" si="44"/>
        <v>ZZZ, TN, 38340</v>
      </c>
    </row>
    <row r="955" spans="1:11" x14ac:dyDescent="0.15">
      <c r="A955">
        <v>1018918</v>
      </c>
      <c r="B955" s="54" t="s">
        <v>94</v>
      </c>
      <c r="C955" s="54" t="s">
        <v>95</v>
      </c>
      <c r="D955" s="54" t="s">
        <v>96</v>
      </c>
      <c r="E955" s="54" t="s">
        <v>97</v>
      </c>
      <c r="F955" t="s">
        <v>35</v>
      </c>
      <c r="G955">
        <v>38340</v>
      </c>
      <c r="H955">
        <v>360</v>
      </c>
      <c r="I955" t="str">
        <f t="shared" si="42"/>
        <v>AAA BBB</v>
      </c>
      <c r="J955" t="str">
        <f t="shared" si="43"/>
        <v>XXX</v>
      </c>
      <c r="K955" t="str">
        <f t="shared" si="44"/>
        <v>ZZZ, TN, 38340</v>
      </c>
    </row>
    <row r="956" spans="1:11" x14ac:dyDescent="0.15">
      <c r="A956">
        <v>1018918</v>
      </c>
      <c r="B956" s="54" t="s">
        <v>94</v>
      </c>
      <c r="C956" s="54" t="s">
        <v>95</v>
      </c>
      <c r="D956" s="54" t="s">
        <v>96</v>
      </c>
      <c r="E956" s="54" t="s">
        <v>97</v>
      </c>
      <c r="F956" t="s">
        <v>35</v>
      </c>
      <c r="G956">
        <v>38340</v>
      </c>
      <c r="H956">
        <v>360</v>
      </c>
      <c r="I956" t="str">
        <f t="shared" si="42"/>
        <v>AAA BBB</v>
      </c>
      <c r="J956" t="str">
        <f t="shared" si="43"/>
        <v>XXX</v>
      </c>
      <c r="K956" t="str">
        <f t="shared" si="44"/>
        <v>ZZZ, TN, 38340</v>
      </c>
    </row>
    <row r="957" spans="1:11" x14ac:dyDescent="0.15">
      <c r="A957">
        <v>1018918</v>
      </c>
      <c r="B957" s="54" t="s">
        <v>94</v>
      </c>
      <c r="C957" s="54" t="s">
        <v>95</v>
      </c>
      <c r="D957" s="54" t="s">
        <v>96</v>
      </c>
      <c r="E957" s="54" t="s">
        <v>97</v>
      </c>
      <c r="F957" t="s">
        <v>35</v>
      </c>
      <c r="G957">
        <v>38340</v>
      </c>
      <c r="H957">
        <v>360</v>
      </c>
      <c r="I957" t="str">
        <f t="shared" si="42"/>
        <v>AAA BBB</v>
      </c>
      <c r="J957" t="str">
        <f t="shared" si="43"/>
        <v>XXX</v>
      </c>
      <c r="K957" t="str">
        <f t="shared" si="44"/>
        <v>ZZZ, TN, 38340</v>
      </c>
    </row>
    <row r="958" spans="1:11" x14ac:dyDescent="0.15">
      <c r="A958">
        <v>1018918</v>
      </c>
      <c r="B958" s="54" t="s">
        <v>94</v>
      </c>
      <c r="C958" s="54" t="s">
        <v>95</v>
      </c>
      <c r="D958" s="54" t="s">
        <v>96</v>
      </c>
      <c r="E958" s="54" t="s">
        <v>97</v>
      </c>
      <c r="F958" t="s">
        <v>35</v>
      </c>
      <c r="G958">
        <v>38340</v>
      </c>
      <c r="H958">
        <v>360</v>
      </c>
      <c r="I958" t="str">
        <f t="shared" si="42"/>
        <v>AAA BBB</v>
      </c>
      <c r="J958" t="str">
        <f t="shared" si="43"/>
        <v>XXX</v>
      </c>
      <c r="K958" t="str">
        <f t="shared" si="44"/>
        <v>ZZZ, TN, 38340</v>
      </c>
    </row>
    <row r="959" spans="1:11" x14ac:dyDescent="0.15">
      <c r="A959">
        <v>1018918</v>
      </c>
      <c r="B959" s="54" t="s">
        <v>94</v>
      </c>
      <c r="C959" s="54" t="s">
        <v>95</v>
      </c>
      <c r="D959" s="54" t="s">
        <v>96</v>
      </c>
      <c r="E959" s="54" t="s">
        <v>97</v>
      </c>
      <c r="F959" t="s">
        <v>35</v>
      </c>
      <c r="G959">
        <v>38340</v>
      </c>
      <c r="H959">
        <v>360</v>
      </c>
      <c r="I959" t="str">
        <f t="shared" si="42"/>
        <v>AAA BBB</v>
      </c>
      <c r="J959" t="str">
        <f t="shared" si="43"/>
        <v>XXX</v>
      </c>
      <c r="K959" t="str">
        <f t="shared" si="44"/>
        <v>ZZZ, TN, 38340</v>
      </c>
    </row>
    <row r="960" spans="1:11" x14ac:dyDescent="0.15">
      <c r="A960">
        <v>1018918</v>
      </c>
      <c r="B960" s="54" t="s">
        <v>94</v>
      </c>
      <c r="C960" s="54" t="s">
        <v>95</v>
      </c>
      <c r="D960" s="54" t="s">
        <v>96</v>
      </c>
      <c r="E960" s="54" t="s">
        <v>97</v>
      </c>
      <c r="F960" t="s">
        <v>35</v>
      </c>
      <c r="G960">
        <v>38340</v>
      </c>
      <c r="H960">
        <v>360</v>
      </c>
      <c r="I960" t="str">
        <f t="shared" si="42"/>
        <v>AAA BBB</v>
      </c>
      <c r="J960" t="str">
        <f t="shared" si="43"/>
        <v>XXX</v>
      </c>
      <c r="K960" t="str">
        <f t="shared" si="44"/>
        <v>ZZZ, TN, 38340</v>
      </c>
    </row>
    <row r="961" spans="1:11" x14ac:dyDescent="0.15">
      <c r="A961">
        <v>1018918</v>
      </c>
      <c r="B961" s="54" t="s">
        <v>94</v>
      </c>
      <c r="C961" s="54" t="s">
        <v>95</v>
      </c>
      <c r="D961" s="54" t="s">
        <v>96</v>
      </c>
      <c r="E961" s="54" t="s">
        <v>97</v>
      </c>
      <c r="F961" t="s">
        <v>35</v>
      </c>
      <c r="G961">
        <v>38340</v>
      </c>
      <c r="H961">
        <v>360</v>
      </c>
      <c r="I961" t="str">
        <f t="shared" si="42"/>
        <v>AAA BBB</v>
      </c>
      <c r="J961" t="str">
        <f t="shared" si="43"/>
        <v>XXX</v>
      </c>
      <c r="K961" t="str">
        <f t="shared" si="44"/>
        <v>ZZZ, TN, 38340</v>
      </c>
    </row>
    <row r="962" spans="1:11" x14ac:dyDescent="0.15">
      <c r="A962">
        <v>1018918</v>
      </c>
      <c r="B962" s="54" t="s">
        <v>94</v>
      </c>
      <c r="C962" s="54" t="s">
        <v>95</v>
      </c>
      <c r="D962" s="54" t="s">
        <v>96</v>
      </c>
      <c r="E962" s="54" t="s">
        <v>97</v>
      </c>
      <c r="F962" t="s">
        <v>35</v>
      </c>
      <c r="G962">
        <v>38340</v>
      </c>
      <c r="H962">
        <v>360</v>
      </c>
      <c r="I962" t="str">
        <f t="shared" si="42"/>
        <v>AAA BBB</v>
      </c>
      <c r="J962" t="str">
        <f t="shared" si="43"/>
        <v>XXX</v>
      </c>
      <c r="K962" t="str">
        <f t="shared" si="44"/>
        <v>ZZZ, TN, 38340</v>
      </c>
    </row>
    <row r="963" spans="1:11" x14ac:dyDescent="0.15">
      <c r="A963">
        <v>1018918</v>
      </c>
      <c r="B963" s="54" t="s">
        <v>94</v>
      </c>
      <c r="C963" s="54" t="s">
        <v>95</v>
      </c>
      <c r="D963" s="54" t="s">
        <v>96</v>
      </c>
      <c r="E963" s="54" t="s">
        <v>97</v>
      </c>
      <c r="F963" t="s">
        <v>35</v>
      </c>
      <c r="G963">
        <v>38340</v>
      </c>
      <c r="H963">
        <v>360</v>
      </c>
      <c r="I963" t="str">
        <f t="shared" ref="I963:I1026" si="45">CONCATENATE(B963," ",C963)</f>
        <v>AAA BBB</v>
      </c>
      <c r="J963" t="str">
        <f t="shared" ref="J963:J1026" si="46">D963</f>
        <v>XXX</v>
      </c>
      <c r="K963" t="str">
        <f t="shared" ref="K963:K1026" si="47">CONCATENATE(E963,","," ",F963,","," ",G963)</f>
        <v>ZZZ, TN, 38340</v>
      </c>
    </row>
    <row r="964" spans="1:11" x14ac:dyDescent="0.15">
      <c r="A964">
        <v>1018918</v>
      </c>
      <c r="B964" s="54" t="s">
        <v>94</v>
      </c>
      <c r="C964" s="54" t="s">
        <v>95</v>
      </c>
      <c r="D964" s="54" t="s">
        <v>96</v>
      </c>
      <c r="E964" s="54" t="s">
        <v>97</v>
      </c>
      <c r="F964" t="s">
        <v>35</v>
      </c>
      <c r="G964">
        <v>38340</v>
      </c>
      <c r="H964">
        <v>360</v>
      </c>
      <c r="I964" t="str">
        <f t="shared" si="45"/>
        <v>AAA BBB</v>
      </c>
      <c r="J964" t="str">
        <f t="shared" si="46"/>
        <v>XXX</v>
      </c>
      <c r="K964" t="str">
        <f t="shared" si="47"/>
        <v>ZZZ, TN, 38340</v>
      </c>
    </row>
    <row r="965" spans="1:11" x14ac:dyDescent="0.15">
      <c r="A965">
        <v>1018918</v>
      </c>
      <c r="B965" s="54" t="s">
        <v>94</v>
      </c>
      <c r="C965" s="54" t="s">
        <v>95</v>
      </c>
      <c r="D965" s="54" t="s">
        <v>96</v>
      </c>
      <c r="E965" s="54" t="s">
        <v>97</v>
      </c>
      <c r="F965" t="s">
        <v>35</v>
      </c>
      <c r="G965">
        <v>38340</v>
      </c>
      <c r="H965">
        <v>360</v>
      </c>
      <c r="I965" t="str">
        <f t="shared" si="45"/>
        <v>AAA BBB</v>
      </c>
      <c r="J965" t="str">
        <f t="shared" si="46"/>
        <v>XXX</v>
      </c>
      <c r="K965" t="str">
        <f t="shared" si="47"/>
        <v>ZZZ, TN, 38340</v>
      </c>
    </row>
    <row r="966" spans="1:11" x14ac:dyDescent="0.15">
      <c r="A966">
        <v>1018918</v>
      </c>
      <c r="B966" s="54" t="s">
        <v>94</v>
      </c>
      <c r="C966" s="54" t="s">
        <v>95</v>
      </c>
      <c r="D966" s="54" t="s">
        <v>96</v>
      </c>
      <c r="E966" s="54" t="s">
        <v>97</v>
      </c>
      <c r="F966" t="s">
        <v>35</v>
      </c>
      <c r="G966">
        <v>38340</v>
      </c>
      <c r="H966">
        <v>360</v>
      </c>
      <c r="I966" t="str">
        <f t="shared" si="45"/>
        <v>AAA BBB</v>
      </c>
      <c r="J966" t="str">
        <f t="shared" si="46"/>
        <v>XXX</v>
      </c>
      <c r="K966" t="str">
        <f t="shared" si="47"/>
        <v>ZZZ, TN, 38340</v>
      </c>
    </row>
    <row r="967" spans="1:11" x14ac:dyDescent="0.15">
      <c r="A967">
        <v>1018918</v>
      </c>
      <c r="B967" s="54" t="s">
        <v>94</v>
      </c>
      <c r="C967" s="54" t="s">
        <v>95</v>
      </c>
      <c r="D967" s="54" t="s">
        <v>96</v>
      </c>
      <c r="E967" s="54" t="s">
        <v>97</v>
      </c>
      <c r="F967" t="s">
        <v>35</v>
      </c>
      <c r="G967">
        <v>38340</v>
      </c>
      <c r="H967">
        <v>360</v>
      </c>
      <c r="I967" t="str">
        <f t="shared" si="45"/>
        <v>AAA BBB</v>
      </c>
      <c r="J967" t="str">
        <f t="shared" si="46"/>
        <v>XXX</v>
      </c>
      <c r="K967" t="str">
        <f t="shared" si="47"/>
        <v>ZZZ, TN, 38340</v>
      </c>
    </row>
    <row r="968" spans="1:11" x14ac:dyDescent="0.15">
      <c r="A968">
        <v>1018918</v>
      </c>
      <c r="B968" s="54" t="s">
        <v>94</v>
      </c>
      <c r="C968" s="54" t="s">
        <v>95</v>
      </c>
      <c r="D968" s="54" t="s">
        <v>96</v>
      </c>
      <c r="E968" s="54" t="s">
        <v>97</v>
      </c>
      <c r="F968" t="s">
        <v>35</v>
      </c>
      <c r="G968">
        <v>38340</v>
      </c>
      <c r="H968">
        <v>360</v>
      </c>
      <c r="I968" t="str">
        <f t="shared" si="45"/>
        <v>AAA BBB</v>
      </c>
      <c r="J968" t="str">
        <f t="shared" si="46"/>
        <v>XXX</v>
      </c>
      <c r="K968" t="str">
        <f t="shared" si="47"/>
        <v>ZZZ, TN, 38340</v>
      </c>
    </row>
    <row r="969" spans="1:11" x14ac:dyDescent="0.15">
      <c r="A969">
        <v>1018918</v>
      </c>
      <c r="B969" s="54" t="s">
        <v>94</v>
      </c>
      <c r="C969" s="54" t="s">
        <v>95</v>
      </c>
      <c r="D969" s="54" t="s">
        <v>96</v>
      </c>
      <c r="E969" s="54" t="s">
        <v>97</v>
      </c>
      <c r="F969" t="s">
        <v>35</v>
      </c>
      <c r="G969">
        <v>38340</v>
      </c>
      <c r="H969">
        <v>360</v>
      </c>
      <c r="I969" t="str">
        <f t="shared" si="45"/>
        <v>AAA BBB</v>
      </c>
      <c r="J969" t="str">
        <f t="shared" si="46"/>
        <v>XXX</v>
      </c>
      <c r="K969" t="str">
        <f t="shared" si="47"/>
        <v>ZZZ, TN, 38340</v>
      </c>
    </row>
    <row r="970" spans="1:11" x14ac:dyDescent="0.15">
      <c r="A970">
        <v>1018918</v>
      </c>
      <c r="B970" s="54" t="s">
        <v>94</v>
      </c>
      <c r="C970" s="54" t="s">
        <v>95</v>
      </c>
      <c r="D970" s="54" t="s">
        <v>96</v>
      </c>
      <c r="E970" s="54" t="s">
        <v>97</v>
      </c>
      <c r="F970" t="s">
        <v>35</v>
      </c>
      <c r="G970">
        <v>38340</v>
      </c>
      <c r="H970">
        <v>360</v>
      </c>
      <c r="I970" t="str">
        <f t="shared" si="45"/>
        <v>AAA BBB</v>
      </c>
      <c r="J970" t="str">
        <f t="shared" si="46"/>
        <v>XXX</v>
      </c>
      <c r="K970" t="str">
        <f t="shared" si="47"/>
        <v>ZZZ, TN, 38340</v>
      </c>
    </row>
    <row r="971" spans="1:11" x14ac:dyDescent="0.15">
      <c r="A971">
        <v>1018918</v>
      </c>
      <c r="B971" s="54" t="s">
        <v>94</v>
      </c>
      <c r="C971" s="54" t="s">
        <v>95</v>
      </c>
      <c r="D971" s="54" t="s">
        <v>96</v>
      </c>
      <c r="E971" s="54" t="s">
        <v>97</v>
      </c>
      <c r="F971" t="s">
        <v>35</v>
      </c>
      <c r="G971">
        <v>38340</v>
      </c>
      <c r="H971">
        <v>360</v>
      </c>
      <c r="I971" t="str">
        <f t="shared" si="45"/>
        <v>AAA BBB</v>
      </c>
      <c r="J971" t="str">
        <f t="shared" si="46"/>
        <v>XXX</v>
      </c>
      <c r="K971" t="str">
        <f t="shared" si="47"/>
        <v>ZZZ, TN, 38340</v>
      </c>
    </row>
    <row r="972" spans="1:11" x14ac:dyDescent="0.15">
      <c r="A972">
        <v>1018918</v>
      </c>
      <c r="B972" s="54" t="s">
        <v>94</v>
      </c>
      <c r="C972" s="54" t="s">
        <v>95</v>
      </c>
      <c r="D972" s="54" t="s">
        <v>96</v>
      </c>
      <c r="E972" s="54" t="s">
        <v>97</v>
      </c>
      <c r="F972" t="s">
        <v>35</v>
      </c>
      <c r="G972">
        <v>38340</v>
      </c>
      <c r="H972">
        <v>360</v>
      </c>
      <c r="I972" t="str">
        <f t="shared" si="45"/>
        <v>AAA BBB</v>
      </c>
      <c r="J972" t="str">
        <f t="shared" si="46"/>
        <v>XXX</v>
      </c>
      <c r="K972" t="str">
        <f t="shared" si="47"/>
        <v>ZZZ, TN, 38340</v>
      </c>
    </row>
    <row r="973" spans="1:11" x14ac:dyDescent="0.15">
      <c r="A973">
        <v>1018918</v>
      </c>
      <c r="B973" s="54" t="s">
        <v>94</v>
      </c>
      <c r="C973" s="54" t="s">
        <v>95</v>
      </c>
      <c r="D973" s="54" t="s">
        <v>96</v>
      </c>
      <c r="E973" s="54" t="s">
        <v>97</v>
      </c>
      <c r="F973" t="s">
        <v>35</v>
      </c>
      <c r="G973">
        <v>38340</v>
      </c>
      <c r="H973">
        <v>360</v>
      </c>
      <c r="I973" t="str">
        <f t="shared" si="45"/>
        <v>AAA BBB</v>
      </c>
      <c r="J973" t="str">
        <f t="shared" si="46"/>
        <v>XXX</v>
      </c>
      <c r="K973" t="str">
        <f t="shared" si="47"/>
        <v>ZZZ, TN, 38340</v>
      </c>
    </row>
    <row r="974" spans="1:11" x14ac:dyDescent="0.15">
      <c r="A974">
        <v>1018918</v>
      </c>
      <c r="B974" s="54" t="s">
        <v>94</v>
      </c>
      <c r="C974" s="54" t="s">
        <v>95</v>
      </c>
      <c r="D974" s="54" t="s">
        <v>96</v>
      </c>
      <c r="E974" s="54" t="s">
        <v>97</v>
      </c>
      <c r="F974" t="s">
        <v>35</v>
      </c>
      <c r="G974">
        <v>38340</v>
      </c>
      <c r="H974">
        <v>360</v>
      </c>
      <c r="I974" t="str">
        <f t="shared" si="45"/>
        <v>AAA BBB</v>
      </c>
      <c r="J974" t="str">
        <f t="shared" si="46"/>
        <v>XXX</v>
      </c>
      <c r="K974" t="str">
        <f t="shared" si="47"/>
        <v>ZZZ, TN, 38340</v>
      </c>
    </row>
    <row r="975" spans="1:11" x14ac:dyDescent="0.15">
      <c r="A975">
        <v>1018918</v>
      </c>
      <c r="B975" s="54" t="s">
        <v>94</v>
      </c>
      <c r="C975" s="54" t="s">
        <v>95</v>
      </c>
      <c r="D975" s="54" t="s">
        <v>96</v>
      </c>
      <c r="E975" s="54" t="s">
        <v>97</v>
      </c>
      <c r="F975" t="s">
        <v>35</v>
      </c>
      <c r="G975">
        <v>38340</v>
      </c>
      <c r="H975">
        <v>360</v>
      </c>
      <c r="I975" t="str">
        <f t="shared" si="45"/>
        <v>AAA BBB</v>
      </c>
      <c r="J975" t="str">
        <f t="shared" si="46"/>
        <v>XXX</v>
      </c>
      <c r="K975" t="str">
        <f t="shared" si="47"/>
        <v>ZZZ, TN, 38340</v>
      </c>
    </row>
    <row r="976" spans="1:11" x14ac:dyDescent="0.15">
      <c r="A976">
        <v>1018918</v>
      </c>
      <c r="B976" s="54" t="s">
        <v>94</v>
      </c>
      <c r="C976" s="54" t="s">
        <v>95</v>
      </c>
      <c r="D976" s="54" t="s">
        <v>96</v>
      </c>
      <c r="E976" s="54" t="s">
        <v>97</v>
      </c>
      <c r="F976" t="s">
        <v>35</v>
      </c>
      <c r="G976">
        <v>38340</v>
      </c>
      <c r="H976">
        <v>360</v>
      </c>
      <c r="I976" t="str">
        <f t="shared" si="45"/>
        <v>AAA BBB</v>
      </c>
      <c r="J976" t="str">
        <f t="shared" si="46"/>
        <v>XXX</v>
      </c>
      <c r="K976" t="str">
        <f t="shared" si="47"/>
        <v>ZZZ, TN, 38340</v>
      </c>
    </row>
    <row r="977" spans="1:11" x14ac:dyDescent="0.15">
      <c r="A977">
        <v>1018918</v>
      </c>
      <c r="B977" s="54" t="s">
        <v>94</v>
      </c>
      <c r="C977" s="54" t="s">
        <v>95</v>
      </c>
      <c r="D977" s="54" t="s">
        <v>96</v>
      </c>
      <c r="E977" s="54" t="s">
        <v>97</v>
      </c>
      <c r="F977" t="s">
        <v>35</v>
      </c>
      <c r="G977">
        <v>38340</v>
      </c>
      <c r="H977">
        <v>360</v>
      </c>
      <c r="I977" t="str">
        <f t="shared" si="45"/>
        <v>AAA BBB</v>
      </c>
      <c r="J977" t="str">
        <f t="shared" si="46"/>
        <v>XXX</v>
      </c>
      <c r="K977" t="str">
        <f t="shared" si="47"/>
        <v>ZZZ, TN, 38340</v>
      </c>
    </row>
    <row r="978" spans="1:11" x14ac:dyDescent="0.15">
      <c r="A978">
        <v>1018918</v>
      </c>
      <c r="B978" s="54" t="s">
        <v>94</v>
      </c>
      <c r="C978" s="54" t="s">
        <v>95</v>
      </c>
      <c r="D978" s="54" t="s">
        <v>96</v>
      </c>
      <c r="E978" s="54" t="s">
        <v>97</v>
      </c>
      <c r="F978" t="s">
        <v>35</v>
      </c>
      <c r="G978">
        <v>38340</v>
      </c>
      <c r="H978">
        <v>360</v>
      </c>
      <c r="I978" t="str">
        <f t="shared" si="45"/>
        <v>AAA BBB</v>
      </c>
      <c r="J978" t="str">
        <f t="shared" si="46"/>
        <v>XXX</v>
      </c>
      <c r="K978" t="str">
        <f t="shared" si="47"/>
        <v>ZZZ, TN, 38340</v>
      </c>
    </row>
    <row r="979" spans="1:11" x14ac:dyDescent="0.15">
      <c r="A979">
        <v>1018918</v>
      </c>
      <c r="B979" s="54" t="s">
        <v>94</v>
      </c>
      <c r="C979" s="54" t="s">
        <v>95</v>
      </c>
      <c r="D979" s="54" t="s">
        <v>96</v>
      </c>
      <c r="E979" s="54" t="s">
        <v>97</v>
      </c>
      <c r="F979" t="s">
        <v>35</v>
      </c>
      <c r="G979">
        <v>38340</v>
      </c>
      <c r="H979">
        <v>360</v>
      </c>
      <c r="I979" t="str">
        <f t="shared" si="45"/>
        <v>AAA BBB</v>
      </c>
      <c r="J979" t="str">
        <f t="shared" si="46"/>
        <v>XXX</v>
      </c>
      <c r="K979" t="str">
        <f t="shared" si="47"/>
        <v>ZZZ, TN, 38340</v>
      </c>
    </row>
    <row r="980" spans="1:11" x14ac:dyDescent="0.15">
      <c r="A980">
        <v>1018918</v>
      </c>
      <c r="B980" s="54" t="s">
        <v>94</v>
      </c>
      <c r="C980" s="54" t="s">
        <v>95</v>
      </c>
      <c r="D980" s="54" t="s">
        <v>96</v>
      </c>
      <c r="E980" s="54" t="s">
        <v>97</v>
      </c>
      <c r="F980" t="s">
        <v>35</v>
      </c>
      <c r="G980">
        <v>38340</v>
      </c>
      <c r="H980">
        <v>360</v>
      </c>
      <c r="I980" t="str">
        <f t="shared" si="45"/>
        <v>AAA BBB</v>
      </c>
      <c r="J980" t="str">
        <f t="shared" si="46"/>
        <v>XXX</v>
      </c>
      <c r="K980" t="str">
        <f t="shared" si="47"/>
        <v>ZZZ, TN, 38340</v>
      </c>
    </row>
    <row r="981" spans="1:11" x14ac:dyDescent="0.15">
      <c r="A981">
        <v>1018918</v>
      </c>
      <c r="B981" s="54" t="s">
        <v>94</v>
      </c>
      <c r="C981" s="54" t="s">
        <v>95</v>
      </c>
      <c r="D981" s="54" t="s">
        <v>96</v>
      </c>
      <c r="E981" s="54" t="s">
        <v>97</v>
      </c>
      <c r="F981" t="s">
        <v>35</v>
      </c>
      <c r="G981">
        <v>38340</v>
      </c>
      <c r="H981">
        <v>360</v>
      </c>
      <c r="I981" t="str">
        <f t="shared" si="45"/>
        <v>AAA BBB</v>
      </c>
      <c r="J981" t="str">
        <f t="shared" si="46"/>
        <v>XXX</v>
      </c>
      <c r="K981" t="str">
        <f t="shared" si="47"/>
        <v>ZZZ, TN, 38340</v>
      </c>
    </row>
    <row r="982" spans="1:11" x14ac:dyDescent="0.15">
      <c r="A982">
        <v>1018918</v>
      </c>
      <c r="B982" s="54" t="s">
        <v>94</v>
      </c>
      <c r="C982" s="54" t="s">
        <v>95</v>
      </c>
      <c r="D982" s="54" t="s">
        <v>96</v>
      </c>
      <c r="E982" s="54" t="s">
        <v>97</v>
      </c>
      <c r="F982" t="s">
        <v>35</v>
      </c>
      <c r="G982">
        <v>38340</v>
      </c>
      <c r="H982">
        <v>360</v>
      </c>
      <c r="I982" t="str">
        <f t="shared" si="45"/>
        <v>AAA BBB</v>
      </c>
      <c r="J982" t="str">
        <f t="shared" si="46"/>
        <v>XXX</v>
      </c>
      <c r="K982" t="str">
        <f t="shared" si="47"/>
        <v>ZZZ, TN, 38340</v>
      </c>
    </row>
    <row r="983" spans="1:11" x14ac:dyDescent="0.15">
      <c r="A983">
        <v>1018918</v>
      </c>
      <c r="B983" s="54" t="s">
        <v>94</v>
      </c>
      <c r="C983" s="54" t="s">
        <v>95</v>
      </c>
      <c r="D983" s="54" t="s">
        <v>96</v>
      </c>
      <c r="E983" s="54" t="s">
        <v>97</v>
      </c>
      <c r="F983" t="s">
        <v>35</v>
      </c>
      <c r="G983">
        <v>38340</v>
      </c>
      <c r="H983">
        <v>360</v>
      </c>
      <c r="I983" t="str">
        <f t="shared" si="45"/>
        <v>AAA BBB</v>
      </c>
      <c r="J983" t="str">
        <f t="shared" si="46"/>
        <v>XXX</v>
      </c>
      <c r="K983" t="str">
        <f t="shared" si="47"/>
        <v>ZZZ, TN, 38340</v>
      </c>
    </row>
    <row r="984" spans="1:11" x14ac:dyDescent="0.15">
      <c r="A984">
        <v>1018918</v>
      </c>
      <c r="B984" s="54" t="s">
        <v>94</v>
      </c>
      <c r="C984" s="54" t="s">
        <v>95</v>
      </c>
      <c r="D984" s="54" t="s">
        <v>96</v>
      </c>
      <c r="E984" s="54" t="s">
        <v>97</v>
      </c>
      <c r="F984" t="s">
        <v>35</v>
      </c>
      <c r="G984">
        <v>38340</v>
      </c>
      <c r="H984">
        <v>360</v>
      </c>
      <c r="I984" t="str">
        <f t="shared" si="45"/>
        <v>AAA BBB</v>
      </c>
      <c r="J984" t="str">
        <f t="shared" si="46"/>
        <v>XXX</v>
      </c>
      <c r="K984" t="str">
        <f t="shared" si="47"/>
        <v>ZZZ, TN, 38340</v>
      </c>
    </row>
    <row r="985" spans="1:11" x14ac:dyDescent="0.15">
      <c r="A985">
        <v>1018918</v>
      </c>
      <c r="B985" s="54" t="s">
        <v>94</v>
      </c>
      <c r="C985" s="54" t="s">
        <v>95</v>
      </c>
      <c r="D985" s="54" t="s">
        <v>96</v>
      </c>
      <c r="E985" s="54" t="s">
        <v>97</v>
      </c>
      <c r="F985" t="s">
        <v>35</v>
      </c>
      <c r="G985">
        <v>38340</v>
      </c>
      <c r="H985">
        <v>360</v>
      </c>
      <c r="I985" t="str">
        <f t="shared" si="45"/>
        <v>AAA BBB</v>
      </c>
      <c r="J985" t="str">
        <f t="shared" si="46"/>
        <v>XXX</v>
      </c>
      <c r="K985" t="str">
        <f t="shared" si="47"/>
        <v>ZZZ, TN, 38340</v>
      </c>
    </row>
    <row r="986" spans="1:11" x14ac:dyDescent="0.15">
      <c r="A986">
        <v>1018918</v>
      </c>
      <c r="B986" s="54" t="s">
        <v>94</v>
      </c>
      <c r="C986" s="54" t="s">
        <v>95</v>
      </c>
      <c r="D986" s="54" t="s">
        <v>96</v>
      </c>
      <c r="E986" s="54" t="s">
        <v>97</v>
      </c>
      <c r="F986" t="s">
        <v>35</v>
      </c>
      <c r="G986">
        <v>38340</v>
      </c>
      <c r="H986">
        <v>360</v>
      </c>
      <c r="I986" t="str">
        <f t="shared" si="45"/>
        <v>AAA BBB</v>
      </c>
      <c r="J986" t="str">
        <f t="shared" si="46"/>
        <v>XXX</v>
      </c>
      <c r="K986" t="str">
        <f t="shared" si="47"/>
        <v>ZZZ, TN, 38340</v>
      </c>
    </row>
    <row r="987" spans="1:11" x14ac:dyDescent="0.15">
      <c r="A987">
        <v>1018918</v>
      </c>
      <c r="B987" s="54" t="s">
        <v>94</v>
      </c>
      <c r="C987" s="54" t="s">
        <v>95</v>
      </c>
      <c r="D987" s="54" t="s">
        <v>96</v>
      </c>
      <c r="E987" s="54" t="s">
        <v>97</v>
      </c>
      <c r="F987" t="s">
        <v>35</v>
      </c>
      <c r="G987">
        <v>38340</v>
      </c>
      <c r="H987">
        <v>360</v>
      </c>
      <c r="I987" t="str">
        <f t="shared" si="45"/>
        <v>AAA BBB</v>
      </c>
      <c r="J987" t="str">
        <f t="shared" si="46"/>
        <v>XXX</v>
      </c>
      <c r="K987" t="str">
        <f t="shared" si="47"/>
        <v>ZZZ, TN, 38340</v>
      </c>
    </row>
    <row r="988" spans="1:11" x14ac:dyDescent="0.15">
      <c r="A988">
        <v>1018918</v>
      </c>
      <c r="B988" s="54" t="s">
        <v>94</v>
      </c>
      <c r="C988" s="54" t="s">
        <v>95</v>
      </c>
      <c r="D988" s="54" t="s">
        <v>96</v>
      </c>
      <c r="E988" s="54" t="s">
        <v>97</v>
      </c>
      <c r="F988" t="s">
        <v>35</v>
      </c>
      <c r="G988">
        <v>38340</v>
      </c>
      <c r="H988">
        <v>360</v>
      </c>
      <c r="I988" t="str">
        <f t="shared" si="45"/>
        <v>AAA BBB</v>
      </c>
      <c r="J988" t="str">
        <f t="shared" si="46"/>
        <v>XXX</v>
      </c>
      <c r="K988" t="str">
        <f t="shared" si="47"/>
        <v>ZZZ, TN, 38340</v>
      </c>
    </row>
    <row r="989" spans="1:11" x14ac:dyDescent="0.15">
      <c r="A989">
        <v>1018918</v>
      </c>
      <c r="B989" s="54" t="s">
        <v>94</v>
      </c>
      <c r="C989" s="54" t="s">
        <v>95</v>
      </c>
      <c r="D989" s="54" t="s">
        <v>96</v>
      </c>
      <c r="E989" s="54" t="s">
        <v>97</v>
      </c>
      <c r="F989" t="s">
        <v>35</v>
      </c>
      <c r="G989">
        <v>38340</v>
      </c>
      <c r="H989">
        <v>360</v>
      </c>
      <c r="I989" t="str">
        <f t="shared" si="45"/>
        <v>AAA BBB</v>
      </c>
      <c r="J989" t="str">
        <f t="shared" si="46"/>
        <v>XXX</v>
      </c>
      <c r="K989" t="str">
        <f t="shared" si="47"/>
        <v>ZZZ, TN, 38340</v>
      </c>
    </row>
    <row r="990" spans="1:11" x14ac:dyDescent="0.15">
      <c r="A990">
        <v>1018918</v>
      </c>
      <c r="B990" s="54" t="s">
        <v>94</v>
      </c>
      <c r="C990" s="54" t="s">
        <v>95</v>
      </c>
      <c r="D990" s="54" t="s">
        <v>96</v>
      </c>
      <c r="E990" s="54" t="s">
        <v>97</v>
      </c>
      <c r="F990" t="s">
        <v>35</v>
      </c>
      <c r="G990">
        <v>38340</v>
      </c>
      <c r="H990">
        <v>360</v>
      </c>
      <c r="I990" t="str">
        <f t="shared" si="45"/>
        <v>AAA BBB</v>
      </c>
      <c r="J990" t="str">
        <f t="shared" si="46"/>
        <v>XXX</v>
      </c>
      <c r="K990" t="str">
        <f t="shared" si="47"/>
        <v>ZZZ, TN, 38340</v>
      </c>
    </row>
    <row r="991" spans="1:11" x14ac:dyDescent="0.15">
      <c r="A991">
        <v>1018918</v>
      </c>
      <c r="B991" s="54" t="s">
        <v>94</v>
      </c>
      <c r="C991" s="54" t="s">
        <v>95</v>
      </c>
      <c r="D991" s="54" t="s">
        <v>96</v>
      </c>
      <c r="E991" s="54" t="s">
        <v>97</v>
      </c>
      <c r="F991" t="s">
        <v>35</v>
      </c>
      <c r="G991">
        <v>38340</v>
      </c>
      <c r="H991">
        <v>360</v>
      </c>
      <c r="I991" t="str">
        <f t="shared" si="45"/>
        <v>AAA BBB</v>
      </c>
      <c r="J991" t="str">
        <f t="shared" si="46"/>
        <v>XXX</v>
      </c>
      <c r="K991" t="str">
        <f t="shared" si="47"/>
        <v>ZZZ, TN, 38340</v>
      </c>
    </row>
    <row r="992" spans="1:11" x14ac:dyDescent="0.15">
      <c r="A992">
        <v>1018918</v>
      </c>
      <c r="B992" s="54" t="s">
        <v>94</v>
      </c>
      <c r="C992" s="54" t="s">
        <v>95</v>
      </c>
      <c r="D992" s="54" t="s">
        <v>96</v>
      </c>
      <c r="E992" s="54" t="s">
        <v>97</v>
      </c>
      <c r="F992" t="s">
        <v>35</v>
      </c>
      <c r="G992">
        <v>38340</v>
      </c>
      <c r="H992">
        <v>360</v>
      </c>
      <c r="I992" t="str">
        <f t="shared" si="45"/>
        <v>AAA BBB</v>
      </c>
      <c r="J992" t="str">
        <f t="shared" si="46"/>
        <v>XXX</v>
      </c>
      <c r="K992" t="str">
        <f t="shared" si="47"/>
        <v>ZZZ, TN, 38340</v>
      </c>
    </row>
    <row r="993" spans="1:11" x14ac:dyDescent="0.15">
      <c r="A993">
        <v>1018918</v>
      </c>
      <c r="B993" s="54" t="s">
        <v>94</v>
      </c>
      <c r="C993" s="54" t="s">
        <v>95</v>
      </c>
      <c r="D993" s="54" t="s">
        <v>96</v>
      </c>
      <c r="E993" s="54" t="s">
        <v>97</v>
      </c>
      <c r="F993" t="s">
        <v>35</v>
      </c>
      <c r="G993">
        <v>38340</v>
      </c>
      <c r="H993">
        <v>360</v>
      </c>
      <c r="I993" t="str">
        <f t="shared" si="45"/>
        <v>AAA BBB</v>
      </c>
      <c r="J993" t="str">
        <f t="shared" si="46"/>
        <v>XXX</v>
      </c>
      <c r="K993" t="str">
        <f t="shared" si="47"/>
        <v>ZZZ, TN, 38340</v>
      </c>
    </row>
    <row r="994" spans="1:11" x14ac:dyDescent="0.15">
      <c r="A994">
        <v>1018918</v>
      </c>
      <c r="B994" s="54" t="s">
        <v>94</v>
      </c>
      <c r="C994" s="54" t="s">
        <v>95</v>
      </c>
      <c r="D994" s="54" t="s">
        <v>96</v>
      </c>
      <c r="E994" s="54" t="s">
        <v>97</v>
      </c>
      <c r="F994" t="s">
        <v>35</v>
      </c>
      <c r="G994">
        <v>38340</v>
      </c>
      <c r="H994">
        <v>360</v>
      </c>
      <c r="I994" t="str">
        <f t="shared" si="45"/>
        <v>AAA BBB</v>
      </c>
      <c r="J994" t="str">
        <f t="shared" si="46"/>
        <v>XXX</v>
      </c>
      <c r="K994" t="str">
        <f t="shared" si="47"/>
        <v>ZZZ, TN, 38340</v>
      </c>
    </row>
    <row r="995" spans="1:11" x14ac:dyDescent="0.15">
      <c r="A995">
        <v>1018918</v>
      </c>
      <c r="B995" s="54" t="s">
        <v>94</v>
      </c>
      <c r="C995" s="54" t="s">
        <v>95</v>
      </c>
      <c r="D995" s="54" t="s">
        <v>96</v>
      </c>
      <c r="E995" s="54" t="s">
        <v>97</v>
      </c>
      <c r="F995" t="s">
        <v>35</v>
      </c>
      <c r="G995">
        <v>38340</v>
      </c>
      <c r="H995">
        <v>360</v>
      </c>
      <c r="I995" t="str">
        <f t="shared" si="45"/>
        <v>AAA BBB</v>
      </c>
      <c r="J995" t="str">
        <f t="shared" si="46"/>
        <v>XXX</v>
      </c>
      <c r="K995" t="str">
        <f t="shared" si="47"/>
        <v>ZZZ, TN, 38340</v>
      </c>
    </row>
    <row r="996" spans="1:11" x14ac:dyDescent="0.15">
      <c r="A996">
        <v>1018918</v>
      </c>
      <c r="B996" s="54" t="s">
        <v>94</v>
      </c>
      <c r="C996" s="54" t="s">
        <v>95</v>
      </c>
      <c r="D996" s="54" t="s">
        <v>96</v>
      </c>
      <c r="E996" s="54" t="s">
        <v>97</v>
      </c>
      <c r="F996" t="s">
        <v>35</v>
      </c>
      <c r="G996">
        <v>38340</v>
      </c>
      <c r="H996">
        <v>360</v>
      </c>
      <c r="I996" t="str">
        <f t="shared" si="45"/>
        <v>AAA BBB</v>
      </c>
      <c r="J996" t="str">
        <f t="shared" si="46"/>
        <v>XXX</v>
      </c>
      <c r="K996" t="str">
        <f t="shared" si="47"/>
        <v>ZZZ, TN, 38340</v>
      </c>
    </row>
    <row r="997" spans="1:11" x14ac:dyDescent="0.15">
      <c r="A997">
        <v>1018918</v>
      </c>
      <c r="B997" s="54" t="s">
        <v>94</v>
      </c>
      <c r="C997" s="54" t="s">
        <v>95</v>
      </c>
      <c r="D997" s="54" t="s">
        <v>96</v>
      </c>
      <c r="E997" s="54" t="s">
        <v>97</v>
      </c>
      <c r="F997" t="s">
        <v>35</v>
      </c>
      <c r="G997">
        <v>38340</v>
      </c>
      <c r="H997">
        <v>360</v>
      </c>
      <c r="I997" t="str">
        <f t="shared" si="45"/>
        <v>AAA BBB</v>
      </c>
      <c r="J997" t="str">
        <f t="shared" si="46"/>
        <v>XXX</v>
      </c>
      <c r="K997" t="str">
        <f t="shared" si="47"/>
        <v>ZZZ, TN, 38340</v>
      </c>
    </row>
    <row r="998" spans="1:11" x14ac:dyDescent="0.15">
      <c r="A998">
        <v>1018918</v>
      </c>
      <c r="B998" s="54" t="s">
        <v>94</v>
      </c>
      <c r="C998" s="54" t="s">
        <v>95</v>
      </c>
      <c r="D998" s="54" t="s">
        <v>96</v>
      </c>
      <c r="E998" s="54" t="s">
        <v>97</v>
      </c>
      <c r="F998" t="s">
        <v>35</v>
      </c>
      <c r="G998">
        <v>38340</v>
      </c>
      <c r="H998">
        <v>360</v>
      </c>
      <c r="I998" t="str">
        <f t="shared" si="45"/>
        <v>AAA BBB</v>
      </c>
      <c r="J998" t="str">
        <f t="shared" si="46"/>
        <v>XXX</v>
      </c>
      <c r="K998" t="str">
        <f t="shared" si="47"/>
        <v>ZZZ, TN, 38340</v>
      </c>
    </row>
    <row r="999" spans="1:11" x14ac:dyDescent="0.15">
      <c r="A999">
        <v>1018918</v>
      </c>
      <c r="B999" s="54" t="s">
        <v>94</v>
      </c>
      <c r="C999" s="54" t="s">
        <v>95</v>
      </c>
      <c r="D999" s="54" t="s">
        <v>96</v>
      </c>
      <c r="E999" s="54" t="s">
        <v>97</v>
      </c>
      <c r="F999" t="s">
        <v>35</v>
      </c>
      <c r="G999">
        <v>38340</v>
      </c>
      <c r="H999">
        <v>360</v>
      </c>
      <c r="I999" t="str">
        <f t="shared" si="45"/>
        <v>AAA BBB</v>
      </c>
      <c r="J999" t="str">
        <f t="shared" si="46"/>
        <v>XXX</v>
      </c>
      <c r="K999" t="str">
        <f t="shared" si="47"/>
        <v>ZZZ, TN, 38340</v>
      </c>
    </row>
    <row r="1000" spans="1:11" x14ac:dyDescent="0.15">
      <c r="A1000">
        <v>1018918</v>
      </c>
      <c r="B1000" s="54" t="s">
        <v>94</v>
      </c>
      <c r="C1000" s="54" t="s">
        <v>95</v>
      </c>
      <c r="D1000" s="54" t="s">
        <v>96</v>
      </c>
      <c r="E1000" s="54" t="s">
        <v>97</v>
      </c>
      <c r="F1000" t="s">
        <v>35</v>
      </c>
      <c r="G1000">
        <v>38340</v>
      </c>
      <c r="H1000">
        <v>360</v>
      </c>
      <c r="I1000" t="str">
        <f t="shared" si="45"/>
        <v>AAA BBB</v>
      </c>
      <c r="J1000" t="str">
        <f t="shared" si="46"/>
        <v>XXX</v>
      </c>
      <c r="K1000" t="str">
        <f t="shared" si="47"/>
        <v>ZZZ, TN, 38340</v>
      </c>
    </row>
    <row r="1001" spans="1:11" x14ac:dyDescent="0.15">
      <c r="A1001">
        <v>1018918</v>
      </c>
      <c r="B1001" s="54" t="s">
        <v>94</v>
      </c>
      <c r="C1001" s="54" t="s">
        <v>95</v>
      </c>
      <c r="D1001" s="54" t="s">
        <v>96</v>
      </c>
      <c r="E1001" s="54" t="s">
        <v>97</v>
      </c>
      <c r="F1001" t="s">
        <v>35</v>
      </c>
      <c r="G1001">
        <v>38340</v>
      </c>
      <c r="H1001">
        <v>360</v>
      </c>
      <c r="I1001" t="str">
        <f t="shared" si="45"/>
        <v>AAA BBB</v>
      </c>
      <c r="J1001" t="str">
        <f t="shared" si="46"/>
        <v>XXX</v>
      </c>
      <c r="K1001" t="str">
        <f t="shared" si="47"/>
        <v>ZZZ, TN, 38340</v>
      </c>
    </row>
    <row r="1002" spans="1:11" x14ac:dyDescent="0.15">
      <c r="A1002">
        <v>1018918</v>
      </c>
      <c r="B1002" s="54" t="s">
        <v>94</v>
      </c>
      <c r="C1002" s="54" t="s">
        <v>95</v>
      </c>
      <c r="D1002" s="54" t="s">
        <v>96</v>
      </c>
      <c r="E1002" s="54" t="s">
        <v>97</v>
      </c>
      <c r="F1002" t="s">
        <v>35</v>
      </c>
      <c r="G1002">
        <v>38340</v>
      </c>
      <c r="H1002">
        <v>360</v>
      </c>
      <c r="I1002" t="str">
        <f t="shared" si="45"/>
        <v>AAA BBB</v>
      </c>
      <c r="J1002" t="str">
        <f t="shared" si="46"/>
        <v>XXX</v>
      </c>
      <c r="K1002" t="str">
        <f t="shared" si="47"/>
        <v>ZZZ, TN, 38340</v>
      </c>
    </row>
    <row r="1003" spans="1:11" x14ac:dyDescent="0.15">
      <c r="A1003">
        <v>1018918</v>
      </c>
      <c r="B1003" s="54" t="s">
        <v>94</v>
      </c>
      <c r="C1003" s="54" t="s">
        <v>95</v>
      </c>
      <c r="D1003" s="54" t="s">
        <v>96</v>
      </c>
      <c r="E1003" s="54" t="s">
        <v>97</v>
      </c>
      <c r="F1003" t="s">
        <v>35</v>
      </c>
      <c r="G1003">
        <v>38340</v>
      </c>
      <c r="H1003">
        <v>360</v>
      </c>
      <c r="I1003" t="str">
        <f t="shared" si="45"/>
        <v>AAA BBB</v>
      </c>
      <c r="J1003" t="str">
        <f t="shared" si="46"/>
        <v>XXX</v>
      </c>
      <c r="K1003" t="str">
        <f t="shared" si="47"/>
        <v>ZZZ, TN, 38340</v>
      </c>
    </row>
    <row r="1004" spans="1:11" x14ac:dyDescent="0.15">
      <c r="A1004">
        <v>1018918</v>
      </c>
      <c r="B1004" s="54" t="s">
        <v>94</v>
      </c>
      <c r="C1004" s="54" t="s">
        <v>95</v>
      </c>
      <c r="D1004" s="54" t="s">
        <v>96</v>
      </c>
      <c r="E1004" s="54" t="s">
        <v>97</v>
      </c>
      <c r="F1004" t="s">
        <v>35</v>
      </c>
      <c r="G1004">
        <v>38340</v>
      </c>
      <c r="H1004">
        <v>360</v>
      </c>
      <c r="I1004" t="str">
        <f t="shared" si="45"/>
        <v>AAA BBB</v>
      </c>
      <c r="J1004" t="str">
        <f t="shared" si="46"/>
        <v>XXX</v>
      </c>
      <c r="K1004" t="str">
        <f t="shared" si="47"/>
        <v>ZZZ, TN, 38340</v>
      </c>
    </row>
    <row r="1005" spans="1:11" x14ac:dyDescent="0.15">
      <c r="A1005">
        <v>1018918</v>
      </c>
      <c r="B1005" s="54" t="s">
        <v>94</v>
      </c>
      <c r="C1005" s="54" t="s">
        <v>95</v>
      </c>
      <c r="D1005" s="54" t="s">
        <v>96</v>
      </c>
      <c r="E1005" s="54" t="s">
        <v>97</v>
      </c>
      <c r="F1005" t="s">
        <v>35</v>
      </c>
      <c r="G1005">
        <v>38340</v>
      </c>
      <c r="H1005">
        <v>360</v>
      </c>
      <c r="I1005" t="str">
        <f t="shared" si="45"/>
        <v>AAA BBB</v>
      </c>
      <c r="J1005" t="str">
        <f t="shared" si="46"/>
        <v>XXX</v>
      </c>
      <c r="K1005" t="str">
        <f t="shared" si="47"/>
        <v>ZZZ, TN, 38340</v>
      </c>
    </row>
    <row r="1006" spans="1:11" x14ac:dyDescent="0.15">
      <c r="A1006">
        <v>1018918</v>
      </c>
      <c r="B1006" s="54" t="s">
        <v>94</v>
      </c>
      <c r="C1006" s="54" t="s">
        <v>95</v>
      </c>
      <c r="D1006" s="54" t="s">
        <v>96</v>
      </c>
      <c r="E1006" s="54" t="s">
        <v>97</v>
      </c>
      <c r="F1006" t="s">
        <v>35</v>
      </c>
      <c r="G1006">
        <v>38340</v>
      </c>
      <c r="H1006">
        <v>360</v>
      </c>
      <c r="I1006" t="str">
        <f t="shared" si="45"/>
        <v>AAA BBB</v>
      </c>
      <c r="J1006" t="str">
        <f t="shared" si="46"/>
        <v>XXX</v>
      </c>
      <c r="K1006" t="str">
        <f t="shared" si="47"/>
        <v>ZZZ, TN, 38340</v>
      </c>
    </row>
    <row r="1007" spans="1:11" x14ac:dyDescent="0.15">
      <c r="A1007">
        <v>1018918</v>
      </c>
      <c r="B1007" s="54" t="s">
        <v>94</v>
      </c>
      <c r="C1007" s="54" t="s">
        <v>95</v>
      </c>
      <c r="D1007" s="54" t="s">
        <v>96</v>
      </c>
      <c r="E1007" s="54" t="s">
        <v>97</v>
      </c>
      <c r="F1007" t="s">
        <v>35</v>
      </c>
      <c r="G1007">
        <v>38340</v>
      </c>
      <c r="H1007">
        <v>360</v>
      </c>
      <c r="I1007" t="str">
        <f t="shared" si="45"/>
        <v>AAA BBB</v>
      </c>
      <c r="J1007" t="str">
        <f t="shared" si="46"/>
        <v>XXX</v>
      </c>
      <c r="K1007" t="str">
        <f t="shared" si="47"/>
        <v>ZZZ, TN, 38340</v>
      </c>
    </row>
    <row r="1008" spans="1:11" x14ac:dyDescent="0.15">
      <c r="A1008">
        <v>1018918</v>
      </c>
      <c r="B1008" s="54" t="s">
        <v>94</v>
      </c>
      <c r="C1008" s="54" t="s">
        <v>95</v>
      </c>
      <c r="D1008" s="54" t="s">
        <v>96</v>
      </c>
      <c r="E1008" s="54" t="s">
        <v>97</v>
      </c>
      <c r="F1008" t="s">
        <v>35</v>
      </c>
      <c r="G1008">
        <v>38340</v>
      </c>
      <c r="H1008">
        <v>360</v>
      </c>
      <c r="I1008" t="str">
        <f t="shared" si="45"/>
        <v>AAA BBB</v>
      </c>
      <c r="J1008" t="str">
        <f t="shared" si="46"/>
        <v>XXX</v>
      </c>
      <c r="K1008" t="str">
        <f t="shared" si="47"/>
        <v>ZZZ, TN, 38340</v>
      </c>
    </row>
    <row r="1009" spans="1:11" x14ac:dyDescent="0.15">
      <c r="A1009">
        <v>1018918</v>
      </c>
      <c r="B1009" s="54" t="s">
        <v>94</v>
      </c>
      <c r="C1009" s="54" t="s">
        <v>95</v>
      </c>
      <c r="D1009" s="54" t="s">
        <v>96</v>
      </c>
      <c r="E1009" s="54" t="s">
        <v>97</v>
      </c>
      <c r="F1009" t="s">
        <v>35</v>
      </c>
      <c r="G1009">
        <v>38340</v>
      </c>
      <c r="H1009">
        <v>360</v>
      </c>
      <c r="I1009" t="str">
        <f t="shared" si="45"/>
        <v>AAA BBB</v>
      </c>
      <c r="J1009" t="str">
        <f t="shared" si="46"/>
        <v>XXX</v>
      </c>
      <c r="K1009" t="str">
        <f t="shared" si="47"/>
        <v>ZZZ, TN, 38340</v>
      </c>
    </row>
    <row r="1010" spans="1:11" x14ac:dyDescent="0.15">
      <c r="A1010">
        <v>1018918</v>
      </c>
      <c r="B1010" s="54" t="s">
        <v>94</v>
      </c>
      <c r="C1010" s="54" t="s">
        <v>95</v>
      </c>
      <c r="D1010" s="54" t="s">
        <v>96</v>
      </c>
      <c r="E1010" s="54" t="s">
        <v>97</v>
      </c>
      <c r="F1010" t="s">
        <v>35</v>
      </c>
      <c r="G1010">
        <v>38340</v>
      </c>
      <c r="H1010">
        <v>360</v>
      </c>
      <c r="I1010" t="str">
        <f t="shared" si="45"/>
        <v>AAA BBB</v>
      </c>
      <c r="J1010" t="str">
        <f t="shared" si="46"/>
        <v>XXX</v>
      </c>
      <c r="K1010" t="str">
        <f t="shared" si="47"/>
        <v>ZZZ, TN, 38340</v>
      </c>
    </row>
    <row r="1011" spans="1:11" x14ac:dyDescent="0.15">
      <c r="A1011">
        <v>1018918</v>
      </c>
      <c r="B1011" s="54" t="s">
        <v>94</v>
      </c>
      <c r="C1011" s="54" t="s">
        <v>95</v>
      </c>
      <c r="D1011" s="54" t="s">
        <v>96</v>
      </c>
      <c r="E1011" s="54" t="s">
        <v>97</v>
      </c>
      <c r="F1011" t="s">
        <v>35</v>
      </c>
      <c r="G1011">
        <v>38340</v>
      </c>
      <c r="H1011">
        <v>360</v>
      </c>
      <c r="I1011" t="str">
        <f t="shared" si="45"/>
        <v>AAA BBB</v>
      </c>
      <c r="J1011" t="str">
        <f t="shared" si="46"/>
        <v>XXX</v>
      </c>
      <c r="K1011" t="str">
        <f t="shared" si="47"/>
        <v>ZZZ, TN, 38340</v>
      </c>
    </row>
    <row r="1012" spans="1:11" x14ac:dyDescent="0.15">
      <c r="A1012">
        <v>1018918</v>
      </c>
      <c r="B1012" s="54" t="s">
        <v>94</v>
      </c>
      <c r="C1012" s="54" t="s">
        <v>95</v>
      </c>
      <c r="D1012" s="54" t="s">
        <v>96</v>
      </c>
      <c r="E1012" s="54" t="s">
        <v>97</v>
      </c>
      <c r="F1012" t="s">
        <v>35</v>
      </c>
      <c r="G1012">
        <v>38340</v>
      </c>
      <c r="H1012">
        <v>360</v>
      </c>
      <c r="I1012" t="str">
        <f t="shared" si="45"/>
        <v>AAA BBB</v>
      </c>
      <c r="J1012" t="str">
        <f t="shared" si="46"/>
        <v>XXX</v>
      </c>
      <c r="K1012" t="str">
        <f t="shared" si="47"/>
        <v>ZZZ, TN, 38340</v>
      </c>
    </row>
    <row r="1013" spans="1:11" x14ac:dyDescent="0.15">
      <c r="A1013">
        <v>1018918</v>
      </c>
      <c r="B1013" s="54" t="s">
        <v>94</v>
      </c>
      <c r="C1013" s="54" t="s">
        <v>95</v>
      </c>
      <c r="D1013" s="54" t="s">
        <v>96</v>
      </c>
      <c r="E1013" s="54" t="s">
        <v>97</v>
      </c>
      <c r="F1013" t="s">
        <v>35</v>
      </c>
      <c r="G1013">
        <v>38340</v>
      </c>
      <c r="H1013">
        <v>360</v>
      </c>
      <c r="I1013" t="str">
        <f t="shared" si="45"/>
        <v>AAA BBB</v>
      </c>
      <c r="J1013" t="str">
        <f t="shared" si="46"/>
        <v>XXX</v>
      </c>
      <c r="K1013" t="str">
        <f t="shared" si="47"/>
        <v>ZZZ, TN, 38340</v>
      </c>
    </row>
    <row r="1014" spans="1:11" x14ac:dyDescent="0.15">
      <c r="A1014">
        <v>1018918</v>
      </c>
      <c r="B1014" s="54" t="s">
        <v>94</v>
      </c>
      <c r="C1014" s="54" t="s">
        <v>95</v>
      </c>
      <c r="D1014" s="54" t="s">
        <v>96</v>
      </c>
      <c r="E1014" s="54" t="s">
        <v>97</v>
      </c>
      <c r="F1014" t="s">
        <v>35</v>
      </c>
      <c r="G1014">
        <v>38340</v>
      </c>
      <c r="H1014">
        <v>360</v>
      </c>
      <c r="I1014" t="str">
        <f t="shared" si="45"/>
        <v>AAA BBB</v>
      </c>
      <c r="J1014" t="str">
        <f t="shared" si="46"/>
        <v>XXX</v>
      </c>
      <c r="K1014" t="str">
        <f t="shared" si="47"/>
        <v>ZZZ, TN, 38340</v>
      </c>
    </row>
    <row r="1015" spans="1:11" x14ac:dyDescent="0.15">
      <c r="A1015">
        <v>1018918</v>
      </c>
      <c r="B1015" s="54" t="s">
        <v>94</v>
      </c>
      <c r="C1015" s="54" t="s">
        <v>95</v>
      </c>
      <c r="D1015" s="54" t="s">
        <v>96</v>
      </c>
      <c r="E1015" s="54" t="s">
        <v>97</v>
      </c>
      <c r="F1015" t="s">
        <v>35</v>
      </c>
      <c r="G1015">
        <v>38340</v>
      </c>
      <c r="H1015">
        <v>360</v>
      </c>
      <c r="I1015" t="str">
        <f t="shared" si="45"/>
        <v>AAA BBB</v>
      </c>
      <c r="J1015" t="str">
        <f t="shared" si="46"/>
        <v>XXX</v>
      </c>
      <c r="K1015" t="str">
        <f t="shared" si="47"/>
        <v>ZZZ, TN, 38340</v>
      </c>
    </row>
    <row r="1016" spans="1:11" x14ac:dyDescent="0.15">
      <c r="A1016">
        <v>1018918</v>
      </c>
      <c r="B1016" s="54" t="s">
        <v>94</v>
      </c>
      <c r="C1016" s="54" t="s">
        <v>95</v>
      </c>
      <c r="D1016" s="54" t="s">
        <v>96</v>
      </c>
      <c r="E1016" s="54" t="s">
        <v>97</v>
      </c>
      <c r="F1016" t="s">
        <v>35</v>
      </c>
      <c r="G1016">
        <v>38340</v>
      </c>
      <c r="H1016">
        <v>360</v>
      </c>
      <c r="I1016" t="str">
        <f t="shared" si="45"/>
        <v>AAA BBB</v>
      </c>
      <c r="J1016" t="str">
        <f t="shared" si="46"/>
        <v>XXX</v>
      </c>
      <c r="K1016" t="str">
        <f t="shared" si="47"/>
        <v>ZZZ, TN, 38340</v>
      </c>
    </row>
    <row r="1017" spans="1:11" x14ac:dyDescent="0.15">
      <c r="A1017">
        <v>1018918</v>
      </c>
      <c r="B1017" s="54" t="s">
        <v>94</v>
      </c>
      <c r="C1017" s="54" t="s">
        <v>95</v>
      </c>
      <c r="D1017" s="54" t="s">
        <v>96</v>
      </c>
      <c r="E1017" s="54" t="s">
        <v>97</v>
      </c>
      <c r="F1017" t="s">
        <v>35</v>
      </c>
      <c r="G1017">
        <v>38340</v>
      </c>
      <c r="H1017">
        <v>360</v>
      </c>
      <c r="I1017" t="str">
        <f t="shared" si="45"/>
        <v>AAA BBB</v>
      </c>
      <c r="J1017" t="str">
        <f t="shared" si="46"/>
        <v>XXX</v>
      </c>
      <c r="K1017" t="str">
        <f t="shared" si="47"/>
        <v>ZZZ, TN, 38340</v>
      </c>
    </row>
    <row r="1018" spans="1:11" x14ac:dyDescent="0.15">
      <c r="A1018">
        <v>1018918</v>
      </c>
      <c r="B1018" s="54" t="s">
        <v>94</v>
      </c>
      <c r="C1018" s="54" t="s">
        <v>95</v>
      </c>
      <c r="D1018" s="54" t="s">
        <v>96</v>
      </c>
      <c r="E1018" s="54" t="s">
        <v>97</v>
      </c>
      <c r="F1018" t="s">
        <v>35</v>
      </c>
      <c r="G1018">
        <v>38340</v>
      </c>
      <c r="H1018">
        <v>360</v>
      </c>
      <c r="I1018" t="str">
        <f t="shared" si="45"/>
        <v>AAA BBB</v>
      </c>
      <c r="J1018" t="str">
        <f t="shared" si="46"/>
        <v>XXX</v>
      </c>
      <c r="K1018" t="str">
        <f t="shared" si="47"/>
        <v>ZZZ, TN, 38340</v>
      </c>
    </row>
    <row r="1019" spans="1:11" x14ac:dyDescent="0.15">
      <c r="A1019">
        <v>1018918</v>
      </c>
      <c r="B1019" s="54" t="s">
        <v>94</v>
      </c>
      <c r="C1019" s="54" t="s">
        <v>95</v>
      </c>
      <c r="D1019" s="54" t="s">
        <v>96</v>
      </c>
      <c r="E1019" s="54" t="s">
        <v>97</v>
      </c>
      <c r="F1019" t="s">
        <v>35</v>
      </c>
      <c r="G1019">
        <v>38340</v>
      </c>
      <c r="H1019">
        <v>360</v>
      </c>
      <c r="I1019" t="str">
        <f t="shared" si="45"/>
        <v>AAA BBB</v>
      </c>
      <c r="J1019" t="str">
        <f t="shared" si="46"/>
        <v>XXX</v>
      </c>
      <c r="K1019" t="str">
        <f t="shared" si="47"/>
        <v>ZZZ, TN, 38340</v>
      </c>
    </row>
    <row r="1020" spans="1:11" x14ac:dyDescent="0.15">
      <c r="A1020">
        <v>1018918</v>
      </c>
      <c r="B1020" s="54" t="s">
        <v>94</v>
      </c>
      <c r="C1020" s="54" t="s">
        <v>95</v>
      </c>
      <c r="D1020" s="54" t="s">
        <v>96</v>
      </c>
      <c r="E1020" s="54" t="s">
        <v>97</v>
      </c>
      <c r="F1020" t="s">
        <v>35</v>
      </c>
      <c r="G1020">
        <v>38340</v>
      </c>
      <c r="H1020">
        <v>360</v>
      </c>
      <c r="I1020" t="str">
        <f t="shared" si="45"/>
        <v>AAA BBB</v>
      </c>
      <c r="J1020" t="str">
        <f t="shared" si="46"/>
        <v>XXX</v>
      </c>
      <c r="K1020" t="str">
        <f t="shared" si="47"/>
        <v>ZZZ, TN, 38340</v>
      </c>
    </row>
    <row r="1021" spans="1:11" x14ac:dyDescent="0.15">
      <c r="A1021">
        <v>1018918</v>
      </c>
      <c r="B1021" s="54" t="s">
        <v>94</v>
      </c>
      <c r="C1021" s="54" t="s">
        <v>95</v>
      </c>
      <c r="D1021" s="54" t="s">
        <v>96</v>
      </c>
      <c r="E1021" s="54" t="s">
        <v>97</v>
      </c>
      <c r="F1021" t="s">
        <v>35</v>
      </c>
      <c r="G1021">
        <v>38340</v>
      </c>
      <c r="H1021">
        <v>360</v>
      </c>
      <c r="I1021" t="str">
        <f t="shared" si="45"/>
        <v>AAA BBB</v>
      </c>
      <c r="J1021" t="str">
        <f t="shared" si="46"/>
        <v>XXX</v>
      </c>
      <c r="K1021" t="str">
        <f t="shared" si="47"/>
        <v>ZZZ, TN, 38340</v>
      </c>
    </row>
    <row r="1022" spans="1:11" x14ac:dyDescent="0.15">
      <c r="A1022">
        <v>1018918</v>
      </c>
      <c r="B1022" s="54" t="s">
        <v>94</v>
      </c>
      <c r="C1022" s="54" t="s">
        <v>95</v>
      </c>
      <c r="D1022" s="54" t="s">
        <v>96</v>
      </c>
      <c r="E1022" s="54" t="s">
        <v>97</v>
      </c>
      <c r="F1022" t="s">
        <v>35</v>
      </c>
      <c r="G1022">
        <v>38340</v>
      </c>
      <c r="H1022">
        <v>360</v>
      </c>
      <c r="I1022" t="str">
        <f t="shared" si="45"/>
        <v>AAA BBB</v>
      </c>
      <c r="J1022" t="str">
        <f t="shared" si="46"/>
        <v>XXX</v>
      </c>
      <c r="K1022" t="str">
        <f t="shared" si="47"/>
        <v>ZZZ, TN, 38340</v>
      </c>
    </row>
    <row r="1023" spans="1:11" x14ac:dyDescent="0.15">
      <c r="A1023">
        <v>1018918</v>
      </c>
      <c r="B1023" s="54" t="s">
        <v>94</v>
      </c>
      <c r="C1023" s="54" t="s">
        <v>95</v>
      </c>
      <c r="D1023" s="54" t="s">
        <v>96</v>
      </c>
      <c r="E1023" s="54" t="s">
        <v>97</v>
      </c>
      <c r="F1023" t="s">
        <v>35</v>
      </c>
      <c r="G1023">
        <v>38340</v>
      </c>
      <c r="H1023">
        <v>360</v>
      </c>
      <c r="I1023" t="str">
        <f t="shared" si="45"/>
        <v>AAA BBB</v>
      </c>
      <c r="J1023" t="str">
        <f t="shared" si="46"/>
        <v>XXX</v>
      </c>
      <c r="K1023" t="str">
        <f t="shared" si="47"/>
        <v>ZZZ, TN, 38340</v>
      </c>
    </row>
    <row r="1024" spans="1:11" x14ac:dyDescent="0.15">
      <c r="A1024">
        <v>1018918</v>
      </c>
      <c r="B1024" s="54" t="s">
        <v>94</v>
      </c>
      <c r="C1024" s="54" t="s">
        <v>95</v>
      </c>
      <c r="D1024" s="54" t="s">
        <v>96</v>
      </c>
      <c r="E1024" s="54" t="s">
        <v>97</v>
      </c>
      <c r="F1024" t="s">
        <v>35</v>
      </c>
      <c r="G1024">
        <v>38340</v>
      </c>
      <c r="H1024">
        <v>360</v>
      </c>
      <c r="I1024" t="str">
        <f t="shared" si="45"/>
        <v>AAA BBB</v>
      </c>
      <c r="J1024" t="str">
        <f t="shared" si="46"/>
        <v>XXX</v>
      </c>
      <c r="K1024" t="str">
        <f t="shared" si="47"/>
        <v>ZZZ, TN, 38340</v>
      </c>
    </row>
    <row r="1025" spans="1:11" x14ac:dyDescent="0.15">
      <c r="A1025">
        <v>1018918</v>
      </c>
      <c r="B1025" s="54" t="s">
        <v>94</v>
      </c>
      <c r="C1025" s="54" t="s">
        <v>95</v>
      </c>
      <c r="D1025" s="54" t="s">
        <v>96</v>
      </c>
      <c r="E1025" s="54" t="s">
        <v>97</v>
      </c>
      <c r="F1025" t="s">
        <v>35</v>
      </c>
      <c r="G1025">
        <v>38340</v>
      </c>
      <c r="H1025">
        <v>360</v>
      </c>
      <c r="I1025" t="str">
        <f t="shared" si="45"/>
        <v>AAA BBB</v>
      </c>
      <c r="J1025" t="str">
        <f t="shared" si="46"/>
        <v>XXX</v>
      </c>
      <c r="K1025" t="str">
        <f t="shared" si="47"/>
        <v>ZZZ, TN, 38340</v>
      </c>
    </row>
    <row r="1026" spans="1:11" x14ac:dyDescent="0.15">
      <c r="A1026">
        <v>1018918</v>
      </c>
      <c r="B1026" s="54" t="s">
        <v>94</v>
      </c>
      <c r="C1026" s="54" t="s">
        <v>95</v>
      </c>
      <c r="D1026" s="54" t="s">
        <v>96</v>
      </c>
      <c r="E1026" s="54" t="s">
        <v>97</v>
      </c>
      <c r="F1026" t="s">
        <v>35</v>
      </c>
      <c r="G1026">
        <v>38340</v>
      </c>
      <c r="H1026">
        <v>360</v>
      </c>
      <c r="I1026" t="str">
        <f t="shared" si="45"/>
        <v>AAA BBB</v>
      </c>
      <c r="J1026" t="str">
        <f t="shared" si="46"/>
        <v>XXX</v>
      </c>
      <c r="K1026" t="str">
        <f t="shared" si="47"/>
        <v>ZZZ, TN, 38340</v>
      </c>
    </row>
    <row r="1027" spans="1:11" x14ac:dyDescent="0.15">
      <c r="A1027">
        <v>1018918</v>
      </c>
      <c r="B1027" s="54" t="s">
        <v>94</v>
      </c>
      <c r="C1027" s="54" t="s">
        <v>95</v>
      </c>
      <c r="D1027" s="54" t="s">
        <v>96</v>
      </c>
      <c r="E1027" s="54" t="s">
        <v>97</v>
      </c>
      <c r="F1027" t="s">
        <v>35</v>
      </c>
      <c r="G1027">
        <v>38340</v>
      </c>
      <c r="H1027">
        <v>360</v>
      </c>
      <c r="I1027" t="str">
        <f t="shared" ref="I1027:I1090" si="48">CONCATENATE(B1027," ",C1027)</f>
        <v>AAA BBB</v>
      </c>
      <c r="J1027" t="str">
        <f t="shared" ref="J1027:J1090" si="49">D1027</f>
        <v>XXX</v>
      </c>
      <c r="K1027" t="str">
        <f t="shared" ref="K1027:K1090" si="50">CONCATENATE(E1027,","," ",F1027,","," ",G1027)</f>
        <v>ZZZ, TN, 38340</v>
      </c>
    </row>
    <row r="1028" spans="1:11" x14ac:dyDescent="0.15">
      <c r="A1028">
        <v>1018918</v>
      </c>
      <c r="B1028" s="54" t="s">
        <v>94</v>
      </c>
      <c r="C1028" s="54" t="s">
        <v>95</v>
      </c>
      <c r="D1028" s="54" t="s">
        <v>96</v>
      </c>
      <c r="E1028" s="54" t="s">
        <v>97</v>
      </c>
      <c r="F1028" t="s">
        <v>35</v>
      </c>
      <c r="G1028">
        <v>38340</v>
      </c>
      <c r="H1028">
        <v>360</v>
      </c>
      <c r="I1028" t="str">
        <f t="shared" si="48"/>
        <v>AAA BBB</v>
      </c>
      <c r="J1028" t="str">
        <f t="shared" si="49"/>
        <v>XXX</v>
      </c>
      <c r="K1028" t="str">
        <f t="shared" si="50"/>
        <v>ZZZ, TN, 38340</v>
      </c>
    </row>
    <row r="1029" spans="1:11" x14ac:dyDescent="0.15">
      <c r="A1029">
        <v>1018918</v>
      </c>
      <c r="B1029" s="54" t="s">
        <v>94</v>
      </c>
      <c r="C1029" s="54" t="s">
        <v>95</v>
      </c>
      <c r="D1029" s="54" t="s">
        <v>96</v>
      </c>
      <c r="E1029" s="54" t="s">
        <v>97</v>
      </c>
      <c r="F1029" t="s">
        <v>35</v>
      </c>
      <c r="G1029">
        <v>38340</v>
      </c>
      <c r="H1029">
        <v>360</v>
      </c>
      <c r="I1029" t="str">
        <f t="shared" si="48"/>
        <v>AAA BBB</v>
      </c>
      <c r="J1029" t="str">
        <f t="shared" si="49"/>
        <v>XXX</v>
      </c>
      <c r="K1029" t="str">
        <f t="shared" si="50"/>
        <v>ZZZ, TN, 38340</v>
      </c>
    </row>
    <row r="1030" spans="1:11" x14ac:dyDescent="0.15">
      <c r="A1030">
        <v>1018918</v>
      </c>
      <c r="B1030" s="54" t="s">
        <v>94</v>
      </c>
      <c r="C1030" s="54" t="s">
        <v>95</v>
      </c>
      <c r="D1030" s="54" t="s">
        <v>96</v>
      </c>
      <c r="E1030" s="54" t="s">
        <v>97</v>
      </c>
      <c r="F1030" t="s">
        <v>35</v>
      </c>
      <c r="G1030">
        <v>38340</v>
      </c>
      <c r="H1030">
        <v>360</v>
      </c>
      <c r="I1030" t="str">
        <f t="shared" si="48"/>
        <v>AAA BBB</v>
      </c>
      <c r="J1030" t="str">
        <f t="shared" si="49"/>
        <v>XXX</v>
      </c>
      <c r="K1030" t="str">
        <f t="shared" si="50"/>
        <v>ZZZ, TN, 38340</v>
      </c>
    </row>
    <row r="1031" spans="1:11" x14ac:dyDescent="0.15">
      <c r="A1031">
        <v>1018918</v>
      </c>
      <c r="B1031" s="54" t="s">
        <v>94</v>
      </c>
      <c r="C1031" s="54" t="s">
        <v>95</v>
      </c>
      <c r="D1031" s="54" t="s">
        <v>96</v>
      </c>
      <c r="E1031" s="54" t="s">
        <v>97</v>
      </c>
      <c r="F1031" t="s">
        <v>35</v>
      </c>
      <c r="G1031">
        <v>38340</v>
      </c>
      <c r="H1031">
        <v>360</v>
      </c>
      <c r="I1031" t="str">
        <f t="shared" si="48"/>
        <v>AAA BBB</v>
      </c>
      <c r="J1031" t="str">
        <f t="shared" si="49"/>
        <v>XXX</v>
      </c>
      <c r="K1031" t="str">
        <f t="shared" si="50"/>
        <v>ZZZ, TN, 38340</v>
      </c>
    </row>
    <row r="1032" spans="1:11" x14ac:dyDescent="0.15">
      <c r="A1032">
        <v>1018918</v>
      </c>
      <c r="B1032" s="54" t="s">
        <v>94</v>
      </c>
      <c r="C1032" s="54" t="s">
        <v>95</v>
      </c>
      <c r="D1032" s="54" t="s">
        <v>96</v>
      </c>
      <c r="E1032" s="54" t="s">
        <v>97</v>
      </c>
      <c r="F1032" t="s">
        <v>35</v>
      </c>
      <c r="G1032">
        <v>38340</v>
      </c>
      <c r="H1032">
        <v>360</v>
      </c>
      <c r="I1032" t="str">
        <f t="shared" si="48"/>
        <v>AAA BBB</v>
      </c>
      <c r="J1032" t="str">
        <f t="shared" si="49"/>
        <v>XXX</v>
      </c>
      <c r="K1032" t="str">
        <f t="shared" si="50"/>
        <v>ZZZ, TN, 38340</v>
      </c>
    </row>
    <row r="1033" spans="1:11" x14ac:dyDescent="0.15">
      <c r="A1033">
        <v>1018918</v>
      </c>
      <c r="B1033" s="54" t="s">
        <v>94</v>
      </c>
      <c r="C1033" s="54" t="s">
        <v>95</v>
      </c>
      <c r="D1033" s="54" t="s">
        <v>96</v>
      </c>
      <c r="E1033" s="54" t="s">
        <v>97</v>
      </c>
      <c r="F1033" t="s">
        <v>35</v>
      </c>
      <c r="G1033">
        <v>38340</v>
      </c>
      <c r="H1033">
        <v>360</v>
      </c>
      <c r="I1033" t="str">
        <f t="shared" si="48"/>
        <v>AAA BBB</v>
      </c>
      <c r="J1033" t="str">
        <f t="shared" si="49"/>
        <v>XXX</v>
      </c>
      <c r="K1033" t="str">
        <f t="shared" si="50"/>
        <v>ZZZ, TN, 38340</v>
      </c>
    </row>
    <row r="1034" spans="1:11" x14ac:dyDescent="0.15">
      <c r="A1034">
        <v>1018918</v>
      </c>
      <c r="B1034" s="54" t="s">
        <v>94</v>
      </c>
      <c r="C1034" s="54" t="s">
        <v>95</v>
      </c>
      <c r="D1034" s="54" t="s">
        <v>96</v>
      </c>
      <c r="E1034" s="54" t="s">
        <v>97</v>
      </c>
      <c r="F1034" t="s">
        <v>35</v>
      </c>
      <c r="G1034">
        <v>38340</v>
      </c>
      <c r="H1034">
        <v>360</v>
      </c>
      <c r="I1034" t="str">
        <f t="shared" si="48"/>
        <v>AAA BBB</v>
      </c>
      <c r="J1034" t="str">
        <f t="shared" si="49"/>
        <v>XXX</v>
      </c>
      <c r="K1034" t="str">
        <f t="shared" si="50"/>
        <v>ZZZ, TN, 38340</v>
      </c>
    </row>
    <row r="1035" spans="1:11" x14ac:dyDescent="0.15">
      <c r="A1035">
        <v>1018918</v>
      </c>
      <c r="B1035" s="54" t="s">
        <v>94</v>
      </c>
      <c r="C1035" s="54" t="s">
        <v>95</v>
      </c>
      <c r="D1035" s="54" t="s">
        <v>96</v>
      </c>
      <c r="E1035" s="54" t="s">
        <v>97</v>
      </c>
      <c r="F1035" t="s">
        <v>35</v>
      </c>
      <c r="G1035">
        <v>38340</v>
      </c>
      <c r="H1035">
        <v>360</v>
      </c>
      <c r="I1035" t="str">
        <f t="shared" si="48"/>
        <v>AAA BBB</v>
      </c>
      <c r="J1035" t="str">
        <f t="shared" si="49"/>
        <v>XXX</v>
      </c>
      <c r="K1035" t="str">
        <f t="shared" si="50"/>
        <v>ZZZ, TN, 38340</v>
      </c>
    </row>
    <row r="1036" spans="1:11" x14ac:dyDescent="0.15">
      <c r="A1036">
        <v>1018918</v>
      </c>
      <c r="B1036" s="54" t="s">
        <v>94</v>
      </c>
      <c r="C1036" s="54" t="s">
        <v>95</v>
      </c>
      <c r="D1036" s="54" t="s">
        <v>96</v>
      </c>
      <c r="E1036" s="54" t="s">
        <v>97</v>
      </c>
      <c r="F1036" t="s">
        <v>35</v>
      </c>
      <c r="G1036">
        <v>38340</v>
      </c>
      <c r="H1036">
        <v>360</v>
      </c>
      <c r="I1036" t="str">
        <f t="shared" si="48"/>
        <v>AAA BBB</v>
      </c>
      <c r="J1036" t="str">
        <f t="shared" si="49"/>
        <v>XXX</v>
      </c>
      <c r="K1036" t="str">
        <f t="shared" si="50"/>
        <v>ZZZ, TN, 38340</v>
      </c>
    </row>
    <row r="1037" spans="1:11" x14ac:dyDescent="0.15">
      <c r="A1037">
        <v>1018918</v>
      </c>
      <c r="B1037" s="54" t="s">
        <v>94</v>
      </c>
      <c r="C1037" s="54" t="s">
        <v>95</v>
      </c>
      <c r="D1037" s="54" t="s">
        <v>96</v>
      </c>
      <c r="E1037" s="54" t="s">
        <v>97</v>
      </c>
      <c r="F1037" t="s">
        <v>35</v>
      </c>
      <c r="G1037">
        <v>38340</v>
      </c>
      <c r="H1037">
        <v>360</v>
      </c>
      <c r="I1037" t="str">
        <f t="shared" si="48"/>
        <v>AAA BBB</v>
      </c>
      <c r="J1037" t="str">
        <f t="shared" si="49"/>
        <v>XXX</v>
      </c>
      <c r="K1037" t="str">
        <f t="shared" si="50"/>
        <v>ZZZ, TN, 38340</v>
      </c>
    </row>
    <row r="1038" spans="1:11" x14ac:dyDescent="0.15">
      <c r="A1038">
        <v>1018918</v>
      </c>
      <c r="B1038" s="54" t="s">
        <v>94</v>
      </c>
      <c r="C1038" s="54" t="s">
        <v>95</v>
      </c>
      <c r="D1038" s="54" t="s">
        <v>96</v>
      </c>
      <c r="E1038" s="54" t="s">
        <v>97</v>
      </c>
      <c r="F1038" t="s">
        <v>35</v>
      </c>
      <c r="G1038">
        <v>38340</v>
      </c>
      <c r="H1038">
        <v>360</v>
      </c>
      <c r="I1038" t="str">
        <f t="shared" si="48"/>
        <v>AAA BBB</v>
      </c>
      <c r="J1038" t="str">
        <f t="shared" si="49"/>
        <v>XXX</v>
      </c>
      <c r="K1038" t="str">
        <f t="shared" si="50"/>
        <v>ZZZ, TN, 38340</v>
      </c>
    </row>
    <row r="1039" spans="1:11" x14ac:dyDescent="0.15">
      <c r="A1039">
        <v>1018918</v>
      </c>
      <c r="B1039" s="54" t="s">
        <v>94</v>
      </c>
      <c r="C1039" s="54" t="s">
        <v>95</v>
      </c>
      <c r="D1039" s="54" t="s">
        <v>96</v>
      </c>
      <c r="E1039" s="54" t="s">
        <v>97</v>
      </c>
      <c r="F1039" t="s">
        <v>35</v>
      </c>
      <c r="G1039">
        <v>38340</v>
      </c>
      <c r="H1039">
        <v>360</v>
      </c>
      <c r="I1039" t="str">
        <f t="shared" si="48"/>
        <v>AAA BBB</v>
      </c>
      <c r="J1039" t="str">
        <f t="shared" si="49"/>
        <v>XXX</v>
      </c>
      <c r="K1039" t="str">
        <f t="shared" si="50"/>
        <v>ZZZ, TN, 38340</v>
      </c>
    </row>
    <row r="1040" spans="1:11" x14ac:dyDescent="0.15">
      <c r="A1040">
        <v>1018918</v>
      </c>
      <c r="B1040" s="54" t="s">
        <v>94</v>
      </c>
      <c r="C1040" s="54" t="s">
        <v>95</v>
      </c>
      <c r="D1040" s="54" t="s">
        <v>96</v>
      </c>
      <c r="E1040" s="54" t="s">
        <v>97</v>
      </c>
      <c r="F1040" t="s">
        <v>35</v>
      </c>
      <c r="G1040">
        <v>38340</v>
      </c>
      <c r="H1040">
        <v>360</v>
      </c>
      <c r="I1040" t="str">
        <f t="shared" si="48"/>
        <v>AAA BBB</v>
      </c>
      <c r="J1040" t="str">
        <f t="shared" si="49"/>
        <v>XXX</v>
      </c>
      <c r="K1040" t="str">
        <f t="shared" si="50"/>
        <v>ZZZ, TN, 38340</v>
      </c>
    </row>
    <row r="1041" spans="1:11" x14ac:dyDescent="0.15">
      <c r="A1041">
        <v>1018918</v>
      </c>
      <c r="B1041" s="54" t="s">
        <v>94</v>
      </c>
      <c r="C1041" s="54" t="s">
        <v>95</v>
      </c>
      <c r="D1041" s="54" t="s">
        <v>96</v>
      </c>
      <c r="E1041" s="54" t="s">
        <v>97</v>
      </c>
      <c r="F1041" t="s">
        <v>35</v>
      </c>
      <c r="G1041">
        <v>38340</v>
      </c>
      <c r="H1041">
        <v>360</v>
      </c>
      <c r="I1041" t="str">
        <f t="shared" si="48"/>
        <v>AAA BBB</v>
      </c>
      <c r="J1041" t="str">
        <f t="shared" si="49"/>
        <v>XXX</v>
      </c>
      <c r="K1041" t="str">
        <f t="shared" si="50"/>
        <v>ZZZ, TN, 38340</v>
      </c>
    </row>
    <row r="1042" spans="1:11" x14ac:dyDescent="0.15">
      <c r="A1042">
        <v>1018918</v>
      </c>
      <c r="B1042" s="54" t="s">
        <v>94</v>
      </c>
      <c r="C1042" s="54" t="s">
        <v>95</v>
      </c>
      <c r="D1042" s="54" t="s">
        <v>96</v>
      </c>
      <c r="E1042" s="54" t="s">
        <v>97</v>
      </c>
      <c r="F1042" t="s">
        <v>35</v>
      </c>
      <c r="G1042">
        <v>38340</v>
      </c>
      <c r="H1042">
        <v>360</v>
      </c>
      <c r="I1042" t="str">
        <f t="shared" si="48"/>
        <v>AAA BBB</v>
      </c>
      <c r="J1042" t="str">
        <f t="shared" si="49"/>
        <v>XXX</v>
      </c>
      <c r="K1042" t="str">
        <f t="shared" si="50"/>
        <v>ZZZ, TN, 38340</v>
      </c>
    </row>
    <row r="1043" spans="1:11" x14ac:dyDescent="0.15">
      <c r="A1043">
        <v>1018918</v>
      </c>
      <c r="B1043" s="54" t="s">
        <v>94</v>
      </c>
      <c r="C1043" s="54" t="s">
        <v>95</v>
      </c>
      <c r="D1043" s="54" t="s">
        <v>96</v>
      </c>
      <c r="E1043" s="54" t="s">
        <v>97</v>
      </c>
      <c r="F1043" t="s">
        <v>35</v>
      </c>
      <c r="G1043">
        <v>38340</v>
      </c>
      <c r="H1043">
        <v>360</v>
      </c>
      <c r="I1043" t="str">
        <f t="shared" si="48"/>
        <v>AAA BBB</v>
      </c>
      <c r="J1043" t="str">
        <f t="shared" si="49"/>
        <v>XXX</v>
      </c>
      <c r="K1043" t="str">
        <f t="shared" si="50"/>
        <v>ZZZ, TN, 38340</v>
      </c>
    </row>
    <row r="1044" spans="1:11" x14ac:dyDescent="0.15">
      <c r="A1044">
        <v>1018918</v>
      </c>
      <c r="B1044" s="54" t="s">
        <v>94</v>
      </c>
      <c r="C1044" s="54" t="s">
        <v>95</v>
      </c>
      <c r="D1044" s="54" t="s">
        <v>96</v>
      </c>
      <c r="E1044" s="54" t="s">
        <v>97</v>
      </c>
      <c r="F1044" t="s">
        <v>35</v>
      </c>
      <c r="G1044">
        <v>38340</v>
      </c>
      <c r="H1044">
        <v>360</v>
      </c>
      <c r="I1044" t="str">
        <f t="shared" si="48"/>
        <v>AAA BBB</v>
      </c>
      <c r="J1044" t="str">
        <f t="shared" si="49"/>
        <v>XXX</v>
      </c>
      <c r="K1044" t="str">
        <f t="shared" si="50"/>
        <v>ZZZ, TN, 38340</v>
      </c>
    </row>
    <row r="1045" spans="1:11" x14ac:dyDescent="0.15">
      <c r="A1045">
        <v>1018918</v>
      </c>
      <c r="B1045" s="54" t="s">
        <v>94</v>
      </c>
      <c r="C1045" s="54" t="s">
        <v>95</v>
      </c>
      <c r="D1045" s="54" t="s">
        <v>96</v>
      </c>
      <c r="E1045" s="54" t="s">
        <v>97</v>
      </c>
      <c r="F1045" t="s">
        <v>35</v>
      </c>
      <c r="G1045">
        <v>38340</v>
      </c>
      <c r="H1045">
        <v>360</v>
      </c>
      <c r="I1045" t="str">
        <f t="shared" si="48"/>
        <v>AAA BBB</v>
      </c>
      <c r="J1045" t="str">
        <f t="shared" si="49"/>
        <v>XXX</v>
      </c>
      <c r="K1045" t="str">
        <f t="shared" si="50"/>
        <v>ZZZ, TN, 38340</v>
      </c>
    </row>
    <row r="1046" spans="1:11" x14ac:dyDescent="0.15">
      <c r="A1046">
        <v>1018918</v>
      </c>
      <c r="B1046" s="54" t="s">
        <v>94</v>
      </c>
      <c r="C1046" s="54" t="s">
        <v>95</v>
      </c>
      <c r="D1046" s="54" t="s">
        <v>96</v>
      </c>
      <c r="E1046" s="54" t="s">
        <v>97</v>
      </c>
      <c r="F1046" t="s">
        <v>35</v>
      </c>
      <c r="G1046">
        <v>38340</v>
      </c>
      <c r="H1046">
        <v>360</v>
      </c>
      <c r="I1046" t="str">
        <f t="shared" si="48"/>
        <v>AAA BBB</v>
      </c>
      <c r="J1046" t="str">
        <f t="shared" si="49"/>
        <v>XXX</v>
      </c>
      <c r="K1046" t="str">
        <f t="shared" si="50"/>
        <v>ZZZ, TN, 38340</v>
      </c>
    </row>
    <row r="1047" spans="1:11" x14ac:dyDescent="0.15">
      <c r="A1047">
        <v>1018918</v>
      </c>
      <c r="B1047" s="54" t="s">
        <v>94</v>
      </c>
      <c r="C1047" s="54" t="s">
        <v>95</v>
      </c>
      <c r="D1047" s="54" t="s">
        <v>96</v>
      </c>
      <c r="E1047" s="54" t="s">
        <v>97</v>
      </c>
      <c r="F1047" t="s">
        <v>35</v>
      </c>
      <c r="G1047">
        <v>38340</v>
      </c>
      <c r="H1047">
        <v>360</v>
      </c>
      <c r="I1047" t="str">
        <f t="shared" si="48"/>
        <v>AAA BBB</v>
      </c>
      <c r="J1047" t="str">
        <f t="shared" si="49"/>
        <v>XXX</v>
      </c>
      <c r="K1047" t="str">
        <f t="shared" si="50"/>
        <v>ZZZ, TN, 38340</v>
      </c>
    </row>
    <row r="1048" spans="1:11" x14ac:dyDescent="0.15">
      <c r="A1048">
        <v>1018918</v>
      </c>
      <c r="B1048" s="54" t="s">
        <v>94</v>
      </c>
      <c r="C1048" s="54" t="s">
        <v>95</v>
      </c>
      <c r="D1048" s="54" t="s">
        <v>96</v>
      </c>
      <c r="E1048" s="54" t="s">
        <v>97</v>
      </c>
      <c r="F1048" t="s">
        <v>35</v>
      </c>
      <c r="G1048">
        <v>38340</v>
      </c>
      <c r="H1048">
        <v>360</v>
      </c>
      <c r="I1048" t="str">
        <f t="shared" si="48"/>
        <v>AAA BBB</v>
      </c>
      <c r="J1048" t="str">
        <f t="shared" si="49"/>
        <v>XXX</v>
      </c>
      <c r="K1048" t="str">
        <f t="shared" si="50"/>
        <v>ZZZ, TN, 38340</v>
      </c>
    </row>
    <row r="1049" spans="1:11" x14ac:dyDescent="0.15">
      <c r="A1049">
        <v>1018918</v>
      </c>
      <c r="B1049" s="54" t="s">
        <v>94</v>
      </c>
      <c r="C1049" s="54" t="s">
        <v>95</v>
      </c>
      <c r="D1049" s="54" t="s">
        <v>96</v>
      </c>
      <c r="E1049" s="54" t="s">
        <v>97</v>
      </c>
      <c r="F1049" t="s">
        <v>35</v>
      </c>
      <c r="G1049">
        <v>38340</v>
      </c>
      <c r="H1049">
        <v>360</v>
      </c>
      <c r="I1049" t="str">
        <f t="shared" si="48"/>
        <v>AAA BBB</v>
      </c>
      <c r="J1049" t="str">
        <f t="shared" si="49"/>
        <v>XXX</v>
      </c>
      <c r="K1049" t="str">
        <f t="shared" si="50"/>
        <v>ZZZ, TN, 38340</v>
      </c>
    </row>
    <row r="1050" spans="1:11" x14ac:dyDescent="0.15">
      <c r="A1050">
        <v>1018918</v>
      </c>
      <c r="B1050" s="54" t="s">
        <v>94</v>
      </c>
      <c r="C1050" s="54" t="s">
        <v>95</v>
      </c>
      <c r="D1050" s="54" t="s">
        <v>96</v>
      </c>
      <c r="E1050" s="54" t="s">
        <v>97</v>
      </c>
      <c r="F1050" t="s">
        <v>35</v>
      </c>
      <c r="G1050">
        <v>38340</v>
      </c>
      <c r="H1050">
        <v>360</v>
      </c>
      <c r="I1050" t="str">
        <f t="shared" si="48"/>
        <v>AAA BBB</v>
      </c>
      <c r="J1050" t="str">
        <f t="shared" si="49"/>
        <v>XXX</v>
      </c>
      <c r="K1050" t="str">
        <f t="shared" si="50"/>
        <v>ZZZ, TN, 38340</v>
      </c>
    </row>
    <row r="1051" spans="1:11" x14ac:dyDescent="0.15">
      <c r="A1051">
        <v>1018918</v>
      </c>
      <c r="B1051" s="54" t="s">
        <v>94</v>
      </c>
      <c r="C1051" s="54" t="s">
        <v>95</v>
      </c>
      <c r="D1051" s="54" t="s">
        <v>96</v>
      </c>
      <c r="E1051" s="54" t="s">
        <v>97</v>
      </c>
      <c r="F1051" t="s">
        <v>35</v>
      </c>
      <c r="G1051">
        <v>38340</v>
      </c>
      <c r="H1051">
        <v>360</v>
      </c>
      <c r="I1051" t="str">
        <f t="shared" si="48"/>
        <v>AAA BBB</v>
      </c>
      <c r="J1051" t="str">
        <f t="shared" si="49"/>
        <v>XXX</v>
      </c>
      <c r="K1051" t="str">
        <f t="shared" si="50"/>
        <v>ZZZ, TN, 38340</v>
      </c>
    </row>
    <row r="1052" spans="1:11" x14ac:dyDescent="0.15">
      <c r="A1052">
        <v>1018918</v>
      </c>
      <c r="B1052" s="54" t="s">
        <v>94</v>
      </c>
      <c r="C1052" s="54" t="s">
        <v>95</v>
      </c>
      <c r="D1052" s="54" t="s">
        <v>96</v>
      </c>
      <c r="E1052" s="54" t="s">
        <v>97</v>
      </c>
      <c r="F1052" t="s">
        <v>35</v>
      </c>
      <c r="G1052">
        <v>38340</v>
      </c>
      <c r="H1052">
        <v>360</v>
      </c>
      <c r="I1052" t="str">
        <f t="shared" si="48"/>
        <v>AAA BBB</v>
      </c>
      <c r="J1052" t="str">
        <f t="shared" si="49"/>
        <v>XXX</v>
      </c>
      <c r="K1052" t="str">
        <f t="shared" si="50"/>
        <v>ZZZ, TN, 38340</v>
      </c>
    </row>
    <row r="1053" spans="1:11" x14ac:dyDescent="0.15">
      <c r="A1053">
        <v>1018918</v>
      </c>
      <c r="B1053" s="54" t="s">
        <v>94</v>
      </c>
      <c r="C1053" s="54" t="s">
        <v>95</v>
      </c>
      <c r="D1053" s="54" t="s">
        <v>96</v>
      </c>
      <c r="E1053" s="54" t="s">
        <v>97</v>
      </c>
      <c r="F1053" t="s">
        <v>35</v>
      </c>
      <c r="G1053">
        <v>38340</v>
      </c>
      <c r="H1053">
        <v>360</v>
      </c>
      <c r="I1053" t="str">
        <f t="shared" si="48"/>
        <v>AAA BBB</v>
      </c>
      <c r="J1053" t="str">
        <f t="shared" si="49"/>
        <v>XXX</v>
      </c>
      <c r="K1053" t="str">
        <f t="shared" si="50"/>
        <v>ZZZ, TN, 38340</v>
      </c>
    </row>
    <row r="1054" spans="1:11" x14ac:dyDescent="0.15">
      <c r="A1054">
        <v>1018918</v>
      </c>
      <c r="B1054" s="54" t="s">
        <v>94</v>
      </c>
      <c r="C1054" s="54" t="s">
        <v>95</v>
      </c>
      <c r="D1054" s="54" t="s">
        <v>96</v>
      </c>
      <c r="E1054" s="54" t="s">
        <v>97</v>
      </c>
      <c r="F1054" t="s">
        <v>35</v>
      </c>
      <c r="G1054">
        <v>38340</v>
      </c>
      <c r="H1054">
        <v>360</v>
      </c>
      <c r="I1054" t="str">
        <f t="shared" si="48"/>
        <v>AAA BBB</v>
      </c>
      <c r="J1054" t="str">
        <f t="shared" si="49"/>
        <v>XXX</v>
      </c>
      <c r="K1054" t="str">
        <f t="shared" si="50"/>
        <v>ZZZ, TN, 38340</v>
      </c>
    </row>
    <row r="1055" spans="1:11" x14ac:dyDescent="0.15">
      <c r="A1055">
        <v>1018918</v>
      </c>
      <c r="B1055" s="54" t="s">
        <v>94</v>
      </c>
      <c r="C1055" s="54" t="s">
        <v>95</v>
      </c>
      <c r="D1055" s="54" t="s">
        <v>96</v>
      </c>
      <c r="E1055" s="54" t="s">
        <v>97</v>
      </c>
      <c r="F1055" t="s">
        <v>35</v>
      </c>
      <c r="G1055">
        <v>38340</v>
      </c>
      <c r="H1055">
        <v>360</v>
      </c>
      <c r="I1055" t="str">
        <f t="shared" si="48"/>
        <v>AAA BBB</v>
      </c>
      <c r="J1055" t="str">
        <f t="shared" si="49"/>
        <v>XXX</v>
      </c>
      <c r="K1055" t="str">
        <f t="shared" si="50"/>
        <v>ZZZ, TN, 38340</v>
      </c>
    </row>
    <row r="1056" spans="1:11" x14ac:dyDescent="0.15">
      <c r="A1056">
        <v>1018918</v>
      </c>
      <c r="B1056" s="54" t="s">
        <v>94</v>
      </c>
      <c r="C1056" s="54" t="s">
        <v>95</v>
      </c>
      <c r="D1056" s="54" t="s">
        <v>96</v>
      </c>
      <c r="E1056" s="54" t="s">
        <v>97</v>
      </c>
      <c r="F1056" t="s">
        <v>35</v>
      </c>
      <c r="G1056">
        <v>38340</v>
      </c>
      <c r="H1056">
        <v>360</v>
      </c>
      <c r="I1056" t="str">
        <f t="shared" si="48"/>
        <v>AAA BBB</v>
      </c>
      <c r="J1056" t="str">
        <f t="shared" si="49"/>
        <v>XXX</v>
      </c>
      <c r="K1056" t="str">
        <f t="shared" si="50"/>
        <v>ZZZ, TN, 38340</v>
      </c>
    </row>
    <row r="1057" spans="1:11" x14ac:dyDescent="0.15">
      <c r="A1057">
        <v>1018918</v>
      </c>
      <c r="B1057" s="54" t="s">
        <v>94</v>
      </c>
      <c r="C1057" s="54" t="s">
        <v>95</v>
      </c>
      <c r="D1057" s="54" t="s">
        <v>96</v>
      </c>
      <c r="E1057" s="54" t="s">
        <v>97</v>
      </c>
      <c r="F1057" t="s">
        <v>35</v>
      </c>
      <c r="G1057">
        <v>38340</v>
      </c>
      <c r="H1057">
        <v>360</v>
      </c>
      <c r="I1057" t="str">
        <f t="shared" si="48"/>
        <v>AAA BBB</v>
      </c>
      <c r="J1057" t="str">
        <f t="shared" si="49"/>
        <v>XXX</v>
      </c>
      <c r="K1057" t="str">
        <f t="shared" si="50"/>
        <v>ZZZ, TN, 38340</v>
      </c>
    </row>
    <row r="1058" spans="1:11" x14ac:dyDescent="0.15">
      <c r="A1058">
        <v>1018918</v>
      </c>
      <c r="B1058" s="54" t="s">
        <v>94</v>
      </c>
      <c r="C1058" s="54" t="s">
        <v>95</v>
      </c>
      <c r="D1058" s="54" t="s">
        <v>96</v>
      </c>
      <c r="E1058" s="54" t="s">
        <v>97</v>
      </c>
      <c r="F1058" t="s">
        <v>35</v>
      </c>
      <c r="G1058">
        <v>38340</v>
      </c>
      <c r="H1058">
        <v>360</v>
      </c>
      <c r="I1058" t="str">
        <f t="shared" si="48"/>
        <v>AAA BBB</v>
      </c>
      <c r="J1058" t="str">
        <f t="shared" si="49"/>
        <v>XXX</v>
      </c>
      <c r="K1058" t="str">
        <f t="shared" si="50"/>
        <v>ZZZ, TN, 38340</v>
      </c>
    </row>
    <row r="1059" spans="1:11" x14ac:dyDescent="0.15">
      <c r="A1059">
        <v>1018918</v>
      </c>
      <c r="B1059" s="54" t="s">
        <v>94</v>
      </c>
      <c r="C1059" s="54" t="s">
        <v>95</v>
      </c>
      <c r="D1059" s="54" t="s">
        <v>96</v>
      </c>
      <c r="E1059" s="54" t="s">
        <v>97</v>
      </c>
      <c r="F1059" t="s">
        <v>35</v>
      </c>
      <c r="G1059">
        <v>38340</v>
      </c>
      <c r="H1059">
        <v>360</v>
      </c>
      <c r="I1059" t="str">
        <f t="shared" si="48"/>
        <v>AAA BBB</v>
      </c>
      <c r="J1059" t="str">
        <f t="shared" si="49"/>
        <v>XXX</v>
      </c>
      <c r="K1059" t="str">
        <f t="shared" si="50"/>
        <v>ZZZ, TN, 38340</v>
      </c>
    </row>
    <row r="1060" spans="1:11" x14ac:dyDescent="0.15">
      <c r="A1060">
        <v>1018918</v>
      </c>
      <c r="B1060" s="54" t="s">
        <v>94</v>
      </c>
      <c r="C1060" s="54" t="s">
        <v>95</v>
      </c>
      <c r="D1060" s="54" t="s">
        <v>96</v>
      </c>
      <c r="E1060" s="54" t="s">
        <v>97</v>
      </c>
      <c r="F1060" t="s">
        <v>35</v>
      </c>
      <c r="G1060">
        <v>38340</v>
      </c>
      <c r="H1060">
        <v>360</v>
      </c>
      <c r="I1060" t="str">
        <f t="shared" si="48"/>
        <v>AAA BBB</v>
      </c>
      <c r="J1060" t="str">
        <f t="shared" si="49"/>
        <v>XXX</v>
      </c>
      <c r="K1060" t="str">
        <f t="shared" si="50"/>
        <v>ZZZ, TN, 38340</v>
      </c>
    </row>
    <row r="1061" spans="1:11" x14ac:dyDescent="0.15">
      <c r="A1061">
        <v>1018918</v>
      </c>
      <c r="B1061" s="54" t="s">
        <v>94</v>
      </c>
      <c r="C1061" s="54" t="s">
        <v>95</v>
      </c>
      <c r="D1061" s="54" t="s">
        <v>96</v>
      </c>
      <c r="E1061" s="54" t="s">
        <v>97</v>
      </c>
      <c r="F1061" t="s">
        <v>35</v>
      </c>
      <c r="G1061">
        <v>38340</v>
      </c>
      <c r="H1061">
        <v>360</v>
      </c>
      <c r="I1061" t="str">
        <f t="shared" si="48"/>
        <v>AAA BBB</v>
      </c>
      <c r="J1061" t="str">
        <f t="shared" si="49"/>
        <v>XXX</v>
      </c>
      <c r="K1061" t="str">
        <f t="shared" si="50"/>
        <v>ZZZ, TN, 38340</v>
      </c>
    </row>
    <row r="1062" spans="1:11" x14ac:dyDescent="0.15">
      <c r="A1062">
        <v>1018918</v>
      </c>
      <c r="B1062" s="54" t="s">
        <v>94</v>
      </c>
      <c r="C1062" s="54" t="s">
        <v>95</v>
      </c>
      <c r="D1062" s="54" t="s">
        <v>96</v>
      </c>
      <c r="E1062" s="54" t="s">
        <v>97</v>
      </c>
      <c r="F1062" t="s">
        <v>35</v>
      </c>
      <c r="G1062">
        <v>38340</v>
      </c>
      <c r="H1062">
        <v>360</v>
      </c>
      <c r="I1062" t="str">
        <f t="shared" si="48"/>
        <v>AAA BBB</v>
      </c>
      <c r="J1062" t="str">
        <f t="shared" si="49"/>
        <v>XXX</v>
      </c>
      <c r="K1062" t="str">
        <f t="shared" si="50"/>
        <v>ZZZ, TN, 38340</v>
      </c>
    </row>
    <row r="1063" spans="1:11" x14ac:dyDescent="0.15">
      <c r="A1063">
        <v>1018918</v>
      </c>
      <c r="B1063" s="54" t="s">
        <v>94</v>
      </c>
      <c r="C1063" s="54" t="s">
        <v>95</v>
      </c>
      <c r="D1063" s="54" t="s">
        <v>96</v>
      </c>
      <c r="E1063" s="54" t="s">
        <v>97</v>
      </c>
      <c r="F1063" t="s">
        <v>35</v>
      </c>
      <c r="G1063">
        <v>38340</v>
      </c>
      <c r="H1063">
        <v>360</v>
      </c>
      <c r="I1063" t="str">
        <f t="shared" si="48"/>
        <v>AAA BBB</v>
      </c>
      <c r="J1063" t="str">
        <f t="shared" si="49"/>
        <v>XXX</v>
      </c>
      <c r="K1063" t="str">
        <f t="shared" si="50"/>
        <v>ZZZ, TN, 38340</v>
      </c>
    </row>
    <row r="1064" spans="1:11" x14ac:dyDescent="0.15">
      <c r="A1064">
        <v>1018918</v>
      </c>
      <c r="B1064" s="54" t="s">
        <v>94</v>
      </c>
      <c r="C1064" s="54" t="s">
        <v>95</v>
      </c>
      <c r="D1064" s="54" t="s">
        <v>96</v>
      </c>
      <c r="E1064" s="54" t="s">
        <v>97</v>
      </c>
      <c r="F1064" t="s">
        <v>35</v>
      </c>
      <c r="G1064">
        <v>38340</v>
      </c>
      <c r="H1064">
        <v>360</v>
      </c>
      <c r="I1064" t="str">
        <f t="shared" si="48"/>
        <v>AAA BBB</v>
      </c>
      <c r="J1064" t="str">
        <f t="shared" si="49"/>
        <v>XXX</v>
      </c>
      <c r="K1064" t="str">
        <f t="shared" si="50"/>
        <v>ZZZ, TN, 38340</v>
      </c>
    </row>
    <row r="1065" spans="1:11" x14ac:dyDescent="0.15">
      <c r="A1065">
        <v>1018918</v>
      </c>
      <c r="B1065" s="54" t="s">
        <v>94</v>
      </c>
      <c r="C1065" s="54" t="s">
        <v>95</v>
      </c>
      <c r="D1065" s="54" t="s">
        <v>96</v>
      </c>
      <c r="E1065" s="54" t="s">
        <v>97</v>
      </c>
      <c r="F1065" t="s">
        <v>35</v>
      </c>
      <c r="G1065">
        <v>38340</v>
      </c>
      <c r="H1065">
        <v>360</v>
      </c>
      <c r="I1065" t="str">
        <f t="shared" si="48"/>
        <v>AAA BBB</v>
      </c>
      <c r="J1065" t="str">
        <f t="shared" si="49"/>
        <v>XXX</v>
      </c>
      <c r="K1065" t="str">
        <f t="shared" si="50"/>
        <v>ZZZ, TN, 38340</v>
      </c>
    </row>
    <row r="1066" spans="1:11" x14ac:dyDescent="0.15">
      <c r="A1066">
        <v>1018918</v>
      </c>
      <c r="B1066" s="54" t="s">
        <v>94</v>
      </c>
      <c r="C1066" s="54" t="s">
        <v>95</v>
      </c>
      <c r="D1066" s="54" t="s">
        <v>96</v>
      </c>
      <c r="E1066" s="54" t="s">
        <v>97</v>
      </c>
      <c r="F1066" t="s">
        <v>35</v>
      </c>
      <c r="G1066">
        <v>38340</v>
      </c>
      <c r="H1066">
        <v>360</v>
      </c>
      <c r="I1066" t="str">
        <f t="shared" si="48"/>
        <v>AAA BBB</v>
      </c>
      <c r="J1066" t="str">
        <f t="shared" si="49"/>
        <v>XXX</v>
      </c>
      <c r="K1066" t="str">
        <f t="shared" si="50"/>
        <v>ZZZ, TN, 38340</v>
      </c>
    </row>
    <row r="1067" spans="1:11" x14ac:dyDescent="0.15">
      <c r="A1067">
        <v>1018918</v>
      </c>
      <c r="B1067" s="54" t="s">
        <v>94</v>
      </c>
      <c r="C1067" s="54" t="s">
        <v>95</v>
      </c>
      <c r="D1067" s="54" t="s">
        <v>96</v>
      </c>
      <c r="E1067" s="54" t="s">
        <v>97</v>
      </c>
      <c r="F1067" t="s">
        <v>35</v>
      </c>
      <c r="G1067">
        <v>38340</v>
      </c>
      <c r="H1067">
        <v>360</v>
      </c>
      <c r="I1067" t="str">
        <f t="shared" si="48"/>
        <v>AAA BBB</v>
      </c>
      <c r="J1067" t="str">
        <f t="shared" si="49"/>
        <v>XXX</v>
      </c>
      <c r="K1067" t="str">
        <f t="shared" si="50"/>
        <v>ZZZ, TN, 38340</v>
      </c>
    </row>
    <row r="1068" spans="1:11" x14ac:dyDescent="0.15">
      <c r="A1068">
        <v>1018918</v>
      </c>
      <c r="B1068" s="54" t="s">
        <v>94</v>
      </c>
      <c r="C1068" s="54" t="s">
        <v>95</v>
      </c>
      <c r="D1068" s="54" t="s">
        <v>96</v>
      </c>
      <c r="E1068" s="54" t="s">
        <v>97</v>
      </c>
      <c r="F1068" t="s">
        <v>35</v>
      </c>
      <c r="G1068">
        <v>38340</v>
      </c>
      <c r="H1068">
        <v>360</v>
      </c>
      <c r="I1068" t="str">
        <f t="shared" si="48"/>
        <v>AAA BBB</v>
      </c>
      <c r="J1068" t="str">
        <f t="shared" si="49"/>
        <v>XXX</v>
      </c>
      <c r="K1068" t="str">
        <f t="shared" si="50"/>
        <v>ZZZ, TN, 38340</v>
      </c>
    </row>
    <row r="1069" spans="1:11" x14ac:dyDescent="0.15">
      <c r="A1069">
        <v>1018918</v>
      </c>
      <c r="B1069" s="54" t="s">
        <v>94</v>
      </c>
      <c r="C1069" s="54" t="s">
        <v>95</v>
      </c>
      <c r="D1069" s="54" t="s">
        <v>96</v>
      </c>
      <c r="E1069" s="54" t="s">
        <v>97</v>
      </c>
      <c r="F1069" t="s">
        <v>35</v>
      </c>
      <c r="G1069">
        <v>38340</v>
      </c>
      <c r="H1069">
        <v>360</v>
      </c>
      <c r="I1069" t="str">
        <f t="shared" si="48"/>
        <v>AAA BBB</v>
      </c>
      <c r="J1069" t="str">
        <f t="shared" si="49"/>
        <v>XXX</v>
      </c>
      <c r="K1069" t="str">
        <f t="shared" si="50"/>
        <v>ZZZ, TN, 38340</v>
      </c>
    </row>
    <row r="1070" spans="1:11" x14ac:dyDescent="0.15">
      <c r="A1070">
        <v>1018918</v>
      </c>
      <c r="B1070" s="54" t="s">
        <v>94</v>
      </c>
      <c r="C1070" s="54" t="s">
        <v>95</v>
      </c>
      <c r="D1070" s="54" t="s">
        <v>96</v>
      </c>
      <c r="E1070" s="54" t="s">
        <v>97</v>
      </c>
      <c r="F1070" t="s">
        <v>35</v>
      </c>
      <c r="G1070">
        <v>38340</v>
      </c>
      <c r="H1070">
        <v>360</v>
      </c>
      <c r="I1070" t="str">
        <f t="shared" si="48"/>
        <v>AAA BBB</v>
      </c>
      <c r="J1070" t="str">
        <f t="shared" si="49"/>
        <v>XXX</v>
      </c>
      <c r="K1070" t="str">
        <f t="shared" si="50"/>
        <v>ZZZ, TN, 38340</v>
      </c>
    </row>
    <row r="1071" spans="1:11" x14ac:dyDescent="0.15">
      <c r="A1071">
        <v>1018918</v>
      </c>
      <c r="B1071" s="54" t="s">
        <v>94</v>
      </c>
      <c r="C1071" s="54" t="s">
        <v>95</v>
      </c>
      <c r="D1071" s="54" t="s">
        <v>96</v>
      </c>
      <c r="E1071" s="54" t="s">
        <v>97</v>
      </c>
      <c r="F1071" t="s">
        <v>35</v>
      </c>
      <c r="G1071">
        <v>38340</v>
      </c>
      <c r="H1071">
        <v>360</v>
      </c>
      <c r="I1071" t="str">
        <f t="shared" si="48"/>
        <v>AAA BBB</v>
      </c>
      <c r="J1071" t="str">
        <f t="shared" si="49"/>
        <v>XXX</v>
      </c>
      <c r="K1071" t="str">
        <f t="shared" si="50"/>
        <v>ZZZ, TN, 38340</v>
      </c>
    </row>
    <row r="1072" spans="1:11" x14ac:dyDescent="0.15">
      <c r="A1072">
        <v>1018918</v>
      </c>
      <c r="B1072" s="54" t="s">
        <v>94</v>
      </c>
      <c r="C1072" s="54" t="s">
        <v>95</v>
      </c>
      <c r="D1072" s="54" t="s">
        <v>96</v>
      </c>
      <c r="E1072" s="54" t="s">
        <v>97</v>
      </c>
      <c r="F1072" t="s">
        <v>35</v>
      </c>
      <c r="G1072">
        <v>38340</v>
      </c>
      <c r="H1072">
        <v>360</v>
      </c>
      <c r="I1072" t="str">
        <f t="shared" si="48"/>
        <v>AAA BBB</v>
      </c>
      <c r="J1072" t="str">
        <f t="shared" si="49"/>
        <v>XXX</v>
      </c>
      <c r="K1072" t="str">
        <f t="shared" si="50"/>
        <v>ZZZ, TN, 38340</v>
      </c>
    </row>
    <row r="1073" spans="1:11" x14ac:dyDescent="0.15">
      <c r="A1073">
        <v>1018918</v>
      </c>
      <c r="B1073" s="54" t="s">
        <v>94</v>
      </c>
      <c r="C1073" s="54" t="s">
        <v>95</v>
      </c>
      <c r="D1073" s="54" t="s">
        <v>96</v>
      </c>
      <c r="E1073" s="54" t="s">
        <v>97</v>
      </c>
      <c r="F1073" t="s">
        <v>35</v>
      </c>
      <c r="G1073">
        <v>38340</v>
      </c>
      <c r="H1073">
        <v>360</v>
      </c>
      <c r="I1073" t="str">
        <f t="shared" si="48"/>
        <v>AAA BBB</v>
      </c>
      <c r="J1073" t="str">
        <f t="shared" si="49"/>
        <v>XXX</v>
      </c>
      <c r="K1073" t="str">
        <f t="shared" si="50"/>
        <v>ZZZ, TN, 38340</v>
      </c>
    </row>
    <row r="1074" spans="1:11" x14ac:dyDescent="0.15">
      <c r="A1074">
        <v>1018918</v>
      </c>
      <c r="B1074" s="54" t="s">
        <v>94</v>
      </c>
      <c r="C1074" s="54" t="s">
        <v>95</v>
      </c>
      <c r="D1074" s="54" t="s">
        <v>96</v>
      </c>
      <c r="E1074" s="54" t="s">
        <v>97</v>
      </c>
      <c r="F1074" t="s">
        <v>35</v>
      </c>
      <c r="G1074">
        <v>38340</v>
      </c>
      <c r="H1074">
        <v>360</v>
      </c>
      <c r="I1074" t="str">
        <f t="shared" si="48"/>
        <v>AAA BBB</v>
      </c>
      <c r="J1074" t="str">
        <f t="shared" si="49"/>
        <v>XXX</v>
      </c>
      <c r="K1074" t="str">
        <f t="shared" si="50"/>
        <v>ZZZ, TN, 38340</v>
      </c>
    </row>
    <row r="1075" spans="1:11" x14ac:dyDescent="0.15">
      <c r="A1075">
        <v>1018918</v>
      </c>
      <c r="B1075" s="54" t="s">
        <v>94</v>
      </c>
      <c r="C1075" s="54" t="s">
        <v>95</v>
      </c>
      <c r="D1075" s="54" t="s">
        <v>96</v>
      </c>
      <c r="E1075" s="54" t="s">
        <v>97</v>
      </c>
      <c r="F1075" t="s">
        <v>35</v>
      </c>
      <c r="G1075">
        <v>38340</v>
      </c>
      <c r="H1075">
        <v>360</v>
      </c>
      <c r="I1075" t="str">
        <f t="shared" si="48"/>
        <v>AAA BBB</v>
      </c>
      <c r="J1075" t="str">
        <f t="shared" si="49"/>
        <v>XXX</v>
      </c>
      <c r="K1075" t="str">
        <f t="shared" si="50"/>
        <v>ZZZ, TN, 38340</v>
      </c>
    </row>
    <row r="1076" spans="1:11" x14ac:dyDescent="0.15">
      <c r="A1076">
        <v>1018918</v>
      </c>
      <c r="B1076" s="54" t="s">
        <v>94</v>
      </c>
      <c r="C1076" s="54" t="s">
        <v>95</v>
      </c>
      <c r="D1076" s="54" t="s">
        <v>96</v>
      </c>
      <c r="E1076" s="54" t="s">
        <v>97</v>
      </c>
      <c r="F1076" t="s">
        <v>35</v>
      </c>
      <c r="G1076">
        <v>38340</v>
      </c>
      <c r="H1076">
        <v>360</v>
      </c>
      <c r="I1076" t="str">
        <f t="shared" si="48"/>
        <v>AAA BBB</v>
      </c>
      <c r="J1076" t="str">
        <f t="shared" si="49"/>
        <v>XXX</v>
      </c>
      <c r="K1076" t="str">
        <f t="shared" si="50"/>
        <v>ZZZ, TN, 38340</v>
      </c>
    </row>
    <row r="1077" spans="1:11" x14ac:dyDescent="0.15">
      <c r="A1077">
        <v>1018918</v>
      </c>
      <c r="B1077" s="54" t="s">
        <v>94</v>
      </c>
      <c r="C1077" s="54" t="s">
        <v>95</v>
      </c>
      <c r="D1077" s="54" t="s">
        <v>96</v>
      </c>
      <c r="E1077" s="54" t="s">
        <v>97</v>
      </c>
      <c r="F1077" t="s">
        <v>35</v>
      </c>
      <c r="G1077">
        <v>38340</v>
      </c>
      <c r="H1077">
        <v>360</v>
      </c>
      <c r="I1077" t="str">
        <f t="shared" si="48"/>
        <v>AAA BBB</v>
      </c>
      <c r="J1077" t="str">
        <f t="shared" si="49"/>
        <v>XXX</v>
      </c>
      <c r="K1077" t="str">
        <f t="shared" si="50"/>
        <v>ZZZ, TN, 38340</v>
      </c>
    </row>
    <row r="1078" spans="1:11" x14ac:dyDescent="0.15">
      <c r="A1078">
        <v>1018918</v>
      </c>
      <c r="B1078" s="54" t="s">
        <v>94</v>
      </c>
      <c r="C1078" s="54" t="s">
        <v>95</v>
      </c>
      <c r="D1078" s="54" t="s">
        <v>96</v>
      </c>
      <c r="E1078" s="54" t="s">
        <v>97</v>
      </c>
      <c r="F1078" t="s">
        <v>35</v>
      </c>
      <c r="G1078">
        <v>38340</v>
      </c>
      <c r="H1078">
        <v>360</v>
      </c>
      <c r="I1078" t="str">
        <f t="shared" si="48"/>
        <v>AAA BBB</v>
      </c>
      <c r="J1078" t="str">
        <f t="shared" si="49"/>
        <v>XXX</v>
      </c>
      <c r="K1078" t="str">
        <f t="shared" si="50"/>
        <v>ZZZ, TN, 38340</v>
      </c>
    </row>
    <row r="1079" spans="1:11" x14ac:dyDescent="0.15">
      <c r="A1079">
        <v>1018918</v>
      </c>
      <c r="B1079" s="54" t="s">
        <v>94</v>
      </c>
      <c r="C1079" s="54" t="s">
        <v>95</v>
      </c>
      <c r="D1079" s="54" t="s">
        <v>96</v>
      </c>
      <c r="E1079" s="54" t="s">
        <v>97</v>
      </c>
      <c r="F1079" t="s">
        <v>35</v>
      </c>
      <c r="G1079">
        <v>38340</v>
      </c>
      <c r="H1079">
        <v>360</v>
      </c>
      <c r="I1079" t="str">
        <f t="shared" si="48"/>
        <v>AAA BBB</v>
      </c>
      <c r="J1079" t="str">
        <f t="shared" si="49"/>
        <v>XXX</v>
      </c>
      <c r="K1079" t="str">
        <f t="shared" si="50"/>
        <v>ZZZ, TN, 38340</v>
      </c>
    </row>
    <row r="1080" spans="1:11" x14ac:dyDescent="0.15">
      <c r="A1080">
        <v>1018918</v>
      </c>
      <c r="B1080" s="54" t="s">
        <v>94</v>
      </c>
      <c r="C1080" s="54" t="s">
        <v>95</v>
      </c>
      <c r="D1080" s="54" t="s">
        <v>96</v>
      </c>
      <c r="E1080" s="54" t="s">
        <v>97</v>
      </c>
      <c r="F1080" t="s">
        <v>35</v>
      </c>
      <c r="G1080">
        <v>38340</v>
      </c>
      <c r="H1080">
        <v>360</v>
      </c>
      <c r="I1080" t="str">
        <f t="shared" si="48"/>
        <v>AAA BBB</v>
      </c>
      <c r="J1080" t="str">
        <f t="shared" si="49"/>
        <v>XXX</v>
      </c>
      <c r="K1080" t="str">
        <f t="shared" si="50"/>
        <v>ZZZ, TN, 38340</v>
      </c>
    </row>
    <row r="1081" spans="1:11" x14ac:dyDescent="0.15">
      <c r="A1081">
        <v>1018918</v>
      </c>
      <c r="B1081" s="54" t="s">
        <v>94</v>
      </c>
      <c r="C1081" s="54" t="s">
        <v>95</v>
      </c>
      <c r="D1081" s="54" t="s">
        <v>96</v>
      </c>
      <c r="E1081" s="54" t="s">
        <v>97</v>
      </c>
      <c r="F1081" t="s">
        <v>35</v>
      </c>
      <c r="G1081">
        <v>38340</v>
      </c>
      <c r="H1081">
        <v>360</v>
      </c>
      <c r="I1081" t="str">
        <f t="shared" si="48"/>
        <v>AAA BBB</v>
      </c>
      <c r="J1081" t="str">
        <f t="shared" si="49"/>
        <v>XXX</v>
      </c>
      <c r="K1081" t="str">
        <f t="shared" si="50"/>
        <v>ZZZ, TN, 38340</v>
      </c>
    </row>
    <row r="1082" spans="1:11" x14ac:dyDescent="0.15">
      <c r="A1082">
        <v>1018918</v>
      </c>
      <c r="B1082" s="54" t="s">
        <v>94</v>
      </c>
      <c r="C1082" s="54" t="s">
        <v>95</v>
      </c>
      <c r="D1082" s="54" t="s">
        <v>96</v>
      </c>
      <c r="E1082" s="54" t="s">
        <v>97</v>
      </c>
      <c r="F1082" t="s">
        <v>35</v>
      </c>
      <c r="G1082">
        <v>38340</v>
      </c>
      <c r="H1082">
        <v>360</v>
      </c>
      <c r="I1082" t="str">
        <f t="shared" si="48"/>
        <v>AAA BBB</v>
      </c>
      <c r="J1082" t="str">
        <f t="shared" si="49"/>
        <v>XXX</v>
      </c>
      <c r="K1082" t="str">
        <f t="shared" si="50"/>
        <v>ZZZ, TN, 38340</v>
      </c>
    </row>
    <row r="1083" spans="1:11" x14ac:dyDescent="0.15">
      <c r="A1083">
        <v>1018918</v>
      </c>
      <c r="B1083" s="54" t="s">
        <v>94</v>
      </c>
      <c r="C1083" s="54" t="s">
        <v>95</v>
      </c>
      <c r="D1083" s="54" t="s">
        <v>96</v>
      </c>
      <c r="E1083" s="54" t="s">
        <v>97</v>
      </c>
      <c r="F1083" t="s">
        <v>35</v>
      </c>
      <c r="G1083">
        <v>38340</v>
      </c>
      <c r="H1083">
        <v>360</v>
      </c>
      <c r="I1083" t="str">
        <f t="shared" si="48"/>
        <v>AAA BBB</v>
      </c>
      <c r="J1083" t="str">
        <f t="shared" si="49"/>
        <v>XXX</v>
      </c>
      <c r="K1083" t="str">
        <f t="shared" si="50"/>
        <v>ZZZ, TN, 38340</v>
      </c>
    </row>
    <row r="1084" spans="1:11" x14ac:dyDescent="0.15">
      <c r="A1084">
        <v>1018918</v>
      </c>
      <c r="B1084" s="54" t="s">
        <v>94</v>
      </c>
      <c r="C1084" s="54" t="s">
        <v>95</v>
      </c>
      <c r="D1084" s="54" t="s">
        <v>96</v>
      </c>
      <c r="E1084" s="54" t="s">
        <v>97</v>
      </c>
      <c r="F1084" t="s">
        <v>35</v>
      </c>
      <c r="G1084">
        <v>38340</v>
      </c>
      <c r="H1084">
        <v>360</v>
      </c>
      <c r="I1084" t="str">
        <f t="shared" si="48"/>
        <v>AAA BBB</v>
      </c>
      <c r="J1084" t="str">
        <f t="shared" si="49"/>
        <v>XXX</v>
      </c>
      <c r="K1084" t="str">
        <f t="shared" si="50"/>
        <v>ZZZ, TN, 38340</v>
      </c>
    </row>
    <row r="1085" spans="1:11" x14ac:dyDescent="0.15">
      <c r="A1085">
        <v>1018918</v>
      </c>
      <c r="B1085" s="54" t="s">
        <v>94</v>
      </c>
      <c r="C1085" s="54" t="s">
        <v>95</v>
      </c>
      <c r="D1085" s="54" t="s">
        <v>96</v>
      </c>
      <c r="E1085" s="54" t="s">
        <v>97</v>
      </c>
      <c r="F1085" t="s">
        <v>35</v>
      </c>
      <c r="G1085">
        <v>38340</v>
      </c>
      <c r="H1085">
        <v>360</v>
      </c>
      <c r="I1085" t="str">
        <f t="shared" si="48"/>
        <v>AAA BBB</v>
      </c>
      <c r="J1085" t="str">
        <f t="shared" si="49"/>
        <v>XXX</v>
      </c>
      <c r="K1085" t="str">
        <f t="shared" si="50"/>
        <v>ZZZ, TN, 38340</v>
      </c>
    </row>
    <row r="1086" spans="1:11" x14ac:dyDescent="0.15">
      <c r="A1086">
        <v>1018918</v>
      </c>
      <c r="B1086" s="54" t="s">
        <v>94</v>
      </c>
      <c r="C1086" s="54" t="s">
        <v>95</v>
      </c>
      <c r="D1086" s="54" t="s">
        <v>96</v>
      </c>
      <c r="E1086" s="54" t="s">
        <v>97</v>
      </c>
      <c r="F1086" t="s">
        <v>35</v>
      </c>
      <c r="G1086">
        <v>38340</v>
      </c>
      <c r="H1086">
        <v>360</v>
      </c>
      <c r="I1086" t="str">
        <f t="shared" si="48"/>
        <v>AAA BBB</v>
      </c>
      <c r="J1086" t="str">
        <f t="shared" si="49"/>
        <v>XXX</v>
      </c>
      <c r="K1086" t="str">
        <f t="shared" si="50"/>
        <v>ZZZ, TN, 38340</v>
      </c>
    </row>
    <row r="1087" spans="1:11" x14ac:dyDescent="0.15">
      <c r="A1087">
        <v>1018918</v>
      </c>
      <c r="B1087" s="54" t="s">
        <v>94</v>
      </c>
      <c r="C1087" s="54" t="s">
        <v>95</v>
      </c>
      <c r="D1087" s="54" t="s">
        <v>96</v>
      </c>
      <c r="E1087" s="54" t="s">
        <v>97</v>
      </c>
      <c r="F1087" t="s">
        <v>35</v>
      </c>
      <c r="G1087">
        <v>38340</v>
      </c>
      <c r="H1087">
        <v>360</v>
      </c>
      <c r="I1087" t="str">
        <f t="shared" si="48"/>
        <v>AAA BBB</v>
      </c>
      <c r="J1087" t="str">
        <f t="shared" si="49"/>
        <v>XXX</v>
      </c>
      <c r="K1087" t="str">
        <f t="shared" si="50"/>
        <v>ZZZ, TN, 38340</v>
      </c>
    </row>
    <row r="1088" spans="1:11" x14ac:dyDescent="0.15">
      <c r="A1088">
        <v>1018918</v>
      </c>
      <c r="B1088" s="54" t="s">
        <v>94</v>
      </c>
      <c r="C1088" s="54" t="s">
        <v>95</v>
      </c>
      <c r="D1088" s="54" t="s">
        <v>96</v>
      </c>
      <c r="E1088" s="54" t="s">
        <v>97</v>
      </c>
      <c r="F1088" t="s">
        <v>35</v>
      </c>
      <c r="G1088">
        <v>38340</v>
      </c>
      <c r="H1088">
        <v>360</v>
      </c>
      <c r="I1088" t="str">
        <f t="shared" si="48"/>
        <v>AAA BBB</v>
      </c>
      <c r="J1088" t="str">
        <f t="shared" si="49"/>
        <v>XXX</v>
      </c>
      <c r="K1088" t="str">
        <f t="shared" si="50"/>
        <v>ZZZ, TN, 38340</v>
      </c>
    </row>
    <row r="1089" spans="1:11" x14ac:dyDescent="0.15">
      <c r="A1089">
        <v>1018918</v>
      </c>
      <c r="B1089" s="54" t="s">
        <v>94</v>
      </c>
      <c r="C1089" s="54" t="s">
        <v>95</v>
      </c>
      <c r="D1089" s="54" t="s">
        <v>96</v>
      </c>
      <c r="E1089" s="54" t="s">
        <v>97</v>
      </c>
      <c r="F1089" t="s">
        <v>35</v>
      </c>
      <c r="G1089">
        <v>38340</v>
      </c>
      <c r="H1089">
        <v>360</v>
      </c>
      <c r="I1089" t="str">
        <f t="shared" si="48"/>
        <v>AAA BBB</v>
      </c>
      <c r="J1089" t="str">
        <f t="shared" si="49"/>
        <v>XXX</v>
      </c>
      <c r="K1089" t="str">
        <f t="shared" si="50"/>
        <v>ZZZ, TN, 38340</v>
      </c>
    </row>
    <row r="1090" spans="1:11" x14ac:dyDescent="0.15">
      <c r="A1090">
        <v>1018918</v>
      </c>
      <c r="B1090" s="54" t="s">
        <v>94</v>
      </c>
      <c r="C1090" s="54" t="s">
        <v>95</v>
      </c>
      <c r="D1090" s="54" t="s">
        <v>96</v>
      </c>
      <c r="E1090" s="54" t="s">
        <v>97</v>
      </c>
      <c r="F1090" t="s">
        <v>35</v>
      </c>
      <c r="G1090">
        <v>38340</v>
      </c>
      <c r="H1090">
        <v>360</v>
      </c>
      <c r="I1090" t="str">
        <f t="shared" si="48"/>
        <v>AAA BBB</v>
      </c>
      <c r="J1090" t="str">
        <f t="shared" si="49"/>
        <v>XXX</v>
      </c>
      <c r="K1090" t="str">
        <f t="shared" si="50"/>
        <v>ZZZ, TN, 38340</v>
      </c>
    </row>
    <row r="1091" spans="1:11" x14ac:dyDescent="0.15">
      <c r="A1091">
        <v>1018918</v>
      </c>
      <c r="B1091" s="54" t="s">
        <v>94</v>
      </c>
      <c r="C1091" s="54" t="s">
        <v>95</v>
      </c>
      <c r="D1091" s="54" t="s">
        <v>96</v>
      </c>
      <c r="E1091" s="54" t="s">
        <v>97</v>
      </c>
      <c r="F1091" t="s">
        <v>35</v>
      </c>
      <c r="G1091">
        <v>38340</v>
      </c>
      <c r="H1091">
        <v>360</v>
      </c>
      <c r="I1091" t="str">
        <f t="shared" ref="I1091:I1154" si="51">CONCATENATE(B1091," ",C1091)</f>
        <v>AAA BBB</v>
      </c>
      <c r="J1091" t="str">
        <f t="shared" ref="J1091:J1154" si="52">D1091</f>
        <v>XXX</v>
      </c>
      <c r="K1091" t="str">
        <f t="shared" ref="K1091:K1154" si="53">CONCATENATE(E1091,","," ",F1091,","," ",G1091)</f>
        <v>ZZZ, TN, 38340</v>
      </c>
    </row>
    <row r="1092" spans="1:11" x14ac:dyDescent="0.15">
      <c r="A1092">
        <v>1018918</v>
      </c>
      <c r="B1092" s="54" t="s">
        <v>94</v>
      </c>
      <c r="C1092" s="54" t="s">
        <v>95</v>
      </c>
      <c r="D1092" s="54" t="s">
        <v>96</v>
      </c>
      <c r="E1092" s="54" t="s">
        <v>97</v>
      </c>
      <c r="F1092" t="s">
        <v>35</v>
      </c>
      <c r="G1092">
        <v>38340</v>
      </c>
      <c r="H1092">
        <v>360</v>
      </c>
      <c r="I1092" t="str">
        <f t="shared" si="51"/>
        <v>AAA BBB</v>
      </c>
      <c r="J1092" t="str">
        <f t="shared" si="52"/>
        <v>XXX</v>
      </c>
      <c r="K1092" t="str">
        <f t="shared" si="53"/>
        <v>ZZZ, TN, 38340</v>
      </c>
    </row>
    <row r="1093" spans="1:11" x14ac:dyDescent="0.15">
      <c r="A1093">
        <v>1018918</v>
      </c>
      <c r="B1093" s="54" t="s">
        <v>94</v>
      </c>
      <c r="C1093" s="54" t="s">
        <v>95</v>
      </c>
      <c r="D1093" s="54" t="s">
        <v>96</v>
      </c>
      <c r="E1093" s="54" t="s">
        <v>97</v>
      </c>
      <c r="F1093" t="s">
        <v>35</v>
      </c>
      <c r="G1093">
        <v>38340</v>
      </c>
      <c r="H1093">
        <v>360</v>
      </c>
      <c r="I1093" t="str">
        <f t="shared" si="51"/>
        <v>AAA BBB</v>
      </c>
      <c r="J1093" t="str">
        <f t="shared" si="52"/>
        <v>XXX</v>
      </c>
      <c r="K1093" t="str">
        <f t="shared" si="53"/>
        <v>ZZZ, TN, 38340</v>
      </c>
    </row>
    <row r="1094" spans="1:11" x14ac:dyDescent="0.15">
      <c r="A1094">
        <v>1018918</v>
      </c>
      <c r="B1094" s="54" t="s">
        <v>94</v>
      </c>
      <c r="C1094" s="54" t="s">
        <v>95</v>
      </c>
      <c r="D1094" s="54" t="s">
        <v>96</v>
      </c>
      <c r="E1094" s="54" t="s">
        <v>97</v>
      </c>
      <c r="F1094" t="s">
        <v>35</v>
      </c>
      <c r="G1094">
        <v>38340</v>
      </c>
      <c r="H1094">
        <v>360</v>
      </c>
      <c r="I1094" t="str">
        <f t="shared" si="51"/>
        <v>AAA BBB</v>
      </c>
      <c r="J1094" t="str">
        <f t="shared" si="52"/>
        <v>XXX</v>
      </c>
      <c r="K1094" t="str">
        <f t="shared" si="53"/>
        <v>ZZZ, TN, 38340</v>
      </c>
    </row>
    <row r="1095" spans="1:11" x14ac:dyDescent="0.15">
      <c r="A1095">
        <v>1018918</v>
      </c>
      <c r="B1095" s="54" t="s">
        <v>94</v>
      </c>
      <c r="C1095" s="54" t="s">
        <v>95</v>
      </c>
      <c r="D1095" s="54" t="s">
        <v>96</v>
      </c>
      <c r="E1095" s="54" t="s">
        <v>97</v>
      </c>
      <c r="F1095" t="s">
        <v>35</v>
      </c>
      <c r="G1095">
        <v>38340</v>
      </c>
      <c r="H1095">
        <v>360</v>
      </c>
      <c r="I1095" t="str">
        <f t="shared" si="51"/>
        <v>AAA BBB</v>
      </c>
      <c r="J1095" t="str">
        <f t="shared" si="52"/>
        <v>XXX</v>
      </c>
      <c r="K1095" t="str">
        <f t="shared" si="53"/>
        <v>ZZZ, TN, 38340</v>
      </c>
    </row>
    <row r="1096" spans="1:11" x14ac:dyDescent="0.15">
      <c r="A1096">
        <v>1018918</v>
      </c>
      <c r="B1096" s="54" t="s">
        <v>94</v>
      </c>
      <c r="C1096" s="54" t="s">
        <v>95</v>
      </c>
      <c r="D1096" s="54" t="s">
        <v>96</v>
      </c>
      <c r="E1096" s="54" t="s">
        <v>97</v>
      </c>
      <c r="F1096" t="s">
        <v>35</v>
      </c>
      <c r="G1096">
        <v>38340</v>
      </c>
      <c r="H1096">
        <v>360</v>
      </c>
      <c r="I1096" t="str">
        <f t="shared" si="51"/>
        <v>AAA BBB</v>
      </c>
      <c r="J1096" t="str">
        <f t="shared" si="52"/>
        <v>XXX</v>
      </c>
      <c r="K1096" t="str">
        <f t="shared" si="53"/>
        <v>ZZZ, TN, 38340</v>
      </c>
    </row>
    <row r="1097" spans="1:11" x14ac:dyDescent="0.15">
      <c r="A1097">
        <v>1018918</v>
      </c>
      <c r="B1097" s="54" t="s">
        <v>94</v>
      </c>
      <c r="C1097" s="54" t="s">
        <v>95</v>
      </c>
      <c r="D1097" s="54" t="s">
        <v>96</v>
      </c>
      <c r="E1097" s="54" t="s">
        <v>97</v>
      </c>
      <c r="F1097" t="s">
        <v>35</v>
      </c>
      <c r="G1097">
        <v>38340</v>
      </c>
      <c r="H1097">
        <v>360</v>
      </c>
      <c r="I1097" t="str">
        <f t="shared" si="51"/>
        <v>AAA BBB</v>
      </c>
      <c r="J1097" t="str">
        <f t="shared" si="52"/>
        <v>XXX</v>
      </c>
      <c r="K1097" t="str">
        <f t="shared" si="53"/>
        <v>ZZZ, TN, 38340</v>
      </c>
    </row>
    <row r="1098" spans="1:11" x14ac:dyDescent="0.15">
      <c r="A1098">
        <v>1018918</v>
      </c>
      <c r="B1098" s="54" t="s">
        <v>94</v>
      </c>
      <c r="C1098" s="54" t="s">
        <v>95</v>
      </c>
      <c r="D1098" s="54" t="s">
        <v>96</v>
      </c>
      <c r="E1098" s="54" t="s">
        <v>97</v>
      </c>
      <c r="F1098" t="s">
        <v>35</v>
      </c>
      <c r="G1098">
        <v>38340</v>
      </c>
      <c r="H1098">
        <v>360</v>
      </c>
      <c r="I1098" t="str">
        <f t="shared" si="51"/>
        <v>AAA BBB</v>
      </c>
      <c r="J1098" t="str">
        <f t="shared" si="52"/>
        <v>XXX</v>
      </c>
      <c r="K1098" t="str">
        <f t="shared" si="53"/>
        <v>ZZZ, TN, 38340</v>
      </c>
    </row>
    <row r="1099" spans="1:11" x14ac:dyDescent="0.15">
      <c r="A1099">
        <v>1018918</v>
      </c>
      <c r="B1099" s="54" t="s">
        <v>94</v>
      </c>
      <c r="C1099" s="54" t="s">
        <v>95</v>
      </c>
      <c r="D1099" s="54" t="s">
        <v>96</v>
      </c>
      <c r="E1099" s="54" t="s">
        <v>97</v>
      </c>
      <c r="F1099" t="s">
        <v>35</v>
      </c>
      <c r="G1099">
        <v>38340</v>
      </c>
      <c r="H1099">
        <v>360</v>
      </c>
      <c r="I1099" t="str">
        <f t="shared" si="51"/>
        <v>AAA BBB</v>
      </c>
      <c r="J1099" t="str">
        <f t="shared" si="52"/>
        <v>XXX</v>
      </c>
      <c r="K1099" t="str">
        <f t="shared" si="53"/>
        <v>ZZZ, TN, 38340</v>
      </c>
    </row>
    <row r="1100" spans="1:11" x14ac:dyDescent="0.15">
      <c r="A1100">
        <v>1018918</v>
      </c>
      <c r="B1100" s="54" t="s">
        <v>94</v>
      </c>
      <c r="C1100" s="54" t="s">
        <v>95</v>
      </c>
      <c r="D1100" s="54" t="s">
        <v>96</v>
      </c>
      <c r="E1100" s="54" t="s">
        <v>97</v>
      </c>
      <c r="F1100" t="s">
        <v>35</v>
      </c>
      <c r="G1100">
        <v>38340</v>
      </c>
      <c r="H1100">
        <v>360</v>
      </c>
      <c r="I1100" t="str">
        <f t="shared" si="51"/>
        <v>AAA BBB</v>
      </c>
      <c r="J1100" t="str">
        <f t="shared" si="52"/>
        <v>XXX</v>
      </c>
      <c r="K1100" t="str">
        <f t="shared" si="53"/>
        <v>ZZZ, TN, 38340</v>
      </c>
    </row>
    <row r="1101" spans="1:11" x14ac:dyDescent="0.15">
      <c r="A1101">
        <v>1018918</v>
      </c>
      <c r="B1101" s="54" t="s">
        <v>94</v>
      </c>
      <c r="C1101" s="54" t="s">
        <v>95</v>
      </c>
      <c r="D1101" s="54" t="s">
        <v>96</v>
      </c>
      <c r="E1101" s="54" t="s">
        <v>97</v>
      </c>
      <c r="F1101" t="s">
        <v>35</v>
      </c>
      <c r="G1101">
        <v>38340</v>
      </c>
      <c r="H1101">
        <v>360</v>
      </c>
      <c r="I1101" t="str">
        <f t="shared" si="51"/>
        <v>AAA BBB</v>
      </c>
      <c r="J1101" t="str">
        <f t="shared" si="52"/>
        <v>XXX</v>
      </c>
      <c r="K1101" t="str">
        <f t="shared" si="53"/>
        <v>ZZZ, TN, 38340</v>
      </c>
    </row>
    <row r="1102" spans="1:11" x14ac:dyDescent="0.15">
      <c r="A1102">
        <v>1018918</v>
      </c>
      <c r="B1102" s="54" t="s">
        <v>94</v>
      </c>
      <c r="C1102" s="54" t="s">
        <v>95</v>
      </c>
      <c r="D1102" s="54" t="s">
        <v>96</v>
      </c>
      <c r="E1102" s="54" t="s">
        <v>97</v>
      </c>
      <c r="F1102" t="s">
        <v>35</v>
      </c>
      <c r="G1102">
        <v>38340</v>
      </c>
      <c r="H1102">
        <v>360</v>
      </c>
      <c r="I1102" t="str">
        <f t="shared" si="51"/>
        <v>AAA BBB</v>
      </c>
      <c r="J1102" t="str">
        <f t="shared" si="52"/>
        <v>XXX</v>
      </c>
      <c r="K1102" t="str">
        <f t="shared" si="53"/>
        <v>ZZZ, TN, 38340</v>
      </c>
    </row>
    <row r="1103" spans="1:11" x14ac:dyDescent="0.15">
      <c r="A1103">
        <v>1018918</v>
      </c>
      <c r="B1103" s="54" t="s">
        <v>94</v>
      </c>
      <c r="C1103" s="54" t="s">
        <v>95</v>
      </c>
      <c r="D1103" s="54" t="s">
        <v>96</v>
      </c>
      <c r="E1103" s="54" t="s">
        <v>97</v>
      </c>
      <c r="F1103" t="s">
        <v>35</v>
      </c>
      <c r="G1103">
        <v>38340</v>
      </c>
      <c r="H1103">
        <v>360</v>
      </c>
      <c r="I1103" t="str">
        <f t="shared" si="51"/>
        <v>AAA BBB</v>
      </c>
      <c r="J1103" t="str">
        <f t="shared" si="52"/>
        <v>XXX</v>
      </c>
      <c r="K1103" t="str">
        <f t="shared" si="53"/>
        <v>ZZZ, TN, 38340</v>
      </c>
    </row>
    <row r="1104" spans="1:11" x14ac:dyDescent="0.15">
      <c r="A1104">
        <v>1018918</v>
      </c>
      <c r="B1104" s="54" t="s">
        <v>94</v>
      </c>
      <c r="C1104" s="54" t="s">
        <v>95</v>
      </c>
      <c r="D1104" s="54" t="s">
        <v>96</v>
      </c>
      <c r="E1104" s="54" t="s">
        <v>97</v>
      </c>
      <c r="F1104" t="s">
        <v>35</v>
      </c>
      <c r="G1104">
        <v>38340</v>
      </c>
      <c r="H1104">
        <v>360</v>
      </c>
      <c r="I1104" t="str">
        <f t="shared" si="51"/>
        <v>AAA BBB</v>
      </c>
      <c r="J1104" t="str">
        <f t="shared" si="52"/>
        <v>XXX</v>
      </c>
      <c r="K1104" t="str">
        <f t="shared" si="53"/>
        <v>ZZZ, TN, 38340</v>
      </c>
    </row>
    <row r="1105" spans="1:11" x14ac:dyDescent="0.15">
      <c r="A1105">
        <v>1018918</v>
      </c>
      <c r="B1105" s="54" t="s">
        <v>94</v>
      </c>
      <c r="C1105" s="54" t="s">
        <v>95</v>
      </c>
      <c r="D1105" s="54" t="s">
        <v>96</v>
      </c>
      <c r="E1105" s="54" t="s">
        <v>97</v>
      </c>
      <c r="F1105" t="s">
        <v>35</v>
      </c>
      <c r="G1105">
        <v>38340</v>
      </c>
      <c r="H1105">
        <v>360</v>
      </c>
      <c r="I1105" t="str">
        <f t="shared" si="51"/>
        <v>AAA BBB</v>
      </c>
      <c r="J1105" t="str">
        <f t="shared" si="52"/>
        <v>XXX</v>
      </c>
      <c r="K1105" t="str">
        <f t="shared" si="53"/>
        <v>ZZZ, TN, 38340</v>
      </c>
    </row>
    <row r="1106" spans="1:11" x14ac:dyDescent="0.15">
      <c r="A1106">
        <v>1018918</v>
      </c>
      <c r="B1106" s="54" t="s">
        <v>94</v>
      </c>
      <c r="C1106" s="54" t="s">
        <v>95</v>
      </c>
      <c r="D1106" s="54" t="s">
        <v>96</v>
      </c>
      <c r="E1106" s="54" t="s">
        <v>97</v>
      </c>
      <c r="F1106" t="s">
        <v>35</v>
      </c>
      <c r="G1106">
        <v>38340</v>
      </c>
      <c r="H1106">
        <v>360</v>
      </c>
      <c r="I1106" t="str">
        <f t="shared" si="51"/>
        <v>AAA BBB</v>
      </c>
      <c r="J1106" t="str">
        <f t="shared" si="52"/>
        <v>XXX</v>
      </c>
      <c r="K1106" t="str">
        <f t="shared" si="53"/>
        <v>ZZZ, TN, 38340</v>
      </c>
    </row>
    <row r="1107" spans="1:11" x14ac:dyDescent="0.15">
      <c r="A1107">
        <v>1018918</v>
      </c>
      <c r="B1107" s="54" t="s">
        <v>94</v>
      </c>
      <c r="C1107" s="54" t="s">
        <v>95</v>
      </c>
      <c r="D1107" s="54" t="s">
        <v>96</v>
      </c>
      <c r="E1107" s="54" t="s">
        <v>97</v>
      </c>
      <c r="F1107" t="s">
        <v>35</v>
      </c>
      <c r="G1107">
        <v>38340</v>
      </c>
      <c r="H1107">
        <v>360</v>
      </c>
      <c r="I1107" t="str">
        <f t="shared" si="51"/>
        <v>AAA BBB</v>
      </c>
      <c r="J1107" t="str">
        <f t="shared" si="52"/>
        <v>XXX</v>
      </c>
      <c r="K1107" t="str">
        <f t="shared" si="53"/>
        <v>ZZZ, TN, 38340</v>
      </c>
    </row>
    <row r="1108" spans="1:11" x14ac:dyDescent="0.15">
      <c r="A1108">
        <v>1018918</v>
      </c>
      <c r="B1108" s="54" t="s">
        <v>94</v>
      </c>
      <c r="C1108" s="54" t="s">
        <v>95</v>
      </c>
      <c r="D1108" s="54" t="s">
        <v>96</v>
      </c>
      <c r="E1108" s="54" t="s">
        <v>97</v>
      </c>
      <c r="F1108" t="s">
        <v>35</v>
      </c>
      <c r="G1108">
        <v>38340</v>
      </c>
      <c r="H1108">
        <v>360</v>
      </c>
      <c r="I1108" t="str">
        <f t="shared" si="51"/>
        <v>AAA BBB</v>
      </c>
      <c r="J1108" t="str">
        <f t="shared" si="52"/>
        <v>XXX</v>
      </c>
      <c r="K1108" t="str">
        <f t="shared" si="53"/>
        <v>ZZZ, TN, 38340</v>
      </c>
    </row>
    <row r="1109" spans="1:11" x14ac:dyDescent="0.15">
      <c r="A1109">
        <v>1018918</v>
      </c>
      <c r="B1109" s="54" t="s">
        <v>94</v>
      </c>
      <c r="C1109" s="54" t="s">
        <v>95</v>
      </c>
      <c r="D1109" s="54" t="s">
        <v>96</v>
      </c>
      <c r="E1109" s="54" t="s">
        <v>97</v>
      </c>
      <c r="F1109" t="s">
        <v>35</v>
      </c>
      <c r="G1109">
        <v>38340</v>
      </c>
      <c r="H1109">
        <v>360</v>
      </c>
      <c r="I1109" t="str">
        <f t="shared" si="51"/>
        <v>AAA BBB</v>
      </c>
      <c r="J1109" t="str">
        <f t="shared" si="52"/>
        <v>XXX</v>
      </c>
      <c r="K1109" t="str">
        <f t="shared" si="53"/>
        <v>ZZZ, TN, 38340</v>
      </c>
    </row>
    <row r="1110" spans="1:11" x14ac:dyDescent="0.15">
      <c r="A1110">
        <v>1018918</v>
      </c>
      <c r="B1110" s="54" t="s">
        <v>94</v>
      </c>
      <c r="C1110" s="54" t="s">
        <v>95</v>
      </c>
      <c r="D1110" s="54" t="s">
        <v>96</v>
      </c>
      <c r="E1110" s="54" t="s">
        <v>97</v>
      </c>
      <c r="F1110" t="s">
        <v>35</v>
      </c>
      <c r="G1110">
        <v>38340</v>
      </c>
      <c r="H1110">
        <v>360</v>
      </c>
      <c r="I1110" t="str">
        <f t="shared" si="51"/>
        <v>AAA BBB</v>
      </c>
      <c r="J1110" t="str">
        <f t="shared" si="52"/>
        <v>XXX</v>
      </c>
      <c r="K1110" t="str">
        <f t="shared" si="53"/>
        <v>ZZZ, TN, 38340</v>
      </c>
    </row>
    <row r="1111" spans="1:11" x14ac:dyDescent="0.15">
      <c r="A1111">
        <v>1018918</v>
      </c>
      <c r="B1111" s="54" t="s">
        <v>94</v>
      </c>
      <c r="C1111" s="54" t="s">
        <v>95</v>
      </c>
      <c r="D1111" s="54" t="s">
        <v>96</v>
      </c>
      <c r="E1111" s="54" t="s">
        <v>97</v>
      </c>
      <c r="F1111" t="s">
        <v>35</v>
      </c>
      <c r="G1111">
        <v>38340</v>
      </c>
      <c r="H1111">
        <v>360</v>
      </c>
      <c r="I1111" t="str">
        <f t="shared" si="51"/>
        <v>AAA BBB</v>
      </c>
      <c r="J1111" t="str">
        <f t="shared" si="52"/>
        <v>XXX</v>
      </c>
      <c r="K1111" t="str">
        <f t="shared" si="53"/>
        <v>ZZZ, TN, 38340</v>
      </c>
    </row>
    <row r="1112" spans="1:11" x14ac:dyDescent="0.15">
      <c r="A1112">
        <v>1018918</v>
      </c>
      <c r="B1112" s="54" t="s">
        <v>94</v>
      </c>
      <c r="C1112" s="54" t="s">
        <v>95</v>
      </c>
      <c r="D1112" s="54" t="s">
        <v>96</v>
      </c>
      <c r="E1112" s="54" t="s">
        <v>97</v>
      </c>
      <c r="F1112" t="s">
        <v>35</v>
      </c>
      <c r="G1112">
        <v>38340</v>
      </c>
      <c r="H1112">
        <v>360</v>
      </c>
      <c r="I1112" t="str">
        <f t="shared" si="51"/>
        <v>AAA BBB</v>
      </c>
      <c r="J1112" t="str">
        <f t="shared" si="52"/>
        <v>XXX</v>
      </c>
      <c r="K1112" t="str">
        <f t="shared" si="53"/>
        <v>ZZZ, TN, 38340</v>
      </c>
    </row>
    <row r="1113" spans="1:11" x14ac:dyDescent="0.15">
      <c r="A1113">
        <v>1018918</v>
      </c>
      <c r="B1113" s="54" t="s">
        <v>94</v>
      </c>
      <c r="C1113" s="54" t="s">
        <v>95</v>
      </c>
      <c r="D1113" s="54" t="s">
        <v>96</v>
      </c>
      <c r="E1113" s="54" t="s">
        <v>97</v>
      </c>
      <c r="F1113" t="s">
        <v>35</v>
      </c>
      <c r="G1113">
        <v>38340</v>
      </c>
      <c r="H1113">
        <v>360</v>
      </c>
      <c r="I1113" t="str">
        <f t="shared" si="51"/>
        <v>AAA BBB</v>
      </c>
      <c r="J1113" t="str">
        <f t="shared" si="52"/>
        <v>XXX</v>
      </c>
      <c r="K1113" t="str">
        <f t="shared" si="53"/>
        <v>ZZZ, TN, 38340</v>
      </c>
    </row>
    <row r="1114" spans="1:11" x14ac:dyDescent="0.15">
      <c r="A1114">
        <v>1018918</v>
      </c>
      <c r="B1114" s="54" t="s">
        <v>94</v>
      </c>
      <c r="C1114" s="54" t="s">
        <v>95</v>
      </c>
      <c r="D1114" s="54" t="s">
        <v>96</v>
      </c>
      <c r="E1114" s="54" t="s">
        <v>97</v>
      </c>
      <c r="F1114" t="s">
        <v>35</v>
      </c>
      <c r="G1114">
        <v>38340</v>
      </c>
      <c r="H1114">
        <v>360</v>
      </c>
      <c r="I1114" t="str">
        <f t="shared" si="51"/>
        <v>AAA BBB</v>
      </c>
      <c r="J1114" t="str">
        <f t="shared" si="52"/>
        <v>XXX</v>
      </c>
      <c r="K1114" t="str">
        <f t="shared" si="53"/>
        <v>ZZZ, TN, 38340</v>
      </c>
    </row>
    <row r="1115" spans="1:11" x14ac:dyDescent="0.15">
      <c r="A1115">
        <v>1018918</v>
      </c>
      <c r="B1115" s="54" t="s">
        <v>94</v>
      </c>
      <c r="C1115" s="54" t="s">
        <v>95</v>
      </c>
      <c r="D1115" s="54" t="s">
        <v>96</v>
      </c>
      <c r="E1115" s="54" t="s">
        <v>97</v>
      </c>
      <c r="F1115" t="s">
        <v>35</v>
      </c>
      <c r="G1115">
        <v>38340</v>
      </c>
      <c r="H1115">
        <v>360</v>
      </c>
      <c r="I1115" t="str">
        <f t="shared" si="51"/>
        <v>AAA BBB</v>
      </c>
      <c r="J1115" t="str">
        <f t="shared" si="52"/>
        <v>XXX</v>
      </c>
      <c r="K1115" t="str">
        <f t="shared" si="53"/>
        <v>ZZZ, TN, 38340</v>
      </c>
    </row>
    <row r="1116" spans="1:11" x14ac:dyDescent="0.15">
      <c r="A1116">
        <v>1018918</v>
      </c>
      <c r="B1116" s="54" t="s">
        <v>94</v>
      </c>
      <c r="C1116" s="54" t="s">
        <v>95</v>
      </c>
      <c r="D1116" s="54" t="s">
        <v>96</v>
      </c>
      <c r="E1116" s="54" t="s">
        <v>97</v>
      </c>
      <c r="F1116" t="s">
        <v>35</v>
      </c>
      <c r="G1116">
        <v>38340</v>
      </c>
      <c r="H1116">
        <v>360</v>
      </c>
      <c r="I1116" t="str">
        <f t="shared" si="51"/>
        <v>AAA BBB</v>
      </c>
      <c r="J1116" t="str">
        <f t="shared" si="52"/>
        <v>XXX</v>
      </c>
      <c r="K1116" t="str">
        <f t="shared" si="53"/>
        <v>ZZZ, TN, 38340</v>
      </c>
    </row>
    <row r="1117" spans="1:11" x14ac:dyDescent="0.15">
      <c r="A1117">
        <v>1018918</v>
      </c>
      <c r="B1117" s="54" t="s">
        <v>94</v>
      </c>
      <c r="C1117" s="54" t="s">
        <v>95</v>
      </c>
      <c r="D1117" s="54" t="s">
        <v>96</v>
      </c>
      <c r="E1117" s="54" t="s">
        <v>97</v>
      </c>
      <c r="F1117" t="s">
        <v>35</v>
      </c>
      <c r="G1117">
        <v>38340</v>
      </c>
      <c r="H1117">
        <v>360</v>
      </c>
      <c r="I1117" t="str">
        <f t="shared" si="51"/>
        <v>AAA BBB</v>
      </c>
      <c r="J1117" t="str">
        <f t="shared" si="52"/>
        <v>XXX</v>
      </c>
      <c r="K1117" t="str">
        <f t="shared" si="53"/>
        <v>ZZZ, TN, 38340</v>
      </c>
    </row>
    <row r="1118" spans="1:11" x14ac:dyDescent="0.15">
      <c r="A1118">
        <v>1018918</v>
      </c>
      <c r="B1118" s="54" t="s">
        <v>94</v>
      </c>
      <c r="C1118" s="54" t="s">
        <v>95</v>
      </c>
      <c r="D1118" s="54" t="s">
        <v>96</v>
      </c>
      <c r="E1118" s="54" t="s">
        <v>97</v>
      </c>
      <c r="F1118" t="s">
        <v>35</v>
      </c>
      <c r="G1118">
        <v>38340</v>
      </c>
      <c r="H1118">
        <v>360</v>
      </c>
      <c r="I1118" t="str">
        <f t="shared" si="51"/>
        <v>AAA BBB</v>
      </c>
      <c r="J1118" t="str">
        <f t="shared" si="52"/>
        <v>XXX</v>
      </c>
      <c r="K1118" t="str">
        <f t="shared" si="53"/>
        <v>ZZZ, TN, 38340</v>
      </c>
    </row>
    <row r="1119" spans="1:11" x14ac:dyDescent="0.15">
      <c r="A1119">
        <v>1018918</v>
      </c>
      <c r="B1119" s="54" t="s">
        <v>94</v>
      </c>
      <c r="C1119" s="54" t="s">
        <v>95</v>
      </c>
      <c r="D1119" s="54" t="s">
        <v>96</v>
      </c>
      <c r="E1119" s="54" t="s">
        <v>97</v>
      </c>
      <c r="F1119" t="s">
        <v>35</v>
      </c>
      <c r="G1119">
        <v>38340</v>
      </c>
      <c r="H1119">
        <v>360</v>
      </c>
      <c r="I1119" t="str">
        <f t="shared" si="51"/>
        <v>AAA BBB</v>
      </c>
      <c r="J1119" t="str">
        <f t="shared" si="52"/>
        <v>XXX</v>
      </c>
      <c r="K1119" t="str">
        <f t="shared" si="53"/>
        <v>ZZZ, TN, 38340</v>
      </c>
    </row>
    <row r="1120" spans="1:11" x14ac:dyDescent="0.15">
      <c r="A1120">
        <v>1018918</v>
      </c>
      <c r="B1120" s="54" t="s">
        <v>94</v>
      </c>
      <c r="C1120" s="54" t="s">
        <v>95</v>
      </c>
      <c r="D1120" s="54" t="s">
        <v>96</v>
      </c>
      <c r="E1120" s="54" t="s">
        <v>97</v>
      </c>
      <c r="F1120" t="s">
        <v>35</v>
      </c>
      <c r="G1120">
        <v>38340</v>
      </c>
      <c r="H1120">
        <v>360</v>
      </c>
      <c r="I1120" t="str">
        <f t="shared" si="51"/>
        <v>AAA BBB</v>
      </c>
      <c r="J1120" t="str">
        <f t="shared" si="52"/>
        <v>XXX</v>
      </c>
      <c r="K1120" t="str">
        <f t="shared" si="53"/>
        <v>ZZZ, TN, 38340</v>
      </c>
    </row>
    <row r="1121" spans="1:11" x14ac:dyDescent="0.15">
      <c r="A1121">
        <v>1018918</v>
      </c>
      <c r="B1121" s="54" t="s">
        <v>94</v>
      </c>
      <c r="C1121" s="54" t="s">
        <v>95</v>
      </c>
      <c r="D1121" s="54" t="s">
        <v>96</v>
      </c>
      <c r="E1121" s="54" t="s">
        <v>97</v>
      </c>
      <c r="F1121" t="s">
        <v>35</v>
      </c>
      <c r="G1121">
        <v>38340</v>
      </c>
      <c r="H1121">
        <v>360</v>
      </c>
      <c r="I1121" t="str">
        <f t="shared" si="51"/>
        <v>AAA BBB</v>
      </c>
      <c r="J1121" t="str">
        <f t="shared" si="52"/>
        <v>XXX</v>
      </c>
      <c r="K1121" t="str">
        <f t="shared" si="53"/>
        <v>ZZZ, TN, 38340</v>
      </c>
    </row>
    <row r="1122" spans="1:11" x14ac:dyDescent="0.15">
      <c r="A1122">
        <v>1018918</v>
      </c>
      <c r="B1122" s="54" t="s">
        <v>94</v>
      </c>
      <c r="C1122" s="54" t="s">
        <v>95</v>
      </c>
      <c r="D1122" s="54" t="s">
        <v>96</v>
      </c>
      <c r="E1122" s="54" t="s">
        <v>97</v>
      </c>
      <c r="F1122" t="s">
        <v>35</v>
      </c>
      <c r="G1122">
        <v>38340</v>
      </c>
      <c r="H1122">
        <v>360</v>
      </c>
      <c r="I1122" t="str">
        <f t="shared" si="51"/>
        <v>AAA BBB</v>
      </c>
      <c r="J1122" t="str">
        <f t="shared" si="52"/>
        <v>XXX</v>
      </c>
      <c r="K1122" t="str">
        <f t="shared" si="53"/>
        <v>ZZZ, TN, 38340</v>
      </c>
    </row>
    <row r="1123" spans="1:11" x14ac:dyDescent="0.15">
      <c r="A1123">
        <v>1018918</v>
      </c>
      <c r="B1123" s="54" t="s">
        <v>94</v>
      </c>
      <c r="C1123" s="54" t="s">
        <v>95</v>
      </c>
      <c r="D1123" s="54" t="s">
        <v>96</v>
      </c>
      <c r="E1123" s="54" t="s">
        <v>97</v>
      </c>
      <c r="F1123" t="s">
        <v>35</v>
      </c>
      <c r="G1123">
        <v>38340</v>
      </c>
      <c r="H1123">
        <v>360</v>
      </c>
      <c r="I1123" t="str">
        <f t="shared" si="51"/>
        <v>AAA BBB</v>
      </c>
      <c r="J1123" t="str">
        <f t="shared" si="52"/>
        <v>XXX</v>
      </c>
      <c r="K1123" t="str">
        <f t="shared" si="53"/>
        <v>ZZZ, TN, 38340</v>
      </c>
    </row>
    <row r="1124" spans="1:11" x14ac:dyDescent="0.15">
      <c r="A1124">
        <v>1018918</v>
      </c>
      <c r="B1124" s="54" t="s">
        <v>94</v>
      </c>
      <c r="C1124" s="54" t="s">
        <v>95</v>
      </c>
      <c r="D1124" s="54" t="s">
        <v>96</v>
      </c>
      <c r="E1124" s="54" t="s">
        <v>97</v>
      </c>
      <c r="F1124" t="s">
        <v>35</v>
      </c>
      <c r="G1124">
        <v>38340</v>
      </c>
      <c r="H1124">
        <v>360</v>
      </c>
      <c r="I1124" t="str">
        <f t="shared" si="51"/>
        <v>AAA BBB</v>
      </c>
      <c r="J1124" t="str">
        <f t="shared" si="52"/>
        <v>XXX</v>
      </c>
      <c r="K1124" t="str">
        <f t="shared" si="53"/>
        <v>ZZZ, TN, 38340</v>
      </c>
    </row>
    <row r="1125" spans="1:11" x14ac:dyDescent="0.15">
      <c r="A1125">
        <v>1018918</v>
      </c>
      <c r="B1125" s="54" t="s">
        <v>94</v>
      </c>
      <c r="C1125" s="54" t="s">
        <v>95</v>
      </c>
      <c r="D1125" s="54" t="s">
        <v>96</v>
      </c>
      <c r="E1125" s="54" t="s">
        <v>97</v>
      </c>
      <c r="F1125" t="s">
        <v>35</v>
      </c>
      <c r="G1125">
        <v>38340</v>
      </c>
      <c r="H1125">
        <v>360</v>
      </c>
      <c r="I1125" t="str">
        <f t="shared" si="51"/>
        <v>AAA BBB</v>
      </c>
      <c r="J1125" t="str">
        <f t="shared" si="52"/>
        <v>XXX</v>
      </c>
      <c r="K1125" t="str">
        <f t="shared" si="53"/>
        <v>ZZZ, TN, 38340</v>
      </c>
    </row>
    <row r="1126" spans="1:11" x14ac:dyDescent="0.15">
      <c r="A1126">
        <v>1018918</v>
      </c>
      <c r="B1126" s="54" t="s">
        <v>94</v>
      </c>
      <c r="C1126" s="54" t="s">
        <v>95</v>
      </c>
      <c r="D1126" s="54" t="s">
        <v>96</v>
      </c>
      <c r="E1126" s="54" t="s">
        <v>97</v>
      </c>
      <c r="F1126" t="s">
        <v>35</v>
      </c>
      <c r="G1126">
        <v>38340</v>
      </c>
      <c r="H1126">
        <v>360</v>
      </c>
      <c r="I1126" t="str">
        <f t="shared" si="51"/>
        <v>AAA BBB</v>
      </c>
      <c r="J1126" t="str">
        <f t="shared" si="52"/>
        <v>XXX</v>
      </c>
      <c r="K1126" t="str">
        <f t="shared" si="53"/>
        <v>ZZZ, TN, 38340</v>
      </c>
    </row>
    <row r="1127" spans="1:11" x14ac:dyDescent="0.15">
      <c r="A1127">
        <v>1018918</v>
      </c>
      <c r="B1127" s="54" t="s">
        <v>94</v>
      </c>
      <c r="C1127" s="54" t="s">
        <v>95</v>
      </c>
      <c r="D1127" s="54" t="s">
        <v>96</v>
      </c>
      <c r="E1127" s="54" t="s">
        <v>97</v>
      </c>
      <c r="F1127" t="s">
        <v>35</v>
      </c>
      <c r="G1127">
        <v>38340</v>
      </c>
      <c r="H1127">
        <v>360</v>
      </c>
      <c r="I1127" t="str">
        <f t="shared" si="51"/>
        <v>AAA BBB</v>
      </c>
      <c r="J1127" t="str">
        <f t="shared" si="52"/>
        <v>XXX</v>
      </c>
      <c r="K1127" t="str">
        <f t="shared" si="53"/>
        <v>ZZZ, TN, 38340</v>
      </c>
    </row>
    <row r="1128" spans="1:11" x14ac:dyDescent="0.15">
      <c r="A1128">
        <v>1018918</v>
      </c>
      <c r="B1128" s="54" t="s">
        <v>94</v>
      </c>
      <c r="C1128" s="54" t="s">
        <v>95</v>
      </c>
      <c r="D1128" s="54" t="s">
        <v>96</v>
      </c>
      <c r="E1128" s="54" t="s">
        <v>97</v>
      </c>
      <c r="F1128" t="s">
        <v>35</v>
      </c>
      <c r="G1128">
        <v>38340</v>
      </c>
      <c r="H1128">
        <v>360</v>
      </c>
      <c r="I1128" t="str">
        <f t="shared" si="51"/>
        <v>AAA BBB</v>
      </c>
      <c r="J1128" t="str">
        <f t="shared" si="52"/>
        <v>XXX</v>
      </c>
      <c r="K1128" t="str">
        <f t="shared" si="53"/>
        <v>ZZZ, TN, 38340</v>
      </c>
    </row>
    <row r="1129" spans="1:11" x14ac:dyDescent="0.15">
      <c r="A1129">
        <v>1018918</v>
      </c>
      <c r="B1129" s="54" t="s">
        <v>94</v>
      </c>
      <c r="C1129" s="54" t="s">
        <v>95</v>
      </c>
      <c r="D1129" s="54" t="s">
        <v>96</v>
      </c>
      <c r="E1129" s="54" t="s">
        <v>97</v>
      </c>
      <c r="F1129" t="s">
        <v>35</v>
      </c>
      <c r="G1129">
        <v>38340</v>
      </c>
      <c r="H1129">
        <v>360</v>
      </c>
      <c r="I1129" t="str">
        <f t="shared" si="51"/>
        <v>AAA BBB</v>
      </c>
      <c r="J1129" t="str">
        <f t="shared" si="52"/>
        <v>XXX</v>
      </c>
      <c r="K1129" t="str">
        <f t="shared" si="53"/>
        <v>ZZZ, TN, 38340</v>
      </c>
    </row>
    <row r="1130" spans="1:11" x14ac:dyDescent="0.15">
      <c r="A1130">
        <v>1018918</v>
      </c>
      <c r="B1130" s="54" t="s">
        <v>94</v>
      </c>
      <c r="C1130" s="54" t="s">
        <v>95</v>
      </c>
      <c r="D1130" s="54" t="s">
        <v>96</v>
      </c>
      <c r="E1130" s="54" t="s">
        <v>97</v>
      </c>
      <c r="F1130" t="s">
        <v>35</v>
      </c>
      <c r="G1130">
        <v>38340</v>
      </c>
      <c r="H1130">
        <v>360</v>
      </c>
      <c r="I1130" t="str">
        <f t="shared" si="51"/>
        <v>AAA BBB</v>
      </c>
      <c r="J1130" t="str">
        <f t="shared" si="52"/>
        <v>XXX</v>
      </c>
      <c r="K1130" t="str">
        <f t="shared" si="53"/>
        <v>ZZZ, TN, 38340</v>
      </c>
    </row>
    <row r="1131" spans="1:11" x14ac:dyDescent="0.15">
      <c r="A1131">
        <v>1018918</v>
      </c>
      <c r="B1131" s="54" t="s">
        <v>94</v>
      </c>
      <c r="C1131" s="54" t="s">
        <v>95</v>
      </c>
      <c r="D1131" s="54" t="s">
        <v>96</v>
      </c>
      <c r="E1131" s="54" t="s">
        <v>97</v>
      </c>
      <c r="F1131" t="s">
        <v>35</v>
      </c>
      <c r="G1131">
        <v>38340</v>
      </c>
      <c r="H1131">
        <v>360</v>
      </c>
      <c r="I1131" t="str">
        <f t="shared" si="51"/>
        <v>AAA BBB</v>
      </c>
      <c r="J1131" t="str">
        <f t="shared" si="52"/>
        <v>XXX</v>
      </c>
      <c r="K1131" t="str">
        <f t="shared" si="53"/>
        <v>ZZZ, TN, 38340</v>
      </c>
    </row>
    <row r="1132" spans="1:11" x14ac:dyDescent="0.15">
      <c r="A1132">
        <v>1018918</v>
      </c>
      <c r="B1132" s="54" t="s">
        <v>94</v>
      </c>
      <c r="C1132" s="54" t="s">
        <v>95</v>
      </c>
      <c r="D1132" s="54" t="s">
        <v>96</v>
      </c>
      <c r="E1132" s="54" t="s">
        <v>97</v>
      </c>
      <c r="F1132" t="s">
        <v>35</v>
      </c>
      <c r="G1132">
        <v>38340</v>
      </c>
      <c r="H1132">
        <v>360</v>
      </c>
      <c r="I1132" t="str">
        <f t="shared" si="51"/>
        <v>AAA BBB</v>
      </c>
      <c r="J1132" t="str">
        <f t="shared" si="52"/>
        <v>XXX</v>
      </c>
      <c r="K1132" t="str">
        <f t="shared" si="53"/>
        <v>ZZZ, TN, 38340</v>
      </c>
    </row>
    <row r="1133" spans="1:11" x14ac:dyDescent="0.15">
      <c r="A1133">
        <v>1018918</v>
      </c>
      <c r="B1133" s="54" t="s">
        <v>94</v>
      </c>
      <c r="C1133" s="54" t="s">
        <v>95</v>
      </c>
      <c r="D1133" s="54" t="s">
        <v>96</v>
      </c>
      <c r="E1133" s="54" t="s">
        <v>97</v>
      </c>
      <c r="F1133" t="s">
        <v>35</v>
      </c>
      <c r="G1133">
        <v>38340</v>
      </c>
      <c r="H1133">
        <v>360</v>
      </c>
      <c r="I1133" t="str">
        <f t="shared" si="51"/>
        <v>AAA BBB</v>
      </c>
      <c r="J1133" t="str">
        <f t="shared" si="52"/>
        <v>XXX</v>
      </c>
      <c r="K1133" t="str">
        <f t="shared" si="53"/>
        <v>ZZZ, TN, 38340</v>
      </c>
    </row>
    <row r="1134" spans="1:11" x14ac:dyDescent="0.15">
      <c r="A1134">
        <v>1018918</v>
      </c>
      <c r="B1134" s="54" t="s">
        <v>94</v>
      </c>
      <c r="C1134" s="54" t="s">
        <v>95</v>
      </c>
      <c r="D1134" s="54" t="s">
        <v>96</v>
      </c>
      <c r="E1134" s="54" t="s">
        <v>97</v>
      </c>
      <c r="F1134" t="s">
        <v>35</v>
      </c>
      <c r="G1134">
        <v>38340</v>
      </c>
      <c r="H1134">
        <v>360</v>
      </c>
      <c r="I1134" t="str">
        <f t="shared" si="51"/>
        <v>AAA BBB</v>
      </c>
      <c r="J1134" t="str">
        <f t="shared" si="52"/>
        <v>XXX</v>
      </c>
      <c r="K1134" t="str">
        <f t="shared" si="53"/>
        <v>ZZZ, TN, 38340</v>
      </c>
    </row>
    <row r="1135" spans="1:11" x14ac:dyDescent="0.15">
      <c r="A1135">
        <v>1018918</v>
      </c>
      <c r="B1135" s="54" t="s">
        <v>94</v>
      </c>
      <c r="C1135" s="54" t="s">
        <v>95</v>
      </c>
      <c r="D1135" s="54" t="s">
        <v>96</v>
      </c>
      <c r="E1135" s="54" t="s">
        <v>97</v>
      </c>
      <c r="F1135" t="s">
        <v>35</v>
      </c>
      <c r="G1135">
        <v>38340</v>
      </c>
      <c r="H1135">
        <v>360</v>
      </c>
      <c r="I1135" t="str">
        <f t="shared" si="51"/>
        <v>AAA BBB</v>
      </c>
      <c r="J1135" t="str">
        <f t="shared" si="52"/>
        <v>XXX</v>
      </c>
      <c r="K1135" t="str">
        <f t="shared" si="53"/>
        <v>ZZZ, TN, 38340</v>
      </c>
    </row>
    <row r="1136" spans="1:11" x14ac:dyDescent="0.15">
      <c r="A1136">
        <v>1018918</v>
      </c>
      <c r="B1136" s="54" t="s">
        <v>94</v>
      </c>
      <c r="C1136" s="54" t="s">
        <v>95</v>
      </c>
      <c r="D1136" s="54" t="s">
        <v>96</v>
      </c>
      <c r="E1136" s="54" t="s">
        <v>97</v>
      </c>
      <c r="F1136" t="s">
        <v>35</v>
      </c>
      <c r="G1136">
        <v>38340</v>
      </c>
      <c r="H1136">
        <v>360</v>
      </c>
      <c r="I1136" t="str">
        <f t="shared" si="51"/>
        <v>AAA BBB</v>
      </c>
      <c r="J1136" t="str">
        <f t="shared" si="52"/>
        <v>XXX</v>
      </c>
      <c r="K1136" t="str">
        <f t="shared" si="53"/>
        <v>ZZZ, TN, 38340</v>
      </c>
    </row>
    <row r="1137" spans="1:11" x14ac:dyDescent="0.15">
      <c r="A1137">
        <v>1018918</v>
      </c>
      <c r="B1137" s="54" t="s">
        <v>94</v>
      </c>
      <c r="C1137" s="54" t="s">
        <v>95</v>
      </c>
      <c r="D1137" s="54" t="s">
        <v>96</v>
      </c>
      <c r="E1137" s="54" t="s">
        <v>97</v>
      </c>
      <c r="F1137" t="s">
        <v>35</v>
      </c>
      <c r="G1137">
        <v>38340</v>
      </c>
      <c r="H1137">
        <v>360</v>
      </c>
      <c r="I1137" t="str">
        <f t="shared" si="51"/>
        <v>AAA BBB</v>
      </c>
      <c r="J1137" t="str">
        <f t="shared" si="52"/>
        <v>XXX</v>
      </c>
      <c r="K1137" t="str">
        <f t="shared" si="53"/>
        <v>ZZZ, TN, 38340</v>
      </c>
    </row>
    <row r="1138" spans="1:11" x14ac:dyDescent="0.15">
      <c r="A1138">
        <v>1018918</v>
      </c>
      <c r="B1138" s="54" t="s">
        <v>94</v>
      </c>
      <c r="C1138" s="54" t="s">
        <v>95</v>
      </c>
      <c r="D1138" s="54" t="s">
        <v>96</v>
      </c>
      <c r="E1138" s="54" t="s">
        <v>97</v>
      </c>
      <c r="F1138" t="s">
        <v>35</v>
      </c>
      <c r="G1138">
        <v>38340</v>
      </c>
      <c r="H1138">
        <v>360</v>
      </c>
      <c r="I1138" t="str">
        <f t="shared" si="51"/>
        <v>AAA BBB</v>
      </c>
      <c r="J1138" t="str">
        <f t="shared" si="52"/>
        <v>XXX</v>
      </c>
      <c r="K1138" t="str">
        <f t="shared" si="53"/>
        <v>ZZZ, TN, 38340</v>
      </c>
    </row>
    <row r="1139" spans="1:11" x14ac:dyDescent="0.15">
      <c r="A1139">
        <v>1018918</v>
      </c>
      <c r="B1139" s="54" t="s">
        <v>94</v>
      </c>
      <c r="C1139" s="54" t="s">
        <v>95</v>
      </c>
      <c r="D1139" s="54" t="s">
        <v>96</v>
      </c>
      <c r="E1139" s="54" t="s">
        <v>97</v>
      </c>
      <c r="F1139" t="s">
        <v>35</v>
      </c>
      <c r="G1139">
        <v>38340</v>
      </c>
      <c r="H1139">
        <v>360</v>
      </c>
      <c r="I1139" t="str">
        <f t="shared" si="51"/>
        <v>AAA BBB</v>
      </c>
      <c r="J1139" t="str">
        <f t="shared" si="52"/>
        <v>XXX</v>
      </c>
      <c r="K1139" t="str">
        <f t="shared" si="53"/>
        <v>ZZZ, TN, 38340</v>
      </c>
    </row>
    <row r="1140" spans="1:11" x14ac:dyDescent="0.15">
      <c r="A1140">
        <v>1018918</v>
      </c>
      <c r="B1140" s="54" t="s">
        <v>94</v>
      </c>
      <c r="C1140" s="54" t="s">
        <v>95</v>
      </c>
      <c r="D1140" s="54" t="s">
        <v>96</v>
      </c>
      <c r="E1140" s="54" t="s">
        <v>97</v>
      </c>
      <c r="F1140" t="s">
        <v>35</v>
      </c>
      <c r="G1140">
        <v>38340</v>
      </c>
      <c r="H1140">
        <v>360</v>
      </c>
      <c r="I1140" t="str">
        <f t="shared" si="51"/>
        <v>AAA BBB</v>
      </c>
      <c r="J1140" t="str">
        <f t="shared" si="52"/>
        <v>XXX</v>
      </c>
      <c r="K1140" t="str">
        <f t="shared" si="53"/>
        <v>ZZZ, TN, 38340</v>
      </c>
    </row>
    <row r="1141" spans="1:11" x14ac:dyDescent="0.15">
      <c r="A1141">
        <v>1018918</v>
      </c>
      <c r="B1141" s="54" t="s">
        <v>94</v>
      </c>
      <c r="C1141" s="54" t="s">
        <v>95</v>
      </c>
      <c r="D1141" s="54" t="s">
        <v>96</v>
      </c>
      <c r="E1141" s="54" t="s">
        <v>97</v>
      </c>
      <c r="F1141" t="s">
        <v>35</v>
      </c>
      <c r="G1141">
        <v>38340</v>
      </c>
      <c r="H1141">
        <v>360</v>
      </c>
      <c r="I1141" t="str">
        <f t="shared" si="51"/>
        <v>AAA BBB</v>
      </c>
      <c r="J1141" t="str">
        <f t="shared" si="52"/>
        <v>XXX</v>
      </c>
      <c r="K1141" t="str">
        <f t="shared" si="53"/>
        <v>ZZZ, TN, 38340</v>
      </c>
    </row>
    <row r="1142" spans="1:11" x14ac:dyDescent="0.15">
      <c r="A1142">
        <v>1018918</v>
      </c>
      <c r="B1142" s="54" t="s">
        <v>94</v>
      </c>
      <c r="C1142" s="54" t="s">
        <v>95</v>
      </c>
      <c r="D1142" s="54" t="s">
        <v>96</v>
      </c>
      <c r="E1142" s="54" t="s">
        <v>97</v>
      </c>
      <c r="F1142" t="s">
        <v>35</v>
      </c>
      <c r="G1142">
        <v>38340</v>
      </c>
      <c r="H1142">
        <v>360</v>
      </c>
      <c r="I1142" t="str">
        <f t="shared" si="51"/>
        <v>AAA BBB</v>
      </c>
      <c r="J1142" t="str">
        <f t="shared" si="52"/>
        <v>XXX</v>
      </c>
      <c r="K1142" t="str">
        <f t="shared" si="53"/>
        <v>ZZZ, TN, 38340</v>
      </c>
    </row>
    <row r="1143" spans="1:11" x14ac:dyDescent="0.15">
      <c r="A1143">
        <v>1018918</v>
      </c>
      <c r="B1143" s="54" t="s">
        <v>94</v>
      </c>
      <c r="C1143" s="54" t="s">
        <v>95</v>
      </c>
      <c r="D1143" s="54" t="s">
        <v>96</v>
      </c>
      <c r="E1143" s="54" t="s">
        <v>97</v>
      </c>
      <c r="F1143" t="s">
        <v>35</v>
      </c>
      <c r="G1143">
        <v>38340</v>
      </c>
      <c r="H1143">
        <v>360</v>
      </c>
      <c r="I1143" t="str">
        <f t="shared" si="51"/>
        <v>AAA BBB</v>
      </c>
      <c r="J1143" t="str">
        <f t="shared" si="52"/>
        <v>XXX</v>
      </c>
      <c r="K1143" t="str">
        <f t="shared" si="53"/>
        <v>ZZZ, TN, 38340</v>
      </c>
    </row>
    <row r="1144" spans="1:11" x14ac:dyDescent="0.15">
      <c r="A1144">
        <v>1018918</v>
      </c>
      <c r="B1144" s="54" t="s">
        <v>94</v>
      </c>
      <c r="C1144" s="54" t="s">
        <v>95</v>
      </c>
      <c r="D1144" s="54" t="s">
        <v>96</v>
      </c>
      <c r="E1144" s="54" t="s">
        <v>97</v>
      </c>
      <c r="F1144" t="s">
        <v>35</v>
      </c>
      <c r="G1144">
        <v>38340</v>
      </c>
      <c r="H1144">
        <v>360</v>
      </c>
      <c r="I1144" t="str">
        <f t="shared" si="51"/>
        <v>AAA BBB</v>
      </c>
      <c r="J1144" t="str">
        <f t="shared" si="52"/>
        <v>XXX</v>
      </c>
      <c r="K1144" t="str">
        <f t="shared" si="53"/>
        <v>ZZZ, TN, 38340</v>
      </c>
    </row>
    <row r="1145" spans="1:11" x14ac:dyDescent="0.15">
      <c r="A1145">
        <v>1018918</v>
      </c>
      <c r="B1145" s="54" t="s">
        <v>94</v>
      </c>
      <c r="C1145" s="54" t="s">
        <v>95</v>
      </c>
      <c r="D1145" s="54" t="s">
        <v>96</v>
      </c>
      <c r="E1145" s="54" t="s">
        <v>97</v>
      </c>
      <c r="F1145" t="s">
        <v>35</v>
      </c>
      <c r="G1145">
        <v>38340</v>
      </c>
      <c r="H1145">
        <v>360</v>
      </c>
      <c r="I1145" t="str">
        <f t="shared" si="51"/>
        <v>AAA BBB</v>
      </c>
      <c r="J1145" t="str">
        <f t="shared" si="52"/>
        <v>XXX</v>
      </c>
      <c r="K1145" t="str">
        <f t="shared" si="53"/>
        <v>ZZZ, TN, 38340</v>
      </c>
    </row>
    <row r="1146" spans="1:11" x14ac:dyDescent="0.15">
      <c r="A1146">
        <v>1018918</v>
      </c>
      <c r="B1146" s="54" t="s">
        <v>94</v>
      </c>
      <c r="C1146" s="54" t="s">
        <v>95</v>
      </c>
      <c r="D1146" s="54" t="s">
        <v>96</v>
      </c>
      <c r="E1146" s="54" t="s">
        <v>97</v>
      </c>
      <c r="F1146" t="s">
        <v>35</v>
      </c>
      <c r="G1146">
        <v>38340</v>
      </c>
      <c r="H1146">
        <v>360</v>
      </c>
      <c r="I1146" t="str">
        <f t="shared" si="51"/>
        <v>AAA BBB</v>
      </c>
      <c r="J1146" t="str">
        <f t="shared" si="52"/>
        <v>XXX</v>
      </c>
      <c r="K1146" t="str">
        <f t="shared" si="53"/>
        <v>ZZZ, TN, 38340</v>
      </c>
    </row>
    <row r="1147" spans="1:11" x14ac:dyDescent="0.15">
      <c r="A1147">
        <v>1018918</v>
      </c>
      <c r="B1147" s="54" t="s">
        <v>94</v>
      </c>
      <c r="C1147" s="54" t="s">
        <v>95</v>
      </c>
      <c r="D1147" s="54" t="s">
        <v>96</v>
      </c>
      <c r="E1147" s="54" t="s">
        <v>97</v>
      </c>
      <c r="F1147" t="s">
        <v>35</v>
      </c>
      <c r="G1147">
        <v>38340</v>
      </c>
      <c r="H1147">
        <v>360</v>
      </c>
      <c r="I1147" t="str">
        <f t="shared" si="51"/>
        <v>AAA BBB</v>
      </c>
      <c r="J1147" t="str">
        <f t="shared" si="52"/>
        <v>XXX</v>
      </c>
      <c r="K1147" t="str">
        <f t="shared" si="53"/>
        <v>ZZZ, TN, 38340</v>
      </c>
    </row>
    <row r="1148" spans="1:11" x14ac:dyDescent="0.15">
      <c r="A1148">
        <v>1018918</v>
      </c>
      <c r="B1148" s="54" t="s">
        <v>94</v>
      </c>
      <c r="C1148" s="54" t="s">
        <v>95</v>
      </c>
      <c r="D1148" s="54" t="s">
        <v>96</v>
      </c>
      <c r="E1148" s="54" t="s">
        <v>97</v>
      </c>
      <c r="F1148" t="s">
        <v>35</v>
      </c>
      <c r="G1148">
        <v>38340</v>
      </c>
      <c r="H1148">
        <v>360</v>
      </c>
      <c r="I1148" t="str">
        <f t="shared" si="51"/>
        <v>AAA BBB</v>
      </c>
      <c r="J1148" t="str">
        <f t="shared" si="52"/>
        <v>XXX</v>
      </c>
      <c r="K1148" t="str">
        <f t="shared" si="53"/>
        <v>ZZZ, TN, 38340</v>
      </c>
    </row>
    <row r="1149" spans="1:11" x14ac:dyDescent="0.15">
      <c r="A1149">
        <v>1018918</v>
      </c>
      <c r="B1149" s="54" t="s">
        <v>94</v>
      </c>
      <c r="C1149" s="54" t="s">
        <v>95</v>
      </c>
      <c r="D1149" s="54" t="s">
        <v>96</v>
      </c>
      <c r="E1149" s="54" t="s">
        <v>97</v>
      </c>
      <c r="F1149" t="s">
        <v>35</v>
      </c>
      <c r="G1149">
        <v>38340</v>
      </c>
      <c r="H1149">
        <v>360</v>
      </c>
      <c r="I1149" t="str">
        <f t="shared" si="51"/>
        <v>AAA BBB</v>
      </c>
      <c r="J1149" t="str">
        <f t="shared" si="52"/>
        <v>XXX</v>
      </c>
      <c r="K1149" t="str">
        <f t="shared" si="53"/>
        <v>ZZZ, TN, 38340</v>
      </c>
    </row>
    <row r="1150" spans="1:11" x14ac:dyDescent="0.15">
      <c r="A1150">
        <v>1018918</v>
      </c>
      <c r="B1150" s="54" t="s">
        <v>94</v>
      </c>
      <c r="C1150" s="54" t="s">
        <v>95</v>
      </c>
      <c r="D1150" s="54" t="s">
        <v>96</v>
      </c>
      <c r="E1150" s="54" t="s">
        <v>97</v>
      </c>
      <c r="F1150" t="s">
        <v>35</v>
      </c>
      <c r="G1150">
        <v>38340</v>
      </c>
      <c r="H1150">
        <v>360</v>
      </c>
      <c r="I1150" t="str">
        <f t="shared" si="51"/>
        <v>AAA BBB</v>
      </c>
      <c r="J1150" t="str">
        <f t="shared" si="52"/>
        <v>XXX</v>
      </c>
      <c r="K1150" t="str">
        <f t="shared" si="53"/>
        <v>ZZZ, TN, 38340</v>
      </c>
    </row>
    <row r="1151" spans="1:11" x14ac:dyDescent="0.15">
      <c r="A1151">
        <v>1018918</v>
      </c>
      <c r="B1151" s="54" t="s">
        <v>94</v>
      </c>
      <c r="C1151" s="54" t="s">
        <v>95</v>
      </c>
      <c r="D1151" s="54" t="s">
        <v>96</v>
      </c>
      <c r="E1151" s="54" t="s">
        <v>97</v>
      </c>
      <c r="F1151" t="s">
        <v>35</v>
      </c>
      <c r="G1151">
        <v>38340</v>
      </c>
      <c r="H1151">
        <v>360</v>
      </c>
      <c r="I1151" t="str">
        <f t="shared" si="51"/>
        <v>AAA BBB</v>
      </c>
      <c r="J1151" t="str">
        <f t="shared" si="52"/>
        <v>XXX</v>
      </c>
      <c r="K1151" t="str">
        <f t="shared" si="53"/>
        <v>ZZZ, TN, 38340</v>
      </c>
    </row>
    <row r="1152" spans="1:11" x14ac:dyDescent="0.15">
      <c r="A1152">
        <v>1018918</v>
      </c>
      <c r="B1152" s="54" t="s">
        <v>94</v>
      </c>
      <c r="C1152" s="54" t="s">
        <v>95</v>
      </c>
      <c r="D1152" s="54" t="s">
        <v>96</v>
      </c>
      <c r="E1152" s="54" t="s">
        <v>97</v>
      </c>
      <c r="F1152" t="s">
        <v>35</v>
      </c>
      <c r="G1152">
        <v>38340</v>
      </c>
      <c r="H1152">
        <v>360</v>
      </c>
      <c r="I1152" t="str">
        <f t="shared" si="51"/>
        <v>AAA BBB</v>
      </c>
      <c r="J1152" t="str">
        <f t="shared" si="52"/>
        <v>XXX</v>
      </c>
      <c r="K1152" t="str">
        <f t="shared" si="53"/>
        <v>ZZZ, TN, 38340</v>
      </c>
    </row>
    <row r="1153" spans="1:11" x14ac:dyDescent="0.15">
      <c r="A1153">
        <v>1018918</v>
      </c>
      <c r="B1153" s="54" t="s">
        <v>94</v>
      </c>
      <c r="C1153" s="54" t="s">
        <v>95</v>
      </c>
      <c r="D1153" s="54" t="s">
        <v>96</v>
      </c>
      <c r="E1153" s="54" t="s">
        <v>97</v>
      </c>
      <c r="F1153" t="s">
        <v>35</v>
      </c>
      <c r="G1153">
        <v>38340</v>
      </c>
      <c r="H1153">
        <v>360</v>
      </c>
      <c r="I1153" t="str">
        <f t="shared" si="51"/>
        <v>AAA BBB</v>
      </c>
      <c r="J1153" t="str">
        <f t="shared" si="52"/>
        <v>XXX</v>
      </c>
      <c r="K1153" t="str">
        <f t="shared" si="53"/>
        <v>ZZZ, TN, 38340</v>
      </c>
    </row>
    <row r="1154" spans="1:11" x14ac:dyDescent="0.15">
      <c r="A1154">
        <v>1018918</v>
      </c>
      <c r="B1154" s="54" t="s">
        <v>94</v>
      </c>
      <c r="C1154" s="54" t="s">
        <v>95</v>
      </c>
      <c r="D1154" s="54" t="s">
        <v>96</v>
      </c>
      <c r="E1154" s="54" t="s">
        <v>97</v>
      </c>
      <c r="F1154" t="s">
        <v>35</v>
      </c>
      <c r="G1154">
        <v>38340</v>
      </c>
      <c r="H1154">
        <v>360</v>
      </c>
      <c r="I1154" t="str">
        <f t="shared" si="51"/>
        <v>AAA BBB</v>
      </c>
      <c r="J1154" t="str">
        <f t="shared" si="52"/>
        <v>XXX</v>
      </c>
      <c r="K1154" t="str">
        <f t="shared" si="53"/>
        <v>ZZZ, TN, 38340</v>
      </c>
    </row>
    <row r="1155" spans="1:11" x14ac:dyDescent="0.15">
      <c r="A1155">
        <v>1018918</v>
      </c>
      <c r="B1155" s="54" t="s">
        <v>94</v>
      </c>
      <c r="C1155" s="54" t="s">
        <v>95</v>
      </c>
      <c r="D1155" s="54" t="s">
        <v>96</v>
      </c>
      <c r="E1155" s="54" t="s">
        <v>97</v>
      </c>
      <c r="F1155" t="s">
        <v>35</v>
      </c>
      <c r="G1155">
        <v>38340</v>
      </c>
      <c r="H1155">
        <v>360</v>
      </c>
      <c r="I1155" t="str">
        <f t="shared" ref="I1155:I1218" si="54">CONCATENATE(B1155," ",C1155)</f>
        <v>AAA BBB</v>
      </c>
      <c r="J1155" t="str">
        <f t="shared" ref="J1155:J1218" si="55">D1155</f>
        <v>XXX</v>
      </c>
      <c r="K1155" t="str">
        <f t="shared" ref="K1155:K1218" si="56">CONCATENATE(E1155,","," ",F1155,","," ",G1155)</f>
        <v>ZZZ, TN, 38340</v>
      </c>
    </row>
    <row r="1156" spans="1:11" x14ac:dyDescent="0.15">
      <c r="A1156">
        <v>1018918</v>
      </c>
      <c r="B1156" s="54" t="s">
        <v>94</v>
      </c>
      <c r="C1156" s="54" t="s">
        <v>95</v>
      </c>
      <c r="D1156" s="54" t="s">
        <v>96</v>
      </c>
      <c r="E1156" s="54" t="s">
        <v>97</v>
      </c>
      <c r="F1156" t="s">
        <v>35</v>
      </c>
      <c r="G1156">
        <v>38340</v>
      </c>
      <c r="H1156">
        <v>360</v>
      </c>
      <c r="I1156" t="str">
        <f t="shared" si="54"/>
        <v>AAA BBB</v>
      </c>
      <c r="J1156" t="str">
        <f t="shared" si="55"/>
        <v>XXX</v>
      </c>
      <c r="K1156" t="str">
        <f t="shared" si="56"/>
        <v>ZZZ, TN, 38340</v>
      </c>
    </row>
    <row r="1157" spans="1:11" x14ac:dyDescent="0.15">
      <c r="A1157">
        <v>1018918</v>
      </c>
      <c r="B1157" s="54" t="s">
        <v>94</v>
      </c>
      <c r="C1157" s="54" t="s">
        <v>95</v>
      </c>
      <c r="D1157" s="54" t="s">
        <v>96</v>
      </c>
      <c r="E1157" s="54" t="s">
        <v>97</v>
      </c>
      <c r="F1157" t="s">
        <v>35</v>
      </c>
      <c r="G1157">
        <v>38340</v>
      </c>
      <c r="H1157">
        <v>360</v>
      </c>
      <c r="I1157" t="str">
        <f t="shared" si="54"/>
        <v>AAA BBB</v>
      </c>
      <c r="J1157" t="str">
        <f t="shared" si="55"/>
        <v>XXX</v>
      </c>
      <c r="K1157" t="str">
        <f t="shared" si="56"/>
        <v>ZZZ, TN, 38340</v>
      </c>
    </row>
    <row r="1158" spans="1:11" x14ac:dyDescent="0.15">
      <c r="A1158">
        <v>1018918</v>
      </c>
      <c r="B1158" s="54" t="s">
        <v>94</v>
      </c>
      <c r="C1158" s="54" t="s">
        <v>95</v>
      </c>
      <c r="D1158" s="54" t="s">
        <v>96</v>
      </c>
      <c r="E1158" s="54" t="s">
        <v>97</v>
      </c>
      <c r="F1158" t="s">
        <v>35</v>
      </c>
      <c r="G1158">
        <v>38340</v>
      </c>
      <c r="H1158">
        <v>360</v>
      </c>
      <c r="I1158" t="str">
        <f t="shared" si="54"/>
        <v>AAA BBB</v>
      </c>
      <c r="J1158" t="str">
        <f t="shared" si="55"/>
        <v>XXX</v>
      </c>
      <c r="K1158" t="str">
        <f t="shared" si="56"/>
        <v>ZZZ, TN, 38340</v>
      </c>
    </row>
    <row r="1159" spans="1:11" x14ac:dyDescent="0.15">
      <c r="A1159">
        <v>1018918</v>
      </c>
      <c r="B1159" s="54" t="s">
        <v>94</v>
      </c>
      <c r="C1159" s="54" t="s">
        <v>95</v>
      </c>
      <c r="D1159" s="54" t="s">
        <v>96</v>
      </c>
      <c r="E1159" s="54" t="s">
        <v>97</v>
      </c>
      <c r="F1159" t="s">
        <v>35</v>
      </c>
      <c r="G1159">
        <v>38340</v>
      </c>
      <c r="H1159">
        <v>360</v>
      </c>
      <c r="I1159" t="str">
        <f t="shared" si="54"/>
        <v>AAA BBB</v>
      </c>
      <c r="J1159" t="str">
        <f t="shared" si="55"/>
        <v>XXX</v>
      </c>
      <c r="K1159" t="str">
        <f t="shared" si="56"/>
        <v>ZZZ, TN, 38340</v>
      </c>
    </row>
    <row r="1160" spans="1:11" x14ac:dyDescent="0.15">
      <c r="A1160">
        <v>1018918</v>
      </c>
      <c r="B1160" s="54" t="s">
        <v>94</v>
      </c>
      <c r="C1160" s="54" t="s">
        <v>95</v>
      </c>
      <c r="D1160" s="54" t="s">
        <v>96</v>
      </c>
      <c r="E1160" s="54" t="s">
        <v>97</v>
      </c>
      <c r="F1160" t="s">
        <v>35</v>
      </c>
      <c r="G1160">
        <v>38340</v>
      </c>
      <c r="H1160">
        <v>360</v>
      </c>
      <c r="I1160" t="str">
        <f t="shared" si="54"/>
        <v>AAA BBB</v>
      </c>
      <c r="J1160" t="str">
        <f t="shared" si="55"/>
        <v>XXX</v>
      </c>
      <c r="K1160" t="str">
        <f t="shared" si="56"/>
        <v>ZZZ, TN, 38340</v>
      </c>
    </row>
    <row r="1161" spans="1:11" x14ac:dyDescent="0.15">
      <c r="A1161">
        <v>1018918</v>
      </c>
      <c r="B1161" s="54" t="s">
        <v>94</v>
      </c>
      <c r="C1161" s="54" t="s">
        <v>95</v>
      </c>
      <c r="D1161" s="54" t="s">
        <v>96</v>
      </c>
      <c r="E1161" s="54" t="s">
        <v>97</v>
      </c>
      <c r="F1161" t="s">
        <v>35</v>
      </c>
      <c r="G1161">
        <v>38340</v>
      </c>
      <c r="H1161">
        <v>360</v>
      </c>
      <c r="I1161" t="str">
        <f t="shared" si="54"/>
        <v>AAA BBB</v>
      </c>
      <c r="J1161" t="str">
        <f t="shared" si="55"/>
        <v>XXX</v>
      </c>
      <c r="K1161" t="str">
        <f t="shared" si="56"/>
        <v>ZZZ, TN, 38340</v>
      </c>
    </row>
    <row r="1162" spans="1:11" x14ac:dyDescent="0.15">
      <c r="A1162">
        <v>1018918</v>
      </c>
      <c r="B1162" s="54" t="s">
        <v>94</v>
      </c>
      <c r="C1162" s="54" t="s">
        <v>95</v>
      </c>
      <c r="D1162" s="54" t="s">
        <v>96</v>
      </c>
      <c r="E1162" s="54" t="s">
        <v>97</v>
      </c>
      <c r="F1162" t="s">
        <v>35</v>
      </c>
      <c r="G1162">
        <v>38340</v>
      </c>
      <c r="H1162">
        <v>360</v>
      </c>
      <c r="I1162" t="str">
        <f t="shared" si="54"/>
        <v>AAA BBB</v>
      </c>
      <c r="J1162" t="str">
        <f t="shared" si="55"/>
        <v>XXX</v>
      </c>
      <c r="K1162" t="str">
        <f t="shared" si="56"/>
        <v>ZZZ, TN, 38340</v>
      </c>
    </row>
    <row r="1163" spans="1:11" x14ac:dyDescent="0.15">
      <c r="A1163">
        <v>1018918</v>
      </c>
      <c r="B1163" s="54" t="s">
        <v>94</v>
      </c>
      <c r="C1163" s="54" t="s">
        <v>95</v>
      </c>
      <c r="D1163" s="54" t="s">
        <v>96</v>
      </c>
      <c r="E1163" s="54" t="s">
        <v>97</v>
      </c>
      <c r="F1163" t="s">
        <v>35</v>
      </c>
      <c r="G1163">
        <v>38340</v>
      </c>
      <c r="H1163">
        <v>360</v>
      </c>
      <c r="I1163" t="str">
        <f t="shared" si="54"/>
        <v>AAA BBB</v>
      </c>
      <c r="J1163" t="str">
        <f t="shared" si="55"/>
        <v>XXX</v>
      </c>
      <c r="K1163" t="str">
        <f t="shared" si="56"/>
        <v>ZZZ, TN, 38340</v>
      </c>
    </row>
    <row r="1164" spans="1:11" x14ac:dyDescent="0.15">
      <c r="A1164">
        <v>1018918</v>
      </c>
      <c r="B1164" s="54" t="s">
        <v>94</v>
      </c>
      <c r="C1164" s="54" t="s">
        <v>95</v>
      </c>
      <c r="D1164" s="54" t="s">
        <v>96</v>
      </c>
      <c r="E1164" s="54" t="s">
        <v>97</v>
      </c>
      <c r="F1164" t="s">
        <v>35</v>
      </c>
      <c r="G1164">
        <v>38340</v>
      </c>
      <c r="H1164">
        <v>360</v>
      </c>
      <c r="I1164" t="str">
        <f t="shared" si="54"/>
        <v>AAA BBB</v>
      </c>
      <c r="J1164" t="str">
        <f t="shared" si="55"/>
        <v>XXX</v>
      </c>
      <c r="K1164" t="str">
        <f t="shared" si="56"/>
        <v>ZZZ, TN, 38340</v>
      </c>
    </row>
    <row r="1165" spans="1:11" x14ac:dyDescent="0.15">
      <c r="A1165">
        <v>1018918</v>
      </c>
      <c r="B1165" s="54" t="s">
        <v>94</v>
      </c>
      <c r="C1165" s="54" t="s">
        <v>95</v>
      </c>
      <c r="D1165" s="54" t="s">
        <v>96</v>
      </c>
      <c r="E1165" s="54" t="s">
        <v>97</v>
      </c>
      <c r="F1165" t="s">
        <v>35</v>
      </c>
      <c r="G1165">
        <v>38340</v>
      </c>
      <c r="H1165">
        <v>360</v>
      </c>
      <c r="I1165" t="str">
        <f t="shared" si="54"/>
        <v>AAA BBB</v>
      </c>
      <c r="J1165" t="str">
        <f t="shared" si="55"/>
        <v>XXX</v>
      </c>
      <c r="K1165" t="str">
        <f t="shared" si="56"/>
        <v>ZZZ, TN, 38340</v>
      </c>
    </row>
    <row r="1166" spans="1:11" x14ac:dyDescent="0.15">
      <c r="A1166">
        <v>1018918</v>
      </c>
      <c r="B1166" s="54" t="s">
        <v>94</v>
      </c>
      <c r="C1166" s="54" t="s">
        <v>95</v>
      </c>
      <c r="D1166" s="54" t="s">
        <v>96</v>
      </c>
      <c r="E1166" s="54" t="s">
        <v>97</v>
      </c>
      <c r="F1166" t="s">
        <v>35</v>
      </c>
      <c r="G1166">
        <v>38340</v>
      </c>
      <c r="H1166">
        <v>360</v>
      </c>
      <c r="I1166" t="str">
        <f t="shared" si="54"/>
        <v>AAA BBB</v>
      </c>
      <c r="J1166" t="str">
        <f t="shared" si="55"/>
        <v>XXX</v>
      </c>
      <c r="K1166" t="str">
        <f t="shared" si="56"/>
        <v>ZZZ, TN, 38340</v>
      </c>
    </row>
    <row r="1167" spans="1:11" x14ac:dyDescent="0.15">
      <c r="A1167">
        <v>1018918</v>
      </c>
      <c r="B1167" s="54" t="s">
        <v>94</v>
      </c>
      <c r="C1167" s="54" t="s">
        <v>95</v>
      </c>
      <c r="D1167" s="54" t="s">
        <v>96</v>
      </c>
      <c r="E1167" s="54" t="s">
        <v>97</v>
      </c>
      <c r="F1167" t="s">
        <v>35</v>
      </c>
      <c r="G1167">
        <v>38340</v>
      </c>
      <c r="H1167">
        <v>360</v>
      </c>
      <c r="I1167" t="str">
        <f t="shared" si="54"/>
        <v>AAA BBB</v>
      </c>
      <c r="J1167" t="str">
        <f t="shared" si="55"/>
        <v>XXX</v>
      </c>
      <c r="K1167" t="str">
        <f t="shared" si="56"/>
        <v>ZZZ, TN, 38340</v>
      </c>
    </row>
    <row r="1168" spans="1:11" x14ac:dyDescent="0.15">
      <c r="A1168">
        <v>1018918</v>
      </c>
      <c r="B1168" s="54" t="s">
        <v>94</v>
      </c>
      <c r="C1168" s="54" t="s">
        <v>95</v>
      </c>
      <c r="D1168" s="54" t="s">
        <v>96</v>
      </c>
      <c r="E1168" s="54" t="s">
        <v>97</v>
      </c>
      <c r="F1168" t="s">
        <v>35</v>
      </c>
      <c r="G1168">
        <v>38340</v>
      </c>
      <c r="H1168">
        <v>360</v>
      </c>
      <c r="I1168" t="str">
        <f t="shared" si="54"/>
        <v>AAA BBB</v>
      </c>
      <c r="J1168" t="str">
        <f t="shared" si="55"/>
        <v>XXX</v>
      </c>
      <c r="K1168" t="str">
        <f t="shared" si="56"/>
        <v>ZZZ, TN, 38340</v>
      </c>
    </row>
    <row r="1169" spans="1:11" x14ac:dyDescent="0.15">
      <c r="A1169">
        <v>1018918</v>
      </c>
      <c r="B1169" s="54" t="s">
        <v>94</v>
      </c>
      <c r="C1169" s="54" t="s">
        <v>95</v>
      </c>
      <c r="D1169" s="54" t="s">
        <v>96</v>
      </c>
      <c r="E1169" s="54" t="s">
        <v>97</v>
      </c>
      <c r="F1169" t="s">
        <v>35</v>
      </c>
      <c r="G1169">
        <v>38340</v>
      </c>
      <c r="H1169">
        <v>360</v>
      </c>
      <c r="I1169" t="str">
        <f t="shared" si="54"/>
        <v>AAA BBB</v>
      </c>
      <c r="J1169" t="str">
        <f t="shared" si="55"/>
        <v>XXX</v>
      </c>
      <c r="K1169" t="str">
        <f t="shared" si="56"/>
        <v>ZZZ, TN, 38340</v>
      </c>
    </row>
    <row r="1170" spans="1:11" x14ac:dyDescent="0.15">
      <c r="A1170">
        <v>1018918</v>
      </c>
      <c r="B1170" s="54" t="s">
        <v>94</v>
      </c>
      <c r="C1170" s="54" t="s">
        <v>95</v>
      </c>
      <c r="D1170" s="54" t="s">
        <v>96</v>
      </c>
      <c r="E1170" s="54" t="s">
        <v>97</v>
      </c>
      <c r="F1170" t="s">
        <v>35</v>
      </c>
      <c r="G1170">
        <v>38340</v>
      </c>
      <c r="H1170">
        <v>360</v>
      </c>
      <c r="I1170" t="str">
        <f t="shared" si="54"/>
        <v>AAA BBB</v>
      </c>
      <c r="J1170" t="str">
        <f t="shared" si="55"/>
        <v>XXX</v>
      </c>
      <c r="K1170" t="str">
        <f t="shared" si="56"/>
        <v>ZZZ, TN, 38340</v>
      </c>
    </row>
    <row r="1171" spans="1:11" x14ac:dyDescent="0.15">
      <c r="A1171">
        <v>1018918</v>
      </c>
      <c r="B1171" s="54" t="s">
        <v>94</v>
      </c>
      <c r="C1171" s="54" t="s">
        <v>95</v>
      </c>
      <c r="D1171" s="54" t="s">
        <v>96</v>
      </c>
      <c r="E1171" s="54" t="s">
        <v>97</v>
      </c>
      <c r="F1171" t="s">
        <v>35</v>
      </c>
      <c r="G1171">
        <v>38340</v>
      </c>
      <c r="H1171">
        <v>360</v>
      </c>
      <c r="I1171" t="str">
        <f t="shared" si="54"/>
        <v>AAA BBB</v>
      </c>
      <c r="J1171" t="str">
        <f t="shared" si="55"/>
        <v>XXX</v>
      </c>
      <c r="K1171" t="str">
        <f t="shared" si="56"/>
        <v>ZZZ, TN, 38340</v>
      </c>
    </row>
    <row r="1172" spans="1:11" x14ac:dyDescent="0.15">
      <c r="A1172">
        <v>1018918</v>
      </c>
      <c r="B1172" s="54" t="s">
        <v>94</v>
      </c>
      <c r="C1172" s="54" t="s">
        <v>95</v>
      </c>
      <c r="D1172" s="54" t="s">
        <v>96</v>
      </c>
      <c r="E1172" s="54" t="s">
        <v>97</v>
      </c>
      <c r="F1172" t="s">
        <v>35</v>
      </c>
      <c r="G1172">
        <v>38340</v>
      </c>
      <c r="H1172">
        <v>360</v>
      </c>
      <c r="I1172" t="str">
        <f t="shared" si="54"/>
        <v>AAA BBB</v>
      </c>
      <c r="J1172" t="str">
        <f t="shared" si="55"/>
        <v>XXX</v>
      </c>
      <c r="K1172" t="str">
        <f t="shared" si="56"/>
        <v>ZZZ, TN, 38340</v>
      </c>
    </row>
    <row r="1173" spans="1:11" x14ac:dyDescent="0.15">
      <c r="A1173">
        <v>1018918</v>
      </c>
      <c r="B1173" s="54" t="s">
        <v>94</v>
      </c>
      <c r="C1173" s="54" t="s">
        <v>95</v>
      </c>
      <c r="D1173" s="54" t="s">
        <v>96</v>
      </c>
      <c r="E1173" s="54" t="s">
        <v>97</v>
      </c>
      <c r="F1173" t="s">
        <v>35</v>
      </c>
      <c r="G1173">
        <v>38340</v>
      </c>
      <c r="H1173">
        <v>360</v>
      </c>
      <c r="I1173" t="str">
        <f t="shared" si="54"/>
        <v>AAA BBB</v>
      </c>
      <c r="J1173" t="str">
        <f t="shared" si="55"/>
        <v>XXX</v>
      </c>
      <c r="K1173" t="str">
        <f t="shared" si="56"/>
        <v>ZZZ, TN, 38340</v>
      </c>
    </row>
    <row r="1174" spans="1:11" x14ac:dyDescent="0.15">
      <c r="A1174">
        <v>1018918</v>
      </c>
      <c r="B1174" s="54" t="s">
        <v>94</v>
      </c>
      <c r="C1174" s="54" t="s">
        <v>95</v>
      </c>
      <c r="D1174" s="54" t="s">
        <v>96</v>
      </c>
      <c r="E1174" s="54" t="s">
        <v>97</v>
      </c>
      <c r="F1174" t="s">
        <v>35</v>
      </c>
      <c r="G1174">
        <v>38340</v>
      </c>
      <c r="H1174">
        <v>360</v>
      </c>
      <c r="I1174" t="str">
        <f t="shared" si="54"/>
        <v>AAA BBB</v>
      </c>
      <c r="J1174" t="str">
        <f t="shared" si="55"/>
        <v>XXX</v>
      </c>
      <c r="K1174" t="str">
        <f t="shared" si="56"/>
        <v>ZZZ, TN, 38340</v>
      </c>
    </row>
    <row r="1175" spans="1:11" x14ac:dyDescent="0.15">
      <c r="A1175">
        <v>1018918</v>
      </c>
      <c r="B1175" s="54" t="s">
        <v>94</v>
      </c>
      <c r="C1175" s="54" t="s">
        <v>95</v>
      </c>
      <c r="D1175" s="54" t="s">
        <v>96</v>
      </c>
      <c r="E1175" s="54" t="s">
        <v>97</v>
      </c>
      <c r="F1175" t="s">
        <v>35</v>
      </c>
      <c r="G1175">
        <v>38340</v>
      </c>
      <c r="H1175">
        <v>360</v>
      </c>
      <c r="I1175" t="str">
        <f t="shared" si="54"/>
        <v>AAA BBB</v>
      </c>
      <c r="J1175" t="str">
        <f t="shared" si="55"/>
        <v>XXX</v>
      </c>
      <c r="K1175" t="str">
        <f t="shared" si="56"/>
        <v>ZZZ, TN, 38340</v>
      </c>
    </row>
    <row r="1176" spans="1:11" x14ac:dyDescent="0.15">
      <c r="A1176">
        <v>1018918</v>
      </c>
      <c r="B1176" s="54" t="s">
        <v>94</v>
      </c>
      <c r="C1176" s="54" t="s">
        <v>95</v>
      </c>
      <c r="D1176" s="54" t="s">
        <v>96</v>
      </c>
      <c r="E1176" s="54" t="s">
        <v>97</v>
      </c>
      <c r="F1176" t="s">
        <v>35</v>
      </c>
      <c r="G1176">
        <v>38340</v>
      </c>
      <c r="H1176">
        <v>360</v>
      </c>
      <c r="I1176" t="str">
        <f t="shared" si="54"/>
        <v>AAA BBB</v>
      </c>
      <c r="J1176" t="str">
        <f t="shared" si="55"/>
        <v>XXX</v>
      </c>
      <c r="K1176" t="str">
        <f t="shared" si="56"/>
        <v>ZZZ, TN, 38340</v>
      </c>
    </row>
    <row r="1177" spans="1:11" x14ac:dyDescent="0.15">
      <c r="A1177">
        <v>1018918</v>
      </c>
      <c r="B1177" s="54" t="s">
        <v>94</v>
      </c>
      <c r="C1177" s="54" t="s">
        <v>95</v>
      </c>
      <c r="D1177" s="54" t="s">
        <v>96</v>
      </c>
      <c r="E1177" s="54" t="s">
        <v>97</v>
      </c>
      <c r="F1177" t="s">
        <v>35</v>
      </c>
      <c r="G1177">
        <v>38340</v>
      </c>
      <c r="H1177">
        <v>360</v>
      </c>
      <c r="I1177" t="str">
        <f t="shared" si="54"/>
        <v>AAA BBB</v>
      </c>
      <c r="J1177" t="str">
        <f t="shared" si="55"/>
        <v>XXX</v>
      </c>
      <c r="K1177" t="str">
        <f t="shared" si="56"/>
        <v>ZZZ, TN, 38340</v>
      </c>
    </row>
    <row r="1178" spans="1:11" x14ac:dyDescent="0.15">
      <c r="A1178">
        <v>1018918</v>
      </c>
      <c r="B1178" s="54" t="s">
        <v>94</v>
      </c>
      <c r="C1178" s="54" t="s">
        <v>95</v>
      </c>
      <c r="D1178" s="54" t="s">
        <v>96</v>
      </c>
      <c r="E1178" s="54" t="s">
        <v>97</v>
      </c>
      <c r="F1178" t="s">
        <v>35</v>
      </c>
      <c r="G1178">
        <v>38340</v>
      </c>
      <c r="H1178">
        <v>360</v>
      </c>
      <c r="I1178" t="str">
        <f t="shared" si="54"/>
        <v>AAA BBB</v>
      </c>
      <c r="J1178" t="str">
        <f t="shared" si="55"/>
        <v>XXX</v>
      </c>
      <c r="K1178" t="str">
        <f t="shared" si="56"/>
        <v>ZZZ, TN, 38340</v>
      </c>
    </row>
    <row r="1179" spans="1:11" x14ac:dyDescent="0.15">
      <c r="A1179">
        <v>1018918</v>
      </c>
      <c r="B1179" s="54" t="s">
        <v>94</v>
      </c>
      <c r="C1179" s="54" t="s">
        <v>95</v>
      </c>
      <c r="D1179" s="54" t="s">
        <v>96</v>
      </c>
      <c r="E1179" s="54" t="s">
        <v>97</v>
      </c>
      <c r="F1179" t="s">
        <v>35</v>
      </c>
      <c r="G1179">
        <v>38340</v>
      </c>
      <c r="H1179">
        <v>360</v>
      </c>
      <c r="I1179" t="str">
        <f t="shared" si="54"/>
        <v>AAA BBB</v>
      </c>
      <c r="J1179" t="str">
        <f t="shared" si="55"/>
        <v>XXX</v>
      </c>
      <c r="K1179" t="str">
        <f t="shared" si="56"/>
        <v>ZZZ, TN, 38340</v>
      </c>
    </row>
    <row r="1180" spans="1:11" x14ac:dyDescent="0.15">
      <c r="A1180">
        <v>1018918</v>
      </c>
      <c r="B1180" s="54" t="s">
        <v>94</v>
      </c>
      <c r="C1180" s="54" t="s">
        <v>95</v>
      </c>
      <c r="D1180" s="54" t="s">
        <v>96</v>
      </c>
      <c r="E1180" s="54" t="s">
        <v>97</v>
      </c>
      <c r="F1180" t="s">
        <v>35</v>
      </c>
      <c r="G1180">
        <v>38340</v>
      </c>
      <c r="H1180">
        <v>360</v>
      </c>
      <c r="I1180" t="str">
        <f t="shared" si="54"/>
        <v>AAA BBB</v>
      </c>
      <c r="J1180" t="str">
        <f t="shared" si="55"/>
        <v>XXX</v>
      </c>
      <c r="K1180" t="str">
        <f t="shared" si="56"/>
        <v>ZZZ, TN, 38340</v>
      </c>
    </row>
    <row r="1181" spans="1:11" x14ac:dyDescent="0.15">
      <c r="A1181">
        <v>1018918</v>
      </c>
      <c r="B1181" s="54" t="s">
        <v>94</v>
      </c>
      <c r="C1181" s="54" t="s">
        <v>95</v>
      </c>
      <c r="D1181" s="54" t="s">
        <v>96</v>
      </c>
      <c r="E1181" s="54" t="s">
        <v>97</v>
      </c>
      <c r="F1181" t="s">
        <v>35</v>
      </c>
      <c r="G1181">
        <v>38340</v>
      </c>
      <c r="H1181">
        <v>360</v>
      </c>
      <c r="I1181" t="str">
        <f t="shared" si="54"/>
        <v>AAA BBB</v>
      </c>
      <c r="J1181" t="str">
        <f t="shared" si="55"/>
        <v>XXX</v>
      </c>
      <c r="K1181" t="str">
        <f t="shared" si="56"/>
        <v>ZZZ, TN, 38340</v>
      </c>
    </row>
    <row r="1182" spans="1:11" x14ac:dyDescent="0.15">
      <c r="A1182">
        <v>1018918</v>
      </c>
      <c r="B1182" s="54" t="s">
        <v>94</v>
      </c>
      <c r="C1182" s="54" t="s">
        <v>95</v>
      </c>
      <c r="D1182" s="54" t="s">
        <v>96</v>
      </c>
      <c r="E1182" s="54" t="s">
        <v>97</v>
      </c>
      <c r="F1182" t="s">
        <v>35</v>
      </c>
      <c r="G1182">
        <v>38340</v>
      </c>
      <c r="H1182">
        <v>360</v>
      </c>
      <c r="I1182" t="str">
        <f t="shared" si="54"/>
        <v>AAA BBB</v>
      </c>
      <c r="J1182" t="str">
        <f t="shared" si="55"/>
        <v>XXX</v>
      </c>
      <c r="K1182" t="str">
        <f t="shared" si="56"/>
        <v>ZZZ, TN, 38340</v>
      </c>
    </row>
    <row r="1183" spans="1:11" x14ac:dyDescent="0.15">
      <c r="A1183">
        <v>1018918</v>
      </c>
      <c r="B1183" s="54" t="s">
        <v>94</v>
      </c>
      <c r="C1183" s="54" t="s">
        <v>95</v>
      </c>
      <c r="D1183" s="54" t="s">
        <v>96</v>
      </c>
      <c r="E1183" s="54" t="s">
        <v>97</v>
      </c>
      <c r="F1183" t="s">
        <v>35</v>
      </c>
      <c r="G1183">
        <v>38340</v>
      </c>
      <c r="H1183">
        <v>360</v>
      </c>
      <c r="I1183" t="str">
        <f t="shared" si="54"/>
        <v>AAA BBB</v>
      </c>
      <c r="J1183" t="str">
        <f t="shared" si="55"/>
        <v>XXX</v>
      </c>
      <c r="K1183" t="str">
        <f t="shared" si="56"/>
        <v>ZZZ, TN, 38340</v>
      </c>
    </row>
    <row r="1184" spans="1:11" x14ac:dyDescent="0.15">
      <c r="A1184">
        <v>1018918</v>
      </c>
      <c r="B1184" s="54" t="s">
        <v>94</v>
      </c>
      <c r="C1184" s="54" t="s">
        <v>95</v>
      </c>
      <c r="D1184" s="54" t="s">
        <v>96</v>
      </c>
      <c r="E1184" s="54" t="s">
        <v>97</v>
      </c>
      <c r="F1184" t="s">
        <v>35</v>
      </c>
      <c r="G1184">
        <v>38340</v>
      </c>
      <c r="H1184">
        <v>360</v>
      </c>
      <c r="I1184" t="str">
        <f t="shared" si="54"/>
        <v>AAA BBB</v>
      </c>
      <c r="J1184" t="str">
        <f t="shared" si="55"/>
        <v>XXX</v>
      </c>
      <c r="K1184" t="str">
        <f t="shared" si="56"/>
        <v>ZZZ, TN, 38340</v>
      </c>
    </row>
    <row r="1185" spans="1:11" x14ac:dyDescent="0.15">
      <c r="A1185">
        <v>1018918</v>
      </c>
      <c r="B1185" s="54" t="s">
        <v>94</v>
      </c>
      <c r="C1185" s="54" t="s">
        <v>95</v>
      </c>
      <c r="D1185" s="54" t="s">
        <v>96</v>
      </c>
      <c r="E1185" s="54" t="s">
        <v>97</v>
      </c>
      <c r="F1185" t="s">
        <v>35</v>
      </c>
      <c r="G1185">
        <v>38340</v>
      </c>
      <c r="H1185">
        <v>360</v>
      </c>
      <c r="I1185" t="str">
        <f t="shared" si="54"/>
        <v>AAA BBB</v>
      </c>
      <c r="J1185" t="str">
        <f t="shared" si="55"/>
        <v>XXX</v>
      </c>
      <c r="K1185" t="str">
        <f t="shared" si="56"/>
        <v>ZZZ, TN, 38340</v>
      </c>
    </row>
    <row r="1186" spans="1:11" x14ac:dyDescent="0.15">
      <c r="A1186">
        <v>1018918</v>
      </c>
      <c r="B1186" s="54" t="s">
        <v>94</v>
      </c>
      <c r="C1186" s="54" t="s">
        <v>95</v>
      </c>
      <c r="D1186" s="54" t="s">
        <v>96</v>
      </c>
      <c r="E1186" s="54" t="s">
        <v>97</v>
      </c>
      <c r="F1186" t="s">
        <v>35</v>
      </c>
      <c r="G1186">
        <v>38340</v>
      </c>
      <c r="H1186">
        <v>360</v>
      </c>
      <c r="I1186" t="str">
        <f t="shared" si="54"/>
        <v>AAA BBB</v>
      </c>
      <c r="J1186" t="str">
        <f t="shared" si="55"/>
        <v>XXX</v>
      </c>
      <c r="K1186" t="str">
        <f t="shared" si="56"/>
        <v>ZZZ, TN, 38340</v>
      </c>
    </row>
    <row r="1187" spans="1:11" x14ac:dyDescent="0.15">
      <c r="A1187">
        <v>1018918</v>
      </c>
      <c r="B1187" s="54" t="s">
        <v>94</v>
      </c>
      <c r="C1187" s="54" t="s">
        <v>95</v>
      </c>
      <c r="D1187" s="54" t="s">
        <v>96</v>
      </c>
      <c r="E1187" s="54" t="s">
        <v>97</v>
      </c>
      <c r="F1187" t="s">
        <v>35</v>
      </c>
      <c r="G1187">
        <v>38340</v>
      </c>
      <c r="H1187">
        <v>360</v>
      </c>
      <c r="I1187" t="str">
        <f t="shared" si="54"/>
        <v>AAA BBB</v>
      </c>
      <c r="J1187" t="str">
        <f t="shared" si="55"/>
        <v>XXX</v>
      </c>
      <c r="K1187" t="str">
        <f t="shared" si="56"/>
        <v>ZZZ, TN, 38340</v>
      </c>
    </row>
    <row r="1188" spans="1:11" x14ac:dyDescent="0.15">
      <c r="A1188">
        <v>1018918</v>
      </c>
      <c r="B1188" s="54" t="s">
        <v>94</v>
      </c>
      <c r="C1188" s="54" t="s">
        <v>95</v>
      </c>
      <c r="D1188" s="54" t="s">
        <v>96</v>
      </c>
      <c r="E1188" s="54" t="s">
        <v>97</v>
      </c>
      <c r="F1188" t="s">
        <v>35</v>
      </c>
      <c r="G1188">
        <v>38340</v>
      </c>
      <c r="H1188">
        <v>360</v>
      </c>
      <c r="I1188" t="str">
        <f t="shared" si="54"/>
        <v>AAA BBB</v>
      </c>
      <c r="J1188" t="str">
        <f t="shared" si="55"/>
        <v>XXX</v>
      </c>
      <c r="K1188" t="str">
        <f t="shared" si="56"/>
        <v>ZZZ, TN, 38340</v>
      </c>
    </row>
    <row r="1189" spans="1:11" x14ac:dyDescent="0.15">
      <c r="A1189">
        <v>1018918</v>
      </c>
      <c r="B1189" s="54" t="s">
        <v>94</v>
      </c>
      <c r="C1189" s="54" t="s">
        <v>95</v>
      </c>
      <c r="D1189" s="54" t="s">
        <v>96</v>
      </c>
      <c r="E1189" s="54" t="s">
        <v>97</v>
      </c>
      <c r="F1189" t="s">
        <v>35</v>
      </c>
      <c r="G1189">
        <v>38340</v>
      </c>
      <c r="H1189">
        <v>360</v>
      </c>
      <c r="I1189" t="str">
        <f t="shared" si="54"/>
        <v>AAA BBB</v>
      </c>
      <c r="J1189" t="str">
        <f t="shared" si="55"/>
        <v>XXX</v>
      </c>
      <c r="K1189" t="str">
        <f t="shared" si="56"/>
        <v>ZZZ, TN, 38340</v>
      </c>
    </row>
    <row r="1190" spans="1:11" x14ac:dyDescent="0.15">
      <c r="A1190">
        <v>1018918</v>
      </c>
      <c r="B1190" s="54" t="s">
        <v>94</v>
      </c>
      <c r="C1190" s="54" t="s">
        <v>95</v>
      </c>
      <c r="D1190" s="54" t="s">
        <v>96</v>
      </c>
      <c r="E1190" s="54" t="s">
        <v>97</v>
      </c>
      <c r="F1190" t="s">
        <v>35</v>
      </c>
      <c r="G1190">
        <v>38340</v>
      </c>
      <c r="H1190">
        <v>360</v>
      </c>
      <c r="I1190" t="str">
        <f t="shared" si="54"/>
        <v>AAA BBB</v>
      </c>
      <c r="J1190" t="str">
        <f t="shared" si="55"/>
        <v>XXX</v>
      </c>
      <c r="K1190" t="str">
        <f t="shared" si="56"/>
        <v>ZZZ, TN, 38340</v>
      </c>
    </row>
    <row r="1191" spans="1:11" x14ac:dyDescent="0.15">
      <c r="A1191">
        <v>1018918</v>
      </c>
      <c r="B1191" s="54" t="s">
        <v>94</v>
      </c>
      <c r="C1191" s="54" t="s">
        <v>95</v>
      </c>
      <c r="D1191" s="54" t="s">
        <v>96</v>
      </c>
      <c r="E1191" s="54" t="s">
        <v>97</v>
      </c>
      <c r="F1191" t="s">
        <v>35</v>
      </c>
      <c r="G1191">
        <v>38340</v>
      </c>
      <c r="H1191">
        <v>360</v>
      </c>
      <c r="I1191" t="str">
        <f t="shared" si="54"/>
        <v>AAA BBB</v>
      </c>
      <c r="J1191" t="str">
        <f t="shared" si="55"/>
        <v>XXX</v>
      </c>
      <c r="K1191" t="str">
        <f t="shared" si="56"/>
        <v>ZZZ, TN, 38340</v>
      </c>
    </row>
    <row r="1192" spans="1:11" x14ac:dyDescent="0.15">
      <c r="A1192">
        <v>1018918</v>
      </c>
      <c r="B1192" s="54" t="s">
        <v>94</v>
      </c>
      <c r="C1192" s="54" t="s">
        <v>95</v>
      </c>
      <c r="D1192" s="54" t="s">
        <v>96</v>
      </c>
      <c r="E1192" s="54" t="s">
        <v>97</v>
      </c>
      <c r="F1192" t="s">
        <v>35</v>
      </c>
      <c r="G1192">
        <v>38340</v>
      </c>
      <c r="H1192">
        <v>360</v>
      </c>
      <c r="I1192" t="str">
        <f t="shared" si="54"/>
        <v>AAA BBB</v>
      </c>
      <c r="J1192" t="str">
        <f t="shared" si="55"/>
        <v>XXX</v>
      </c>
      <c r="K1192" t="str">
        <f t="shared" si="56"/>
        <v>ZZZ, TN, 38340</v>
      </c>
    </row>
    <row r="1193" spans="1:11" x14ac:dyDescent="0.15">
      <c r="A1193">
        <v>1018918</v>
      </c>
      <c r="B1193" s="54" t="s">
        <v>94</v>
      </c>
      <c r="C1193" s="54" t="s">
        <v>95</v>
      </c>
      <c r="D1193" s="54" t="s">
        <v>96</v>
      </c>
      <c r="E1193" s="54" t="s">
        <v>97</v>
      </c>
      <c r="F1193" t="s">
        <v>35</v>
      </c>
      <c r="G1193">
        <v>38340</v>
      </c>
      <c r="H1193">
        <v>360</v>
      </c>
      <c r="I1193" t="str">
        <f t="shared" si="54"/>
        <v>AAA BBB</v>
      </c>
      <c r="J1193" t="str">
        <f t="shared" si="55"/>
        <v>XXX</v>
      </c>
      <c r="K1193" t="str">
        <f t="shared" si="56"/>
        <v>ZZZ, TN, 38340</v>
      </c>
    </row>
    <row r="1194" spans="1:11" x14ac:dyDescent="0.15">
      <c r="A1194">
        <v>1018918</v>
      </c>
      <c r="B1194" s="54" t="s">
        <v>94</v>
      </c>
      <c r="C1194" s="54" t="s">
        <v>95</v>
      </c>
      <c r="D1194" s="54" t="s">
        <v>96</v>
      </c>
      <c r="E1194" s="54" t="s">
        <v>97</v>
      </c>
      <c r="F1194" t="s">
        <v>35</v>
      </c>
      <c r="G1194">
        <v>38340</v>
      </c>
      <c r="H1194">
        <v>360</v>
      </c>
      <c r="I1194" t="str">
        <f t="shared" si="54"/>
        <v>AAA BBB</v>
      </c>
      <c r="J1194" t="str">
        <f t="shared" si="55"/>
        <v>XXX</v>
      </c>
      <c r="K1194" t="str">
        <f t="shared" si="56"/>
        <v>ZZZ, TN, 38340</v>
      </c>
    </row>
    <row r="1195" spans="1:11" x14ac:dyDescent="0.15">
      <c r="A1195">
        <v>1018918</v>
      </c>
      <c r="B1195" s="54" t="s">
        <v>94</v>
      </c>
      <c r="C1195" s="54" t="s">
        <v>95</v>
      </c>
      <c r="D1195" s="54" t="s">
        <v>96</v>
      </c>
      <c r="E1195" s="54" t="s">
        <v>97</v>
      </c>
      <c r="F1195" t="s">
        <v>35</v>
      </c>
      <c r="G1195">
        <v>38340</v>
      </c>
      <c r="H1195">
        <v>360</v>
      </c>
      <c r="I1195" t="str">
        <f t="shared" si="54"/>
        <v>AAA BBB</v>
      </c>
      <c r="J1195" t="str">
        <f t="shared" si="55"/>
        <v>XXX</v>
      </c>
      <c r="K1195" t="str">
        <f t="shared" si="56"/>
        <v>ZZZ, TN, 38340</v>
      </c>
    </row>
    <row r="1196" spans="1:11" x14ac:dyDescent="0.15">
      <c r="A1196">
        <v>1018918</v>
      </c>
      <c r="B1196" s="54" t="s">
        <v>94</v>
      </c>
      <c r="C1196" s="54" t="s">
        <v>95</v>
      </c>
      <c r="D1196" s="54" t="s">
        <v>96</v>
      </c>
      <c r="E1196" s="54" t="s">
        <v>97</v>
      </c>
      <c r="F1196" t="s">
        <v>35</v>
      </c>
      <c r="G1196">
        <v>38340</v>
      </c>
      <c r="H1196">
        <v>360</v>
      </c>
      <c r="I1196" t="str">
        <f t="shared" si="54"/>
        <v>AAA BBB</v>
      </c>
      <c r="J1196" t="str">
        <f t="shared" si="55"/>
        <v>XXX</v>
      </c>
      <c r="K1196" t="str">
        <f t="shared" si="56"/>
        <v>ZZZ, TN, 38340</v>
      </c>
    </row>
    <row r="1197" spans="1:11" x14ac:dyDescent="0.15">
      <c r="A1197">
        <v>1018918</v>
      </c>
      <c r="B1197" s="54" t="s">
        <v>94</v>
      </c>
      <c r="C1197" s="54" t="s">
        <v>95</v>
      </c>
      <c r="D1197" s="54" t="s">
        <v>96</v>
      </c>
      <c r="E1197" s="54" t="s">
        <v>97</v>
      </c>
      <c r="F1197" t="s">
        <v>35</v>
      </c>
      <c r="G1197">
        <v>38340</v>
      </c>
      <c r="H1197">
        <v>360</v>
      </c>
      <c r="I1197" t="str">
        <f t="shared" si="54"/>
        <v>AAA BBB</v>
      </c>
      <c r="J1197" t="str">
        <f t="shared" si="55"/>
        <v>XXX</v>
      </c>
      <c r="K1197" t="str">
        <f t="shared" si="56"/>
        <v>ZZZ, TN, 38340</v>
      </c>
    </row>
    <row r="1198" spans="1:11" x14ac:dyDescent="0.15">
      <c r="A1198">
        <v>1018918</v>
      </c>
      <c r="B1198" s="54" t="s">
        <v>94</v>
      </c>
      <c r="C1198" s="54" t="s">
        <v>95</v>
      </c>
      <c r="D1198" s="54" t="s">
        <v>96</v>
      </c>
      <c r="E1198" s="54" t="s">
        <v>97</v>
      </c>
      <c r="F1198" t="s">
        <v>35</v>
      </c>
      <c r="G1198">
        <v>38340</v>
      </c>
      <c r="H1198">
        <v>360</v>
      </c>
      <c r="I1198" t="str">
        <f t="shared" si="54"/>
        <v>AAA BBB</v>
      </c>
      <c r="J1198" t="str">
        <f t="shared" si="55"/>
        <v>XXX</v>
      </c>
      <c r="K1198" t="str">
        <f t="shared" si="56"/>
        <v>ZZZ, TN, 38340</v>
      </c>
    </row>
    <row r="1199" spans="1:11" x14ac:dyDescent="0.15">
      <c r="A1199">
        <v>1018918</v>
      </c>
      <c r="B1199" s="54" t="s">
        <v>94</v>
      </c>
      <c r="C1199" s="54" t="s">
        <v>95</v>
      </c>
      <c r="D1199" s="54" t="s">
        <v>96</v>
      </c>
      <c r="E1199" s="54" t="s">
        <v>97</v>
      </c>
      <c r="F1199" t="s">
        <v>35</v>
      </c>
      <c r="G1199">
        <v>38340</v>
      </c>
      <c r="H1199">
        <v>360</v>
      </c>
      <c r="I1199" t="str">
        <f t="shared" si="54"/>
        <v>AAA BBB</v>
      </c>
      <c r="J1199" t="str">
        <f t="shared" si="55"/>
        <v>XXX</v>
      </c>
      <c r="K1199" t="str">
        <f t="shared" si="56"/>
        <v>ZZZ, TN, 38340</v>
      </c>
    </row>
    <row r="1200" spans="1:11" x14ac:dyDescent="0.15">
      <c r="A1200">
        <v>1018918</v>
      </c>
      <c r="B1200" s="54" t="s">
        <v>94</v>
      </c>
      <c r="C1200" s="54" t="s">
        <v>95</v>
      </c>
      <c r="D1200" s="54" t="s">
        <v>96</v>
      </c>
      <c r="E1200" s="54" t="s">
        <v>97</v>
      </c>
      <c r="F1200" t="s">
        <v>35</v>
      </c>
      <c r="G1200">
        <v>38340</v>
      </c>
      <c r="H1200">
        <v>360</v>
      </c>
      <c r="I1200" t="str">
        <f t="shared" si="54"/>
        <v>AAA BBB</v>
      </c>
      <c r="J1200" t="str">
        <f t="shared" si="55"/>
        <v>XXX</v>
      </c>
      <c r="K1200" t="str">
        <f t="shared" si="56"/>
        <v>ZZZ, TN, 38340</v>
      </c>
    </row>
    <row r="1201" spans="1:11" x14ac:dyDescent="0.15">
      <c r="A1201">
        <v>1018918</v>
      </c>
      <c r="B1201" s="54" t="s">
        <v>94</v>
      </c>
      <c r="C1201" s="54" t="s">
        <v>95</v>
      </c>
      <c r="D1201" s="54" t="s">
        <v>96</v>
      </c>
      <c r="E1201" s="54" t="s">
        <v>97</v>
      </c>
      <c r="F1201" t="s">
        <v>35</v>
      </c>
      <c r="G1201">
        <v>38340</v>
      </c>
      <c r="H1201">
        <v>360</v>
      </c>
      <c r="I1201" t="str">
        <f t="shared" si="54"/>
        <v>AAA BBB</v>
      </c>
      <c r="J1201" t="str">
        <f t="shared" si="55"/>
        <v>XXX</v>
      </c>
      <c r="K1201" t="str">
        <f t="shared" si="56"/>
        <v>ZZZ, TN, 38340</v>
      </c>
    </row>
    <row r="1202" spans="1:11" x14ac:dyDescent="0.15">
      <c r="A1202">
        <v>1018918</v>
      </c>
      <c r="B1202" s="54" t="s">
        <v>94</v>
      </c>
      <c r="C1202" s="54" t="s">
        <v>95</v>
      </c>
      <c r="D1202" s="54" t="s">
        <v>96</v>
      </c>
      <c r="E1202" s="54" t="s">
        <v>97</v>
      </c>
      <c r="F1202" t="s">
        <v>35</v>
      </c>
      <c r="G1202">
        <v>38340</v>
      </c>
      <c r="H1202">
        <v>360</v>
      </c>
      <c r="I1202" t="str">
        <f t="shared" si="54"/>
        <v>AAA BBB</v>
      </c>
      <c r="J1202" t="str">
        <f t="shared" si="55"/>
        <v>XXX</v>
      </c>
      <c r="K1202" t="str">
        <f t="shared" si="56"/>
        <v>ZZZ, TN, 38340</v>
      </c>
    </row>
    <row r="1203" spans="1:11" x14ac:dyDescent="0.15">
      <c r="A1203">
        <v>1018918</v>
      </c>
      <c r="B1203" s="54" t="s">
        <v>94</v>
      </c>
      <c r="C1203" s="54" t="s">
        <v>95</v>
      </c>
      <c r="D1203" s="54" t="s">
        <v>96</v>
      </c>
      <c r="E1203" s="54" t="s">
        <v>97</v>
      </c>
      <c r="F1203" t="s">
        <v>35</v>
      </c>
      <c r="G1203">
        <v>38340</v>
      </c>
      <c r="H1203">
        <v>360</v>
      </c>
      <c r="I1203" t="str">
        <f t="shared" si="54"/>
        <v>AAA BBB</v>
      </c>
      <c r="J1203" t="str">
        <f t="shared" si="55"/>
        <v>XXX</v>
      </c>
      <c r="K1203" t="str">
        <f t="shared" si="56"/>
        <v>ZZZ, TN, 38340</v>
      </c>
    </row>
    <row r="1204" spans="1:11" x14ac:dyDescent="0.15">
      <c r="A1204">
        <v>1018918</v>
      </c>
      <c r="B1204" s="54" t="s">
        <v>94</v>
      </c>
      <c r="C1204" s="54" t="s">
        <v>95</v>
      </c>
      <c r="D1204" s="54" t="s">
        <v>96</v>
      </c>
      <c r="E1204" s="54" t="s">
        <v>97</v>
      </c>
      <c r="F1204" t="s">
        <v>35</v>
      </c>
      <c r="G1204">
        <v>38340</v>
      </c>
      <c r="H1204">
        <v>360</v>
      </c>
      <c r="I1204" t="str">
        <f t="shared" si="54"/>
        <v>AAA BBB</v>
      </c>
      <c r="J1204" t="str">
        <f t="shared" si="55"/>
        <v>XXX</v>
      </c>
      <c r="K1204" t="str">
        <f t="shared" si="56"/>
        <v>ZZZ, TN, 38340</v>
      </c>
    </row>
    <row r="1205" spans="1:11" x14ac:dyDescent="0.15">
      <c r="A1205">
        <v>1018918</v>
      </c>
      <c r="B1205" s="54" t="s">
        <v>94</v>
      </c>
      <c r="C1205" s="54" t="s">
        <v>95</v>
      </c>
      <c r="D1205" s="54" t="s">
        <v>96</v>
      </c>
      <c r="E1205" s="54" t="s">
        <v>97</v>
      </c>
      <c r="F1205" t="s">
        <v>35</v>
      </c>
      <c r="G1205">
        <v>38340</v>
      </c>
      <c r="H1205">
        <v>360</v>
      </c>
      <c r="I1205" t="str">
        <f t="shared" si="54"/>
        <v>AAA BBB</v>
      </c>
      <c r="J1205" t="str">
        <f t="shared" si="55"/>
        <v>XXX</v>
      </c>
      <c r="K1205" t="str">
        <f t="shared" si="56"/>
        <v>ZZZ, TN, 38340</v>
      </c>
    </row>
    <row r="1206" spans="1:11" x14ac:dyDescent="0.15">
      <c r="A1206">
        <v>1018918</v>
      </c>
      <c r="B1206" s="54" t="s">
        <v>94</v>
      </c>
      <c r="C1206" s="54" t="s">
        <v>95</v>
      </c>
      <c r="D1206" s="54" t="s">
        <v>96</v>
      </c>
      <c r="E1206" s="54" t="s">
        <v>97</v>
      </c>
      <c r="F1206" t="s">
        <v>35</v>
      </c>
      <c r="G1206">
        <v>38340</v>
      </c>
      <c r="H1206">
        <v>360</v>
      </c>
      <c r="I1206" t="str">
        <f t="shared" si="54"/>
        <v>AAA BBB</v>
      </c>
      <c r="J1206" t="str">
        <f t="shared" si="55"/>
        <v>XXX</v>
      </c>
      <c r="K1206" t="str">
        <f t="shared" si="56"/>
        <v>ZZZ, TN, 38340</v>
      </c>
    </row>
    <row r="1207" spans="1:11" x14ac:dyDescent="0.15">
      <c r="A1207">
        <v>1018918</v>
      </c>
      <c r="B1207" s="54" t="s">
        <v>94</v>
      </c>
      <c r="C1207" s="54" t="s">
        <v>95</v>
      </c>
      <c r="D1207" s="54" t="s">
        <v>96</v>
      </c>
      <c r="E1207" s="54" t="s">
        <v>97</v>
      </c>
      <c r="F1207" t="s">
        <v>35</v>
      </c>
      <c r="G1207">
        <v>38340</v>
      </c>
      <c r="H1207">
        <v>360</v>
      </c>
      <c r="I1207" t="str">
        <f t="shared" si="54"/>
        <v>AAA BBB</v>
      </c>
      <c r="J1207" t="str">
        <f t="shared" si="55"/>
        <v>XXX</v>
      </c>
      <c r="K1207" t="str">
        <f t="shared" si="56"/>
        <v>ZZZ, TN, 38340</v>
      </c>
    </row>
    <row r="1208" spans="1:11" x14ac:dyDescent="0.15">
      <c r="A1208">
        <v>1018918</v>
      </c>
      <c r="B1208" s="54" t="s">
        <v>94</v>
      </c>
      <c r="C1208" s="54" t="s">
        <v>95</v>
      </c>
      <c r="D1208" s="54" t="s">
        <v>96</v>
      </c>
      <c r="E1208" s="54" t="s">
        <v>97</v>
      </c>
      <c r="F1208" t="s">
        <v>35</v>
      </c>
      <c r="G1208">
        <v>38340</v>
      </c>
      <c r="H1208">
        <v>360</v>
      </c>
      <c r="I1208" t="str">
        <f t="shared" si="54"/>
        <v>AAA BBB</v>
      </c>
      <c r="J1208" t="str">
        <f t="shared" si="55"/>
        <v>XXX</v>
      </c>
      <c r="K1208" t="str">
        <f t="shared" si="56"/>
        <v>ZZZ, TN, 38340</v>
      </c>
    </row>
    <row r="1209" spans="1:11" x14ac:dyDescent="0.15">
      <c r="A1209">
        <v>1018918</v>
      </c>
      <c r="B1209" s="54" t="s">
        <v>94</v>
      </c>
      <c r="C1209" s="54" t="s">
        <v>95</v>
      </c>
      <c r="D1209" s="54" t="s">
        <v>96</v>
      </c>
      <c r="E1209" s="54" t="s">
        <v>97</v>
      </c>
      <c r="F1209" t="s">
        <v>35</v>
      </c>
      <c r="G1209">
        <v>38340</v>
      </c>
      <c r="H1209">
        <v>360</v>
      </c>
      <c r="I1209" t="str">
        <f t="shared" si="54"/>
        <v>AAA BBB</v>
      </c>
      <c r="J1209" t="str">
        <f t="shared" si="55"/>
        <v>XXX</v>
      </c>
      <c r="K1209" t="str">
        <f t="shared" si="56"/>
        <v>ZZZ, TN, 38340</v>
      </c>
    </row>
    <row r="1210" spans="1:11" x14ac:dyDescent="0.15">
      <c r="A1210">
        <v>1018918</v>
      </c>
      <c r="B1210" s="54" t="s">
        <v>94</v>
      </c>
      <c r="C1210" s="54" t="s">
        <v>95</v>
      </c>
      <c r="D1210" s="54" t="s">
        <v>96</v>
      </c>
      <c r="E1210" s="54" t="s">
        <v>97</v>
      </c>
      <c r="F1210" t="s">
        <v>35</v>
      </c>
      <c r="G1210">
        <v>38340</v>
      </c>
      <c r="H1210">
        <v>360</v>
      </c>
      <c r="I1210" t="str">
        <f t="shared" si="54"/>
        <v>AAA BBB</v>
      </c>
      <c r="J1210" t="str">
        <f t="shared" si="55"/>
        <v>XXX</v>
      </c>
      <c r="K1210" t="str">
        <f t="shared" si="56"/>
        <v>ZZZ, TN, 38340</v>
      </c>
    </row>
    <row r="1211" spans="1:11" x14ac:dyDescent="0.15">
      <c r="A1211">
        <v>1018918</v>
      </c>
      <c r="B1211" s="54" t="s">
        <v>94</v>
      </c>
      <c r="C1211" s="54" t="s">
        <v>95</v>
      </c>
      <c r="D1211" s="54" t="s">
        <v>96</v>
      </c>
      <c r="E1211" s="54" t="s">
        <v>97</v>
      </c>
      <c r="F1211" t="s">
        <v>35</v>
      </c>
      <c r="G1211">
        <v>38340</v>
      </c>
      <c r="H1211">
        <v>360</v>
      </c>
      <c r="I1211" t="str">
        <f t="shared" si="54"/>
        <v>AAA BBB</v>
      </c>
      <c r="J1211" t="str">
        <f t="shared" si="55"/>
        <v>XXX</v>
      </c>
      <c r="K1211" t="str">
        <f t="shared" si="56"/>
        <v>ZZZ, TN, 38340</v>
      </c>
    </row>
    <row r="1212" spans="1:11" x14ac:dyDescent="0.15">
      <c r="A1212">
        <v>1018918</v>
      </c>
      <c r="B1212" s="54" t="s">
        <v>94</v>
      </c>
      <c r="C1212" s="54" t="s">
        <v>95</v>
      </c>
      <c r="D1212" s="54" t="s">
        <v>96</v>
      </c>
      <c r="E1212" s="54" t="s">
        <v>97</v>
      </c>
      <c r="F1212" t="s">
        <v>35</v>
      </c>
      <c r="G1212">
        <v>38340</v>
      </c>
      <c r="H1212">
        <v>360</v>
      </c>
      <c r="I1212" t="str">
        <f t="shared" si="54"/>
        <v>AAA BBB</v>
      </c>
      <c r="J1212" t="str">
        <f t="shared" si="55"/>
        <v>XXX</v>
      </c>
      <c r="K1212" t="str">
        <f t="shared" si="56"/>
        <v>ZZZ, TN, 38340</v>
      </c>
    </row>
    <row r="1213" spans="1:11" x14ac:dyDescent="0.15">
      <c r="A1213">
        <v>1018918</v>
      </c>
      <c r="B1213" s="54" t="s">
        <v>94</v>
      </c>
      <c r="C1213" s="54" t="s">
        <v>95</v>
      </c>
      <c r="D1213" s="54" t="s">
        <v>96</v>
      </c>
      <c r="E1213" s="54" t="s">
        <v>97</v>
      </c>
      <c r="F1213" t="s">
        <v>35</v>
      </c>
      <c r="G1213">
        <v>38340</v>
      </c>
      <c r="H1213">
        <v>360</v>
      </c>
      <c r="I1213" t="str">
        <f t="shared" si="54"/>
        <v>AAA BBB</v>
      </c>
      <c r="J1213" t="str">
        <f t="shared" si="55"/>
        <v>XXX</v>
      </c>
      <c r="K1213" t="str">
        <f t="shared" si="56"/>
        <v>ZZZ, TN, 38340</v>
      </c>
    </row>
    <row r="1214" spans="1:11" x14ac:dyDescent="0.15">
      <c r="A1214">
        <v>1018918</v>
      </c>
      <c r="B1214" s="54" t="s">
        <v>94</v>
      </c>
      <c r="C1214" s="54" t="s">
        <v>95</v>
      </c>
      <c r="D1214" s="54" t="s">
        <v>96</v>
      </c>
      <c r="E1214" s="54" t="s">
        <v>97</v>
      </c>
      <c r="F1214" t="s">
        <v>35</v>
      </c>
      <c r="G1214">
        <v>38340</v>
      </c>
      <c r="H1214">
        <v>360</v>
      </c>
      <c r="I1214" t="str">
        <f t="shared" si="54"/>
        <v>AAA BBB</v>
      </c>
      <c r="J1214" t="str">
        <f t="shared" si="55"/>
        <v>XXX</v>
      </c>
      <c r="K1214" t="str">
        <f t="shared" si="56"/>
        <v>ZZZ, TN, 38340</v>
      </c>
    </row>
    <row r="1215" spans="1:11" x14ac:dyDescent="0.15">
      <c r="A1215">
        <v>1018918</v>
      </c>
      <c r="B1215" s="54" t="s">
        <v>94</v>
      </c>
      <c r="C1215" s="54" t="s">
        <v>95</v>
      </c>
      <c r="D1215" s="54" t="s">
        <v>96</v>
      </c>
      <c r="E1215" s="54" t="s">
        <v>97</v>
      </c>
      <c r="F1215" t="s">
        <v>35</v>
      </c>
      <c r="G1215">
        <v>38340</v>
      </c>
      <c r="H1215">
        <v>360</v>
      </c>
      <c r="I1215" t="str">
        <f t="shared" si="54"/>
        <v>AAA BBB</v>
      </c>
      <c r="J1215" t="str">
        <f t="shared" si="55"/>
        <v>XXX</v>
      </c>
      <c r="K1215" t="str">
        <f t="shared" si="56"/>
        <v>ZZZ, TN, 38340</v>
      </c>
    </row>
    <row r="1216" spans="1:11" x14ac:dyDescent="0.15">
      <c r="A1216">
        <v>1018918</v>
      </c>
      <c r="B1216" s="54" t="s">
        <v>94</v>
      </c>
      <c r="C1216" s="54" t="s">
        <v>95</v>
      </c>
      <c r="D1216" s="54" t="s">
        <v>96</v>
      </c>
      <c r="E1216" s="54" t="s">
        <v>97</v>
      </c>
      <c r="F1216" t="s">
        <v>35</v>
      </c>
      <c r="G1216">
        <v>38340</v>
      </c>
      <c r="H1216">
        <v>360</v>
      </c>
      <c r="I1216" t="str">
        <f t="shared" si="54"/>
        <v>AAA BBB</v>
      </c>
      <c r="J1216" t="str">
        <f t="shared" si="55"/>
        <v>XXX</v>
      </c>
      <c r="K1216" t="str">
        <f t="shared" si="56"/>
        <v>ZZZ, TN, 38340</v>
      </c>
    </row>
    <row r="1217" spans="1:11" x14ac:dyDescent="0.15">
      <c r="A1217">
        <v>1018918</v>
      </c>
      <c r="B1217" s="54" t="s">
        <v>94</v>
      </c>
      <c r="C1217" s="54" t="s">
        <v>95</v>
      </c>
      <c r="D1217" s="54" t="s">
        <v>96</v>
      </c>
      <c r="E1217" s="54" t="s">
        <v>97</v>
      </c>
      <c r="F1217" t="s">
        <v>35</v>
      </c>
      <c r="G1217">
        <v>38340</v>
      </c>
      <c r="H1217">
        <v>360</v>
      </c>
      <c r="I1217" t="str">
        <f t="shared" si="54"/>
        <v>AAA BBB</v>
      </c>
      <c r="J1217" t="str">
        <f t="shared" si="55"/>
        <v>XXX</v>
      </c>
      <c r="K1217" t="str">
        <f t="shared" si="56"/>
        <v>ZZZ, TN, 38340</v>
      </c>
    </row>
    <row r="1218" spans="1:11" x14ac:dyDescent="0.15">
      <c r="A1218">
        <v>1018918</v>
      </c>
      <c r="B1218" s="54" t="s">
        <v>94</v>
      </c>
      <c r="C1218" s="54" t="s">
        <v>95</v>
      </c>
      <c r="D1218" s="54" t="s">
        <v>96</v>
      </c>
      <c r="E1218" s="54" t="s">
        <v>97</v>
      </c>
      <c r="F1218" t="s">
        <v>35</v>
      </c>
      <c r="G1218">
        <v>38340</v>
      </c>
      <c r="H1218">
        <v>360</v>
      </c>
      <c r="I1218" t="str">
        <f t="shared" si="54"/>
        <v>AAA BBB</v>
      </c>
      <c r="J1218" t="str">
        <f t="shared" si="55"/>
        <v>XXX</v>
      </c>
      <c r="K1218" t="str">
        <f t="shared" si="56"/>
        <v>ZZZ, TN, 38340</v>
      </c>
    </row>
    <row r="1219" spans="1:11" x14ac:dyDescent="0.15">
      <c r="A1219">
        <v>1018918</v>
      </c>
      <c r="B1219" s="54" t="s">
        <v>94</v>
      </c>
      <c r="C1219" s="54" t="s">
        <v>95</v>
      </c>
      <c r="D1219" s="54" t="s">
        <v>96</v>
      </c>
      <c r="E1219" s="54" t="s">
        <v>97</v>
      </c>
      <c r="F1219" t="s">
        <v>35</v>
      </c>
      <c r="G1219">
        <v>38340</v>
      </c>
      <c r="H1219">
        <v>360</v>
      </c>
      <c r="I1219" t="str">
        <f t="shared" ref="I1219:I1282" si="57">CONCATENATE(B1219," ",C1219)</f>
        <v>AAA BBB</v>
      </c>
      <c r="J1219" t="str">
        <f t="shared" ref="J1219:J1282" si="58">D1219</f>
        <v>XXX</v>
      </c>
      <c r="K1219" t="str">
        <f t="shared" ref="K1219:K1282" si="59">CONCATENATE(E1219,","," ",F1219,","," ",G1219)</f>
        <v>ZZZ, TN, 38340</v>
      </c>
    </row>
    <row r="1220" spans="1:11" x14ac:dyDescent="0.15">
      <c r="A1220">
        <v>1018918</v>
      </c>
      <c r="B1220" s="54" t="s">
        <v>94</v>
      </c>
      <c r="C1220" s="54" t="s">
        <v>95</v>
      </c>
      <c r="D1220" s="54" t="s">
        <v>96</v>
      </c>
      <c r="E1220" s="54" t="s">
        <v>97</v>
      </c>
      <c r="F1220" t="s">
        <v>35</v>
      </c>
      <c r="G1220">
        <v>38340</v>
      </c>
      <c r="H1220">
        <v>360</v>
      </c>
      <c r="I1220" t="str">
        <f t="shared" si="57"/>
        <v>AAA BBB</v>
      </c>
      <c r="J1220" t="str">
        <f t="shared" si="58"/>
        <v>XXX</v>
      </c>
      <c r="K1220" t="str">
        <f t="shared" si="59"/>
        <v>ZZZ, TN, 38340</v>
      </c>
    </row>
    <row r="1221" spans="1:11" x14ac:dyDescent="0.15">
      <c r="A1221">
        <v>1018918</v>
      </c>
      <c r="B1221" s="54" t="s">
        <v>94</v>
      </c>
      <c r="C1221" s="54" t="s">
        <v>95</v>
      </c>
      <c r="D1221" s="54" t="s">
        <v>96</v>
      </c>
      <c r="E1221" s="54" t="s">
        <v>97</v>
      </c>
      <c r="F1221" t="s">
        <v>35</v>
      </c>
      <c r="G1221">
        <v>38340</v>
      </c>
      <c r="H1221">
        <v>360</v>
      </c>
      <c r="I1221" t="str">
        <f t="shared" si="57"/>
        <v>AAA BBB</v>
      </c>
      <c r="J1221" t="str">
        <f t="shared" si="58"/>
        <v>XXX</v>
      </c>
      <c r="K1221" t="str">
        <f t="shared" si="59"/>
        <v>ZZZ, TN, 38340</v>
      </c>
    </row>
    <row r="1222" spans="1:11" x14ac:dyDescent="0.15">
      <c r="A1222">
        <v>1018918</v>
      </c>
      <c r="B1222" s="54" t="s">
        <v>94</v>
      </c>
      <c r="C1222" s="54" t="s">
        <v>95</v>
      </c>
      <c r="D1222" s="54" t="s">
        <v>96</v>
      </c>
      <c r="E1222" s="54" t="s">
        <v>97</v>
      </c>
      <c r="F1222" t="s">
        <v>35</v>
      </c>
      <c r="G1222">
        <v>38340</v>
      </c>
      <c r="H1222">
        <v>360</v>
      </c>
      <c r="I1222" t="str">
        <f t="shared" si="57"/>
        <v>AAA BBB</v>
      </c>
      <c r="J1222" t="str">
        <f t="shared" si="58"/>
        <v>XXX</v>
      </c>
      <c r="K1222" t="str">
        <f t="shared" si="59"/>
        <v>ZZZ, TN, 38340</v>
      </c>
    </row>
    <row r="1223" spans="1:11" x14ac:dyDescent="0.15">
      <c r="A1223">
        <v>1018918</v>
      </c>
      <c r="B1223" s="54" t="s">
        <v>94</v>
      </c>
      <c r="C1223" s="54" t="s">
        <v>95</v>
      </c>
      <c r="D1223" s="54" t="s">
        <v>96</v>
      </c>
      <c r="E1223" s="54" t="s">
        <v>97</v>
      </c>
      <c r="F1223" t="s">
        <v>35</v>
      </c>
      <c r="G1223">
        <v>38340</v>
      </c>
      <c r="H1223">
        <v>360</v>
      </c>
      <c r="I1223" t="str">
        <f t="shared" si="57"/>
        <v>AAA BBB</v>
      </c>
      <c r="J1223" t="str">
        <f t="shared" si="58"/>
        <v>XXX</v>
      </c>
      <c r="K1223" t="str">
        <f t="shared" si="59"/>
        <v>ZZZ, TN, 38340</v>
      </c>
    </row>
    <row r="1224" spans="1:11" x14ac:dyDescent="0.15">
      <c r="A1224">
        <v>1018918</v>
      </c>
      <c r="B1224" s="54" t="s">
        <v>94</v>
      </c>
      <c r="C1224" s="54" t="s">
        <v>95</v>
      </c>
      <c r="D1224" s="54" t="s">
        <v>96</v>
      </c>
      <c r="E1224" s="54" t="s">
        <v>97</v>
      </c>
      <c r="F1224" t="s">
        <v>35</v>
      </c>
      <c r="G1224">
        <v>38340</v>
      </c>
      <c r="H1224">
        <v>360</v>
      </c>
      <c r="I1224" t="str">
        <f t="shared" si="57"/>
        <v>AAA BBB</v>
      </c>
      <c r="J1224" t="str">
        <f t="shared" si="58"/>
        <v>XXX</v>
      </c>
      <c r="K1224" t="str">
        <f t="shared" si="59"/>
        <v>ZZZ, TN, 38340</v>
      </c>
    </row>
    <row r="1225" spans="1:11" x14ac:dyDescent="0.15">
      <c r="A1225">
        <v>1018918</v>
      </c>
      <c r="B1225" s="54" t="s">
        <v>94</v>
      </c>
      <c r="C1225" s="54" t="s">
        <v>95</v>
      </c>
      <c r="D1225" s="54" t="s">
        <v>96</v>
      </c>
      <c r="E1225" s="54" t="s">
        <v>97</v>
      </c>
      <c r="F1225" t="s">
        <v>35</v>
      </c>
      <c r="G1225">
        <v>38340</v>
      </c>
      <c r="H1225">
        <v>360</v>
      </c>
      <c r="I1225" t="str">
        <f t="shared" si="57"/>
        <v>AAA BBB</v>
      </c>
      <c r="J1225" t="str">
        <f t="shared" si="58"/>
        <v>XXX</v>
      </c>
      <c r="K1225" t="str">
        <f t="shared" si="59"/>
        <v>ZZZ, TN, 38340</v>
      </c>
    </row>
    <row r="1226" spans="1:11" x14ac:dyDescent="0.15">
      <c r="A1226">
        <v>1018918</v>
      </c>
      <c r="B1226" s="54" t="s">
        <v>94</v>
      </c>
      <c r="C1226" s="54" t="s">
        <v>95</v>
      </c>
      <c r="D1226" s="54" t="s">
        <v>96</v>
      </c>
      <c r="E1226" s="54" t="s">
        <v>97</v>
      </c>
      <c r="F1226" t="s">
        <v>35</v>
      </c>
      <c r="G1226">
        <v>38340</v>
      </c>
      <c r="H1226">
        <v>360</v>
      </c>
      <c r="I1226" t="str">
        <f t="shared" si="57"/>
        <v>AAA BBB</v>
      </c>
      <c r="J1226" t="str">
        <f t="shared" si="58"/>
        <v>XXX</v>
      </c>
      <c r="K1226" t="str">
        <f t="shared" si="59"/>
        <v>ZZZ, TN, 38340</v>
      </c>
    </row>
    <row r="1227" spans="1:11" x14ac:dyDescent="0.15">
      <c r="A1227">
        <v>1018918</v>
      </c>
      <c r="B1227" s="54" t="s">
        <v>94</v>
      </c>
      <c r="C1227" s="54" t="s">
        <v>95</v>
      </c>
      <c r="D1227" s="54" t="s">
        <v>96</v>
      </c>
      <c r="E1227" s="54" t="s">
        <v>97</v>
      </c>
      <c r="F1227" t="s">
        <v>35</v>
      </c>
      <c r="G1227">
        <v>38340</v>
      </c>
      <c r="H1227">
        <v>360</v>
      </c>
      <c r="I1227" t="str">
        <f t="shared" si="57"/>
        <v>AAA BBB</v>
      </c>
      <c r="J1227" t="str">
        <f t="shared" si="58"/>
        <v>XXX</v>
      </c>
      <c r="K1227" t="str">
        <f t="shared" si="59"/>
        <v>ZZZ, TN, 38340</v>
      </c>
    </row>
    <row r="1228" spans="1:11" x14ac:dyDescent="0.15">
      <c r="A1228">
        <v>1018918</v>
      </c>
      <c r="B1228" s="54" t="s">
        <v>94</v>
      </c>
      <c r="C1228" s="54" t="s">
        <v>95</v>
      </c>
      <c r="D1228" s="54" t="s">
        <v>96</v>
      </c>
      <c r="E1228" s="54" t="s">
        <v>97</v>
      </c>
      <c r="F1228" t="s">
        <v>35</v>
      </c>
      <c r="G1228">
        <v>38340</v>
      </c>
      <c r="H1228">
        <v>360</v>
      </c>
      <c r="I1228" t="str">
        <f t="shared" si="57"/>
        <v>AAA BBB</v>
      </c>
      <c r="J1228" t="str">
        <f t="shared" si="58"/>
        <v>XXX</v>
      </c>
      <c r="K1228" t="str">
        <f t="shared" si="59"/>
        <v>ZZZ, TN, 38340</v>
      </c>
    </row>
    <row r="1229" spans="1:11" x14ac:dyDescent="0.15">
      <c r="A1229">
        <v>1018918</v>
      </c>
      <c r="B1229" s="54" t="s">
        <v>94</v>
      </c>
      <c r="C1229" s="54" t="s">
        <v>95</v>
      </c>
      <c r="D1229" s="54" t="s">
        <v>96</v>
      </c>
      <c r="E1229" s="54" t="s">
        <v>97</v>
      </c>
      <c r="F1229" t="s">
        <v>35</v>
      </c>
      <c r="G1229">
        <v>38340</v>
      </c>
      <c r="H1229">
        <v>360</v>
      </c>
      <c r="I1229" t="str">
        <f t="shared" si="57"/>
        <v>AAA BBB</v>
      </c>
      <c r="J1229" t="str">
        <f t="shared" si="58"/>
        <v>XXX</v>
      </c>
      <c r="K1229" t="str">
        <f t="shared" si="59"/>
        <v>ZZZ, TN, 38340</v>
      </c>
    </row>
    <row r="1230" spans="1:11" x14ac:dyDescent="0.15">
      <c r="A1230">
        <v>1018918</v>
      </c>
      <c r="B1230" s="54" t="s">
        <v>94</v>
      </c>
      <c r="C1230" s="54" t="s">
        <v>95</v>
      </c>
      <c r="D1230" s="54" t="s">
        <v>96</v>
      </c>
      <c r="E1230" s="54" t="s">
        <v>97</v>
      </c>
      <c r="F1230" t="s">
        <v>35</v>
      </c>
      <c r="G1230">
        <v>38340</v>
      </c>
      <c r="H1230">
        <v>360</v>
      </c>
      <c r="I1230" t="str">
        <f t="shared" si="57"/>
        <v>AAA BBB</v>
      </c>
      <c r="J1230" t="str">
        <f t="shared" si="58"/>
        <v>XXX</v>
      </c>
      <c r="K1230" t="str">
        <f t="shared" si="59"/>
        <v>ZZZ, TN, 38340</v>
      </c>
    </row>
    <row r="1231" spans="1:11" x14ac:dyDescent="0.15">
      <c r="A1231">
        <v>1018918</v>
      </c>
      <c r="B1231" s="54" t="s">
        <v>94</v>
      </c>
      <c r="C1231" s="54" t="s">
        <v>95</v>
      </c>
      <c r="D1231" s="54" t="s">
        <v>96</v>
      </c>
      <c r="E1231" s="54" t="s">
        <v>97</v>
      </c>
      <c r="F1231" t="s">
        <v>35</v>
      </c>
      <c r="G1231">
        <v>38340</v>
      </c>
      <c r="H1231">
        <v>360</v>
      </c>
      <c r="I1231" t="str">
        <f t="shared" si="57"/>
        <v>AAA BBB</v>
      </c>
      <c r="J1231" t="str">
        <f t="shared" si="58"/>
        <v>XXX</v>
      </c>
      <c r="K1231" t="str">
        <f t="shared" si="59"/>
        <v>ZZZ, TN, 38340</v>
      </c>
    </row>
    <row r="1232" spans="1:11" x14ac:dyDescent="0.15">
      <c r="A1232">
        <v>1018918</v>
      </c>
      <c r="B1232" s="54" t="s">
        <v>94</v>
      </c>
      <c r="C1232" s="54" t="s">
        <v>95</v>
      </c>
      <c r="D1232" s="54" t="s">
        <v>96</v>
      </c>
      <c r="E1232" s="54" t="s">
        <v>97</v>
      </c>
      <c r="F1232" t="s">
        <v>35</v>
      </c>
      <c r="G1232">
        <v>38340</v>
      </c>
      <c r="H1232">
        <v>360</v>
      </c>
      <c r="I1232" t="str">
        <f t="shared" si="57"/>
        <v>AAA BBB</v>
      </c>
      <c r="J1232" t="str">
        <f t="shared" si="58"/>
        <v>XXX</v>
      </c>
      <c r="K1232" t="str">
        <f t="shared" si="59"/>
        <v>ZZZ, TN, 38340</v>
      </c>
    </row>
    <row r="1233" spans="1:11" x14ac:dyDescent="0.15">
      <c r="A1233">
        <v>1018918</v>
      </c>
      <c r="B1233" s="54" t="s">
        <v>94</v>
      </c>
      <c r="C1233" s="54" t="s">
        <v>95</v>
      </c>
      <c r="D1233" s="54" t="s">
        <v>96</v>
      </c>
      <c r="E1233" s="54" t="s">
        <v>97</v>
      </c>
      <c r="F1233" t="s">
        <v>35</v>
      </c>
      <c r="G1233">
        <v>38340</v>
      </c>
      <c r="H1233">
        <v>360</v>
      </c>
      <c r="I1233" t="str">
        <f t="shared" si="57"/>
        <v>AAA BBB</v>
      </c>
      <c r="J1233" t="str">
        <f t="shared" si="58"/>
        <v>XXX</v>
      </c>
      <c r="K1233" t="str">
        <f t="shared" si="59"/>
        <v>ZZZ, TN, 38340</v>
      </c>
    </row>
    <row r="1234" spans="1:11" x14ac:dyDescent="0.15">
      <c r="A1234">
        <v>1018918</v>
      </c>
      <c r="B1234" s="54" t="s">
        <v>94</v>
      </c>
      <c r="C1234" s="54" t="s">
        <v>95</v>
      </c>
      <c r="D1234" s="54" t="s">
        <v>96</v>
      </c>
      <c r="E1234" s="54" t="s">
        <v>97</v>
      </c>
      <c r="F1234" t="s">
        <v>35</v>
      </c>
      <c r="G1234">
        <v>38340</v>
      </c>
      <c r="H1234">
        <v>360</v>
      </c>
      <c r="I1234" t="str">
        <f t="shared" si="57"/>
        <v>AAA BBB</v>
      </c>
      <c r="J1234" t="str">
        <f t="shared" si="58"/>
        <v>XXX</v>
      </c>
      <c r="K1234" t="str">
        <f t="shared" si="59"/>
        <v>ZZZ, TN, 38340</v>
      </c>
    </row>
    <row r="1235" spans="1:11" x14ac:dyDescent="0.15">
      <c r="A1235">
        <v>1018918</v>
      </c>
      <c r="B1235" s="54" t="s">
        <v>94</v>
      </c>
      <c r="C1235" s="54" t="s">
        <v>95</v>
      </c>
      <c r="D1235" s="54" t="s">
        <v>96</v>
      </c>
      <c r="E1235" s="54" t="s">
        <v>97</v>
      </c>
      <c r="F1235" t="s">
        <v>35</v>
      </c>
      <c r="G1235">
        <v>38340</v>
      </c>
      <c r="H1235">
        <v>360</v>
      </c>
      <c r="I1235" t="str">
        <f t="shared" si="57"/>
        <v>AAA BBB</v>
      </c>
      <c r="J1235" t="str">
        <f t="shared" si="58"/>
        <v>XXX</v>
      </c>
      <c r="K1235" t="str">
        <f t="shared" si="59"/>
        <v>ZZZ, TN, 38340</v>
      </c>
    </row>
    <row r="1236" spans="1:11" x14ac:dyDescent="0.15">
      <c r="A1236">
        <v>1018918</v>
      </c>
      <c r="B1236" s="54" t="s">
        <v>94</v>
      </c>
      <c r="C1236" s="54" t="s">
        <v>95</v>
      </c>
      <c r="D1236" s="54" t="s">
        <v>96</v>
      </c>
      <c r="E1236" s="54" t="s">
        <v>97</v>
      </c>
      <c r="F1236" t="s">
        <v>35</v>
      </c>
      <c r="G1236">
        <v>38340</v>
      </c>
      <c r="H1236">
        <v>360</v>
      </c>
      <c r="I1236" t="str">
        <f t="shared" si="57"/>
        <v>AAA BBB</v>
      </c>
      <c r="J1236" t="str">
        <f t="shared" si="58"/>
        <v>XXX</v>
      </c>
      <c r="K1236" t="str">
        <f t="shared" si="59"/>
        <v>ZZZ, TN, 38340</v>
      </c>
    </row>
    <row r="1237" spans="1:11" x14ac:dyDescent="0.15">
      <c r="A1237">
        <v>1018918</v>
      </c>
      <c r="B1237" s="54" t="s">
        <v>94</v>
      </c>
      <c r="C1237" s="54" t="s">
        <v>95</v>
      </c>
      <c r="D1237" s="54" t="s">
        <v>96</v>
      </c>
      <c r="E1237" s="54" t="s">
        <v>97</v>
      </c>
      <c r="F1237" t="s">
        <v>35</v>
      </c>
      <c r="G1237">
        <v>38340</v>
      </c>
      <c r="H1237">
        <v>360</v>
      </c>
      <c r="I1237" t="str">
        <f t="shared" si="57"/>
        <v>AAA BBB</v>
      </c>
      <c r="J1237" t="str">
        <f t="shared" si="58"/>
        <v>XXX</v>
      </c>
      <c r="K1237" t="str">
        <f t="shared" si="59"/>
        <v>ZZZ, TN, 38340</v>
      </c>
    </row>
    <row r="1238" spans="1:11" x14ac:dyDescent="0.15">
      <c r="A1238">
        <v>1018918</v>
      </c>
      <c r="B1238" s="54" t="s">
        <v>94</v>
      </c>
      <c r="C1238" s="54" t="s">
        <v>95</v>
      </c>
      <c r="D1238" s="54" t="s">
        <v>96</v>
      </c>
      <c r="E1238" s="54" t="s">
        <v>97</v>
      </c>
      <c r="F1238" t="s">
        <v>35</v>
      </c>
      <c r="G1238">
        <v>38340</v>
      </c>
      <c r="H1238">
        <v>360</v>
      </c>
      <c r="I1238" t="str">
        <f t="shared" si="57"/>
        <v>AAA BBB</v>
      </c>
      <c r="J1238" t="str">
        <f t="shared" si="58"/>
        <v>XXX</v>
      </c>
      <c r="K1238" t="str">
        <f t="shared" si="59"/>
        <v>ZZZ, TN, 38340</v>
      </c>
    </row>
    <row r="1239" spans="1:11" x14ac:dyDescent="0.15">
      <c r="A1239">
        <v>1018918</v>
      </c>
      <c r="B1239" s="54" t="s">
        <v>94</v>
      </c>
      <c r="C1239" s="54" t="s">
        <v>95</v>
      </c>
      <c r="D1239" s="54" t="s">
        <v>96</v>
      </c>
      <c r="E1239" s="54" t="s">
        <v>97</v>
      </c>
      <c r="F1239" t="s">
        <v>35</v>
      </c>
      <c r="G1239">
        <v>38340</v>
      </c>
      <c r="H1239">
        <v>360</v>
      </c>
      <c r="I1239" t="str">
        <f t="shared" si="57"/>
        <v>AAA BBB</v>
      </c>
      <c r="J1239" t="str">
        <f t="shared" si="58"/>
        <v>XXX</v>
      </c>
      <c r="K1239" t="str">
        <f t="shared" si="59"/>
        <v>ZZZ, TN, 38340</v>
      </c>
    </row>
    <row r="1240" spans="1:11" x14ac:dyDescent="0.15">
      <c r="A1240">
        <v>1018918</v>
      </c>
      <c r="B1240" s="54" t="s">
        <v>94</v>
      </c>
      <c r="C1240" s="54" t="s">
        <v>95</v>
      </c>
      <c r="D1240" s="54" t="s">
        <v>96</v>
      </c>
      <c r="E1240" s="54" t="s">
        <v>97</v>
      </c>
      <c r="F1240" t="s">
        <v>35</v>
      </c>
      <c r="G1240">
        <v>38340</v>
      </c>
      <c r="H1240">
        <v>360</v>
      </c>
      <c r="I1240" t="str">
        <f t="shared" si="57"/>
        <v>AAA BBB</v>
      </c>
      <c r="J1240" t="str">
        <f t="shared" si="58"/>
        <v>XXX</v>
      </c>
      <c r="K1240" t="str">
        <f t="shared" si="59"/>
        <v>ZZZ, TN, 38340</v>
      </c>
    </row>
    <row r="1241" spans="1:11" x14ac:dyDescent="0.15">
      <c r="A1241">
        <v>1018918</v>
      </c>
      <c r="B1241" s="54" t="s">
        <v>94</v>
      </c>
      <c r="C1241" s="54" t="s">
        <v>95</v>
      </c>
      <c r="D1241" s="54" t="s">
        <v>96</v>
      </c>
      <c r="E1241" s="54" t="s">
        <v>97</v>
      </c>
      <c r="F1241" t="s">
        <v>35</v>
      </c>
      <c r="G1241">
        <v>38340</v>
      </c>
      <c r="H1241">
        <v>360</v>
      </c>
      <c r="I1241" t="str">
        <f t="shared" si="57"/>
        <v>AAA BBB</v>
      </c>
      <c r="J1241" t="str">
        <f t="shared" si="58"/>
        <v>XXX</v>
      </c>
      <c r="K1241" t="str">
        <f t="shared" si="59"/>
        <v>ZZZ, TN, 38340</v>
      </c>
    </row>
    <row r="1242" spans="1:11" x14ac:dyDescent="0.15">
      <c r="A1242">
        <v>1018918</v>
      </c>
      <c r="B1242" s="54" t="s">
        <v>94</v>
      </c>
      <c r="C1242" s="54" t="s">
        <v>95</v>
      </c>
      <c r="D1242" s="54" t="s">
        <v>96</v>
      </c>
      <c r="E1242" s="54" t="s">
        <v>97</v>
      </c>
      <c r="F1242" t="s">
        <v>35</v>
      </c>
      <c r="G1242">
        <v>38340</v>
      </c>
      <c r="H1242">
        <v>360</v>
      </c>
      <c r="I1242" t="str">
        <f t="shared" si="57"/>
        <v>AAA BBB</v>
      </c>
      <c r="J1242" t="str">
        <f t="shared" si="58"/>
        <v>XXX</v>
      </c>
      <c r="K1242" t="str">
        <f t="shared" si="59"/>
        <v>ZZZ, TN, 38340</v>
      </c>
    </row>
    <row r="1243" spans="1:11" x14ac:dyDescent="0.15">
      <c r="A1243">
        <v>1018918</v>
      </c>
      <c r="B1243" s="54" t="s">
        <v>94</v>
      </c>
      <c r="C1243" s="54" t="s">
        <v>95</v>
      </c>
      <c r="D1243" s="54" t="s">
        <v>96</v>
      </c>
      <c r="E1243" s="54" t="s">
        <v>97</v>
      </c>
      <c r="F1243" t="s">
        <v>35</v>
      </c>
      <c r="G1243">
        <v>38340</v>
      </c>
      <c r="H1243">
        <v>360</v>
      </c>
      <c r="I1243" t="str">
        <f t="shared" si="57"/>
        <v>AAA BBB</v>
      </c>
      <c r="J1243" t="str">
        <f t="shared" si="58"/>
        <v>XXX</v>
      </c>
      <c r="K1243" t="str">
        <f t="shared" si="59"/>
        <v>ZZZ, TN, 38340</v>
      </c>
    </row>
    <row r="1244" spans="1:11" x14ac:dyDescent="0.15">
      <c r="A1244">
        <v>1018918</v>
      </c>
      <c r="B1244" s="54" t="s">
        <v>94</v>
      </c>
      <c r="C1244" s="54" t="s">
        <v>95</v>
      </c>
      <c r="D1244" s="54" t="s">
        <v>96</v>
      </c>
      <c r="E1244" s="54" t="s">
        <v>97</v>
      </c>
      <c r="F1244" t="s">
        <v>35</v>
      </c>
      <c r="G1244">
        <v>38340</v>
      </c>
      <c r="H1244">
        <v>360</v>
      </c>
      <c r="I1244" t="str">
        <f t="shared" si="57"/>
        <v>AAA BBB</v>
      </c>
      <c r="J1244" t="str">
        <f t="shared" si="58"/>
        <v>XXX</v>
      </c>
      <c r="K1244" t="str">
        <f t="shared" si="59"/>
        <v>ZZZ, TN, 38340</v>
      </c>
    </row>
    <row r="1245" spans="1:11" x14ac:dyDescent="0.15">
      <c r="A1245">
        <v>1018918</v>
      </c>
      <c r="B1245" s="54" t="s">
        <v>94</v>
      </c>
      <c r="C1245" s="54" t="s">
        <v>95</v>
      </c>
      <c r="D1245" s="54" t="s">
        <v>96</v>
      </c>
      <c r="E1245" s="54" t="s">
        <v>97</v>
      </c>
      <c r="F1245" t="s">
        <v>35</v>
      </c>
      <c r="G1245">
        <v>38340</v>
      </c>
      <c r="H1245">
        <v>360</v>
      </c>
      <c r="I1245" t="str">
        <f t="shared" si="57"/>
        <v>AAA BBB</v>
      </c>
      <c r="J1245" t="str">
        <f t="shared" si="58"/>
        <v>XXX</v>
      </c>
      <c r="K1245" t="str">
        <f t="shared" si="59"/>
        <v>ZZZ, TN, 38340</v>
      </c>
    </row>
    <row r="1246" spans="1:11" x14ac:dyDescent="0.15">
      <c r="A1246">
        <v>1018918</v>
      </c>
      <c r="B1246" s="54" t="s">
        <v>94</v>
      </c>
      <c r="C1246" s="54" t="s">
        <v>95</v>
      </c>
      <c r="D1246" s="54" t="s">
        <v>96</v>
      </c>
      <c r="E1246" s="54" t="s">
        <v>97</v>
      </c>
      <c r="F1246" t="s">
        <v>35</v>
      </c>
      <c r="G1246">
        <v>38340</v>
      </c>
      <c r="H1246">
        <v>360</v>
      </c>
      <c r="I1246" t="str">
        <f t="shared" si="57"/>
        <v>AAA BBB</v>
      </c>
      <c r="J1246" t="str">
        <f t="shared" si="58"/>
        <v>XXX</v>
      </c>
      <c r="K1246" t="str">
        <f t="shared" si="59"/>
        <v>ZZZ, TN, 38340</v>
      </c>
    </row>
    <row r="1247" spans="1:11" x14ac:dyDescent="0.15">
      <c r="A1247">
        <v>1018918</v>
      </c>
      <c r="B1247" s="54" t="s">
        <v>94</v>
      </c>
      <c r="C1247" s="54" t="s">
        <v>95</v>
      </c>
      <c r="D1247" s="54" t="s">
        <v>96</v>
      </c>
      <c r="E1247" s="54" t="s">
        <v>97</v>
      </c>
      <c r="F1247" t="s">
        <v>35</v>
      </c>
      <c r="G1247">
        <v>38340</v>
      </c>
      <c r="H1247">
        <v>360</v>
      </c>
      <c r="I1247" t="str">
        <f t="shared" si="57"/>
        <v>AAA BBB</v>
      </c>
      <c r="J1247" t="str">
        <f t="shared" si="58"/>
        <v>XXX</v>
      </c>
      <c r="K1247" t="str">
        <f t="shared" si="59"/>
        <v>ZZZ, TN, 38340</v>
      </c>
    </row>
    <row r="1248" spans="1:11" x14ac:dyDescent="0.15">
      <c r="A1248">
        <v>1018918</v>
      </c>
      <c r="B1248" s="54" t="s">
        <v>94</v>
      </c>
      <c r="C1248" s="54" t="s">
        <v>95</v>
      </c>
      <c r="D1248" s="54" t="s">
        <v>96</v>
      </c>
      <c r="E1248" s="54" t="s">
        <v>97</v>
      </c>
      <c r="F1248" t="s">
        <v>35</v>
      </c>
      <c r="G1248">
        <v>38340</v>
      </c>
      <c r="H1248">
        <v>360</v>
      </c>
      <c r="I1248" t="str">
        <f t="shared" si="57"/>
        <v>AAA BBB</v>
      </c>
      <c r="J1248" t="str">
        <f t="shared" si="58"/>
        <v>XXX</v>
      </c>
      <c r="K1248" t="str">
        <f t="shared" si="59"/>
        <v>ZZZ, TN, 38340</v>
      </c>
    </row>
    <row r="1249" spans="1:11" x14ac:dyDescent="0.15">
      <c r="A1249">
        <v>1018918</v>
      </c>
      <c r="B1249" s="54" t="s">
        <v>94</v>
      </c>
      <c r="C1249" s="54" t="s">
        <v>95</v>
      </c>
      <c r="D1249" s="54" t="s">
        <v>96</v>
      </c>
      <c r="E1249" s="54" t="s">
        <v>97</v>
      </c>
      <c r="F1249" t="s">
        <v>35</v>
      </c>
      <c r="G1249">
        <v>38340</v>
      </c>
      <c r="H1249">
        <v>360</v>
      </c>
      <c r="I1249" t="str">
        <f t="shared" si="57"/>
        <v>AAA BBB</v>
      </c>
      <c r="J1249" t="str">
        <f t="shared" si="58"/>
        <v>XXX</v>
      </c>
      <c r="K1249" t="str">
        <f t="shared" si="59"/>
        <v>ZZZ, TN, 38340</v>
      </c>
    </row>
    <row r="1250" spans="1:11" x14ac:dyDescent="0.15">
      <c r="A1250">
        <v>1018918</v>
      </c>
      <c r="B1250" s="54" t="s">
        <v>94</v>
      </c>
      <c r="C1250" s="54" t="s">
        <v>95</v>
      </c>
      <c r="D1250" s="54" t="s">
        <v>96</v>
      </c>
      <c r="E1250" s="54" t="s">
        <v>97</v>
      </c>
      <c r="F1250" t="s">
        <v>35</v>
      </c>
      <c r="G1250">
        <v>38340</v>
      </c>
      <c r="H1250">
        <v>360</v>
      </c>
      <c r="I1250" t="str">
        <f t="shared" si="57"/>
        <v>AAA BBB</v>
      </c>
      <c r="J1250" t="str">
        <f t="shared" si="58"/>
        <v>XXX</v>
      </c>
      <c r="K1250" t="str">
        <f t="shared" si="59"/>
        <v>ZZZ, TN, 38340</v>
      </c>
    </row>
    <row r="1251" spans="1:11" x14ac:dyDescent="0.15">
      <c r="A1251">
        <v>1018918</v>
      </c>
      <c r="B1251" s="54" t="s">
        <v>94</v>
      </c>
      <c r="C1251" s="54" t="s">
        <v>95</v>
      </c>
      <c r="D1251" s="54" t="s">
        <v>96</v>
      </c>
      <c r="E1251" s="54" t="s">
        <v>97</v>
      </c>
      <c r="F1251" t="s">
        <v>35</v>
      </c>
      <c r="G1251">
        <v>38340</v>
      </c>
      <c r="H1251">
        <v>360</v>
      </c>
      <c r="I1251" t="str">
        <f t="shared" si="57"/>
        <v>AAA BBB</v>
      </c>
      <c r="J1251" t="str">
        <f t="shared" si="58"/>
        <v>XXX</v>
      </c>
      <c r="K1251" t="str">
        <f t="shared" si="59"/>
        <v>ZZZ, TN, 38340</v>
      </c>
    </row>
    <row r="1252" spans="1:11" x14ac:dyDescent="0.15">
      <c r="A1252">
        <v>1018918</v>
      </c>
      <c r="B1252" s="54" t="s">
        <v>94</v>
      </c>
      <c r="C1252" s="54" t="s">
        <v>95</v>
      </c>
      <c r="D1252" s="54" t="s">
        <v>96</v>
      </c>
      <c r="E1252" s="54" t="s">
        <v>97</v>
      </c>
      <c r="F1252" t="s">
        <v>35</v>
      </c>
      <c r="G1252">
        <v>38340</v>
      </c>
      <c r="H1252">
        <v>360</v>
      </c>
      <c r="I1252" t="str">
        <f t="shared" si="57"/>
        <v>AAA BBB</v>
      </c>
      <c r="J1252" t="str">
        <f t="shared" si="58"/>
        <v>XXX</v>
      </c>
      <c r="K1252" t="str">
        <f t="shared" si="59"/>
        <v>ZZZ, TN, 38340</v>
      </c>
    </row>
    <row r="1253" spans="1:11" x14ac:dyDescent="0.15">
      <c r="A1253">
        <v>1018918</v>
      </c>
      <c r="B1253" s="54" t="s">
        <v>94</v>
      </c>
      <c r="C1253" s="54" t="s">
        <v>95</v>
      </c>
      <c r="D1253" s="54" t="s">
        <v>96</v>
      </c>
      <c r="E1253" s="54" t="s">
        <v>97</v>
      </c>
      <c r="F1253" t="s">
        <v>35</v>
      </c>
      <c r="G1253">
        <v>38340</v>
      </c>
      <c r="H1253">
        <v>360</v>
      </c>
      <c r="I1253" t="str">
        <f t="shared" si="57"/>
        <v>AAA BBB</v>
      </c>
      <c r="J1253" t="str">
        <f t="shared" si="58"/>
        <v>XXX</v>
      </c>
      <c r="K1253" t="str">
        <f t="shared" si="59"/>
        <v>ZZZ, TN, 38340</v>
      </c>
    </row>
    <row r="1254" spans="1:11" x14ac:dyDescent="0.15">
      <c r="A1254">
        <v>1018918</v>
      </c>
      <c r="B1254" s="54" t="s">
        <v>94</v>
      </c>
      <c r="C1254" s="54" t="s">
        <v>95</v>
      </c>
      <c r="D1254" s="54" t="s">
        <v>96</v>
      </c>
      <c r="E1254" s="54" t="s">
        <v>97</v>
      </c>
      <c r="F1254" t="s">
        <v>35</v>
      </c>
      <c r="G1254">
        <v>38340</v>
      </c>
      <c r="H1254">
        <v>360</v>
      </c>
      <c r="I1254" t="str">
        <f t="shared" si="57"/>
        <v>AAA BBB</v>
      </c>
      <c r="J1254" t="str">
        <f t="shared" si="58"/>
        <v>XXX</v>
      </c>
      <c r="K1254" t="str">
        <f t="shared" si="59"/>
        <v>ZZZ, TN, 38340</v>
      </c>
    </row>
    <row r="1255" spans="1:11" x14ac:dyDescent="0.15">
      <c r="A1255">
        <v>1018918</v>
      </c>
      <c r="B1255" s="54" t="s">
        <v>94</v>
      </c>
      <c r="C1255" s="54" t="s">
        <v>95</v>
      </c>
      <c r="D1255" s="54" t="s">
        <v>96</v>
      </c>
      <c r="E1255" s="54" t="s">
        <v>97</v>
      </c>
      <c r="F1255" t="s">
        <v>35</v>
      </c>
      <c r="G1255">
        <v>38340</v>
      </c>
      <c r="H1255">
        <v>360</v>
      </c>
      <c r="I1255" t="str">
        <f t="shared" si="57"/>
        <v>AAA BBB</v>
      </c>
      <c r="J1255" t="str">
        <f t="shared" si="58"/>
        <v>XXX</v>
      </c>
      <c r="K1255" t="str">
        <f t="shared" si="59"/>
        <v>ZZZ, TN, 38340</v>
      </c>
    </row>
    <row r="1256" spans="1:11" x14ac:dyDescent="0.15">
      <c r="A1256">
        <v>1018918</v>
      </c>
      <c r="B1256" s="54" t="s">
        <v>94</v>
      </c>
      <c r="C1256" s="54" t="s">
        <v>95</v>
      </c>
      <c r="D1256" s="54" t="s">
        <v>96</v>
      </c>
      <c r="E1256" s="54" t="s">
        <v>97</v>
      </c>
      <c r="F1256" t="s">
        <v>35</v>
      </c>
      <c r="G1256">
        <v>38340</v>
      </c>
      <c r="H1256">
        <v>360</v>
      </c>
      <c r="I1256" t="str">
        <f t="shared" si="57"/>
        <v>AAA BBB</v>
      </c>
      <c r="J1256" t="str">
        <f t="shared" si="58"/>
        <v>XXX</v>
      </c>
      <c r="K1256" t="str">
        <f t="shared" si="59"/>
        <v>ZZZ, TN, 38340</v>
      </c>
    </row>
    <row r="1257" spans="1:11" x14ac:dyDescent="0.15">
      <c r="A1257">
        <v>1018918</v>
      </c>
      <c r="B1257" s="54" t="s">
        <v>94</v>
      </c>
      <c r="C1257" s="54" t="s">
        <v>95</v>
      </c>
      <c r="D1257" s="54" t="s">
        <v>96</v>
      </c>
      <c r="E1257" s="54" t="s">
        <v>97</v>
      </c>
      <c r="F1257" t="s">
        <v>35</v>
      </c>
      <c r="G1257">
        <v>38340</v>
      </c>
      <c r="H1257">
        <v>360</v>
      </c>
      <c r="I1257" t="str">
        <f t="shared" si="57"/>
        <v>AAA BBB</v>
      </c>
      <c r="J1257" t="str">
        <f t="shared" si="58"/>
        <v>XXX</v>
      </c>
      <c r="K1257" t="str">
        <f t="shared" si="59"/>
        <v>ZZZ, TN, 38340</v>
      </c>
    </row>
    <row r="1258" spans="1:11" x14ac:dyDescent="0.15">
      <c r="A1258">
        <v>1018918</v>
      </c>
      <c r="B1258" s="54" t="s">
        <v>94</v>
      </c>
      <c r="C1258" s="54" t="s">
        <v>95</v>
      </c>
      <c r="D1258" s="54" t="s">
        <v>96</v>
      </c>
      <c r="E1258" s="54" t="s">
        <v>97</v>
      </c>
      <c r="F1258" t="s">
        <v>35</v>
      </c>
      <c r="G1258">
        <v>38340</v>
      </c>
      <c r="H1258">
        <v>360</v>
      </c>
      <c r="I1258" t="str">
        <f t="shared" si="57"/>
        <v>AAA BBB</v>
      </c>
      <c r="J1258" t="str">
        <f t="shared" si="58"/>
        <v>XXX</v>
      </c>
      <c r="K1258" t="str">
        <f t="shared" si="59"/>
        <v>ZZZ, TN, 38340</v>
      </c>
    </row>
    <row r="1259" spans="1:11" x14ac:dyDescent="0.15">
      <c r="A1259">
        <v>1018918</v>
      </c>
      <c r="B1259" s="54" t="s">
        <v>94</v>
      </c>
      <c r="C1259" s="54" t="s">
        <v>95</v>
      </c>
      <c r="D1259" s="54" t="s">
        <v>96</v>
      </c>
      <c r="E1259" s="54" t="s">
        <v>97</v>
      </c>
      <c r="F1259" t="s">
        <v>35</v>
      </c>
      <c r="G1259">
        <v>38340</v>
      </c>
      <c r="H1259">
        <v>360</v>
      </c>
      <c r="I1259" t="str">
        <f t="shared" si="57"/>
        <v>AAA BBB</v>
      </c>
      <c r="J1259" t="str">
        <f t="shared" si="58"/>
        <v>XXX</v>
      </c>
      <c r="K1259" t="str">
        <f t="shared" si="59"/>
        <v>ZZZ, TN, 38340</v>
      </c>
    </row>
    <row r="1260" spans="1:11" x14ac:dyDescent="0.15">
      <c r="A1260">
        <v>1018918</v>
      </c>
      <c r="B1260" s="54" t="s">
        <v>94</v>
      </c>
      <c r="C1260" s="54" t="s">
        <v>95</v>
      </c>
      <c r="D1260" s="54" t="s">
        <v>96</v>
      </c>
      <c r="E1260" s="54" t="s">
        <v>97</v>
      </c>
      <c r="F1260" t="s">
        <v>35</v>
      </c>
      <c r="G1260">
        <v>38340</v>
      </c>
      <c r="H1260">
        <v>360</v>
      </c>
      <c r="I1260" t="str">
        <f t="shared" si="57"/>
        <v>AAA BBB</v>
      </c>
      <c r="J1260" t="str">
        <f t="shared" si="58"/>
        <v>XXX</v>
      </c>
      <c r="K1260" t="str">
        <f t="shared" si="59"/>
        <v>ZZZ, TN, 38340</v>
      </c>
    </row>
    <row r="1261" spans="1:11" x14ac:dyDescent="0.15">
      <c r="A1261">
        <v>1018918</v>
      </c>
      <c r="B1261" s="54" t="s">
        <v>94</v>
      </c>
      <c r="C1261" s="54" t="s">
        <v>95</v>
      </c>
      <c r="D1261" s="54" t="s">
        <v>96</v>
      </c>
      <c r="E1261" s="54" t="s">
        <v>97</v>
      </c>
      <c r="F1261" t="s">
        <v>35</v>
      </c>
      <c r="G1261">
        <v>38340</v>
      </c>
      <c r="H1261">
        <v>360</v>
      </c>
      <c r="I1261" t="str">
        <f t="shared" si="57"/>
        <v>AAA BBB</v>
      </c>
      <c r="J1261" t="str">
        <f t="shared" si="58"/>
        <v>XXX</v>
      </c>
      <c r="K1261" t="str">
        <f t="shared" si="59"/>
        <v>ZZZ, TN, 38340</v>
      </c>
    </row>
    <row r="1262" spans="1:11" x14ac:dyDescent="0.15">
      <c r="A1262">
        <v>1018918</v>
      </c>
      <c r="B1262" s="54" t="s">
        <v>94</v>
      </c>
      <c r="C1262" s="54" t="s">
        <v>95</v>
      </c>
      <c r="D1262" s="54" t="s">
        <v>96</v>
      </c>
      <c r="E1262" s="54" t="s">
        <v>97</v>
      </c>
      <c r="F1262" t="s">
        <v>35</v>
      </c>
      <c r="G1262">
        <v>38340</v>
      </c>
      <c r="H1262">
        <v>360</v>
      </c>
      <c r="I1262" t="str">
        <f t="shared" si="57"/>
        <v>AAA BBB</v>
      </c>
      <c r="J1262" t="str">
        <f t="shared" si="58"/>
        <v>XXX</v>
      </c>
      <c r="K1262" t="str">
        <f t="shared" si="59"/>
        <v>ZZZ, TN, 38340</v>
      </c>
    </row>
    <row r="1263" spans="1:11" x14ac:dyDescent="0.15">
      <c r="A1263">
        <v>1018918</v>
      </c>
      <c r="B1263" s="54" t="s">
        <v>94</v>
      </c>
      <c r="C1263" s="54" t="s">
        <v>95</v>
      </c>
      <c r="D1263" s="54" t="s">
        <v>96</v>
      </c>
      <c r="E1263" s="54" t="s">
        <v>97</v>
      </c>
      <c r="F1263" t="s">
        <v>35</v>
      </c>
      <c r="G1263">
        <v>38340</v>
      </c>
      <c r="H1263">
        <v>360</v>
      </c>
      <c r="I1263" t="str">
        <f t="shared" si="57"/>
        <v>AAA BBB</v>
      </c>
      <c r="J1263" t="str">
        <f t="shared" si="58"/>
        <v>XXX</v>
      </c>
      <c r="K1263" t="str">
        <f t="shared" si="59"/>
        <v>ZZZ, TN, 38340</v>
      </c>
    </row>
    <row r="1264" spans="1:11" x14ac:dyDescent="0.15">
      <c r="A1264">
        <v>1018918</v>
      </c>
      <c r="B1264" s="54" t="s">
        <v>94</v>
      </c>
      <c r="C1264" s="54" t="s">
        <v>95</v>
      </c>
      <c r="D1264" s="54" t="s">
        <v>96</v>
      </c>
      <c r="E1264" s="54" t="s">
        <v>97</v>
      </c>
      <c r="F1264" t="s">
        <v>35</v>
      </c>
      <c r="G1264">
        <v>38340</v>
      </c>
      <c r="H1264">
        <v>360</v>
      </c>
      <c r="I1264" t="str">
        <f t="shared" si="57"/>
        <v>AAA BBB</v>
      </c>
      <c r="J1264" t="str">
        <f t="shared" si="58"/>
        <v>XXX</v>
      </c>
      <c r="K1264" t="str">
        <f t="shared" si="59"/>
        <v>ZZZ, TN, 38340</v>
      </c>
    </row>
    <row r="1265" spans="1:11" x14ac:dyDescent="0.15">
      <c r="A1265">
        <v>1018918</v>
      </c>
      <c r="B1265" s="54" t="s">
        <v>94</v>
      </c>
      <c r="C1265" s="54" t="s">
        <v>95</v>
      </c>
      <c r="D1265" s="54" t="s">
        <v>96</v>
      </c>
      <c r="E1265" s="54" t="s">
        <v>97</v>
      </c>
      <c r="F1265" t="s">
        <v>35</v>
      </c>
      <c r="G1265">
        <v>38340</v>
      </c>
      <c r="H1265">
        <v>360</v>
      </c>
      <c r="I1265" t="str">
        <f t="shared" si="57"/>
        <v>AAA BBB</v>
      </c>
      <c r="J1265" t="str">
        <f t="shared" si="58"/>
        <v>XXX</v>
      </c>
      <c r="K1265" t="str">
        <f t="shared" si="59"/>
        <v>ZZZ, TN, 38340</v>
      </c>
    </row>
    <row r="1266" spans="1:11" x14ac:dyDescent="0.15">
      <c r="A1266">
        <v>1018918</v>
      </c>
      <c r="B1266" s="54" t="s">
        <v>94</v>
      </c>
      <c r="C1266" s="54" t="s">
        <v>95</v>
      </c>
      <c r="D1266" s="54" t="s">
        <v>96</v>
      </c>
      <c r="E1266" s="54" t="s">
        <v>97</v>
      </c>
      <c r="F1266" t="s">
        <v>35</v>
      </c>
      <c r="G1266">
        <v>38340</v>
      </c>
      <c r="H1266">
        <v>360</v>
      </c>
      <c r="I1266" t="str">
        <f t="shared" si="57"/>
        <v>AAA BBB</v>
      </c>
      <c r="J1266" t="str">
        <f t="shared" si="58"/>
        <v>XXX</v>
      </c>
      <c r="K1266" t="str">
        <f t="shared" si="59"/>
        <v>ZZZ, TN, 38340</v>
      </c>
    </row>
    <row r="1267" spans="1:11" x14ac:dyDescent="0.15">
      <c r="A1267">
        <v>1018918</v>
      </c>
      <c r="B1267" s="54" t="s">
        <v>94</v>
      </c>
      <c r="C1267" s="54" t="s">
        <v>95</v>
      </c>
      <c r="D1267" s="54" t="s">
        <v>96</v>
      </c>
      <c r="E1267" s="54" t="s">
        <v>97</v>
      </c>
      <c r="F1267" t="s">
        <v>35</v>
      </c>
      <c r="G1267">
        <v>38340</v>
      </c>
      <c r="H1267">
        <v>360</v>
      </c>
      <c r="I1267" t="str">
        <f t="shared" si="57"/>
        <v>AAA BBB</v>
      </c>
      <c r="J1267" t="str">
        <f t="shared" si="58"/>
        <v>XXX</v>
      </c>
      <c r="K1267" t="str">
        <f t="shared" si="59"/>
        <v>ZZZ, TN, 38340</v>
      </c>
    </row>
    <row r="1268" spans="1:11" x14ac:dyDescent="0.15">
      <c r="A1268">
        <v>1018918</v>
      </c>
      <c r="B1268" s="54" t="s">
        <v>94</v>
      </c>
      <c r="C1268" s="54" t="s">
        <v>95</v>
      </c>
      <c r="D1268" s="54" t="s">
        <v>96</v>
      </c>
      <c r="E1268" s="54" t="s">
        <v>97</v>
      </c>
      <c r="F1268" t="s">
        <v>35</v>
      </c>
      <c r="G1268">
        <v>38340</v>
      </c>
      <c r="H1268">
        <v>360</v>
      </c>
      <c r="I1268" t="str">
        <f t="shared" si="57"/>
        <v>AAA BBB</v>
      </c>
      <c r="J1268" t="str">
        <f t="shared" si="58"/>
        <v>XXX</v>
      </c>
      <c r="K1268" t="str">
        <f t="shared" si="59"/>
        <v>ZZZ, TN, 38340</v>
      </c>
    </row>
    <row r="1269" spans="1:11" x14ac:dyDescent="0.15">
      <c r="A1269">
        <v>1018918</v>
      </c>
      <c r="B1269" s="54" t="s">
        <v>94</v>
      </c>
      <c r="C1269" s="54" t="s">
        <v>95</v>
      </c>
      <c r="D1269" s="54" t="s">
        <v>96</v>
      </c>
      <c r="E1269" s="54" t="s">
        <v>97</v>
      </c>
      <c r="F1269" t="s">
        <v>35</v>
      </c>
      <c r="G1269">
        <v>38340</v>
      </c>
      <c r="H1269">
        <v>360</v>
      </c>
      <c r="I1269" t="str">
        <f t="shared" si="57"/>
        <v>AAA BBB</v>
      </c>
      <c r="J1269" t="str">
        <f t="shared" si="58"/>
        <v>XXX</v>
      </c>
      <c r="K1269" t="str">
        <f t="shared" si="59"/>
        <v>ZZZ, TN, 38340</v>
      </c>
    </row>
    <row r="1270" spans="1:11" x14ac:dyDescent="0.15">
      <c r="A1270">
        <v>1018918</v>
      </c>
      <c r="B1270" s="54" t="s">
        <v>94</v>
      </c>
      <c r="C1270" s="54" t="s">
        <v>95</v>
      </c>
      <c r="D1270" s="54" t="s">
        <v>96</v>
      </c>
      <c r="E1270" s="54" t="s">
        <v>97</v>
      </c>
      <c r="F1270" t="s">
        <v>35</v>
      </c>
      <c r="G1270">
        <v>38340</v>
      </c>
      <c r="H1270">
        <v>360</v>
      </c>
      <c r="I1270" t="str">
        <f t="shared" si="57"/>
        <v>AAA BBB</v>
      </c>
      <c r="J1270" t="str">
        <f t="shared" si="58"/>
        <v>XXX</v>
      </c>
      <c r="K1270" t="str">
        <f t="shared" si="59"/>
        <v>ZZZ, TN, 38340</v>
      </c>
    </row>
    <row r="1271" spans="1:11" x14ac:dyDescent="0.15">
      <c r="A1271">
        <v>1018918</v>
      </c>
      <c r="B1271" s="54" t="s">
        <v>94</v>
      </c>
      <c r="C1271" s="54" t="s">
        <v>95</v>
      </c>
      <c r="D1271" s="54" t="s">
        <v>96</v>
      </c>
      <c r="E1271" s="54" t="s">
        <v>97</v>
      </c>
      <c r="F1271" t="s">
        <v>35</v>
      </c>
      <c r="G1271">
        <v>38340</v>
      </c>
      <c r="H1271">
        <v>360</v>
      </c>
      <c r="I1271" t="str">
        <f t="shared" si="57"/>
        <v>AAA BBB</v>
      </c>
      <c r="J1271" t="str">
        <f t="shared" si="58"/>
        <v>XXX</v>
      </c>
      <c r="K1271" t="str">
        <f t="shared" si="59"/>
        <v>ZZZ, TN, 38340</v>
      </c>
    </row>
    <row r="1272" spans="1:11" x14ac:dyDescent="0.15">
      <c r="A1272">
        <v>1018918</v>
      </c>
      <c r="B1272" s="54" t="s">
        <v>94</v>
      </c>
      <c r="C1272" s="54" t="s">
        <v>95</v>
      </c>
      <c r="D1272" s="54" t="s">
        <v>96</v>
      </c>
      <c r="E1272" s="54" t="s">
        <v>97</v>
      </c>
      <c r="F1272" t="s">
        <v>35</v>
      </c>
      <c r="G1272">
        <v>38340</v>
      </c>
      <c r="H1272">
        <v>360</v>
      </c>
      <c r="I1272" t="str">
        <f t="shared" si="57"/>
        <v>AAA BBB</v>
      </c>
      <c r="J1272" t="str">
        <f t="shared" si="58"/>
        <v>XXX</v>
      </c>
      <c r="K1272" t="str">
        <f t="shared" si="59"/>
        <v>ZZZ, TN, 38340</v>
      </c>
    </row>
    <row r="1273" spans="1:11" x14ac:dyDescent="0.15">
      <c r="A1273">
        <v>1018918</v>
      </c>
      <c r="B1273" s="54" t="s">
        <v>94</v>
      </c>
      <c r="C1273" s="54" t="s">
        <v>95</v>
      </c>
      <c r="D1273" s="54" t="s">
        <v>96</v>
      </c>
      <c r="E1273" s="54" t="s">
        <v>97</v>
      </c>
      <c r="F1273" t="s">
        <v>35</v>
      </c>
      <c r="G1273">
        <v>38340</v>
      </c>
      <c r="H1273">
        <v>360</v>
      </c>
      <c r="I1273" t="str">
        <f t="shared" si="57"/>
        <v>AAA BBB</v>
      </c>
      <c r="J1273" t="str">
        <f t="shared" si="58"/>
        <v>XXX</v>
      </c>
      <c r="K1273" t="str">
        <f t="shared" si="59"/>
        <v>ZZZ, TN, 38340</v>
      </c>
    </row>
    <row r="1274" spans="1:11" x14ac:dyDescent="0.15">
      <c r="A1274">
        <v>1018918</v>
      </c>
      <c r="B1274" s="54" t="s">
        <v>94</v>
      </c>
      <c r="C1274" s="54" t="s">
        <v>95</v>
      </c>
      <c r="D1274" s="54" t="s">
        <v>96</v>
      </c>
      <c r="E1274" s="54" t="s">
        <v>97</v>
      </c>
      <c r="F1274" t="s">
        <v>35</v>
      </c>
      <c r="G1274">
        <v>38340</v>
      </c>
      <c r="H1274">
        <v>360</v>
      </c>
      <c r="I1274" t="str">
        <f t="shared" si="57"/>
        <v>AAA BBB</v>
      </c>
      <c r="J1274" t="str">
        <f t="shared" si="58"/>
        <v>XXX</v>
      </c>
      <c r="K1274" t="str">
        <f t="shared" si="59"/>
        <v>ZZZ, TN, 38340</v>
      </c>
    </row>
    <row r="1275" spans="1:11" x14ac:dyDescent="0.15">
      <c r="A1275">
        <v>1018918</v>
      </c>
      <c r="B1275" s="54" t="s">
        <v>94</v>
      </c>
      <c r="C1275" s="54" t="s">
        <v>95</v>
      </c>
      <c r="D1275" s="54" t="s">
        <v>96</v>
      </c>
      <c r="E1275" s="54" t="s">
        <v>97</v>
      </c>
      <c r="F1275" t="s">
        <v>35</v>
      </c>
      <c r="G1275">
        <v>38340</v>
      </c>
      <c r="H1275">
        <v>360</v>
      </c>
      <c r="I1275" t="str">
        <f t="shared" si="57"/>
        <v>AAA BBB</v>
      </c>
      <c r="J1275" t="str">
        <f t="shared" si="58"/>
        <v>XXX</v>
      </c>
      <c r="K1275" t="str">
        <f t="shared" si="59"/>
        <v>ZZZ, TN, 38340</v>
      </c>
    </row>
    <row r="1276" spans="1:11" x14ac:dyDescent="0.15">
      <c r="A1276">
        <v>1018918</v>
      </c>
      <c r="B1276" s="54" t="s">
        <v>94</v>
      </c>
      <c r="C1276" s="54" t="s">
        <v>95</v>
      </c>
      <c r="D1276" s="54" t="s">
        <v>96</v>
      </c>
      <c r="E1276" s="54" t="s">
        <v>97</v>
      </c>
      <c r="F1276" t="s">
        <v>35</v>
      </c>
      <c r="G1276">
        <v>38340</v>
      </c>
      <c r="H1276">
        <v>360</v>
      </c>
      <c r="I1276" t="str">
        <f t="shared" si="57"/>
        <v>AAA BBB</v>
      </c>
      <c r="J1276" t="str">
        <f t="shared" si="58"/>
        <v>XXX</v>
      </c>
      <c r="K1276" t="str">
        <f t="shared" si="59"/>
        <v>ZZZ, TN, 38340</v>
      </c>
    </row>
    <row r="1277" spans="1:11" x14ac:dyDescent="0.15">
      <c r="A1277">
        <v>1018918</v>
      </c>
      <c r="B1277" s="54" t="s">
        <v>94</v>
      </c>
      <c r="C1277" s="54" t="s">
        <v>95</v>
      </c>
      <c r="D1277" s="54" t="s">
        <v>96</v>
      </c>
      <c r="E1277" s="54" t="s">
        <v>97</v>
      </c>
      <c r="F1277" t="s">
        <v>35</v>
      </c>
      <c r="G1277">
        <v>38340</v>
      </c>
      <c r="H1277">
        <v>360</v>
      </c>
      <c r="I1277" t="str">
        <f t="shared" si="57"/>
        <v>AAA BBB</v>
      </c>
      <c r="J1277" t="str">
        <f t="shared" si="58"/>
        <v>XXX</v>
      </c>
      <c r="K1277" t="str">
        <f t="shared" si="59"/>
        <v>ZZZ, TN, 38340</v>
      </c>
    </row>
    <row r="1278" spans="1:11" x14ac:dyDescent="0.15">
      <c r="A1278">
        <v>1018918</v>
      </c>
      <c r="B1278" s="54" t="s">
        <v>94</v>
      </c>
      <c r="C1278" s="54" t="s">
        <v>95</v>
      </c>
      <c r="D1278" s="54" t="s">
        <v>96</v>
      </c>
      <c r="E1278" s="54" t="s">
        <v>97</v>
      </c>
      <c r="F1278" t="s">
        <v>35</v>
      </c>
      <c r="G1278">
        <v>38340</v>
      </c>
      <c r="H1278">
        <v>360</v>
      </c>
      <c r="I1278" t="str">
        <f t="shared" si="57"/>
        <v>AAA BBB</v>
      </c>
      <c r="J1278" t="str">
        <f t="shared" si="58"/>
        <v>XXX</v>
      </c>
      <c r="K1278" t="str">
        <f t="shared" si="59"/>
        <v>ZZZ, TN, 38340</v>
      </c>
    </row>
    <row r="1279" spans="1:11" x14ac:dyDescent="0.15">
      <c r="A1279">
        <v>1018918</v>
      </c>
      <c r="B1279" s="54" t="s">
        <v>94</v>
      </c>
      <c r="C1279" s="54" t="s">
        <v>95</v>
      </c>
      <c r="D1279" s="54" t="s">
        <v>96</v>
      </c>
      <c r="E1279" s="54" t="s">
        <v>97</v>
      </c>
      <c r="F1279" t="s">
        <v>35</v>
      </c>
      <c r="G1279">
        <v>38340</v>
      </c>
      <c r="H1279">
        <v>360</v>
      </c>
      <c r="I1279" t="str">
        <f t="shared" si="57"/>
        <v>AAA BBB</v>
      </c>
      <c r="J1279" t="str">
        <f t="shared" si="58"/>
        <v>XXX</v>
      </c>
      <c r="K1279" t="str">
        <f t="shared" si="59"/>
        <v>ZZZ, TN, 38340</v>
      </c>
    </row>
    <row r="1280" spans="1:11" x14ac:dyDescent="0.15">
      <c r="A1280">
        <v>1018918</v>
      </c>
      <c r="B1280" s="54" t="s">
        <v>94</v>
      </c>
      <c r="C1280" s="54" t="s">
        <v>95</v>
      </c>
      <c r="D1280" s="54" t="s">
        <v>96</v>
      </c>
      <c r="E1280" s="54" t="s">
        <v>97</v>
      </c>
      <c r="F1280" t="s">
        <v>35</v>
      </c>
      <c r="G1280">
        <v>38340</v>
      </c>
      <c r="H1280">
        <v>360</v>
      </c>
      <c r="I1280" t="str">
        <f t="shared" si="57"/>
        <v>AAA BBB</v>
      </c>
      <c r="J1280" t="str">
        <f t="shared" si="58"/>
        <v>XXX</v>
      </c>
      <c r="K1280" t="str">
        <f t="shared" si="59"/>
        <v>ZZZ, TN, 38340</v>
      </c>
    </row>
    <row r="1281" spans="1:11" x14ac:dyDescent="0.15">
      <c r="A1281">
        <v>1018918</v>
      </c>
      <c r="B1281" s="54" t="s">
        <v>94</v>
      </c>
      <c r="C1281" s="54" t="s">
        <v>95</v>
      </c>
      <c r="D1281" s="54" t="s">
        <v>96</v>
      </c>
      <c r="E1281" s="54" t="s">
        <v>97</v>
      </c>
      <c r="F1281" t="s">
        <v>35</v>
      </c>
      <c r="G1281">
        <v>38340</v>
      </c>
      <c r="H1281">
        <v>360</v>
      </c>
      <c r="I1281" t="str">
        <f t="shared" si="57"/>
        <v>AAA BBB</v>
      </c>
      <c r="J1281" t="str">
        <f t="shared" si="58"/>
        <v>XXX</v>
      </c>
      <c r="K1281" t="str">
        <f t="shared" si="59"/>
        <v>ZZZ, TN, 38340</v>
      </c>
    </row>
    <row r="1282" spans="1:11" x14ac:dyDescent="0.15">
      <c r="A1282">
        <v>1018918</v>
      </c>
      <c r="B1282" s="54" t="s">
        <v>94</v>
      </c>
      <c r="C1282" s="54" t="s">
        <v>95</v>
      </c>
      <c r="D1282" s="54" t="s">
        <v>96</v>
      </c>
      <c r="E1282" s="54" t="s">
        <v>97</v>
      </c>
      <c r="F1282" t="s">
        <v>35</v>
      </c>
      <c r="G1282">
        <v>38340</v>
      </c>
      <c r="H1282">
        <v>360</v>
      </c>
      <c r="I1282" t="str">
        <f t="shared" si="57"/>
        <v>AAA BBB</v>
      </c>
      <c r="J1282" t="str">
        <f t="shared" si="58"/>
        <v>XXX</v>
      </c>
      <c r="K1282" t="str">
        <f t="shared" si="59"/>
        <v>ZZZ, TN, 38340</v>
      </c>
    </row>
    <row r="1283" spans="1:11" x14ac:dyDescent="0.15">
      <c r="A1283">
        <v>1018918</v>
      </c>
      <c r="B1283" s="54" t="s">
        <v>94</v>
      </c>
      <c r="C1283" s="54" t="s">
        <v>95</v>
      </c>
      <c r="D1283" s="54" t="s">
        <v>96</v>
      </c>
      <c r="E1283" s="54" t="s">
        <v>97</v>
      </c>
      <c r="F1283" t="s">
        <v>35</v>
      </c>
      <c r="G1283">
        <v>38340</v>
      </c>
      <c r="H1283">
        <v>360</v>
      </c>
      <c r="I1283" t="str">
        <f t="shared" ref="I1283:I1346" si="60">CONCATENATE(B1283," ",C1283)</f>
        <v>AAA BBB</v>
      </c>
      <c r="J1283" t="str">
        <f t="shared" ref="J1283:J1346" si="61">D1283</f>
        <v>XXX</v>
      </c>
      <c r="K1283" t="str">
        <f t="shared" ref="K1283:K1346" si="62">CONCATENATE(E1283,","," ",F1283,","," ",G1283)</f>
        <v>ZZZ, TN, 38340</v>
      </c>
    </row>
    <row r="1284" spans="1:11" x14ac:dyDescent="0.15">
      <c r="A1284">
        <v>1018918</v>
      </c>
      <c r="B1284" s="54" t="s">
        <v>94</v>
      </c>
      <c r="C1284" s="54" t="s">
        <v>95</v>
      </c>
      <c r="D1284" s="54" t="s">
        <v>96</v>
      </c>
      <c r="E1284" s="54" t="s">
        <v>97</v>
      </c>
      <c r="F1284" t="s">
        <v>35</v>
      </c>
      <c r="G1284">
        <v>38340</v>
      </c>
      <c r="H1284">
        <v>360</v>
      </c>
      <c r="I1284" t="str">
        <f t="shared" si="60"/>
        <v>AAA BBB</v>
      </c>
      <c r="J1284" t="str">
        <f t="shared" si="61"/>
        <v>XXX</v>
      </c>
      <c r="K1284" t="str">
        <f t="shared" si="62"/>
        <v>ZZZ, TN, 38340</v>
      </c>
    </row>
    <row r="1285" spans="1:11" x14ac:dyDescent="0.15">
      <c r="A1285">
        <v>1018918</v>
      </c>
      <c r="B1285" s="54" t="s">
        <v>94</v>
      </c>
      <c r="C1285" s="54" t="s">
        <v>95</v>
      </c>
      <c r="D1285" s="54" t="s">
        <v>96</v>
      </c>
      <c r="E1285" s="54" t="s">
        <v>97</v>
      </c>
      <c r="F1285" t="s">
        <v>35</v>
      </c>
      <c r="G1285">
        <v>38340</v>
      </c>
      <c r="H1285">
        <v>360</v>
      </c>
      <c r="I1285" t="str">
        <f t="shared" si="60"/>
        <v>AAA BBB</v>
      </c>
      <c r="J1285" t="str">
        <f t="shared" si="61"/>
        <v>XXX</v>
      </c>
      <c r="K1285" t="str">
        <f t="shared" si="62"/>
        <v>ZZZ, TN, 38340</v>
      </c>
    </row>
    <row r="1286" spans="1:11" x14ac:dyDescent="0.15">
      <c r="A1286">
        <v>1018918</v>
      </c>
      <c r="B1286" s="54" t="s">
        <v>94</v>
      </c>
      <c r="C1286" s="54" t="s">
        <v>95</v>
      </c>
      <c r="D1286" s="54" t="s">
        <v>96</v>
      </c>
      <c r="E1286" s="54" t="s">
        <v>97</v>
      </c>
      <c r="F1286" t="s">
        <v>35</v>
      </c>
      <c r="G1286">
        <v>38340</v>
      </c>
      <c r="H1286">
        <v>360</v>
      </c>
      <c r="I1286" t="str">
        <f t="shared" si="60"/>
        <v>AAA BBB</v>
      </c>
      <c r="J1286" t="str">
        <f t="shared" si="61"/>
        <v>XXX</v>
      </c>
      <c r="K1286" t="str">
        <f t="shared" si="62"/>
        <v>ZZZ, TN, 38340</v>
      </c>
    </row>
    <row r="1287" spans="1:11" x14ac:dyDescent="0.15">
      <c r="A1287">
        <v>1018918</v>
      </c>
      <c r="B1287" s="54" t="s">
        <v>94</v>
      </c>
      <c r="C1287" s="54" t="s">
        <v>95</v>
      </c>
      <c r="D1287" s="54" t="s">
        <v>96</v>
      </c>
      <c r="E1287" s="54" t="s">
        <v>97</v>
      </c>
      <c r="F1287" t="s">
        <v>35</v>
      </c>
      <c r="G1287">
        <v>38340</v>
      </c>
      <c r="H1287">
        <v>360</v>
      </c>
      <c r="I1287" t="str">
        <f t="shared" si="60"/>
        <v>AAA BBB</v>
      </c>
      <c r="J1287" t="str">
        <f t="shared" si="61"/>
        <v>XXX</v>
      </c>
      <c r="K1287" t="str">
        <f t="shared" si="62"/>
        <v>ZZZ, TN, 38340</v>
      </c>
    </row>
    <row r="1288" spans="1:11" x14ac:dyDescent="0.15">
      <c r="A1288">
        <v>1018918</v>
      </c>
      <c r="B1288" s="54" t="s">
        <v>94</v>
      </c>
      <c r="C1288" s="54" t="s">
        <v>95</v>
      </c>
      <c r="D1288" s="54" t="s">
        <v>96</v>
      </c>
      <c r="E1288" s="54" t="s">
        <v>97</v>
      </c>
      <c r="F1288" t="s">
        <v>35</v>
      </c>
      <c r="G1288">
        <v>38340</v>
      </c>
      <c r="H1288">
        <v>360</v>
      </c>
      <c r="I1288" t="str">
        <f t="shared" si="60"/>
        <v>AAA BBB</v>
      </c>
      <c r="J1288" t="str">
        <f t="shared" si="61"/>
        <v>XXX</v>
      </c>
      <c r="K1288" t="str">
        <f t="shared" si="62"/>
        <v>ZZZ, TN, 38340</v>
      </c>
    </row>
    <row r="1289" spans="1:11" x14ac:dyDescent="0.15">
      <c r="A1289">
        <v>1018918</v>
      </c>
      <c r="B1289" s="54" t="s">
        <v>94</v>
      </c>
      <c r="C1289" s="54" t="s">
        <v>95</v>
      </c>
      <c r="D1289" s="54" t="s">
        <v>96</v>
      </c>
      <c r="E1289" s="54" t="s">
        <v>97</v>
      </c>
      <c r="F1289" t="s">
        <v>35</v>
      </c>
      <c r="G1289">
        <v>38340</v>
      </c>
      <c r="H1289">
        <v>360</v>
      </c>
      <c r="I1289" t="str">
        <f t="shared" si="60"/>
        <v>AAA BBB</v>
      </c>
      <c r="J1289" t="str">
        <f t="shared" si="61"/>
        <v>XXX</v>
      </c>
      <c r="K1289" t="str">
        <f t="shared" si="62"/>
        <v>ZZZ, TN, 38340</v>
      </c>
    </row>
    <row r="1290" spans="1:11" x14ac:dyDescent="0.15">
      <c r="A1290">
        <v>1018918</v>
      </c>
      <c r="B1290" s="54" t="s">
        <v>94</v>
      </c>
      <c r="C1290" s="54" t="s">
        <v>95</v>
      </c>
      <c r="D1290" s="54" t="s">
        <v>96</v>
      </c>
      <c r="E1290" s="54" t="s">
        <v>97</v>
      </c>
      <c r="F1290" t="s">
        <v>35</v>
      </c>
      <c r="G1290">
        <v>38340</v>
      </c>
      <c r="H1290">
        <v>360</v>
      </c>
      <c r="I1290" t="str">
        <f t="shared" si="60"/>
        <v>AAA BBB</v>
      </c>
      <c r="J1290" t="str">
        <f t="shared" si="61"/>
        <v>XXX</v>
      </c>
      <c r="K1290" t="str">
        <f t="shared" si="62"/>
        <v>ZZZ, TN, 38340</v>
      </c>
    </row>
    <row r="1291" spans="1:11" x14ac:dyDescent="0.15">
      <c r="A1291">
        <v>1018918</v>
      </c>
      <c r="B1291" s="54" t="s">
        <v>94</v>
      </c>
      <c r="C1291" s="54" t="s">
        <v>95</v>
      </c>
      <c r="D1291" s="54" t="s">
        <v>96</v>
      </c>
      <c r="E1291" s="54" t="s">
        <v>97</v>
      </c>
      <c r="F1291" t="s">
        <v>35</v>
      </c>
      <c r="G1291">
        <v>38340</v>
      </c>
      <c r="H1291">
        <v>360</v>
      </c>
      <c r="I1291" t="str">
        <f t="shared" si="60"/>
        <v>AAA BBB</v>
      </c>
      <c r="J1291" t="str">
        <f t="shared" si="61"/>
        <v>XXX</v>
      </c>
      <c r="K1291" t="str">
        <f t="shared" si="62"/>
        <v>ZZZ, TN, 38340</v>
      </c>
    </row>
    <row r="1292" spans="1:11" x14ac:dyDescent="0.15">
      <c r="A1292">
        <v>1018918</v>
      </c>
      <c r="B1292" s="54" t="s">
        <v>94</v>
      </c>
      <c r="C1292" s="54" t="s">
        <v>95</v>
      </c>
      <c r="D1292" s="54" t="s">
        <v>96</v>
      </c>
      <c r="E1292" s="54" t="s">
        <v>97</v>
      </c>
      <c r="F1292" t="s">
        <v>35</v>
      </c>
      <c r="G1292">
        <v>38340</v>
      </c>
      <c r="H1292">
        <v>360</v>
      </c>
      <c r="I1292" t="str">
        <f t="shared" si="60"/>
        <v>AAA BBB</v>
      </c>
      <c r="J1292" t="str">
        <f t="shared" si="61"/>
        <v>XXX</v>
      </c>
      <c r="K1292" t="str">
        <f t="shared" si="62"/>
        <v>ZZZ, TN, 38340</v>
      </c>
    </row>
    <row r="1293" spans="1:11" x14ac:dyDescent="0.15">
      <c r="A1293">
        <v>1018918</v>
      </c>
      <c r="B1293" s="54" t="s">
        <v>94</v>
      </c>
      <c r="C1293" s="54" t="s">
        <v>95</v>
      </c>
      <c r="D1293" s="54" t="s">
        <v>96</v>
      </c>
      <c r="E1293" s="54" t="s">
        <v>97</v>
      </c>
      <c r="F1293" t="s">
        <v>35</v>
      </c>
      <c r="G1293">
        <v>38340</v>
      </c>
      <c r="H1293">
        <v>360</v>
      </c>
      <c r="I1293" t="str">
        <f t="shared" si="60"/>
        <v>AAA BBB</v>
      </c>
      <c r="J1293" t="str">
        <f t="shared" si="61"/>
        <v>XXX</v>
      </c>
      <c r="K1293" t="str">
        <f t="shared" si="62"/>
        <v>ZZZ, TN, 38340</v>
      </c>
    </row>
    <row r="1294" spans="1:11" x14ac:dyDescent="0.15">
      <c r="A1294">
        <v>1018918</v>
      </c>
      <c r="B1294" s="54" t="s">
        <v>94</v>
      </c>
      <c r="C1294" s="54" t="s">
        <v>95</v>
      </c>
      <c r="D1294" s="54" t="s">
        <v>96</v>
      </c>
      <c r="E1294" s="54" t="s">
        <v>97</v>
      </c>
      <c r="F1294" t="s">
        <v>35</v>
      </c>
      <c r="G1294">
        <v>38340</v>
      </c>
      <c r="H1294">
        <v>360</v>
      </c>
      <c r="I1294" t="str">
        <f t="shared" si="60"/>
        <v>AAA BBB</v>
      </c>
      <c r="J1294" t="str">
        <f t="shared" si="61"/>
        <v>XXX</v>
      </c>
      <c r="K1294" t="str">
        <f t="shared" si="62"/>
        <v>ZZZ, TN, 38340</v>
      </c>
    </row>
    <row r="1295" spans="1:11" x14ac:dyDescent="0.15">
      <c r="A1295">
        <v>1018918</v>
      </c>
      <c r="B1295" s="54" t="s">
        <v>94</v>
      </c>
      <c r="C1295" s="54" t="s">
        <v>95</v>
      </c>
      <c r="D1295" s="54" t="s">
        <v>96</v>
      </c>
      <c r="E1295" s="54" t="s">
        <v>97</v>
      </c>
      <c r="F1295" t="s">
        <v>35</v>
      </c>
      <c r="G1295">
        <v>38340</v>
      </c>
      <c r="H1295">
        <v>360</v>
      </c>
      <c r="I1295" t="str">
        <f t="shared" si="60"/>
        <v>AAA BBB</v>
      </c>
      <c r="J1295" t="str">
        <f t="shared" si="61"/>
        <v>XXX</v>
      </c>
      <c r="K1295" t="str">
        <f t="shared" si="62"/>
        <v>ZZZ, TN, 38340</v>
      </c>
    </row>
    <row r="1296" spans="1:11" x14ac:dyDescent="0.15">
      <c r="A1296">
        <v>1018918</v>
      </c>
      <c r="B1296" s="54" t="s">
        <v>94</v>
      </c>
      <c r="C1296" s="54" t="s">
        <v>95</v>
      </c>
      <c r="D1296" s="54" t="s">
        <v>96</v>
      </c>
      <c r="E1296" s="54" t="s">
        <v>97</v>
      </c>
      <c r="F1296" t="s">
        <v>35</v>
      </c>
      <c r="G1296">
        <v>38340</v>
      </c>
      <c r="H1296">
        <v>360</v>
      </c>
      <c r="I1296" t="str">
        <f t="shared" si="60"/>
        <v>AAA BBB</v>
      </c>
      <c r="J1296" t="str">
        <f t="shared" si="61"/>
        <v>XXX</v>
      </c>
      <c r="K1296" t="str">
        <f t="shared" si="62"/>
        <v>ZZZ, TN, 38340</v>
      </c>
    </row>
    <row r="1297" spans="1:11" x14ac:dyDescent="0.15">
      <c r="A1297">
        <v>1018918</v>
      </c>
      <c r="B1297" s="54" t="s">
        <v>94</v>
      </c>
      <c r="C1297" s="54" t="s">
        <v>95</v>
      </c>
      <c r="D1297" s="54" t="s">
        <v>96</v>
      </c>
      <c r="E1297" s="54" t="s">
        <v>97</v>
      </c>
      <c r="F1297" t="s">
        <v>35</v>
      </c>
      <c r="G1297">
        <v>38340</v>
      </c>
      <c r="H1297">
        <v>360</v>
      </c>
      <c r="I1297" t="str">
        <f t="shared" si="60"/>
        <v>AAA BBB</v>
      </c>
      <c r="J1297" t="str">
        <f t="shared" si="61"/>
        <v>XXX</v>
      </c>
      <c r="K1297" t="str">
        <f t="shared" si="62"/>
        <v>ZZZ, TN, 38340</v>
      </c>
    </row>
    <row r="1298" spans="1:11" x14ac:dyDescent="0.15">
      <c r="A1298">
        <v>1018918</v>
      </c>
      <c r="B1298" s="54" t="s">
        <v>94</v>
      </c>
      <c r="C1298" s="54" t="s">
        <v>95</v>
      </c>
      <c r="D1298" s="54" t="s">
        <v>96</v>
      </c>
      <c r="E1298" s="54" t="s">
        <v>97</v>
      </c>
      <c r="F1298" t="s">
        <v>35</v>
      </c>
      <c r="G1298">
        <v>38340</v>
      </c>
      <c r="H1298">
        <v>360</v>
      </c>
      <c r="I1298" t="str">
        <f t="shared" si="60"/>
        <v>AAA BBB</v>
      </c>
      <c r="J1298" t="str">
        <f t="shared" si="61"/>
        <v>XXX</v>
      </c>
      <c r="K1298" t="str">
        <f t="shared" si="62"/>
        <v>ZZZ, TN, 38340</v>
      </c>
    </row>
    <row r="1299" spans="1:11" x14ac:dyDescent="0.15">
      <c r="A1299">
        <v>1018918</v>
      </c>
      <c r="B1299" s="54" t="s">
        <v>94</v>
      </c>
      <c r="C1299" s="54" t="s">
        <v>95</v>
      </c>
      <c r="D1299" s="54" t="s">
        <v>96</v>
      </c>
      <c r="E1299" s="54" t="s">
        <v>97</v>
      </c>
      <c r="F1299" t="s">
        <v>35</v>
      </c>
      <c r="G1299">
        <v>38340</v>
      </c>
      <c r="H1299">
        <v>360</v>
      </c>
      <c r="I1299" t="str">
        <f t="shared" si="60"/>
        <v>AAA BBB</v>
      </c>
      <c r="J1299" t="str">
        <f t="shared" si="61"/>
        <v>XXX</v>
      </c>
      <c r="K1299" t="str">
        <f t="shared" si="62"/>
        <v>ZZZ, TN, 38340</v>
      </c>
    </row>
    <row r="1300" spans="1:11" x14ac:dyDescent="0.15">
      <c r="A1300">
        <v>1018918</v>
      </c>
      <c r="B1300" s="54" t="s">
        <v>94</v>
      </c>
      <c r="C1300" s="54" t="s">
        <v>95</v>
      </c>
      <c r="D1300" s="54" t="s">
        <v>96</v>
      </c>
      <c r="E1300" s="54" t="s">
        <v>97</v>
      </c>
      <c r="F1300" t="s">
        <v>35</v>
      </c>
      <c r="G1300">
        <v>38340</v>
      </c>
      <c r="H1300">
        <v>360</v>
      </c>
      <c r="I1300" t="str">
        <f t="shared" si="60"/>
        <v>AAA BBB</v>
      </c>
      <c r="J1300" t="str">
        <f t="shared" si="61"/>
        <v>XXX</v>
      </c>
      <c r="K1300" t="str">
        <f t="shared" si="62"/>
        <v>ZZZ, TN, 38340</v>
      </c>
    </row>
    <row r="1301" spans="1:11" x14ac:dyDescent="0.15">
      <c r="A1301">
        <v>1018918</v>
      </c>
      <c r="B1301" s="54" t="s">
        <v>94</v>
      </c>
      <c r="C1301" s="54" t="s">
        <v>95</v>
      </c>
      <c r="D1301" s="54" t="s">
        <v>96</v>
      </c>
      <c r="E1301" s="54" t="s">
        <v>97</v>
      </c>
      <c r="F1301" t="s">
        <v>35</v>
      </c>
      <c r="G1301">
        <v>38340</v>
      </c>
      <c r="H1301">
        <v>360</v>
      </c>
      <c r="I1301" t="str">
        <f t="shared" si="60"/>
        <v>AAA BBB</v>
      </c>
      <c r="J1301" t="str">
        <f t="shared" si="61"/>
        <v>XXX</v>
      </c>
      <c r="K1301" t="str">
        <f t="shared" si="62"/>
        <v>ZZZ, TN, 38340</v>
      </c>
    </row>
    <row r="1302" spans="1:11" x14ac:dyDescent="0.15">
      <c r="A1302">
        <v>1018918</v>
      </c>
      <c r="B1302" s="54" t="s">
        <v>94</v>
      </c>
      <c r="C1302" s="54" t="s">
        <v>95</v>
      </c>
      <c r="D1302" s="54" t="s">
        <v>96</v>
      </c>
      <c r="E1302" s="54" t="s">
        <v>97</v>
      </c>
      <c r="F1302" t="s">
        <v>35</v>
      </c>
      <c r="G1302">
        <v>38340</v>
      </c>
      <c r="H1302">
        <v>360</v>
      </c>
      <c r="I1302" t="str">
        <f t="shared" si="60"/>
        <v>AAA BBB</v>
      </c>
      <c r="J1302" t="str">
        <f t="shared" si="61"/>
        <v>XXX</v>
      </c>
      <c r="K1302" t="str">
        <f t="shared" si="62"/>
        <v>ZZZ, TN, 38340</v>
      </c>
    </row>
    <row r="1303" spans="1:11" x14ac:dyDescent="0.15">
      <c r="A1303">
        <v>1018918</v>
      </c>
      <c r="B1303" s="54" t="s">
        <v>94</v>
      </c>
      <c r="C1303" s="54" t="s">
        <v>95</v>
      </c>
      <c r="D1303" s="54" t="s">
        <v>96</v>
      </c>
      <c r="E1303" s="54" t="s">
        <v>97</v>
      </c>
      <c r="F1303" t="s">
        <v>35</v>
      </c>
      <c r="G1303">
        <v>38340</v>
      </c>
      <c r="H1303">
        <v>360</v>
      </c>
      <c r="I1303" t="str">
        <f t="shared" si="60"/>
        <v>AAA BBB</v>
      </c>
      <c r="J1303" t="str">
        <f t="shared" si="61"/>
        <v>XXX</v>
      </c>
      <c r="K1303" t="str">
        <f t="shared" si="62"/>
        <v>ZZZ, TN, 38340</v>
      </c>
    </row>
    <row r="1304" spans="1:11" x14ac:dyDescent="0.15">
      <c r="A1304">
        <v>1018918</v>
      </c>
      <c r="B1304" s="54" t="s">
        <v>94</v>
      </c>
      <c r="C1304" s="54" t="s">
        <v>95</v>
      </c>
      <c r="D1304" s="54" t="s">
        <v>96</v>
      </c>
      <c r="E1304" s="54" t="s">
        <v>97</v>
      </c>
      <c r="F1304" t="s">
        <v>35</v>
      </c>
      <c r="G1304">
        <v>38340</v>
      </c>
      <c r="H1304">
        <v>360</v>
      </c>
      <c r="I1304" t="str">
        <f t="shared" si="60"/>
        <v>AAA BBB</v>
      </c>
      <c r="J1304" t="str">
        <f t="shared" si="61"/>
        <v>XXX</v>
      </c>
      <c r="K1304" t="str">
        <f t="shared" si="62"/>
        <v>ZZZ, TN, 38340</v>
      </c>
    </row>
    <row r="1305" spans="1:11" x14ac:dyDescent="0.15">
      <c r="A1305">
        <v>1018918</v>
      </c>
      <c r="B1305" s="54" t="s">
        <v>94</v>
      </c>
      <c r="C1305" s="54" t="s">
        <v>95</v>
      </c>
      <c r="D1305" s="54" t="s">
        <v>96</v>
      </c>
      <c r="E1305" s="54" t="s">
        <v>97</v>
      </c>
      <c r="F1305" t="s">
        <v>35</v>
      </c>
      <c r="G1305">
        <v>38340</v>
      </c>
      <c r="H1305">
        <v>360</v>
      </c>
      <c r="I1305" t="str">
        <f t="shared" si="60"/>
        <v>AAA BBB</v>
      </c>
      <c r="J1305" t="str">
        <f t="shared" si="61"/>
        <v>XXX</v>
      </c>
      <c r="K1305" t="str">
        <f t="shared" si="62"/>
        <v>ZZZ, TN, 38340</v>
      </c>
    </row>
    <row r="1306" spans="1:11" x14ac:dyDescent="0.15">
      <c r="A1306">
        <v>1018918</v>
      </c>
      <c r="B1306" s="54" t="s">
        <v>94</v>
      </c>
      <c r="C1306" s="54" t="s">
        <v>95</v>
      </c>
      <c r="D1306" s="54" t="s">
        <v>96</v>
      </c>
      <c r="E1306" s="54" t="s">
        <v>97</v>
      </c>
      <c r="F1306" t="s">
        <v>35</v>
      </c>
      <c r="G1306">
        <v>38340</v>
      </c>
      <c r="H1306">
        <v>360</v>
      </c>
      <c r="I1306" t="str">
        <f t="shared" si="60"/>
        <v>AAA BBB</v>
      </c>
      <c r="J1306" t="str">
        <f t="shared" si="61"/>
        <v>XXX</v>
      </c>
      <c r="K1306" t="str">
        <f t="shared" si="62"/>
        <v>ZZZ, TN, 38340</v>
      </c>
    </row>
    <row r="1307" spans="1:11" x14ac:dyDescent="0.15">
      <c r="A1307">
        <v>1018918</v>
      </c>
      <c r="B1307" s="54" t="s">
        <v>94</v>
      </c>
      <c r="C1307" s="54" t="s">
        <v>95</v>
      </c>
      <c r="D1307" s="54" t="s">
        <v>96</v>
      </c>
      <c r="E1307" s="54" t="s">
        <v>97</v>
      </c>
      <c r="F1307" t="s">
        <v>35</v>
      </c>
      <c r="G1307">
        <v>38340</v>
      </c>
      <c r="H1307">
        <v>360</v>
      </c>
      <c r="I1307" t="str">
        <f t="shared" si="60"/>
        <v>AAA BBB</v>
      </c>
      <c r="J1307" t="str">
        <f t="shared" si="61"/>
        <v>XXX</v>
      </c>
      <c r="K1307" t="str">
        <f t="shared" si="62"/>
        <v>ZZZ, TN, 38340</v>
      </c>
    </row>
    <row r="1308" spans="1:11" x14ac:dyDescent="0.15">
      <c r="A1308">
        <v>1018918</v>
      </c>
      <c r="B1308" s="54" t="s">
        <v>94</v>
      </c>
      <c r="C1308" s="54" t="s">
        <v>95</v>
      </c>
      <c r="D1308" s="54" t="s">
        <v>96</v>
      </c>
      <c r="E1308" s="54" t="s">
        <v>97</v>
      </c>
      <c r="F1308" t="s">
        <v>35</v>
      </c>
      <c r="G1308">
        <v>38340</v>
      </c>
      <c r="H1308">
        <v>360</v>
      </c>
      <c r="I1308" t="str">
        <f t="shared" si="60"/>
        <v>AAA BBB</v>
      </c>
      <c r="J1308" t="str">
        <f t="shared" si="61"/>
        <v>XXX</v>
      </c>
      <c r="K1308" t="str">
        <f t="shared" si="62"/>
        <v>ZZZ, TN, 38340</v>
      </c>
    </row>
    <row r="1309" spans="1:11" x14ac:dyDescent="0.15">
      <c r="A1309">
        <v>1018918</v>
      </c>
      <c r="B1309" s="54" t="s">
        <v>94</v>
      </c>
      <c r="C1309" s="54" t="s">
        <v>95</v>
      </c>
      <c r="D1309" s="54" t="s">
        <v>96</v>
      </c>
      <c r="E1309" s="54" t="s">
        <v>97</v>
      </c>
      <c r="F1309" t="s">
        <v>35</v>
      </c>
      <c r="G1309">
        <v>38340</v>
      </c>
      <c r="H1309">
        <v>360</v>
      </c>
      <c r="I1309" t="str">
        <f t="shared" si="60"/>
        <v>AAA BBB</v>
      </c>
      <c r="J1309" t="str">
        <f t="shared" si="61"/>
        <v>XXX</v>
      </c>
      <c r="K1309" t="str">
        <f t="shared" si="62"/>
        <v>ZZZ, TN, 38340</v>
      </c>
    </row>
    <row r="1310" spans="1:11" x14ac:dyDescent="0.15">
      <c r="A1310">
        <v>1018918</v>
      </c>
      <c r="B1310" s="54" t="s">
        <v>94</v>
      </c>
      <c r="C1310" s="54" t="s">
        <v>95</v>
      </c>
      <c r="D1310" s="54" t="s">
        <v>96</v>
      </c>
      <c r="E1310" s="54" t="s">
        <v>97</v>
      </c>
      <c r="F1310" t="s">
        <v>35</v>
      </c>
      <c r="G1310">
        <v>38340</v>
      </c>
      <c r="H1310">
        <v>360</v>
      </c>
      <c r="I1310" t="str">
        <f t="shared" si="60"/>
        <v>AAA BBB</v>
      </c>
      <c r="J1310" t="str">
        <f t="shared" si="61"/>
        <v>XXX</v>
      </c>
      <c r="K1310" t="str">
        <f t="shared" si="62"/>
        <v>ZZZ, TN, 38340</v>
      </c>
    </row>
    <row r="1311" spans="1:11" x14ac:dyDescent="0.15">
      <c r="A1311">
        <v>1018918</v>
      </c>
      <c r="B1311" s="54" t="s">
        <v>94</v>
      </c>
      <c r="C1311" s="54" t="s">
        <v>95</v>
      </c>
      <c r="D1311" s="54" t="s">
        <v>96</v>
      </c>
      <c r="E1311" s="54" t="s">
        <v>97</v>
      </c>
      <c r="F1311" t="s">
        <v>35</v>
      </c>
      <c r="G1311">
        <v>38340</v>
      </c>
      <c r="H1311">
        <v>360</v>
      </c>
      <c r="I1311" t="str">
        <f t="shared" si="60"/>
        <v>AAA BBB</v>
      </c>
      <c r="J1311" t="str">
        <f t="shared" si="61"/>
        <v>XXX</v>
      </c>
      <c r="K1311" t="str">
        <f t="shared" si="62"/>
        <v>ZZZ, TN, 38340</v>
      </c>
    </row>
    <row r="1312" spans="1:11" x14ac:dyDescent="0.15">
      <c r="A1312">
        <v>1018918</v>
      </c>
      <c r="B1312" s="54" t="s">
        <v>94</v>
      </c>
      <c r="C1312" s="54" t="s">
        <v>95</v>
      </c>
      <c r="D1312" s="54" t="s">
        <v>96</v>
      </c>
      <c r="E1312" s="54" t="s">
        <v>97</v>
      </c>
      <c r="F1312" t="s">
        <v>35</v>
      </c>
      <c r="G1312">
        <v>38340</v>
      </c>
      <c r="H1312">
        <v>360</v>
      </c>
      <c r="I1312" t="str">
        <f t="shared" si="60"/>
        <v>AAA BBB</v>
      </c>
      <c r="J1312" t="str">
        <f t="shared" si="61"/>
        <v>XXX</v>
      </c>
      <c r="K1312" t="str">
        <f t="shared" si="62"/>
        <v>ZZZ, TN, 38340</v>
      </c>
    </row>
    <row r="1313" spans="1:11" x14ac:dyDescent="0.15">
      <c r="A1313">
        <v>1018918</v>
      </c>
      <c r="B1313" s="54" t="s">
        <v>94</v>
      </c>
      <c r="C1313" s="54" t="s">
        <v>95</v>
      </c>
      <c r="D1313" s="54" t="s">
        <v>96</v>
      </c>
      <c r="E1313" s="54" t="s">
        <v>97</v>
      </c>
      <c r="F1313" t="s">
        <v>35</v>
      </c>
      <c r="G1313">
        <v>38340</v>
      </c>
      <c r="H1313">
        <v>360</v>
      </c>
      <c r="I1313" t="str">
        <f t="shared" si="60"/>
        <v>AAA BBB</v>
      </c>
      <c r="J1313" t="str">
        <f t="shared" si="61"/>
        <v>XXX</v>
      </c>
      <c r="K1313" t="str">
        <f t="shared" si="62"/>
        <v>ZZZ, TN, 38340</v>
      </c>
    </row>
    <row r="1314" spans="1:11" x14ac:dyDescent="0.15">
      <c r="A1314">
        <v>1018918</v>
      </c>
      <c r="B1314" s="54" t="s">
        <v>94</v>
      </c>
      <c r="C1314" s="54" t="s">
        <v>95</v>
      </c>
      <c r="D1314" s="54" t="s">
        <v>96</v>
      </c>
      <c r="E1314" s="54" t="s">
        <v>97</v>
      </c>
      <c r="F1314" t="s">
        <v>35</v>
      </c>
      <c r="G1314">
        <v>38340</v>
      </c>
      <c r="H1314">
        <v>360</v>
      </c>
      <c r="I1314" t="str">
        <f t="shared" si="60"/>
        <v>AAA BBB</v>
      </c>
      <c r="J1314" t="str">
        <f t="shared" si="61"/>
        <v>XXX</v>
      </c>
      <c r="K1314" t="str">
        <f t="shared" si="62"/>
        <v>ZZZ, TN, 38340</v>
      </c>
    </row>
    <row r="1315" spans="1:11" x14ac:dyDescent="0.15">
      <c r="A1315">
        <v>1018918</v>
      </c>
      <c r="B1315" s="54" t="s">
        <v>94</v>
      </c>
      <c r="C1315" s="54" t="s">
        <v>95</v>
      </c>
      <c r="D1315" s="54" t="s">
        <v>96</v>
      </c>
      <c r="E1315" s="54" t="s">
        <v>97</v>
      </c>
      <c r="F1315" t="s">
        <v>35</v>
      </c>
      <c r="G1315">
        <v>38340</v>
      </c>
      <c r="H1315">
        <v>360</v>
      </c>
      <c r="I1315" t="str">
        <f t="shared" si="60"/>
        <v>AAA BBB</v>
      </c>
      <c r="J1315" t="str">
        <f t="shared" si="61"/>
        <v>XXX</v>
      </c>
      <c r="K1315" t="str">
        <f t="shared" si="62"/>
        <v>ZZZ, TN, 38340</v>
      </c>
    </row>
    <row r="1316" spans="1:11" x14ac:dyDescent="0.15">
      <c r="A1316">
        <v>1018918</v>
      </c>
      <c r="B1316" s="54" t="s">
        <v>94</v>
      </c>
      <c r="C1316" s="54" t="s">
        <v>95</v>
      </c>
      <c r="D1316" s="54" t="s">
        <v>96</v>
      </c>
      <c r="E1316" s="54" t="s">
        <v>97</v>
      </c>
      <c r="F1316" t="s">
        <v>35</v>
      </c>
      <c r="G1316">
        <v>38340</v>
      </c>
      <c r="H1316">
        <v>360</v>
      </c>
      <c r="I1316" t="str">
        <f t="shared" si="60"/>
        <v>AAA BBB</v>
      </c>
      <c r="J1316" t="str">
        <f t="shared" si="61"/>
        <v>XXX</v>
      </c>
      <c r="K1316" t="str">
        <f t="shared" si="62"/>
        <v>ZZZ, TN, 38340</v>
      </c>
    </row>
    <row r="1317" spans="1:11" x14ac:dyDescent="0.15">
      <c r="A1317">
        <v>1018918</v>
      </c>
      <c r="B1317" s="54" t="s">
        <v>94</v>
      </c>
      <c r="C1317" s="54" t="s">
        <v>95</v>
      </c>
      <c r="D1317" s="54" t="s">
        <v>96</v>
      </c>
      <c r="E1317" s="54" t="s">
        <v>97</v>
      </c>
      <c r="F1317" t="s">
        <v>35</v>
      </c>
      <c r="G1317">
        <v>38340</v>
      </c>
      <c r="H1317">
        <v>360</v>
      </c>
      <c r="I1317" t="str">
        <f t="shared" si="60"/>
        <v>AAA BBB</v>
      </c>
      <c r="J1317" t="str">
        <f t="shared" si="61"/>
        <v>XXX</v>
      </c>
      <c r="K1317" t="str">
        <f t="shared" si="62"/>
        <v>ZZZ, TN, 38340</v>
      </c>
    </row>
    <row r="1318" spans="1:11" x14ac:dyDescent="0.15">
      <c r="A1318">
        <v>1018918</v>
      </c>
      <c r="B1318" s="54" t="s">
        <v>94</v>
      </c>
      <c r="C1318" s="54" t="s">
        <v>95</v>
      </c>
      <c r="D1318" s="54" t="s">
        <v>96</v>
      </c>
      <c r="E1318" s="54" t="s">
        <v>97</v>
      </c>
      <c r="F1318" t="s">
        <v>35</v>
      </c>
      <c r="G1318">
        <v>38340</v>
      </c>
      <c r="H1318">
        <v>360</v>
      </c>
      <c r="I1318" t="str">
        <f t="shared" si="60"/>
        <v>AAA BBB</v>
      </c>
      <c r="J1318" t="str">
        <f t="shared" si="61"/>
        <v>XXX</v>
      </c>
      <c r="K1318" t="str">
        <f t="shared" si="62"/>
        <v>ZZZ, TN, 38340</v>
      </c>
    </row>
    <row r="1319" spans="1:11" x14ac:dyDescent="0.15">
      <c r="A1319">
        <v>1018918</v>
      </c>
      <c r="B1319" s="54" t="s">
        <v>94</v>
      </c>
      <c r="C1319" s="54" t="s">
        <v>95</v>
      </c>
      <c r="D1319" s="54" t="s">
        <v>96</v>
      </c>
      <c r="E1319" s="54" t="s">
        <v>97</v>
      </c>
      <c r="F1319" t="s">
        <v>35</v>
      </c>
      <c r="G1319">
        <v>38340</v>
      </c>
      <c r="H1319">
        <v>360</v>
      </c>
      <c r="I1319" t="str">
        <f t="shared" si="60"/>
        <v>AAA BBB</v>
      </c>
      <c r="J1319" t="str">
        <f t="shared" si="61"/>
        <v>XXX</v>
      </c>
      <c r="K1319" t="str">
        <f t="shared" si="62"/>
        <v>ZZZ, TN, 38340</v>
      </c>
    </row>
    <row r="1320" spans="1:11" x14ac:dyDescent="0.15">
      <c r="A1320">
        <v>1018918</v>
      </c>
      <c r="B1320" s="54" t="s">
        <v>94</v>
      </c>
      <c r="C1320" s="54" t="s">
        <v>95</v>
      </c>
      <c r="D1320" s="54" t="s">
        <v>96</v>
      </c>
      <c r="E1320" s="54" t="s">
        <v>97</v>
      </c>
      <c r="F1320" t="s">
        <v>35</v>
      </c>
      <c r="G1320">
        <v>38340</v>
      </c>
      <c r="H1320">
        <v>360</v>
      </c>
      <c r="I1320" t="str">
        <f t="shared" si="60"/>
        <v>AAA BBB</v>
      </c>
      <c r="J1320" t="str">
        <f t="shared" si="61"/>
        <v>XXX</v>
      </c>
      <c r="K1320" t="str">
        <f t="shared" si="62"/>
        <v>ZZZ, TN, 38340</v>
      </c>
    </row>
    <row r="1321" spans="1:11" x14ac:dyDescent="0.15">
      <c r="A1321">
        <v>1018918</v>
      </c>
      <c r="B1321" s="54" t="s">
        <v>94</v>
      </c>
      <c r="C1321" s="54" t="s">
        <v>95</v>
      </c>
      <c r="D1321" s="54" t="s">
        <v>96</v>
      </c>
      <c r="E1321" s="54" t="s">
        <v>97</v>
      </c>
      <c r="F1321" t="s">
        <v>35</v>
      </c>
      <c r="G1321">
        <v>38340</v>
      </c>
      <c r="H1321">
        <v>360</v>
      </c>
      <c r="I1321" t="str">
        <f t="shared" si="60"/>
        <v>AAA BBB</v>
      </c>
      <c r="J1321" t="str">
        <f t="shared" si="61"/>
        <v>XXX</v>
      </c>
      <c r="K1321" t="str">
        <f t="shared" si="62"/>
        <v>ZZZ, TN, 38340</v>
      </c>
    </row>
    <row r="1322" spans="1:11" x14ac:dyDescent="0.15">
      <c r="A1322">
        <v>1018918</v>
      </c>
      <c r="B1322" s="54" t="s">
        <v>94</v>
      </c>
      <c r="C1322" s="54" t="s">
        <v>95</v>
      </c>
      <c r="D1322" s="54" t="s">
        <v>96</v>
      </c>
      <c r="E1322" s="54" t="s">
        <v>97</v>
      </c>
      <c r="F1322" t="s">
        <v>35</v>
      </c>
      <c r="G1322">
        <v>38340</v>
      </c>
      <c r="H1322">
        <v>360</v>
      </c>
      <c r="I1322" t="str">
        <f t="shared" si="60"/>
        <v>AAA BBB</v>
      </c>
      <c r="J1322" t="str">
        <f t="shared" si="61"/>
        <v>XXX</v>
      </c>
      <c r="K1322" t="str">
        <f t="shared" si="62"/>
        <v>ZZZ, TN, 38340</v>
      </c>
    </row>
    <row r="1323" spans="1:11" x14ac:dyDescent="0.15">
      <c r="A1323">
        <v>1018918</v>
      </c>
      <c r="B1323" s="54" t="s">
        <v>94</v>
      </c>
      <c r="C1323" s="54" t="s">
        <v>95</v>
      </c>
      <c r="D1323" s="54" t="s">
        <v>96</v>
      </c>
      <c r="E1323" s="54" t="s">
        <v>97</v>
      </c>
      <c r="F1323" t="s">
        <v>35</v>
      </c>
      <c r="G1323">
        <v>38340</v>
      </c>
      <c r="H1323">
        <v>360</v>
      </c>
      <c r="I1323" t="str">
        <f t="shared" si="60"/>
        <v>AAA BBB</v>
      </c>
      <c r="J1323" t="str">
        <f t="shared" si="61"/>
        <v>XXX</v>
      </c>
      <c r="K1323" t="str">
        <f t="shared" si="62"/>
        <v>ZZZ, TN, 38340</v>
      </c>
    </row>
    <row r="1324" spans="1:11" x14ac:dyDescent="0.15">
      <c r="A1324">
        <v>1018918</v>
      </c>
      <c r="B1324" s="54" t="s">
        <v>94</v>
      </c>
      <c r="C1324" s="54" t="s">
        <v>95</v>
      </c>
      <c r="D1324" s="54" t="s">
        <v>96</v>
      </c>
      <c r="E1324" s="54" t="s">
        <v>97</v>
      </c>
      <c r="F1324" t="s">
        <v>35</v>
      </c>
      <c r="G1324">
        <v>38340</v>
      </c>
      <c r="H1324">
        <v>360</v>
      </c>
      <c r="I1324" t="str">
        <f t="shared" si="60"/>
        <v>AAA BBB</v>
      </c>
      <c r="J1324" t="str">
        <f t="shared" si="61"/>
        <v>XXX</v>
      </c>
      <c r="K1324" t="str">
        <f t="shared" si="62"/>
        <v>ZZZ, TN, 38340</v>
      </c>
    </row>
    <row r="1325" spans="1:11" x14ac:dyDescent="0.15">
      <c r="A1325">
        <v>1018918</v>
      </c>
      <c r="B1325" s="54" t="s">
        <v>94</v>
      </c>
      <c r="C1325" s="54" t="s">
        <v>95</v>
      </c>
      <c r="D1325" s="54" t="s">
        <v>96</v>
      </c>
      <c r="E1325" s="54" t="s">
        <v>97</v>
      </c>
      <c r="F1325" t="s">
        <v>35</v>
      </c>
      <c r="G1325">
        <v>38340</v>
      </c>
      <c r="H1325">
        <v>360</v>
      </c>
      <c r="I1325" t="str">
        <f t="shared" si="60"/>
        <v>AAA BBB</v>
      </c>
      <c r="J1325" t="str">
        <f t="shared" si="61"/>
        <v>XXX</v>
      </c>
      <c r="K1325" t="str">
        <f t="shared" si="62"/>
        <v>ZZZ, TN, 38340</v>
      </c>
    </row>
    <row r="1326" spans="1:11" x14ac:dyDescent="0.15">
      <c r="A1326">
        <v>1018918</v>
      </c>
      <c r="B1326" s="54" t="s">
        <v>94</v>
      </c>
      <c r="C1326" s="54" t="s">
        <v>95</v>
      </c>
      <c r="D1326" s="54" t="s">
        <v>96</v>
      </c>
      <c r="E1326" s="54" t="s">
        <v>97</v>
      </c>
      <c r="F1326" t="s">
        <v>35</v>
      </c>
      <c r="G1326">
        <v>38340</v>
      </c>
      <c r="H1326">
        <v>360</v>
      </c>
      <c r="I1326" t="str">
        <f t="shared" si="60"/>
        <v>AAA BBB</v>
      </c>
      <c r="J1326" t="str">
        <f t="shared" si="61"/>
        <v>XXX</v>
      </c>
      <c r="K1326" t="str">
        <f t="shared" si="62"/>
        <v>ZZZ, TN, 38340</v>
      </c>
    </row>
    <row r="1327" spans="1:11" x14ac:dyDescent="0.15">
      <c r="A1327">
        <v>1018918</v>
      </c>
      <c r="B1327" s="54" t="s">
        <v>94</v>
      </c>
      <c r="C1327" s="54" t="s">
        <v>95</v>
      </c>
      <c r="D1327" s="54" t="s">
        <v>96</v>
      </c>
      <c r="E1327" s="54" t="s">
        <v>97</v>
      </c>
      <c r="F1327" t="s">
        <v>35</v>
      </c>
      <c r="G1327">
        <v>38340</v>
      </c>
      <c r="H1327">
        <v>360</v>
      </c>
      <c r="I1327" t="str">
        <f t="shared" si="60"/>
        <v>AAA BBB</v>
      </c>
      <c r="J1327" t="str">
        <f t="shared" si="61"/>
        <v>XXX</v>
      </c>
      <c r="K1327" t="str">
        <f t="shared" si="62"/>
        <v>ZZZ, TN, 38340</v>
      </c>
    </row>
    <row r="1328" spans="1:11" x14ac:dyDescent="0.15">
      <c r="A1328">
        <v>1018918</v>
      </c>
      <c r="B1328" s="54" t="s">
        <v>94</v>
      </c>
      <c r="C1328" s="54" t="s">
        <v>95</v>
      </c>
      <c r="D1328" s="54" t="s">
        <v>96</v>
      </c>
      <c r="E1328" s="54" t="s">
        <v>97</v>
      </c>
      <c r="F1328" t="s">
        <v>35</v>
      </c>
      <c r="G1328">
        <v>38340</v>
      </c>
      <c r="H1328">
        <v>360</v>
      </c>
      <c r="I1328" t="str">
        <f t="shared" si="60"/>
        <v>AAA BBB</v>
      </c>
      <c r="J1328" t="str">
        <f t="shared" si="61"/>
        <v>XXX</v>
      </c>
      <c r="K1328" t="str">
        <f t="shared" si="62"/>
        <v>ZZZ, TN, 38340</v>
      </c>
    </row>
    <row r="1329" spans="1:11" x14ac:dyDescent="0.15">
      <c r="A1329">
        <v>1018918</v>
      </c>
      <c r="B1329" s="54" t="s">
        <v>94</v>
      </c>
      <c r="C1329" s="54" t="s">
        <v>95</v>
      </c>
      <c r="D1329" s="54" t="s">
        <v>96</v>
      </c>
      <c r="E1329" s="54" t="s">
        <v>97</v>
      </c>
      <c r="F1329" t="s">
        <v>35</v>
      </c>
      <c r="G1329">
        <v>38340</v>
      </c>
      <c r="H1329">
        <v>360</v>
      </c>
      <c r="I1329" t="str">
        <f t="shared" si="60"/>
        <v>AAA BBB</v>
      </c>
      <c r="J1329" t="str">
        <f t="shared" si="61"/>
        <v>XXX</v>
      </c>
      <c r="K1329" t="str">
        <f t="shared" si="62"/>
        <v>ZZZ, TN, 38340</v>
      </c>
    </row>
    <row r="1330" spans="1:11" x14ac:dyDescent="0.15">
      <c r="A1330">
        <v>1018918</v>
      </c>
      <c r="B1330" s="54" t="s">
        <v>94</v>
      </c>
      <c r="C1330" s="54" t="s">
        <v>95</v>
      </c>
      <c r="D1330" s="54" t="s">
        <v>96</v>
      </c>
      <c r="E1330" s="54" t="s">
        <v>97</v>
      </c>
      <c r="F1330" t="s">
        <v>35</v>
      </c>
      <c r="G1330">
        <v>38340</v>
      </c>
      <c r="H1330">
        <v>360</v>
      </c>
      <c r="I1330" t="str">
        <f t="shared" si="60"/>
        <v>AAA BBB</v>
      </c>
      <c r="J1330" t="str">
        <f t="shared" si="61"/>
        <v>XXX</v>
      </c>
      <c r="K1330" t="str">
        <f t="shared" si="62"/>
        <v>ZZZ, TN, 38340</v>
      </c>
    </row>
    <row r="1331" spans="1:11" x14ac:dyDescent="0.15">
      <c r="A1331">
        <v>1018918</v>
      </c>
      <c r="B1331" s="54" t="s">
        <v>94</v>
      </c>
      <c r="C1331" s="54" t="s">
        <v>95</v>
      </c>
      <c r="D1331" s="54" t="s">
        <v>96</v>
      </c>
      <c r="E1331" s="54" t="s">
        <v>97</v>
      </c>
      <c r="F1331" t="s">
        <v>35</v>
      </c>
      <c r="G1331">
        <v>38340</v>
      </c>
      <c r="H1331">
        <v>360</v>
      </c>
      <c r="I1331" t="str">
        <f t="shared" si="60"/>
        <v>AAA BBB</v>
      </c>
      <c r="J1331" t="str">
        <f t="shared" si="61"/>
        <v>XXX</v>
      </c>
      <c r="K1331" t="str">
        <f t="shared" si="62"/>
        <v>ZZZ, TN, 38340</v>
      </c>
    </row>
    <row r="1332" spans="1:11" x14ac:dyDescent="0.15">
      <c r="A1332">
        <v>1018918</v>
      </c>
      <c r="B1332" s="54" t="s">
        <v>94</v>
      </c>
      <c r="C1332" s="54" t="s">
        <v>95</v>
      </c>
      <c r="D1332" s="54" t="s">
        <v>96</v>
      </c>
      <c r="E1332" s="54" t="s">
        <v>97</v>
      </c>
      <c r="F1332" t="s">
        <v>35</v>
      </c>
      <c r="G1332">
        <v>38340</v>
      </c>
      <c r="H1332">
        <v>360</v>
      </c>
      <c r="I1332" t="str">
        <f t="shared" si="60"/>
        <v>AAA BBB</v>
      </c>
      <c r="J1332" t="str">
        <f t="shared" si="61"/>
        <v>XXX</v>
      </c>
      <c r="K1332" t="str">
        <f t="shared" si="62"/>
        <v>ZZZ, TN, 38340</v>
      </c>
    </row>
    <row r="1333" spans="1:11" x14ac:dyDescent="0.15">
      <c r="A1333">
        <v>1018918</v>
      </c>
      <c r="B1333" s="54" t="s">
        <v>94</v>
      </c>
      <c r="C1333" s="54" t="s">
        <v>95</v>
      </c>
      <c r="D1333" s="54" t="s">
        <v>96</v>
      </c>
      <c r="E1333" s="54" t="s">
        <v>97</v>
      </c>
      <c r="F1333" t="s">
        <v>35</v>
      </c>
      <c r="G1333">
        <v>38340</v>
      </c>
      <c r="H1333">
        <v>360</v>
      </c>
      <c r="I1333" t="str">
        <f t="shared" si="60"/>
        <v>AAA BBB</v>
      </c>
      <c r="J1333" t="str">
        <f t="shared" si="61"/>
        <v>XXX</v>
      </c>
      <c r="K1333" t="str">
        <f t="shared" si="62"/>
        <v>ZZZ, TN, 38340</v>
      </c>
    </row>
    <row r="1334" spans="1:11" x14ac:dyDescent="0.15">
      <c r="A1334">
        <v>1018918</v>
      </c>
      <c r="B1334" s="54" t="s">
        <v>94</v>
      </c>
      <c r="C1334" s="54" t="s">
        <v>95</v>
      </c>
      <c r="D1334" s="54" t="s">
        <v>96</v>
      </c>
      <c r="E1334" s="54" t="s">
        <v>97</v>
      </c>
      <c r="F1334" t="s">
        <v>35</v>
      </c>
      <c r="G1334">
        <v>38340</v>
      </c>
      <c r="H1334">
        <v>360</v>
      </c>
      <c r="I1334" t="str">
        <f t="shared" si="60"/>
        <v>AAA BBB</v>
      </c>
      <c r="J1334" t="str">
        <f t="shared" si="61"/>
        <v>XXX</v>
      </c>
      <c r="K1334" t="str">
        <f t="shared" si="62"/>
        <v>ZZZ, TN, 38340</v>
      </c>
    </row>
    <row r="1335" spans="1:11" x14ac:dyDescent="0.15">
      <c r="A1335">
        <v>1018918</v>
      </c>
      <c r="B1335" s="54" t="s">
        <v>94</v>
      </c>
      <c r="C1335" s="54" t="s">
        <v>95</v>
      </c>
      <c r="D1335" s="54" t="s">
        <v>96</v>
      </c>
      <c r="E1335" s="54" t="s">
        <v>97</v>
      </c>
      <c r="F1335" t="s">
        <v>35</v>
      </c>
      <c r="G1335">
        <v>38340</v>
      </c>
      <c r="H1335">
        <v>360</v>
      </c>
      <c r="I1335" t="str">
        <f t="shared" si="60"/>
        <v>AAA BBB</v>
      </c>
      <c r="J1335" t="str">
        <f t="shared" si="61"/>
        <v>XXX</v>
      </c>
      <c r="K1335" t="str">
        <f t="shared" si="62"/>
        <v>ZZZ, TN, 38340</v>
      </c>
    </row>
    <row r="1336" spans="1:11" x14ac:dyDescent="0.15">
      <c r="A1336">
        <v>1018918</v>
      </c>
      <c r="B1336" s="54" t="s">
        <v>94</v>
      </c>
      <c r="C1336" s="54" t="s">
        <v>95</v>
      </c>
      <c r="D1336" s="54" t="s">
        <v>96</v>
      </c>
      <c r="E1336" s="54" t="s">
        <v>97</v>
      </c>
      <c r="F1336" t="s">
        <v>35</v>
      </c>
      <c r="G1336">
        <v>38340</v>
      </c>
      <c r="H1336">
        <v>360</v>
      </c>
      <c r="I1336" t="str">
        <f t="shared" si="60"/>
        <v>AAA BBB</v>
      </c>
      <c r="J1336" t="str">
        <f t="shared" si="61"/>
        <v>XXX</v>
      </c>
      <c r="K1336" t="str">
        <f t="shared" si="62"/>
        <v>ZZZ, TN, 38340</v>
      </c>
    </row>
    <row r="1337" spans="1:11" x14ac:dyDescent="0.15">
      <c r="A1337">
        <v>1018918</v>
      </c>
      <c r="B1337" s="54" t="s">
        <v>94</v>
      </c>
      <c r="C1337" s="54" t="s">
        <v>95</v>
      </c>
      <c r="D1337" s="54" t="s">
        <v>96</v>
      </c>
      <c r="E1337" s="54" t="s">
        <v>97</v>
      </c>
      <c r="F1337" t="s">
        <v>35</v>
      </c>
      <c r="G1337">
        <v>38340</v>
      </c>
      <c r="H1337">
        <v>360</v>
      </c>
      <c r="I1337" t="str">
        <f t="shared" si="60"/>
        <v>AAA BBB</v>
      </c>
      <c r="J1337" t="str">
        <f t="shared" si="61"/>
        <v>XXX</v>
      </c>
      <c r="K1337" t="str">
        <f t="shared" si="62"/>
        <v>ZZZ, TN, 38340</v>
      </c>
    </row>
    <row r="1338" spans="1:11" x14ac:dyDescent="0.15">
      <c r="A1338">
        <v>1018918</v>
      </c>
      <c r="B1338" s="54" t="s">
        <v>94</v>
      </c>
      <c r="C1338" s="54" t="s">
        <v>95</v>
      </c>
      <c r="D1338" s="54" t="s">
        <v>96</v>
      </c>
      <c r="E1338" s="54" t="s">
        <v>97</v>
      </c>
      <c r="F1338" t="s">
        <v>35</v>
      </c>
      <c r="G1338">
        <v>38340</v>
      </c>
      <c r="H1338">
        <v>360</v>
      </c>
      <c r="I1338" t="str">
        <f t="shared" si="60"/>
        <v>AAA BBB</v>
      </c>
      <c r="J1338" t="str">
        <f t="shared" si="61"/>
        <v>XXX</v>
      </c>
      <c r="K1338" t="str">
        <f t="shared" si="62"/>
        <v>ZZZ, TN, 38340</v>
      </c>
    </row>
    <row r="1339" spans="1:11" x14ac:dyDescent="0.15">
      <c r="A1339">
        <v>1018918</v>
      </c>
      <c r="B1339" s="54" t="s">
        <v>94</v>
      </c>
      <c r="C1339" s="54" t="s">
        <v>95</v>
      </c>
      <c r="D1339" s="54" t="s">
        <v>96</v>
      </c>
      <c r="E1339" s="54" t="s">
        <v>97</v>
      </c>
      <c r="F1339" t="s">
        <v>35</v>
      </c>
      <c r="G1339">
        <v>38340</v>
      </c>
      <c r="H1339">
        <v>360</v>
      </c>
      <c r="I1339" t="str">
        <f t="shared" si="60"/>
        <v>AAA BBB</v>
      </c>
      <c r="J1339" t="str">
        <f t="shared" si="61"/>
        <v>XXX</v>
      </c>
      <c r="K1339" t="str">
        <f t="shared" si="62"/>
        <v>ZZZ, TN, 38340</v>
      </c>
    </row>
    <row r="1340" spans="1:11" x14ac:dyDescent="0.15">
      <c r="A1340">
        <v>1018918</v>
      </c>
      <c r="B1340" s="54" t="s">
        <v>94</v>
      </c>
      <c r="C1340" s="54" t="s">
        <v>95</v>
      </c>
      <c r="D1340" s="54" t="s">
        <v>96</v>
      </c>
      <c r="E1340" s="54" t="s">
        <v>97</v>
      </c>
      <c r="F1340" t="s">
        <v>35</v>
      </c>
      <c r="G1340">
        <v>38340</v>
      </c>
      <c r="H1340">
        <v>360</v>
      </c>
      <c r="I1340" t="str">
        <f t="shared" si="60"/>
        <v>AAA BBB</v>
      </c>
      <c r="J1340" t="str">
        <f t="shared" si="61"/>
        <v>XXX</v>
      </c>
      <c r="K1340" t="str">
        <f t="shared" si="62"/>
        <v>ZZZ, TN, 38340</v>
      </c>
    </row>
    <row r="1341" spans="1:11" x14ac:dyDescent="0.15">
      <c r="A1341">
        <v>1018918</v>
      </c>
      <c r="B1341" s="54" t="s">
        <v>94</v>
      </c>
      <c r="C1341" s="54" t="s">
        <v>95</v>
      </c>
      <c r="D1341" s="54" t="s">
        <v>96</v>
      </c>
      <c r="E1341" s="54" t="s">
        <v>97</v>
      </c>
      <c r="F1341" t="s">
        <v>35</v>
      </c>
      <c r="G1341">
        <v>38340</v>
      </c>
      <c r="H1341">
        <v>360</v>
      </c>
      <c r="I1341" t="str">
        <f t="shared" si="60"/>
        <v>AAA BBB</v>
      </c>
      <c r="J1341" t="str">
        <f t="shared" si="61"/>
        <v>XXX</v>
      </c>
      <c r="K1341" t="str">
        <f t="shared" si="62"/>
        <v>ZZZ, TN, 38340</v>
      </c>
    </row>
    <row r="1342" spans="1:11" x14ac:dyDescent="0.15">
      <c r="A1342">
        <v>1018918</v>
      </c>
      <c r="B1342" s="54" t="s">
        <v>94</v>
      </c>
      <c r="C1342" s="54" t="s">
        <v>95</v>
      </c>
      <c r="D1342" s="54" t="s">
        <v>96</v>
      </c>
      <c r="E1342" s="54" t="s">
        <v>97</v>
      </c>
      <c r="F1342" t="s">
        <v>35</v>
      </c>
      <c r="G1342">
        <v>38340</v>
      </c>
      <c r="H1342">
        <v>360</v>
      </c>
      <c r="I1342" t="str">
        <f t="shared" si="60"/>
        <v>AAA BBB</v>
      </c>
      <c r="J1342" t="str">
        <f t="shared" si="61"/>
        <v>XXX</v>
      </c>
      <c r="K1342" t="str">
        <f t="shared" si="62"/>
        <v>ZZZ, TN, 38340</v>
      </c>
    </row>
    <row r="1343" spans="1:11" x14ac:dyDescent="0.15">
      <c r="A1343">
        <v>1018918</v>
      </c>
      <c r="B1343" s="54" t="s">
        <v>94</v>
      </c>
      <c r="C1343" s="54" t="s">
        <v>95</v>
      </c>
      <c r="D1343" s="54" t="s">
        <v>96</v>
      </c>
      <c r="E1343" s="54" t="s">
        <v>97</v>
      </c>
      <c r="F1343" t="s">
        <v>35</v>
      </c>
      <c r="G1343">
        <v>38340</v>
      </c>
      <c r="H1343">
        <v>360</v>
      </c>
      <c r="I1343" t="str">
        <f t="shared" si="60"/>
        <v>AAA BBB</v>
      </c>
      <c r="J1343" t="str">
        <f t="shared" si="61"/>
        <v>XXX</v>
      </c>
      <c r="K1343" t="str">
        <f t="shared" si="62"/>
        <v>ZZZ, TN, 38340</v>
      </c>
    </row>
    <row r="1344" spans="1:11" x14ac:dyDescent="0.15">
      <c r="A1344">
        <v>1018918</v>
      </c>
      <c r="B1344" s="54" t="s">
        <v>94</v>
      </c>
      <c r="C1344" s="54" t="s">
        <v>95</v>
      </c>
      <c r="D1344" s="54" t="s">
        <v>96</v>
      </c>
      <c r="E1344" s="54" t="s">
        <v>97</v>
      </c>
      <c r="F1344" t="s">
        <v>35</v>
      </c>
      <c r="G1344">
        <v>38340</v>
      </c>
      <c r="H1344">
        <v>360</v>
      </c>
      <c r="I1344" t="str">
        <f t="shared" si="60"/>
        <v>AAA BBB</v>
      </c>
      <c r="J1344" t="str">
        <f t="shared" si="61"/>
        <v>XXX</v>
      </c>
      <c r="K1344" t="str">
        <f t="shared" si="62"/>
        <v>ZZZ, TN, 38340</v>
      </c>
    </row>
    <row r="1345" spans="1:11" x14ac:dyDescent="0.15">
      <c r="A1345">
        <v>1018918</v>
      </c>
      <c r="B1345" s="54" t="s">
        <v>94</v>
      </c>
      <c r="C1345" s="54" t="s">
        <v>95</v>
      </c>
      <c r="D1345" s="54" t="s">
        <v>96</v>
      </c>
      <c r="E1345" s="54" t="s">
        <v>97</v>
      </c>
      <c r="F1345" t="s">
        <v>35</v>
      </c>
      <c r="G1345">
        <v>38340</v>
      </c>
      <c r="H1345">
        <v>360</v>
      </c>
      <c r="I1345" t="str">
        <f t="shared" si="60"/>
        <v>AAA BBB</v>
      </c>
      <c r="J1345" t="str">
        <f t="shared" si="61"/>
        <v>XXX</v>
      </c>
      <c r="K1345" t="str">
        <f t="shared" si="62"/>
        <v>ZZZ, TN, 38340</v>
      </c>
    </row>
    <row r="1346" spans="1:11" x14ac:dyDescent="0.15">
      <c r="A1346">
        <v>1018918</v>
      </c>
      <c r="B1346" s="54" t="s">
        <v>94</v>
      </c>
      <c r="C1346" s="54" t="s">
        <v>95</v>
      </c>
      <c r="D1346" s="54" t="s">
        <v>96</v>
      </c>
      <c r="E1346" s="54" t="s">
        <v>97</v>
      </c>
      <c r="F1346" t="s">
        <v>35</v>
      </c>
      <c r="G1346">
        <v>38340</v>
      </c>
      <c r="H1346">
        <v>360</v>
      </c>
      <c r="I1346" t="str">
        <f t="shared" si="60"/>
        <v>AAA BBB</v>
      </c>
      <c r="J1346" t="str">
        <f t="shared" si="61"/>
        <v>XXX</v>
      </c>
      <c r="K1346" t="str">
        <f t="shared" si="62"/>
        <v>ZZZ, TN, 38340</v>
      </c>
    </row>
    <row r="1347" spans="1:11" x14ac:dyDescent="0.15">
      <c r="A1347">
        <v>1018918</v>
      </c>
      <c r="B1347" s="54" t="s">
        <v>94</v>
      </c>
      <c r="C1347" s="54" t="s">
        <v>95</v>
      </c>
      <c r="D1347" s="54" t="s">
        <v>96</v>
      </c>
      <c r="E1347" s="54" t="s">
        <v>97</v>
      </c>
      <c r="F1347" t="s">
        <v>35</v>
      </c>
      <c r="G1347">
        <v>38340</v>
      </c>
      <c r="H1347">
        <v>360</v>
      </c>
      <c r="I1347" t="str">
        <f t="shared" ref="I1347:I1410" si="63">CONCATENATE(B1347," ",C1347)</f>
        <v>AAA BBB</v>
      </c>
      <c r="J1347" t="str">
        <f t="shared" ref="J1347:J1410" si="64">D1347</f>
        <v>XXX</v>
      </c>
      <c r="K1347" t="str">
        <f t="shared" ref="K1347:K1410" si="65">CONCATENATE(E1347,","," ",F1347,","," ",G1347)</f>
        <v>ZZZ, TN, 38340</v>
      </c>
    </row>
    <row r="1348" spans="1:11" x14ac:dyDescent="0.15">
      <c r="A1348">
        <v>1018918</v>
      </c>
      <c r="B1348" s="54" t="s">
        <v>94</v>
      </c>
      <c r="C1348" s="54" t="s">
        <v>95</v>
      </c>
      <c r="D1348" s="54" t="s">
        <v>96</v>
      </c>
      <c r="E1348" s="54" t="s">
        <v>97</v>
      </c>
      <c r="F1348" t="s">
        <v>35</v>
      </c>
      <c r="G1348">
        <v>38340</v>
      </c>
      <c r="H1348">
        <v>360</v>
      </c>
      <c r="I1348" t="str">
        <f t="shared" si="63"/>
        <v>AAA BBB</v>
      </c>
      <c r="J1348" t="str">
        <f t="shared" si="64"/>
        <v>XXX</v>
      </c>
      <c r="K1348" t="str">
        <f t="shared" si="65"/>
        <v>ZZZ, TN, 38340</v>
      </c>
    </row>
    <row r="1349" spans="1:11" x14ac:dyDescent="0.15">
      <c r="A1349">
        <v>1018918</v>
      </c>
      <c r="B1349" s="54" t="s">
        <v>94</v>
      </c>
      <c r="C1349" s="54" t="s">
        <v>95</v>
      </c>
      <c r="D1349" s="54" t="s">
        <v>96</v>
      </c>
      <c r="E1349" s="54" t="s">
        <v>97</v>
      </c>
      <c r="F1349" t="s">
        <v>35</v>
      </c>
      <c r="G1349">
        <v>38340</v>
      </c>
      <c r="H1349">
        <v>360</v>
      </c>
      <c r="I1349" t="str">
        <f t="shared" si="63"/>
        <v>AAA BBB</v>
      </c>
      <c r="J1349" t="str">
        <f t="shared" si="64"/>
        <v>XXX</v>
      </c>
      <c r="K1349" t="str">
        <f t="shared" si="65"/>
        <v>ZZZ, TN, 38340</v>
      </c>
    </row>
    <row r="1350" spans="1:11" x14ac:dyDescent="0.15">
      <c r="A1350">
        <v>1018918</v>
      </c>
      <c r="B1350" s="54" t="s">
        <v>94</v>
      </c>
      <c r="C1350" s="54" t="s">
        <v>95</v>
      </c>
      <c r="D1350" s="54" t="s">
        <v>96</v>
      </c>
      <c r="E1350" s="54" t="s">
        <v>97</v>
      </c>
      <c r="F1350" t="s">
        <v>35</v>
      </c>
      <c r="G1350">
        <v>38340</v>
      </c>
      <c r="H1350">
        <v>360</v>
      </c>
      <c r="I1350" t="str">
        <f t="shared" si="63"/>
        <v>AAA BBB</v>
      </c>
      <c r="J1350" t="str">
        <f t="shared" si="64"/>
        <v>XXX</v>
      </c>
      <c r="K1350" t="str">
        <f t="shared" si="65"/>
        <v>ZZZ, TN, 38340</v>
      </c>
    </row>
    <row r="1351" spans="1:11" x14ac:dyDescent="0.15">
      <c r="A1351">
        <v>1018918</v>
      </c>
      <c r="B1351" s="54" t="s">
        <v>94</v>
      </c>
      <c r="C1351" s="54" t="s">
        <v>95</v>
      </c>
      <c r="D1351" s="54" t="s">
        <v>96</v>
      </c>
      <c r="E1351" s="54" t="s">
        <v>97</v>
      </c>
      <c r="F1351" t="s">
        <v>35</v>
      </c>
      <c r="G1351">
        <v>38340</v>
      </c>
      <c r="H1351">
        <v>360</v>
      </c>
      <c r="I1351" t="str">
        <f t="shared" si="63"/>
        <v>AAA BBB</v>
      </c>
      <c r="J1351" t="str">
        <f t="shared" si="64"/>
        <v>XXX</v>
      </c>
      <c r="K1351" t="str">
        <f t="shared" si="65"/>
        <v>ZZZ, TN, 38340</v>
      </c>
    </row>
    <row r="1352" spans="1:11" x14ac:dyDescent="0.15">
      <c r="A1352">
        <v>1018918</v>
      </c>
      <c r="B1352" s="54" t="s">
        <v>94</v>
      </c>
      <c r="C1352" s="54" t="s">
        <v>95</v>
      </c>
      <c r="D1352" s="54" t="s">
        <v>96</v>
      </c>
      <c r="E1352" s="54" t="s">
        <v>97</v>
      </c>
      <c r="F1352" t="s">
        <v>35</v>
      </c>
      <c r="G1352">
        <v>38340</v>
      </c>
      <c r="H1352">
        <v>360</v>
      </c>
      <c r="I1352" t="str">
        <f t="shared" si="63"/>
        <v>AAA BBB</v>
      </c>
      <c r="J1352" t="str">
        <f t="shared" si="64"/>
        <v>XXX</v>
      </c>
      <c r="K1352" t="str">
        <f t="shared" si="65"/>
        <v>ZZZ, TN, 38340</v>
      </c>
    </row>
    <row r="1353" spans="1:11" x14ac:dyDescent="0.15">
      <c r="A1353">
        <v>1018918</v>
      </c>
      <c r="B1353" s="54" t="s">
        <v>94</v>
      </c>
      <c r="C1353" s="54" t="s">
        <v>95</v>
      </c>
      <c r="D1353" s="54" t="s">
        <v>96</v>
      </c>
      <c r="E1353" s="54" t="s">
        <v>97</v>
      </c>
      <c r="F1353" t="s">
        <v>35</v>
      </c>
      <c r="G1353">
        <v>38340</v>
      </c>
      <c r="H1353">
        <v>360</v>
      </c>
      <c r="I1353" t="str">
        <f t="shared" si="63"/>
        <v>AAA BBB</v>
      </c>
      <c r="J1353" t="str">
        <f t="shared" si="64"/>
        <v>XXX</v>
      </c>
      <c r="K1353" t="str">
        <f t="shared" si="65"/>
        <v>ZZZ, TN, 38340</v>
      </c>
    </row>
    <row r="1354" spans="1:11" x14ac:dyDescent="0.15">
      <c r="A1354">
        <v>1018918</v>
      </c>
      <c r="B1354" s="54" t="s">
        <v>94</v>
      </c>
      <c r="C1354" s="54" t="s">
        <v>95</v>
      </c>
      <c r="D1354" s="54" t="s">
        <v>96</v>
      </c>
      <c r="E1354" s="54" t="s">
        <v>97</v>
      </c>
      <c r="F1354" t="s">
        <v>35</v>
      </c>
      <c r="G1354">
        <v>38340</v>
      </c>
      <c r="H1354">
        <v>360</v>
      </c>
      <c r="I1354" t="str">
        <f t="shared" si="63"/>
        <v>AAA BBB</v>
      </c>
      <c r="J1354" t="str">
        <f t="shared" si="64"/>
        <v>XXX</v>
      </c>
      <c r="K1354" t="str">
        <f t="shared" si="65"/>
        <v>ZZZ, TN, 38340</v>
      </c>
    </row>
    <row r="1355" spans="1:11" x14ac:dyDescent="0.15">
      <c r="A1355">
        <v>1018918</v>
      </c>
      <c r="B1355" s="54" t="s">
        <v>94</v>
      </c>
      <c r="C1355" s="54" t="s">
        <v>95</v>
      </c>
      <c r="D1355" s="54" t="s">
        <v>96</v>
      </c>
      <c r="E1355" s="54" t="s">
        <v>97</v>
      </c>
      <c r="F1355" t="s">
        <v>35</v>
      </c>
      <c r="G1355">
        <v>38340</v>
      </c>
      <c r="H1355">
        <v>360</v>
      </c>
      <c r="I1355" t="str">
        <f t="shared" si="63"/>
        <v>AAA BBB</v>
      </c>
      <c r="J1355" t="str">
        <f t="shared" si="64"/>
        <v>XXX</v>
      </c>
      <c r="K1355" t="str">
        <f t="shared" si="65"/>
        <v>ZZZ, TN, 38340</v>
      </c>
    </row>
    <row r="1356" spans="1:11" x14ac:dyDescent="0.15">
      <c r="A1356">
        <v>1018918</v>
      </c>
      <c r="B1356" s="54" t="s">
        <v>94</v>
      </c>
      <c r="C1356" s="54" t="s">
        <v>95</v>
      </c>
      <c r="D1356" s="54" t="s">
        <v>96</v>
      </c>
      <c r="E1356" s="54" t="s">
        <v>97</v>
      </c>
      <c r="F1356" t="s">
        <v>35</v>
      </c>
      <c r="G1356">
        <v>38340</v>
      </c>
      <c r="H1356">
        <v>360</v>
      </c>
      <c r="I1356" t="str">
        <f t="shared" si="63"/>
        <v>AAA BBB</v>
      </c>
      <c r="J1356" t="str">
        <f t="shared" si="64"/>
        <v>XXX</v>
      </c>
      <c r="K1356" t="str">
        <f t="shared" si="65"/>
        <v>ZZZ, TN, 38340</v>
      </c>
    </row>
    <row r="1357" spans="1:11" x14ac:dyDescent="0.15">
      <c r="A1357">
        <v>1018918</v>
      </c>
      <c r="B1357" s="54" t="s">
        <v>94</v>
      </c>
      <c r="C1357" s="54" t="s">
        <v>95</v>
      </c>
      <c r="D1357" s="54" t="s">
        <v>96</v>
      </c>
      <c r="E1357" s="54" t="s">
        <v>97</v>
      </c>
      <c r="F1357" t="s">
        <v>35</v>
      </c>
      <c r="G1357">
        <v>38340</v>
      </c>
      <c r="H1357">
        <v>360</v>
      </c>
      <c r="I1357" t="str">
        <f t="shared" si="63"/>
        <v>AAA BBB</v>
      </c>
      <c r="J1357" t="str">
        <f t="shared" si="64"/>
        <v>XXX</v>
      </c>
      <c r="K1357" t="str">
        <f t="shared" si="65"/>
        <v>ZZZ, TN, 38340</v>
      </c>
    </row>
    <row r="1358" spans="1:11" x14ac:dyDescent="0.15">
      <c r="A1358">
        <v>1018918</v>
      </c>
      <c r="B1358" s="54" t="s">
        <v>94</v>
      </c>
      <c r="C1358" s="54" t="s">
        <v>95</v>
      </c>
      <c r="D1358" s="54" t="s">
        <v>96</v>
      </c>
      <c r="E1358" s="54" t="s">
        <v>97</v>
      </c>
      <c r="F1358" t="s">
        <v>35</v>
      </c>
      <c r="G1358">
        <v>38340</v>
      </c>
      <c r="H1358">
        <v>360</v>
      </c>
      <c r="I1358" t="str">
        <f t="shared" si="63"/>
        <v>AAA BBB</v>
      </c>
      <c r="J1358" t="str">
        <f t="shared" si="64"/>
        <v>XXX</v>
      </c>
      <c r="K1358" t="str">
        <f t="shared" si="65"/>
        <v>ZZZ, TN, 38340</v>
      </c>
    </row>
    <row r="1359" spans="1:11" x14ac:dyDescent="0.15">
      <c r="A1359">
        <v>1018918</v>
      </c>
      <c r="B1359" s="54" t="s">
        <v>94</v>
      </c>
      <c r="C1359" s="54" t="s">
        <v>95</v>
      </c>
      <c r="D1359" s="54" t="s">
        <v>96</v>
      </c>
      <c r="E1359" s="54" t="s">
        <v>97</v>
      </c>
      <c r="F1359" t="s">
        <v>35</v>
      </c>
      <c r="G1359">
        <v>38340</v>
      </c>
      <c r="H1359">
        <v>360</v>
      </c>
      <c r="I1359" t="str">
        <f t="shared" si="63"/>
        <v>AAA BBB</v>
      </c>
      <c r="J1359" t="str">
        <f t="shared" si="64"/>
        <v>XXX</v>
      </c>
      <c r="K1359" t="str">
        <f t="shared" si="65"/>
        <v>ZZZ, TN, 38340</v>
      </c>
    </row>
    <row r="1360" spans="1:11" x14ac:dyDescent="0.15">
      <c r="A1360">
        <v>1018918</v>
      </c>
      <c r="B1360" s="54" t="s">
        <v>94</v>
      </c>
      <c r="C1360" s="54" t="s">
        <v>95</v>
      </c>
      <c r="D1360" s="54" t="s">
        <v>96</v>
      </c>
      <c r="E1360" s="54" t="s">
        <v>97</v>
      </c>
      <c r="F1360" t="s">
        <v>35</v>
      </c>
      <c r="G1360">
        <v>38340</v>
      </c>
      <c r="H1360">
        <v>360</v>
      </c>
      <c r="I1360" t="str">
        <f t="shared" si="63"/>
        <v>AAA BBB</v>
      </c>
      <c r="J1360" t="str">
        <f t="shared" si="64"/>
        <v>XXX</v>
      </c>
      <c r="K1360" t="str">
        <f t="shared" si="65"/>
        <v>ZZZ, TN, 38340</v>
      </c>
    </row>
    <row r="1361" spans="1:11" x14ac:dyDescent="0.15">
      <c r="A1361">
        <v>1018918</v>
      </c>
      <c r="B1361" s="54" t="s">
        <v>94</v>
      </c>
      <c r="C1361" s="54" t="s">
        <v>95</v>
      </c>
      <c r="D1361" s="54" t="s">
        <v>96</v>
      </c>
      <c r="E1361" s="54" t="s">
        <v>97</v>
      </c>
      <c r="F1361" t="s">
        <v>35</v>
      </c>
      <c r="G1361">
        <v>38340</v>
      </c>
      <c r="H1361">
        <v>360</v>
      </c>
      <c r="I1361" t="str">
        <f t="shared" si="63"/>
        <v>AAA BBB</v>
      </c>
      <c r="J1361" t="str">
        <f t="shared" si="64"/>
        <v>XXX</v>
      </c>
      <c r="K1361" t="str">
        <f t="shared" si="65"/>
        <v>ZZZ, TN, 38340</v>
      </c>
    </row>
    <row r="1362" spans="1:11" x14ac:dyDescent="0.15">
      <c r="A1362">
        <v>1018918</v>
      </c>
      <c r="B1362" s="54" t="s">
        <v>94</v>
      </c>
      <c r="C1362" s="54" t="s">
        <v>95</v>
      </c>
      <c r="D1362" s="54" t="s">
        <v>96</v>
      </c>
      <c r="E1362" s="54" t="s">
        <v>97</v>
      </c>
      <c r="F1362" t="s">
        <v>35</v>
      </c>
      <c r="G1362">
        <v>38340</v>
      </c>
      <c r="H1362">
        <v>360</v>
      </c>
      <c r="I1362" t="str">
        <f t="shared" si="63"/>
        <v>AAA BBB</v>
      </c>
      <c r="J1362" t="str">
        <f t="shared" si="64"/>
        <v>XXX</v>
      </c>
      <c r="K1362" t="str">
        <f t="shared" si="65"/>
        <v>ZZZ, TN, 38340</v>
      </c>
    </row>
    <row r="1363" spans="1:11" x14ac:dyDescent="0.15">
      <c r="A1363">
        <v>1018918</v>
      </c>
      <c r="B1363" s="54" t="s">
        <v>94</v>
      </c>
      <c r="C1363" s="54" t="s">
        <v>95</v>
      </c>
      <c r="D1363" s="54" t="s">
        <v>96</v>
      </c>
      <c r="E1363" s="54" t="s">
        <v>97</v>
      </c>
      <c r="F1363" t="s">
        <v>35</v>
      </c>
      <c r="G1363">
        <v>38340</v>
      </c>
      <c r="H1363">
        <v>360</v>
      </c>
      <c r="I1363" t="str">
        <f t="shared" si="63"/>
        <v>AAA BBB</v>
      </c>
      <c r="J1363" t="str">
        <f t="shared" si="64"/>
        <v>XXX</v>
      </c>
      <c r="K1363" t="str">
        <f t="shared" si="65"/>
        <v>ZZZ, TN, 38340</v>
      </c>
    </row>
    <row r="1364" spans="1:11" x14ac:dyDescent="0.15">
      <c r="A1364">
        <v>1018918</v>
      </c>
      <c r="B1364" s="54" t="s">
        <v>94</v>
      </c>
      <c r="C1364" s="54" t="s">
        <v>95</v>
      </c>
      <c r="D1364" s="54" t="s">
        <v>96</v>
      </c>
      <c r="E1364" s="54" t="s">
        <v>97</v>
      </c>
      <c r="F1364" t="s">
        <v>35</v>
      </c>
      <c r="G1364">
        <v>38340</v>
      </c>
      <c r="H1364">
        <v>360</v>
      </c>
      <c r="I1364" t="str">
        <f t="shared" si="63"/>
        <v>AAA BBB</v>
      </c>
      <c r="J1364" t="str">
        <f t="shared" si="64"/>
        <v>XXX</v>
      </c>
      <c r="K1364" t="str">
        <f t="shared" si="65"/>
        <v>ZZZ, TN, 38340</v>
      </c>
    </row>
    <row r="1365" spans="1:11" x14ac:dyDescent="0.15">
      <c r="A1365">
        <v>1018918</v>
      </c>
      <c r="B1365" s="54" t="s">
        <v>94</v>
      </c>
      <c r="C1365" s="54" t="s">
        <v>95</v>
      </c>
      <c r="D1365" s="54" t="s">
        <v>96</v>
      </c>
      <c r="E1365" s="54" t="s">
        <v>97</v>
      </c>
      <c r="F1365" t="s">
        <v>35</v>
      </c>
      <c r="G1365">
        <v>38340</v>
      </c>
      <c r="H1365">
        <v>360</v>
      </c>
      <c r="I1365" t="str">
        <f t="shared" si="63"/>
        <v>AAA BBB</v>
      </c>
      <c r="J1365" t="str">
        <f t="shared" si="64"/>
        <v>XXX</v>
      </c>
      <c r="K1365" t="str">
        <f t="shared" si="65"/>
        <v>ZZZ, TN, 38340</v>
      </c>
    </row>
    <row r="1366" spans="1:11" x14ac:dyDescent="0.15">
      <c r="A1366">
        <v>1018918</v>
      </c>
      <c r="B1366" s="54" t="s">
        <v>94</v>
      </c>
      <c r="C1366" s="54" t="s">
        <v>95</v>
      </c>
      <c r="D1366" s="54" t="s">
        <v>96</v>
      </c>
      <c r="E1366" s="54" t="s">
        <v>97</v>
      </c>
      <c r="F1366" t="s">
        <v>35</v>
      </c>
      <c r="G1366">
        <v>38340</v>
      </c>
      <c r="H1366">
        <v>360</v>
      </c>
      <c r="I1366" t="str">
        <f t="shared" si="63"/>
        <v>AAA BBB</v>
      </c>
      <c r="J1366" t="str">
        <f t="shared" si="64"/>
        <v>XXX</v>
      </c>
      <c r="K1366" t="str">
        <f t="shared" si="65"/>
        <v>ZZZ, TN, 38340</v>
      </c>
    </row>
    <row r="1367" spans="1:11" x14ac:dyDescent="0.15">
      <c r="A1367">
        <v>1018918</v>
      </c>
      <c r="B1367" s="54" t="s">
        <v>94</v>
      </c>
      <c r="C1367" s="54" t="s">
        <v>95</v>
      </c>
      <c r="D1367" s="54" t="s">
        <v>96</v>
      </c>
      <c r="E1367" s="54" t="s">
        <v>97</v>
      </c>
      <c r="F1367" t="s">
        <v>35</v>
      </c>
      <c r="G1367">
        <v>38340</v>
      </c>
      <c r="H1367">
        <v>360</v>
      </c>
      <c r="I1367" t="str">
        <f t="shared" si="63"/>
        <v>AAA BBB</v>
      </c>
      <c r="J1367" t="str">
        <f t="shared" si="64"/>
        <v>XXX</v>
      </c>
      <c r="K1367" t="str">
        <f t="shared" si="65"/>
        <v>ZZZ, TN, 38340</v>
      </c>
    </row>
    <row r="1368" spans="1:11" x14ac:dyDescent="0.15">
      <c r="A1368">
        <v>1018918</v>
      </c>
      <c r="B1368" s="54" t="s">
        <v>94</v>
      </c>
      <c r="C1368" s="54" t="s">
        <v>95</v>
      </c>
      <c r="D1368" s="54" t="s">
        <v>96</v>
      </c>
      <c r="E1368" s="54" t="s">
        <v>97</v>
      </c>
      <c r="F1368" t="s">
        <v>35</v>
      </c>
      <c r="G1368">
        <v>38340</v>
      </c>
      <c r="H1368">
        <v>360</v>
      </c>
      <c r="I1368" t="str">
        <f t="shared" si="63"/>
        <v>AAA BBB</v>
      </c>
      <c r="J1368" t="str">
        <f t="shared" si="64"/>
        <v>XXX</v>
      </c>
      <c r="K1368" t="str">
        <f t="shared" si="65"/>
        <v>ZZZ, TN, 38340</v>
      </c>
    </row>
    <row r="1369" spans="1:11" x14ac:dyDescent="0.15">
      <c r="A1369">
        <v>1018918</v>
      </c>
      <c r="B1369" s="54" t="s">
        <v>94</v>
      </c>
      <c r="C1369" s="54" t="s">
        <v>95</v>
      </c>
      <c r="D1369" s="54" t="s">
        <v>96</v>
      </c>
      <c r="E1369" s="54" t="s">
        <v>97</v>
      </c>
      <c r="F1369" t="s">
        <v>35</v>
      </c>
      <c r="G1369">
        <v>38340</v>
      </c>
      <c r="H1369">
        <v>360</v>
      </c>
      <c r="I1369" t="str">
        <f t="shared" si="63"/>
        <v>AAA BBB</v>
      </c>
      <c r="J1369" t="str">
        <f t="shared" si="64"/>
        <v>XXX</v>
      </c>
      <c r="K1369" t="str">
        <f t="shared" si="65"/>
        <v>ZZZ, TN, 38340</v>
      </c>
    </row>
    <row r="1370" spans="1:11" x14ac:dyDescent="0.15">
      <c r="A1370">
        <v>1018918</v>
      </c>
      <c r="B1370" s="54" t="s">
        <v>94</v>
      </c>
      <c r="C1370" s="54" t="s">
        <v>95</v>
      </c>
      <c r="D1370" s="54" t="s">
        <v>96</v>
      </c>
      <c r="E1370" s="54" t="s">
        <v>97</v>
      </c>
      <c r="F1370" t="s">
        <v>35</v>
      </c>
      <c r="G1370">
        <v>38340</v>
      </c>
      <c r="H1370">
        <v>360</v>
      </c>
      <c r="I1370" t="str">
        <f t="shared" si="63"/>
        <v>AAA BBB</v>
      </c>
      <c r="J1370" t="str">
        <f t="shared" si="64"/>
        <v>XXX</v>
      </c>
      <c r="K1370" t="str">
        <f t="shared" si="65"/>
        <v>ZZZ, TN, 38340</v>
      </c>
    </row>
    <row r="1371" spans="1:11" x14ac:dyDescent="0.15">
      <c r="A1371">
        <v>1018918</v>
      </c>
      <c r="B1371" s="54" t="s">
        <v>94</v>
      </c>
      <c r="C1371" s="54" t="s">
        <v>95</v>
      </c>
      <c r="D1371" s="54" t="s">
        <v>96</v>
      </c>
      <c r="E1371" s="54" t="s">
        <v>97</v>
      </c>
      <c r="F1371" t="s">
        <v>35</v>
      </c>
      <c r="G1371">
        <v>38340</v>
      </c>
      <c r="H1371">
        <v>360</v>
      </c>
      <c r="I1371" t="str">
        <f t="shared" si="63"/>
        <v>AAA BBB</v>
      </c>
      <c r="J1371" t="str">
        <f t="shared" si="64"/>
        <v>XXX</v>
      </c>
      <c r="K1371" t="str">
        <f t="shared" si="65"/>
        <v>ZZZ, TN, 38340</v>
      </c>
    </row>
    <row r="1372" spans="1:11" x14ac:dyDescent="0.15">
      <c r="A1372">
        <v>1018918</v>
      </c>
      <c r="B1372" s="54" t="s">
        <v>94</v>
      </c>
      <c r="C1372" s="54" t="s">
        <v>95</v>
      </c>
      <c r="D1372" s="54" t="s">
        <v>96</v>
      </c>
      <c r="E1372" s="54" t="s">
        <v>97</v>
      </c>
      <c r="F1372" t="s">
        <v>35</v>
      </c>
      <c r="G1372">
        <v>38340</v>
      </c>
      <c r="H1372">
        <v>360</v>
      </c>
      <c r="I1372" t="str">
        <f t="shared" si="63"/>
        <v>AAA BBB</v>
      </c>
      <c r="J1372" t="str">
        <f t="shared" si="64"/>
        <v>XXX</v>
      </c>
      <c r="K1372" t="str">
        <f t="shared" si="65"/>
        <v>ZZZ, TN, 38340</v>
      </c>
    </row>
    <row r="1373" spans="1:11" x14ac:dyDescent="0.15">
      <c r="A1373">
        <v>1018918</v>
      </c>
      <c r="B1373" s="54" t="s">
        <v>94</v>
      </c>
      <c r="C1373" s="54" t="s">
        <v>95</v>
      </c>
      <c r="D1373" s="54" t="s">
        <v>96</v>
      </c>
      <c r="E1373" s="54" t="s">
        <v>97</v>
      </c>
      <c r="F1373" t="s">
        <v>35</v>
      </c>
      <c r="G1373">
        <v>38340</v>
      </c>
      <c r="H1373">
        <v>360</v>
      </c>
      <c r="I1373" t="str">
        <f t="shared" si="63"/>
        <v>AAA BBB</v>
      </c>
      <c r="J1373" t="str">
        <f t="shared" si="64"/>
        <v>XXX</v>
      </c>
      <c r="K1373" t="str">
        <f t="shared" si="65"/>
        <v>ZZZ, TN, 38340</v>
      </c>
    </row>
    <row r="1374" spans="1:11" x14ac:dyDescent="0.15">
      <c r="A1374">
        <v>1018918</v>
      </c>
      <c r="B1374" s="54" t="s">
        <v>94</v>
      </c>
      <c r="C1374" s="54" t="s">
        <v>95</v>
      </c>
      <c r="D1374" s="54" t="s">
        <v>96</v>
      </c>
      <c r="E1374" s="54" t="s">
        <v>97</v>
      </c>
      <c r="F1374" t="s">
        <v>35</v>
      </c>
      <c r="G1374">
        <v>38340</v>
      </c>
      <c r="H1374">
        <v>360</v>
      </c>
      <c r="I1374" t="str">
        <f t="shared" si="63"/>
        <v>AAA BBB</v>
      </c>
      <c r="J1374" t="str">
        <f t="shared" si="64"/>
        <v>XXX</v>
      </c>
      <c r="K1374" t="str">
        <f t="shared" si="65"/>
        <v>ZZZ, TN, 38340</v>
      </c>
    </row>
    <row r="1375" spans="1:11" x14ac:dyDescent="0.15">
      <c r="A1375">
        <v>1018918</v>
      </c>
      <c r="B1375" s="54" t="s">
        <v>94</v>
      </c>
      <c r="C1375" s="54" t="s">
        <v>95</v>
      </c>
      <c r="D1375" s="54" t="s">
        <v>96</v>
      </c>
      <c r="E1375" s="54" t="s">
        <v>97</v>
      </c>
      <c r="F1375" t="s">
        <v>35</v>
      </c>
      <c r="G1375">
        <v>38340</v>
      </c>
      <c r="H1375">
        <v>360</v>
      </c>
      <c r="I1375" t="str">
        <f t="shared" si="63"/>
        <v>AAA BBB</v>
      </c>
      <c r="J1375" t="str">
        <f t="shared" si="64"/>
        <v>XXX</v>
      </c>
      <c r="K1375" t="str">
        <f t="shared" si="65"/>
        <v>ZZZ, TN, 38340</v>
      </c>
    </row>
    <row r="1376" spans="1:11" x14ac:dyDescent="0.15">
      <c r="A1376">
        <v>1018918</v>
      </c>
      <c r="B1376" s="54" t="s">
        <v>94</v>
      </c>
      <c r="C1376" s="54" t="s">
        <v>95</v>
      </c>
      <c r="D1376" s="54" t="s">
        <v>96</v>
      </c>
      <c r="E1376" s="54" t="s">
        <v>97</v>
      </c>
      <c r="F1376" t="s">
        <v>35</v>
      </c>
      <c r="G1376">
        <v>38340</v>
      </c>
      <c r="H1376">
        <v>360</v>
      </c>
      <c r="I1376" t="str">
        <f t="shared" si="63"/>
        <v>AAA BBB</v>
      </c>
      <c r="J1376" t="str">
        <f t="shared" si="64"/>
        <v>XXX</v>
      </c>
      <c r="K1376" t="str">
        <f t="shared" si="65"/>
        <v>ZZZ, TN, 38340</v>
      </c>
    </row>
    <row r="1377" spans="1:11" x14ac:dyDescent="0.15">
      <c r="A1377">
        <v>1018918</v>
      </c>
      <c r="B1377" s="54" t="s">
        <v>94</v>
      </c>
      <c r="C1377" s="54" t="s">
        <v>95</v>
      </c>
      <c r="D1377" s="54" t="s">
        <v>96</v>
      </c>
      <c r="E1377" s="54" t="s">
        <v>97</v>
      </c>
      <c r="F1377" t="s">
        <v>35</v>
      </c>
      <c r="G1377">
        <v>38340</v>
      </c>
      <c r="H1377">
        <v>360</v>
      </c>
      <c r="I1377" t="str">
        <f t="shared" si="63"/>
        <v>AAA BBB</v>
      </c>
      <c r="J1377" t="str">
        <f t="shared" si="64"/>
        <v>XXX</v>
      </c>
      <c r="K1377" t="str">
        <f t="shared" si="65"/>
        <v>ZZZ, TN, 38340</v>
      </c>
    </row>
    <row r="1378" spans="1:11" x14ac:dyDescent="0.15">
      <c r="A1378">
        <v>1018918</v>
      </c>
      <c r="B1378" s="54" t="s">
        <v>94</v>
      </c>
      <c r="C1378" s="54" t="s">
        <v>95</v>
      </c>
      <c r="D1378" s="54" t="s">
        <v>96</v>
      </c>
      <c r="E1378" s="54" t="s">
        <v>97</v>
      </c>
      <c r="F1378" t="s">
        <v>35</v>
      </c>
      <c r="G1378">
        <v>38340</v>
      </c>
      <c r="H1378">
        <v>360</v>
      </c>
      <c r="I1378" t="str">
        <f t="shared" si="63"/>
        <v>AAA BBB</v>
      </c>
      <c r="J1378" t="str">
        <f t="shared" si="64"/>
        <v>XXX</v>
      </c>
      <c r="K1378" t="str">
        <f t="shared" si="65"/>
        <v>ZZZ, TN, 38340</v>
      </c>
    </row>
    <row r="1379" spans="1:11" x14ac:dyDescent="0.15">
      <c r="A1379">
        <v>1018918</v>
      </c>
      <c r="B1379" s="54" t="s">
        <v>94</v>
      </c>
      <c r="C1379" s="54" t="s">
        <v>95</v>
      </c>
      <c r="D1379" s="54" t="s">
        <v>96</v>
      </c>
      <c r="E1379" s="54" t="s">
        <v>97</v>
      </c>
      <c r="F1379" t="s">
        <v>35</v>
      </c>
      <c r="G1379">
        <v>38340</v>
      </c>
      <c r="H1379">
        <v>360</v>
      </c>
      <c r="I1379" t="str">
        <f t="shared" si="63"/>
        <v>AAA BBB</v>
      </c>
      <c r="J1379" t="str">
        <f t="shared" si="64"/>
        <v>XXX</v>
      </c>
      <c r="K1379" t="str">
        <f t="shared" si="65"/>
        <v>ZZZ, TN, 38340</v>
      </c>
    </row>
    <row r="1380" spans="1:11" x14ac:dyDescent="0.15">
      <c r="A1380">
        <v>1018918</v>
      </c>
      <c r="B1380" s="54" t="s">
        <v>94</v>
      </c>
      <c r="C1380" s="54" t="s">
        <v>95</v>
      </c>
      <c r="D1380" s="54" t="s">
        <v>96</v>
      </c>
      <c r="E1380" s="54" t="s">
        <v>97</v>
      </c>
      <c r="F1380" t="s">
        <v>35</v>
      </c>
      <c r="G1380">
        <v>38340</v>
      </c>
      <c r="H1380">
        <v>360</v>
      </c>
      <c r="I1380" t="str">
        <f t="shared" si="63"/>
        <v>AAA BBB</v>
      </c>
      <c r="J1380" t="str">
        <f t="shared" si="64"/>
        <v>XXX</v>
      </c>
      <c r="K1380" t="str">
        <f t="shared" si="65"/>
        <v>ZZZ, TN, 38340</v>
      </c>
    </row>
    <row r="1381" spans="1:11" x14ac:dyDescent="0.15">
      <c r="A1381">
        <v>1018918</v>
      </c>
      <c r="B1381" s="54" t="s">
        <v>94</v>
      </c>
      <c r="C1381" s="54" t="s">
        <v>95</v>
      </c>
      <c r="D1381" s="54" t="s">
        <v>96</v>
      </c>
      <c r="E1381" s="54" t="s">
        <v>97</v>
      </c>
      <c r="F1381" t="s">
        <v>35</v>
      </c>
      <c r="G1381">
        <v>38340</v>
      </c>
      <c r="H1381">
        <v>360</v>
      </c>
      <c r="I1381" t="str">
        <f t="shared" si="63"/>
        <v>AAA BBB</v>
      </c>
      <c r="J1381" t="str">
        <f t="shared" si="64"/>
        <v>XXX</v>
      </c>
      <c r="K1381" t="str">
        <f t="shared" si="65"/>
        <v>ZZZ, TN, 38340</v>
      </c>
    </row>
    <row r="1382" spans="1:11" x14ac:dyDescent="0.15">
      <c r="A1382">
        <v>1018918</v>
      </c>
      <c r="B1382" s="54" t="s">
        <v>94</v>
      </c>
      <c r="C1382" s="54" t="s">
        <v>95</v>
      </c>
      <c r="D1382" s="54" t="s">
        <v>96</v>
      </c>
      <c r="E1382" s="54" t="s">
        <v>97</v>
      </c>
      <c r="F1382" t="s">
        <v>35</v>
      </c>
      <c r="G1382">
        <v>38340</v>
      </c>
      <c r="H1382">
        <v>360</v>
      </c>
      <c r="I1382" t="str">
        <f t="shared" si="63"/>
        <v>AAA BBB</v>
      </c>
      <c r="J1382" t="str">
        <f t="shared" si="64"/>
        <v>XXX</v>
      </c>
      <c r="K1382" t="str">
        <f t="shared" si="65"/>
        <v>ZZZ, TN, 38340</v>
      </c>
    </row>
    <row r="1383" spans="1:11" x14ac:dyDescent="0.15">
      <c r="A1383">
        <v>1018918</v>
      </c>
      <c r="B1383" s="54" t="s">
        <v>94</v>
      </c>
      <c r="C1383" s="54" t="s">
        <v>95</v>
      </c>
      <c r="D1383" s="54" t="s">
        <v>96</v>
      </c>
      <c r="E1383" s="54" t="s">
        <v>97</v>
      </c>
      <c r="F1383" t="s">
        <v>35</v>
      </c>
      <c r="G1383">
        <v>38340</v>
      </c>
      <c r="H1383">
        <v>360</v>
      </c>
      <c r="I1383" t="str">
        <f t="shared" si="63"/>
        <v>AAA BBB</v>
      </c>
      <c r="J1383" t="str">
        <f t="shared" si="64"/>
        <v>XXX</v>
      </c>
      <c r="K1383" t="str">
        <f t="shared" si="65"/>
        <v>ZZZ, TN, 38340</v>
      </c>
    </row>
    <row r="1384" spans="1:11" x14ac:dyDescent="0.15">
      <c r="A1384">
        <v>1018918</v>
      </c>
      <c r="B1384" s="54" t="s">
        <v>94</v>
      </c>
      <c r="C1384" s="54" t="s">
        <v>95</v>
      </c>
      <c r="D1384" s="54" t="s">
        <v>96</v>
      </c>
      <c r="E1384" s="54" t="s">
        <v>97</v>
      </c>
      <c r="F1384" t="s">
        <v>35</v>
      </c>
      <c r="G1384">
        <v>38340</v>
      </c>
      <c r="H1384">
        <v>360</v>
      </c>
      <c r="I1384" t="str">
        <f t="shared" si="63"/>
        <v>AAA BBB</v>
      </c>
      <c r="J1384" t="str">
        <f t="shared" si="64"/>
        <v>XXX</v>
      </c>
      <c r="K1384" t="str">
        <f t="shared" si="65"/>
        <v>ZZZ, TN, 38340</v>
      </c>
    </row>
    <row r="1385" spans="1:11" x14ac:dyDescent="0.15">
      <c r="A1385">
        <v>1018918</v>
      </c>
      <c r="B1385" s="54" t="s">
        <v>94</v>
      </c>
      <c r="C1385" s="54" t="s">
        <v>95</v>
      </c>
      <c r="D1385" s="54" t="s">
        <v>96</v>
      </c>
      <c r="E1385" s="54" t="s">
        <v>97</v>
      </c>
      <c r="F1385" t="s">
        <v>35</v>
      </c>
      <c r="G1385">
        <v>38340</v>
      </c>
      <c r="H1385">
        <v>360</v>
      </c>
      <c r="I1385" t="str">
        <f t="shared" si="63"/>
        <v>AAA BBB</v>
      </c>
      <c r="J1385" t="str">
        <f t="shared" si="64"/>
        <v>XXX</v>
      </c>
      <c r="K1385" t="str">
        <f t="shared" si="65"/>
        <v>ZZZ, TN, 38340</v>
      </c>
    </row>
    <row r="1386" spans="1:11" x14ac:dyDescent="0.15">
      <c r="A1386">
        <v>1018918</v>
      </c>
      <c r="B1386" s="54" t="s">
        <v>94</v>
      </c>
      <c r="C1386" s="54" t="s">
        <v>95</v>
      </c>
      <c r="D1386" s="54" t="s">
        <v>96</v>
      </c>
      <c r="E1386" s="54" t="s">
        <v>97</v>
      </c>
      <c r="F1386" t="s">
        <v>35</v>
      </c>
      <c r="G1386">
        <v>38340</v>
      </c>
      <c r="H1386">
        <v>360</v>
      </c>
      <c r="I1386" t="str">
        <f t="shared" si="63"/>
        <v>AAA BBB</v>
      </c>
      <c r="J1386" t="str">
        <f t="shared" si="64"/>
        <v>XXX</v>
      </c>
      <c r="K1386" t="str">
        <f t="shared" si="65"/>
        <v>ZZZ, TN, 38340</v>
      </c>
    </row>
    <row r="1387" spans="1:11" x14ac:dyDescent="0.15">
      <c r="A1387">
        <v>1018918</v>
      </c>
      <c r="B1387" s="54" t="s">
        <v>94</v>
      </c>
      <c r="C1387" s="54" t="s">
        <v>95</v>
      </c>
      <c r="D1387" s="54" t="s">
        <v>96</v>
      </c>
      <c r="E1387" s="54" t="s">
        <v>97</v>
      </c>
      <c r="F1387" t="s">
        <v>35</v>
      </c>
      <c r="G1387">
        <v>38340</v>
      </c>
      <c r="H1387">
        <v>360</v>
      </c>
      <c r="I1387" t="str">
        <f t="shared" si="63"/>
        <v>AAA BBB</v>
      </c>
      <c r="J1387" t="str">
        <f t="shared" si="64"/>
        <v>XXX</v>
      </c>
      <c r="K1387" t="str">
        <f t="shared" si="65"/>
        <v>ZZZ, TN, 38340</v>
      </c>
    </row>
    <row r="1388" spans="1:11" x14ac:dyDescent="0.15">
      <c r="A1388">
        <v>1018918</v>
      </c>
      <c r="B1388" s="54" t="s">
        <v>94</v>
      </c>
      <c r="C1388" s="54" t="s">
        <v>95</v>
      </c>
      <c r="D1388" s="54" t="s">
        <v>96</v>
      </c>
      <c r="E1388" s="54" t="s">
        <v>97</v>
      </c>
      <c r="F1388" t="s">
        <v>35</v>
      </c>
      <c r="G1388">
        <v>38340</v>
      </c>
      <c r="H1388">
        <v>360</v>
      </c>
      <c r="I1388" t="str">
        <f t="shared" si="63"/>
        <v>AAA BBB</v>
      </c>
      <c r="J1388" t="str">
        <f t="shared" si="64"/>
        <v>XXX</v>
      </c>
      <c r="K1388" t="str">
        <f t="shared" si="65"/>
        <v>ZZZ, TN, 38340</v>
      </c>
    </row>
    <row r="1389" spans="1:11" x14ac:dyDescent="0.15">
      <c r="A1389">
        <v>1018918</v>
      </c>
      <c r="B1389" s="54" t="s">
        <v>94</v>
      </c>
      <c r="C1389" s="54" t="s">
        <v>95</v>
      </c>
      <c r="D1389" s="54" t="s">
        <v>96</v>
      </c>
      <c r="E1389" s="54" t="s">
        <v>97</v>
      </c>
      <c r="F1389" t="s">
        <v>35</v>
      </c>
      <c r="G1389">
        <v>38340</v>
      </c>
      <c r="H1389">
        <v>360</v>
      </c>
      <c r="I1389" t="str">
        <f t="shared" si="63"/>
        <v>AAA BBB</v>
      </c>
      <c r="J1389" t="str">
        <f t="shared" si="64"/>
        <v>XXX</v>
      </c>
      <c r="K1389" t="str">
        <f t="shared" si="65"/>
        <v>ZZZ, TN, 38340</v>
      </c>
    </row>
    <row r="1390" spans="1:11" x14ac:dyDescent="0.15">
      <c r="A1390">
        <v>1018918</v>
      </c>
      <c r="B1390" s="54" t="s">
        <v>94</v>
      </c>
      <c r="C1390" s="54" t="s">
        <v>95</v>
      </c>
      <c r="D1390" s="54" t="s">
        <v>96</v>
      </c>
      <c r="E1390" s="54" t="s">
        <v>97</v>
      </c>
      <c r="F1390" t="s">
        <v>35</v>
      </c>
      <c r="G1390">
        <v>38340</v>
      </c>
      <c r="H1390">
        <v>360</v>
      </c>
      <c r="I1390" t="str">
        <f t="shared" si="63"/>
        <v>AAA BBB</v>
      </c>
      <c r="J1390" t="str">
        <f t="shared" si="64"/>
        <v>XXX</v>
      </c>
      <c r="K1390" t="str">
        <f t="shared" si="65"/>
        <v>ZZZ, TN, 38340</v>
      </c>
    </row>
    <row r="1391" spans="1:11" x14ac:dyDescent="0.15">
      <c r="A1391">
        <v>1018918</v>
      </c>
      <c r="B1391" s="54" t="s">
        <v>94</v>
      </c>
      <c r="C1391" s="54" t="s">
        <v>95</v>
      </c>
      <c r="D1391" s="54" t="s">
        <v>96</v>
      </c>
      <c r="E1391" s="54" t="s">
        <v>97</v>
      </c>
      <c r="F1391" t="s">
        <v>35</v>
      </c>
      <c r="G1391">
        <v>38340</v>
      </c>
      <c r="H1391">
        <v>360</v>
      </c>
      <c r="I1391" t="str">
        <f t="shared" si="63"/>
        <v>AAA BBB</v>
      </c>
      <c r="J1391" t="str">
        <f t="shared" si="64"/>
        <v>XXX</v>
      </c>
      <c r="K1391" t="str">
        <f t="shared" si="65"/>
        <v>ZZZ, TN, 38340</v>
      </c>
    </row>
    <row r="1392" spans="1:11" x14ac:dyDescent="0.15">
      <c r="A1392">
        <v>1018918</v>
      </c>
      <c r="B1392" s="54" t="s">
        <v>94</v>
      </c>
      <c r="C1392" s="54" t="s">
        <v>95</v>
      </c>
      <c r="D1392" s="54" t="s">
        <v>96</v>
      </c>
      <c r="E1392" s="54" t="s">
        <v>97</v>
      </c>
      <c r="F1392" t="s">
        <v>35</v>
      </c>
      <c r="G1392">
        <v>38340</v>
      </c>
      <c r="H1392">
        <v>360</v>
      </c>
      <c r="I1392" t="str">
        <f t="shared" si="63"/>
        <v>AAA BBB</v>
      </c>
      <c r="J1392" t="str">
        <f t="shared" si="64"/>
        <v>XXX</v>
      </c>
      <c r="K1392" t="str">
        <f t="shared" si="65"/>
        <v>ZZZ, TN, 38340</v>
      </c>
    </row>
    <row r="1393" spans="1:11" x14ac:dyDescent="0.15">
      <c r="A1393">
        <v>1018918</v>
      </c>
      <c r="B1393" s="54" t="s">
        <v>94</v>
      </c>
      <c r="C1393" s="54" t="s">
        <v>95</v>
      </c>
      <c r="D1393" s="54" t="s">
        <v>96</v>
      </c>
      <c r="E1393" s="54" t="s">
        <v>97</v>
      </c>
      <c r="F1393" t="s">
        <v>35</v>
      </c>
      <c r="G1393">
        <v>38340</v>
      </c>
      <c r="H1393">
        <v>360</v>
      </c>
      <c r="I1393" t="str">
        <f t="shared" si="63"/>
        <v>AAA BBB</v>
      </c>
      <c r="J1393" t="str">
        <f t="shared" si="64"/>
        <v>XXX</v>
      </c>
      <c r="K1393" t="str">
        <f t="shared" si="65"/>
        <v>ZZZ, TN, 38340</v>
      </c>
    </row>
    <row r="1394" spans="1:11" x14ac:dyDescent="0.15">
      <c r="A1394">
        <v>1018918</v>
      </c>
      <c r="B1394" s="54" t="s">
        <v>94</v>
      </c>
      <c r="C1394" s="54" t="s">
        <v>95</v>
      </c>
      <c r="D1394" s="54" t="s">
        <v>96</v>
      </c>
      <c r="E1394" s="54" t="s">
        <v>97</v>
      </c>
      <c r="F1394" t="s">
        <v>35</v>
      </c>
      <c r="G1394">
        <v>38340</v>
      </c>
      <c r="H1394">
        <v>360</v>
      </c>
      <c r="I1394" t="str">
        <f t="shared" si="63"/>
        <v>AAA BBB</v>
      </c>
      <c r="J1394" t="str">
        <f t="shared" si="64"/>
        <v>XXX</v>
      </c>
      <c r="K1394" t="str">
        <f t="shared" si="65"/>
        <v>ZZZ, TN, 38340</v>
      </c>
    </row>
    <row r="1395" spans="1:11" x14ac:dyDescent="0.15">
      <c r="A1395">
        <v>1018918</v>
      </c>
      <c r="B1395" s="54" t="s">
        <v>94</v>
      </c>
      <c r="C1395" s="54" t="s">
        <v>95</v>
      </c>
      <c r="D1395" s="54" t="s">
        <v>96</v>
      </c>
      <c r="E1395" s="54" t="s">
        <v>97</v>
      </c>
      <c r="F1395" t="s">
        <v>35</v>
      </c>
      <c r="G1395">
        <v>38340</v>
      </c>
      <c r="H1395">
        <v>360</v>
      </c>
      <c r="I1395" t="str">
        <f t="shared" si="63"/>
        <v>AAA BBB</v>
      </c>
      <c r="J1395" t="str">
        <f t="shared" si="64"/>
        <v>XXX</v>
      </c>
      <c r="K1395" t="str">
        <f t="shared" si="65"/>
        <v>ZZZ, TN, 38340</v>
      </c>
    </row>
    <row r="1396" spans="1:11" x14ac:dyDescent="0.15">
      <c r="A1396">
        <v>1018918</v>
      </c>
      <c r="B1396" s="54" t="s">
        <v>94</v>
      </c>
      <c r="C1396" s="54" t="s">
        <v>95</v>
      </c>
      <c r="D1396" s="54" t="s">
        <v>96</v>
      </c>
      <c r="E1396" s="54" t="s">
        <v>97</v>
      </c>
      <c r="F1396" t="s">
        <v>35</v>
      </c>
      <c r="G1396">
        <v>38340</v>
      </c>
      <c r="H1396">
        <v>360</v>
      </c>
      <c r="I1396" t="str">
        <f t="shared" si="63"/>
        <v>AAA BBB</v>
      </c>
      <c r="J1396" t="str">
        <f t="shared" si="64"/>
        <v>XXX</v>
      </c>
      <c r="K1396" t="str">
        <f t="shared" si="65"/>
        <v>ZZZ, TN, 38340</v>
      </c>
    </row>
    <row r="1397" spans="1:11" x14ac:dyDescent="0.15">
      <c r="A1397">
        <v>1018918</v>
      </c>
      <c r="B1397" s="54" t="s">
        <v>94</v>
      </c>
      <c r="C1397" s="54" t="s">
        <v>95</v>
      </c>
      <c r="D1397" s="54" t="s">
        <v>96</v>
      </c>
      <c r="E1397" s="54" t="s">
        <v>97</v>
      </c>
      <c r="F1397" t="s">
        <v>35</v>
      </c>
      <c r="G1397">
        <v>38340</v>
      </c>
      <c r="H1397">
        <v>360</v>
      </c>
      <c r="I1397" t="str">
        <f t="shared" si="63"/>
        <v>AAA BBB</v>
      </c>
      <c r="J1397" t="str">
        <f t="shared" si="64"/>
        <v>XXX</v>
      </c>
      <c r="K1397" t="str">
        <f t="shared" si="65"/>
        <v>ZZZ, TN, 38340</v>
      </c>
    </row>
    <row r="1398" spans="1:11" x14ac:dyDescent="0.15">
      <c r="A1398">
        <v>1018918</v>
      </c>
      <c r="B1398" s="54" t="s">
        <v>94</v>
      </c>
      <c r="C1398" s="54" t="s">
        <v>95</v>
      </c>
      <c r="D1398" s="54" t="s">
        <v>96</v>
      </c>
      <c r="E1398" s="54" t="s">
        <v>97</v>
      </c>
      <c r="F1398" t="s">
        <v>35</v>
      </c>
      <c r="G1398">
        <v>38340</v>
      </c>
      <c r="H1398">
        <v>360</v>
      </c>
      <c r="I1398" t="str">
        <f t="shared" si="63"/>
        <v>AAA BBB</v>
      </c>
      <c r="J1398" t="str">
        <f t="shared" si="64"/>
        <v>XXX</v>
      </c>
      <c r="K1398" t="str">
        <f t="shared" si="65"/>
        <v>ZZZ, TN, 38340</v>
      </c>
    </row>
    <row r="1399" spans="1:11" x14ac:dyDescent="0.15">
      <c r="A1399">
        <v>1018918</v>
      </c>
      <c r="B1399" s="54" t="s">
        <v>94</v>
      </c>
      <c r="C1399" s="54" t="s">
        <v>95</v>
      </c>
      <c r="D1399" s="54" t="s">
        <v>96</v>
      </c>
      <c r="E1399" s="54" t="s">
        <v>97</v>
      </c>
      <c r="F1399" t="s">
        <v>35</v>
      </c>
      <c r="G1399">
        <v>38340</v>
      </c>
      <c r="H1399">
        <v>360</v>
      </c>
      <c r="I1399" t="str">
        <f t="shared" si="63"/>
        <v>AAA BBB</v>
      </c>
      <c r="J1399" t="str">
        <f t="shared" si="64"/>
        <v>XXX</v>
      </c>
      <c r="K1399" t="str">
        <f t="shared" si="65"/>
        <v>ZZZ, TN, 38340</v>
      </c>
    </row>
    <row r="1400" spans="1:11" x14ac:dyDescent="0.15">
      <c r="A1400">
        <v>1018918</v>
      </c>
      <c r="B1400" s="54" t="s">
        <v>94</v>
      </c>
      <c r="C1400" s="54" t="s">
        <v>95</v>
      </c>
      <c r="D1400" s="54" t="s">
        <v>96</v>
      </c>
      <c r="E1400" s="54" t="s">
        <v>97</v>
      </c>
      <c r="F1400" t="s">
        <v>35</v>
      </c>
      <c r="G1400">
        <v>38340</v>
      </c>
      <c r="H1400">
        <v>360</v>
      </c>
      <c r="I1400" t="str">
        <f t="shared" si="63"/>
        <v>AAA BBB</v>
      </c>
      <c r="J1400" t="str">
        <f t="shared" si="64"/>
        <v>XXX</v>
      </c>
      <c r="K1400" t="str">
        <f t="shared" si="65"/>
        <v>ZZZ, TN, 38340</v>
      </c>
    </row>
    <row r="1401" spans="1:11" x14ac:dyDescent="0.15">
      <c r="A1401">
        <v>1018918</v>
      </c>
      <c r="B1401" s="54" t="s">
        <v>94</v>
      </c>
      <c r="C1401" s="54" t="s">
        <v>95</v>
      </c>
      <c r="D1401" s="54" t="s">
        <v>96</v>
      </c>
      <c r="E1401" s="54" t="s">
        <v>97</v>
      </c>
      <c r="F1401" t="s">
        <v>35</v>
      </c>
      <c r="G1401">
        <v>38340</v>
      </c>
      <c r="H1401">
        <v>360</v>
      </c>
      <c r="I1401" t="str">
        <f t="shared" si="63"/>
        <v>AAA BBB</v>
      </c>
      <c r="J1401" t="str">
        <f t="shared" si="64"/>
        <v>XXX</v>
      </c>
      <c r="K1401" t="str">
        <f t="shared" si="65"/>
        <v>ZZZ, TN, 38340</v>
      </c>
    </row>
    <row r="1402" spans="1:11" x14ac:dyDescent="0.15">
      <c r="A1402">
        <v>1018918</v>
      </c>
      <c r="B1402" s="54" t="s">
        <v>94</v>
      </c>
      <c r="C1402" s="54" t="s">
        <v>95</v>
      </c>
      <c r="D1402" s="54" t="s">
        <v>96</v>
      </c>
      <c r="E1402" s="54" t="s">
        <v>97</v>
      </c>
      <c r="F1402" t="s">
        <v>35</v>
      </c>
      <c r="G1402">
        <v>38340</v>
      </c>
      <c r="H1402">
        <v>360</v>
      </c>
      <c r="I1402" t="str">
        <f t="shared" si="63"/>
        <v>AAA BBB</v>
      </c>
      <c r="J1402" t="str">
        <f t="shared" si="64"/>
        <v>XXX</v>
      </c>
      <c r="K1402" t="str">
        <f t="shared" si="65"/>
        <v>ZZZ, TN, 38340</v>
      </c>
    </row>
    <row r="1403" spans="1:11" x14ac:dyDescent="0.15">
      <c r="A1403">
        <v>1018918</v>
      </c>
      <c r="B1403" s="54" t="s">
        <v>94</v>
      </c>
      <c r="C1403" s="54" t="s">
        <v>95</v>
      </c>
      <c r="D1403" s="54" t="s">
        <v>96</v>
      </c>
      <c r="E1403" s="54" t="s">
        <v>97</v>
      </c>
      <c r="F1403" t="s">
        <v>35</v>
      </c>
      <c r="G1403">
        <v>38340</v>
      </c>
      <c r="H1403">
        <v>360</v>
      </c>
      <c r="I1403" t="str">
        <f t="shared" si="63"/>
        <v>AAA BBB</v>
      </c>
      <c r="J1403" t="str">
        <f t="shared" si="64"/>
        <v>XXX</v>
      </c>
      <c r="K1403" t="str">
        <f t="shared" si="65"/>
        <v>ZZZ, TN, 38340</v>
      </c>
    </row>
    <row r="1404" spans="1:11" x14ac:dyDescent="0.15">
      <c r="A1404">
        <v>1018918</v>
      </c>
      <c r="B1404" s="54" t="s">
        <v>94</v>
      </c>
      <c r="C1404" s="54" t="s">
        <v>95</v>
      </c>
      <c r="D1404" s="54" t="s">
        <v>96</v>
      </c>
      <c r="E1404" s="54" t="s">
        <v>97</v>
      </c>
      <c r="F1404" t="s">
        <v>35</v>
      </c>
      <c r="G1404">
        <v>38340</v>
      </c>
      <c r="H1404">
        <v>360</v>
      </c>
      <c r="I1404" t="str">
        <f t="shared" si="63"/>
        <v>AAA BBB</v>
      </c>
      <c r="J1404" t="str">
        <f t="shared" si="64"/>
        <v>XXX</v>
      </c>
      <c r="K1404" t="str">
        <f t="shared" si="65"/>
        <v>ZZZ, TN, 38340</v>
      </c>
    </row>
    <row r="1405" spans="1:11" x14ac:dyDescent="0.15">
      <c r="A1405">
        <v>1018918</v>
      </c>
      <c r="B1405" s="54" t="s">
        <v>94</v>
      </c>
      <c r="C1405" s="54" t="s">
        <v>95</v>
      </c>
      <c r="D1405" s="54" t="s">
        <v>96</v>
      </c>
      <c r="E1405" s="54" t="s">
        <v>97</v>
      </c>
      <c r="F1405" t="s">
        <v>35</v>
      </c>
      <c r="G1405">
        <v>38340</v>
      </c>
      <c r="H1405">
        <v>360</v>
      </c>
      <c r="I1405" t="str">
        <f t="shared" si="63"/>
        <v>AAA BBB</v>
      </c>
      <c r="J1405" t="str">
        <f t="shared" si="64"/>
        <v>XXX</v>
      </c>
      <c r="K1405" t="str">
        <f t="shared" si="65"/>
        <v>ZZZ, TN, 38340</v>
      </c>
    </row>
    <row r="1406" spans="1:11" x14ac:dyDescent="0.15">
      <c r="A1406">
        <v>1018918</v>
      </c>
      <c r="B1406" s="54" t="s">
        <v>94</v>
      </c>
      <c r="C1406" s="54" t="s">
        <v>95</v>
      </c>
      <c r="D1406" s="54" t="s">
        <v>96</v>
      </c>
      <c r="E1406" s="54" t="s">
        <v>97</v>
      </c>
      <c r="F1406" t="s">
        <v>35</v>
      </c>
      <c r="G1406">
        <v>38340</v>
      </c>
      <c r="H1406">
        <v>360</v>
      </c>
      <c r="I1406" t="str">
        <f t="shared" si="63"/>
        <v>AAA BBB</v>
      </c>
      <c r="J1406" t="str">
        <f t="shared" si="64"/>
        <v>XXX</v>
      </c>
      <c r="K1406" t="str">
        <f t="shared" si="65"/>
        <v>ZZZ, TN, 38340</v>
      </c>
    </row>
    <row r="1407" spans="1:11" x14ac:dyDescent="0.15">
      <c r="A1407">
        <v>1018918</v>
      </c>
      <c r="B1407" s="54" t="s">
        <v>94</v>
      </c>
      <c r="C1407" s="54" t="s">
        <v>95</v>
      </c>
      <c r="D1407" s="54" t="s">
        <v>96</v>
      </c>
      <c r="E1407" s="54" t="s">
        <v>97</v>
      </c>
      <c r="F1407" t="s">
        <v>35</v>
      </c>
      <c r="G1407">
        <v>38340</v>
      </c>
      <c r="H1407">
        <v>360</v>
      </c>
      <c r="I1407" t="str">
        <f t="shared" si="63"/>
        <v>AAA BBB</v>
      </c>
      <c r="J1407" t="str">
        <f t="shared" si="64"/>
        <v>XXX</v>
      </c>
      <c r="K1407" t="str">
        <f t="shared" si="65"/>
        <v>ZZZ, TN, 38340</v>
      </c>
    </row>
    <row r="1408" spans="1:11" x14ac:dyDescent="0.15">
      <c r="A1408">
        <v>1018918</v>
      </c>
      <c r="B1408" s="54" t="s">
        <v>94</v>
      </c>
      <c r="C1408" s="54" t="s">
        <v>95</v>
      </c>
      <c r="D1408" s="54" t="s">
        <v>96</v>
      </c>
      <c r="E1408" s="54" t="s">
        <v>97</v>
      </c>
      <c r="F1408" t="s">
        <v>35</v>
      </c>
      <c r="G1408">
        <v>38340</v>
      </c>
      <c r="H1408">
        <v>360</v>
      </c>
      <c r="I1408" t="str">
        <f t="shared" si="63"/>
        <v>AAA BBB</v>
      </c>
      <c r="J1408" t="str">
        <f t="shared" si="64"/>
        <v>XXX</v>
      </c>
      <c r="K1408" t="str">
        <f t="shared" si="65"/>
        <v>ZZZ, TN, 38340</v>
      </c>
    </row>
    <row r="1409" spans="1:11" x14ac:dyDescent="0.15">
      <c r="A1409">
        <v>1018918</v>
      </c>
      <c r="B1409" s="54" t="s">
        <v>94</v>
      </c>
      <c r="C1409" s="54" t="s">
        <v>95</v>
      </c>
      <c r="D1409" s="54" t="s">
        <v>96</v>
      </c>
      <c r="E1409" s="54" t="s">
        <v>97</v>
      </c>
      <c r="F1409" t="s">
        <v>35</v>
      </c>
      <c r="G1409">
        <v>38340</v>
      </c>
      <c r="H1409">
        <v>360</v>
      </c>
      <c r="I1409" t="str">
        <f t="shared" si="63"/>
        <v>AAA BBB</v>
      </c>
      <c r="J1409" t="str">
        <f t="shared" si="64"/>
        <v>XXX</v>
      </c>
      <c r="K1409" t="str">
        <f t="shared" si="65"/>
        <v>ZZZ, TN, 38340</v>
      </c>
    </row>
    <row r="1410" spans="1:11" x14ac:dyDescent="0.15">
      <c r="A1410">
        <v>1018918</v>
      </c>
      <c r="B1410" s="54" t="s">
        <v>94</v>
      </c>
      <c r="C1410" s="54" t="s">
        <v>95</v>
      </c>
      <c r="D1410" s="54" t="s">
        <v>96</v>
      </c>
      <c r="E1410" s="54" t="s">
        <v>97</v>
      </c>
      <c r="F1410" t="s">
        <v>35</v>
      </c>
      <c r="G1410">
        <v>38340</v>
      </c>
      <c r="H1410">
        <v>360</v>
      </c>
      <c r="I1410" t="str">
        <f t="shared" si="63"/>
        <v>AAA BBB</v>
      </c>
      <c r="J1410" t="str">
        <f t="shared" si="64"/>
        <v>XXX</v>
      </c>
      <c r="K1410" t="str">
        <f t="shared" si="65"/>
        <v>ZZZ, TN, 38340</v>
      </c>
    </row>
    <row r="1411" spans="1:11" x14ac:dyDescent="0.15">
      <c r="A1411">
        <v>1018918</v>
      </c>
      <c r="B1411" s="54" t="s">
        <v>94</v>
      </c>
      <c r="C1411" s="54" t="s">
        <v>95</v>
      </c>
      <c r="D1411" s="54" t="s">
        <v>96</v>
      </c>
      <c r="E1411" s="54" t="s">
        <v>97</v>
      </c>
      <c r="F1411" t="s">
        <v>35</v>
      </c>
      <c r="G1411">
        <v>38340</v>
      </c>
      <c r="H1411">
        <v>360</v>
      </c>
      <c r="I1411" t="str">
        <f t="shared" ref="I1411:I1474" si="66">CONCATENATE(B1411," ",C1411)</f>
        <v>AAA BBB</v>
      </c>
      <c r="J1411" t="str">
        <f t="shared" ref="J1411:J1474" si="67">D1411</f>
        <v>XXX</v>
      </c>
      <c r="K1411" t="str">
        <f t="shared" ref="K1411:K1474" si="68">CONCATENATE(E1411,","," ",F1411,","," ",G1411)</f>
        <v>ZZZ, TN, 38340</v>
      </c>
    </row>
    <row r="1412" spans="1:11" x14ac:dyDescent="0.15">
      <c r="A1412">
        <v>1018918</v>
      </c>
      <c r="B1412" s="54" t="s">
        <v>94</v>
      </c>
      <c r="C1412" s="54" t="s">
        <v>95</v>
      </c>
      <c r="D1412" s="54" t="s">
        <v>96</v>
      </c>
      <c r="E1412" s="54" t="s">
        <v>97</v>
      </c>
      <c r="F1412" t="s">
        <v>35</v>
      </c>
      <c r="G1412">
        <v>38340</v>
      </c>
      <c r="H1412">
        <v>360</v>
      </c>
      <c r="I1412" t="str">
        <f t="shared" si="66"/>
        <v>AAA BBB</v>
      </c>
      <c r="J1412" t="str">
        <f t="shared" si="67"/>
        <v>XXX</v>
      </c>
      <c r="K1412" t="str">
        <f t="shared" si="68"/>
        <v>ZZZ, TN, 38340</v>
      </c>
    </row>
    <row r="1413" spans="1:11" x14ac:dyDescent="0.15">
      <c r="A1413">
        <v>1018918</v>
      </c>
      <c r="B1413" s="54" t="s">
        <v>94</v>
      </c>
      <c r="C1413" s="54" t="s">
        <v>95</v>
      </c>
      <c r="D1413" s="54" t="s">
        <v>96</v>
      </c>
      <c r="E1413" s="54" t="s">
        <v>97</v>
      </c>
      <c r="F1413" t="s">
        <v>35</v>
      </c>
      <c r="G1413">
        <v>38340</v>
      </c>
      <c r="H1413">
        <v>360</v>
      </c>
      <c r="I1413" t="str">
        <f t="shared" si="66"/>
        <v>AAA BBB</v>
      </c>
      <c r="J1413" t="str">
        <f t="shared" si="67"/>
        <v>XXX</v>
      </c>
      <c r="K1413" t="str">
        <f t="shared" si="68"/>
        <v>ZZZ, TN, 38340</v>
      </c>
    </row>
    <row r="1414" spans="1:11" x14ac:dyDescent="0.15">
      <c r="A1414">
        <v>1018918</v>
      </c>
      <c r="B1414" s="54" t="s">
        <v>94</v>
      </c>
      <c r="C1414" s="54" t="s">
        <v>95</v>
      </c>
      <c r="D1414" s="54" t="s">
        <v>96</v>
      </c>
      <c r="E1414" s="54" t="s">
        <v>97</v>
      </c>
      <c r="F1414" t="s">
        <v>35</v>
      </c>
      <c r="G1414">
        <v>38340</v>
      </c>
      <c r="H1414">
        <v>360</v>
      </c>
      <c r="I1414" t="str">
        <f t="shared" si="66"/>
        <v>AAA BBB</v>
      </c>
      <c r="J1414" t="str">
        <f t="shared" si="67"/>
        <v>XXX</v>
      </c>
      <c r="K1414" t="str">
        <f t="shared" si="68"/>
        <v>ZZZ, TN, 38340</v>
      </c>
    </row>
    <row r="1415" spans="1:11" x14ac:dyDescent="0.15">
      <c r="A1415">
        <v>1018918</v>
      </c>
      <c r="B1415" s="54" t="s">
        <v>94</v>
      </c>
      <c r="C1415" s="54" t="s">
        <v>95</v>
      </c>
      <c r="D1415" s="54" t="s">
        <v>96</v>
      </c>
      <c r="E1415" s="54" t="s">
        <v>97</v>
      </c>
      <c r="F1415" t="s">
        <v>35</v>
      </c>
      <c r="G1415">
        <v>38340</v>
      </c>
      <c r="H1415">
        <v>360</v>
      </c>
      <c r="I1415" t="str">
        <f t="shared" si="66"/>
        <v>AAA BBB</v>
      </c>
      <c r="J1415" t="str">
        <f t="shared" si="67"/>
        <v>XXX</v>
      </c>
      <c r="K1415" t="str">
        <f t="shared" si="68"/>
        <v>ZZZ, TN, 38340</v>
      </c>
    </row>
    <row r="1416" spans="1:11" x14ac:dyDescent="0.15">
      <c r="A1416">
        <v>1018918</v>
      </c>
      <c r="B1416" s="54" t="s">
        <v>94</v>
      </c>
      <c r="C1416" s="54" t="s">
        <v>95</v>
      </c>
      <c r="D1416" s="54" t="s">
        <v>96</v>
      </c>
      <c r="E1416" s="54" t="s">
        <v>97</v>
      </c>
      <c r="F1416" t="s">
        <v>35</v>
      </c>
      <c r="G1416">
        <v>38340</v>
      </c>
      <c r="H1416">
        <v>360</v>
      </c>
      <c r="I1416" t="str">
        <f t="shared" si="66"/>
        <v>AAA BBB</v>
      </c>
      <c r="J1416" t="str">
        <f t="shared" si="67"/>
        <v>XXX</v>
      </c>
      <c r="K1416" t="str">
        <f t="shared" si="68"/>
        <v>ZZZ, TN, 38340</v>
      </c>
    </row>
    <row r="1417" spans="1:11" x14ac:dyDescent="0.15">
      <c r="A1417">
        <v>1018918</v>
      </c>
      <c r="B1417" s="54" t="s">
        <v>94</v>
      </c>
      <c r="C1417" s="54" t="s">
        <v>95</v>
      </c>
      <c r="D1417" s="54" t="s">
        <v>96</v>
      </c>
      <c r="E1417" s="54" t="s">
        <v>97</v>
      </c>
      <c r="F1417" t="s">
        <v>35</v>
      </c>
      <c r="G1417">
        <v>38340</v>
      </c>
      <c r="H1417">
        <v>360</v>
      </c>
      <c r="I1417" t="str">
        <f t="shared" si="66"/>
        <v>AAA BBB</v>
      </c>
      <c r="J1417" t="str">
        <f t="shared" si="67"/>
        <v>XXX</v>
      </c>
      <c r="K1417" t="str">
        <f t="shared" si="68"/>
        <v>ZZZ, TN, 38340</v>
      </c>
    </row>
    <row r="1418" spans="1:11" x14ac:dyDescent="0.15">
      <c r="A1418">
        <v>1018918</v>
      </c>
      <c r="B1418" s="54" t="s">
        <v>94</v>
      </c>
      <c r="C1418" s="54" t="s">
        <v>95</v>
      </c>
      <c r="D1418" s="54" t="s">
        <v>96</v>
      </c>
      <c r="E1418" s="54" t="s">
        <v>97</v>
      </c>
      <c r="F1418" t="s">
        <v>35</v>
      </c>
      <c r="G1418">
        <v>38340</v>
      </c>
      <c r="H1418">
        <v>360</v>
      </c>
      <c r="I1418" t="str">
        <f t="shared" si="66"/>
        <v>AAA BBB</v>
      </c>
      <c r="J1418" t="str">
        <f t="shared" si="67"/>
        <v>XXX</v>
      </c>
      <c r="K1418" t="str">
        <f t="shared" si="68"/>
        <v>ZZZ, TN, 38340</v>
      </c>
    </row>
    <row r="1419" spans="1:11" x14ac:dyDescent="0.15">
      <c r="A1419">
        <v>1018918</v>
      </c>
      <c r="B1419" s="54" t="s">
        <v>94</v>
      </c>
      <c r="C1419" s="54" t="s">
        <v>95</v>
      </c>
      <c r="D1419" s="54" t="s">
        <v>96</v>
      </c>
      <c r="E1419" s="54" t="s">
        <v>97</v>
      </c>
      <c r="F1419" t="s">
        <v>35</v>
      </c>
      <c r="G1419">
        <v>38340</v>
      </c>
      <c r="H1419">
        <v>360</v>
      </c>
      <c r="I1419" t="str">
        <f t="shared" si="66"/>
        <v>AAA BBB</v>
      </c>
      <c r="J1419" t="str">
        <f t="shared" si="67"/>
        <v>XXX</v>
      </c>
      <c r="K1419" t="str">
        <f t="shared" si="68"/>
        <v>ZZZ, TN, 38340</v>
      </c>
    </row>
    <row r="1420" spans="1:11" x14ac:dyDescent="0.15">
      <c r="A1420">
        <v>1018918</v>
      </c>
      <c r="B1420" s="54" t="s">
        <v>94</v>
      </c>
      <c r="C1420" s="54" t="s">
        <v>95</v>
      </c>
      <c r="D1420" s="54" t="s">
        <v>96</v>
      </c>
      <c r="E1420" s="54" t="s">
        <v>97</v>
      </c>
      <c r="F1420" t="s">
        <v>35</v>
      </c>
      <c r="G1420">
        <v>38340</v>
      </c>
      <c r="H1420">
        <v>360</v>
      </c>
      <c r="I1420" t="str">
        <f t="shared" si="66"/>
        <v>AAA BBB</v>
      </c>
      <c r="J1420" t="str">
        <f t="shared" si="67"/>
        <v>XXX</v>
      </c>
      <c r="K1420" t="str">
        <f t="shared" si="68"/>
        <v>ZZZ, TN, 38340</v>
      </c>
    </row>
    <row r="1421" spans="1:11" x14ac:dyDescent="0.15">
      <c r="A1421">
        <v>1018918</v>
      </c>
      <c r="B1421" s="54" t="s">
        <v>94</v>
      </c>
      <c r="C1421" s="54" t="s">
        <v>95</v>
      </c>
      <c r="D1421" s="54" t="s">
        <v>96</v>
      </c>
      <c r="E1421" s="54" t="s">
        <v>97</v>
      </c>
      <c r="F1421" t="s">
        <v>35</v>
      </c>
      <c r="G1421">
        <v>38340</v>
      </c>
      <c r="H1421">
        <v>360</v>
      </c>
      <c r="I1421" t="str">
        <f t="shared" si="66"/>
        <v>AAA BBB</v>
      </c>
      <c r="J1421" t="str">
        <f t="shared" si="67"/>
        <v>XXX</v>
      </c>
      <c r="K1421" t="str">
        <f t="shared" si="68"/>
        <v>ZZZ, TN, 38340</v>
      </c>
    </row>
    <row r="1422" spans="1:11" x14ac:dyDescent="0.15">
      <c r="A1422">
        <v>1018918</v>
      </c>
      <c r="B1422" s="54" t="s">
        <v>94</v>
      </c>
      <c r="C1422" s="54" t="s">
        <v>95</v>
      </c>
      <c r="D1422" s="54" t="s">
        <v>96</v>
      </c>
      <c r="E1422" s="54" t="s">
        <v>97</v>
      </c>
      <c r="F1422" t="s">
        <v>35</v>
      </c>
      <c r="G1422">
        <v>38340</v>
      </c>
      <c r="H1422">
        <v>360</v>
      </c>
      <c r="I1422" t="str">
        <f t="shared" si="66"/>
        <v>AAA BBB</v>
      </c>
      <c r="J1422" t="str">
        <f t="shared" si="67"/>
        <v>XXX</v>
      </c>
      <c r="K1422" t="str">
        <f t="shared" si="68"/>
        <v>ZZZ, TN, 38340</v>
      </c>
    </row>
    <row r="1423" spans="1:11" x14ac:dyDescent="0.15">
      <c r="A1423">
        <v>1018918</v>
      </c>
      <c r="B1423" s="54" t="s">
        <v>94</v>
      </c>
      <c r="C1423" s="54" t="s">
        <v>95</v>
      </c>
      <c r="D1423" s="54" t="s">
        <v>96</v>
      </c>
      <c r="E1423" s="54" t="s">
        <v>97</v>
      </c>
      <c r="F1423" t="s">
        <v>35</v>
      </c>
      <c r="G1423">
        <v>38340</v>
      </c>
      <c r="H1423">
        <v>360</v>
      </c>
      <c r="I1423" t="str">
        <f t="shared" si="66"/>
        <v>AAA BBB</v>
      </c>
      <c r="J1423" t="str">
        <f t="shared" si="67"/>
        <v>XXX</v>
      </c>
      <c r="K1423" t="str">
        <f t="shared" si="68"/>
        <v>ZZZ, TN, 38340</v>
      </c>
    </row>
    <row r="1424" spans="1:11" x14ac:dyDescent="0.15">
      <c r="A1424">
        <v>1018918</v>
      </c>
      <c r="B1424" s="54" t="s">
        <v>94</v>
      </c>
      <c r="C1424" s="54" t="s">
        <v>95</v>
      </c>
      <c r="D1424" s="54" t="s">
        <v>96</v>
      </c>
      <c r="E1424" s="54" t="s">
        <v>97</v>
      </c>
      <c r="F1424" t="s">
        <v>35</v>
      </c>
      <c r="G1424">
        <v>38340</v>
      </c>
      <c r="H1424">
        <v>360</v>
      </c>
      <c r="I1424" t="str">
        <f t="shared" si="66"/>
        <v>AAA BBB</v>
      </c>
      <c r="J1424" t="str">
        <f t="shared" si="67"/>
        <v>XXX</v>
      </c>
      <c r="K1424" t="str">
        <f t="shared" si="68"/>
        <v>ZZZ, TN, 38340</v>
      </c>
    </row>
    <row r="1425" spans="1:11" x14ac:dyDescent="0.15">
      <c r="A1425">
        <v>1018918</v>
      </c>
      <c r="B1425" s="54" t="s">
        <v>94</v>
      </c>
      <c r="C1425" s="54" t="s">
        <v>95</v>
      </c>
      <c r="D1425" s="54" t="s">
        <v>96</v>
      </c>
      <c r="E1425" s="54" t="s">
        <v>97</v>
      </c>
      <c r="F1425" t="s">
        <v>35</v>
      </c>
      <c r="G1425">
        <v>38340</v>
      </c>
      <c r="H1425">
        <v>360</v>
      </c>
      <c r="I1425" t="str">
        <f t="shared" si="66"/>
        <v>AAA BBB</v>
      </c>
      <c r="J1425" t="str">
        <f t="shared" si="67"/>
        <v>XXX</v>
      </c>
      <c r="K1425" t="str">
        <f t="shared" si="68"/>
        <v>ZZZ, TN, 38340</v>
      </c>
    </row>
    <row r="1426" spans="1:11" x14ac:dyDescent="0.15">
      <c r="A1426">
        <v>1018918</v>
      </c>
      <c r="B1426" s="54" t="s">
        <v>94</v>
      </c>
      <c r="C1426" s="54" t="s">
        <v>95</v>
      </c>
      <c r="D1426" s="54" t="s">
        <v>96</v>
      </c>
      <c r="E1426" s="54" t="s">
        <v>97</v>
      </c>
      <c r="F1426" t="s">
        <v>35</v>
      </c>
      <c r="G1426">
        <v>38340</v>
      </c>
      <c r="H1426">
        <v>360</v>
      </c>
      <c r="I1426" t="str">
        <f t="shared" si="66"/>
        <v>AAA BBB</v>
      </c>
      <c r="J1426" t="str">
        <f t="shared" si="67"/>
        <v>XXX</v>
      </c>
      <c r="K1426" t="str">
        <f t="shared" si="68"/>
        <v>ZZZ, TN, 38340</v>
      </c>
    </row>
    <row r="1427" spans="1:11" x14ac:dyDescent="0.15">
      <c r="A1427">
        <v>1018918</v>
      </c>
      <c r="B1427" s="54" t="s">
        <v>94</v>
      </c>
      <c r="C1427" s="54" t="s">
        <v>95</v>
      </c>
      <c r="D1427" s="54" t="s">
        <v>96</v>
      </c>
      <c r="E1427" s="54" t="s">
        <v>97</v>
      </c>
      <c r="F1427" t="s">
        <v>35</v>
      </c>
      <c r="G1427">
        <v>38340</v>
      </c>
      <c r="H1427">
        <v>360</v>
      </c>
      <c r="I1427" t="str">
        <f t="shared" si="66"/>
        <v>AAA BBB</v>
      </c>
      <c r="J1427" t="str">
        <f t="shared" si="67"/>
        <v>XXX</v>
      </c>
      <c r="K1427" t="str">
        <f t="shared" si="68"/>
        <v>ZZZ, TN, 38340</v>
      </c>
    </row>
    <row r="1428" spans="1:11" x14ac:dyDescent="0.15">
      <c r="A1428">
        <v>1018918</v>
      </c>
      <c r="B1428" s="54" t="s">
        <v>94</v>
      </c>
      <c r="C1428" s="54" t="s">
        <v>95</v>
      </c>
      <c r="D1428" s="54" t="s">
        <v>96</v>
      </c>
      <c r="E1428" s="54" t="s">
        <v>97</v>
      </c>
      <c r="F1428" t="s">
        <v>35</v>
      </c>
      <c r="G1428">
        <v>38340</v>
      </c>
      <c r="H1428">
        <v>360</v>
      </c>
      <c r="I1428" t="str">
        <f t="shared" si="66"/>
        <v>AAA BBB</v>
      </c>
      <c r="J1428" t="str">
        <f t="shared" si="67"/>
        <v>XXX</v>
      </c>
      <c r="K1428" t="str">
        <f t="shared" si="68"/>
        <v>ZZZ, TN, 38340</v>
      </c>
    </row>
    <row r="1429" spans="1:11" x14ac:dyDescent="0.15">
      <c r="A1429">
        <v>1018918</v>
      </c>
      <c r="B1429" s="54" t="s">
        <v>94</v>
      </c>
      <c r="C1429" s="54" t="s">
        <v>95</v>
      </c>
      <c r="D1429" s="54" t="s">
        <v>96</v>
      </c>
      <c r="E1429" s="54" t="s">
        <v>97</v>
      </c>
      <c r="F1429" t="s">
        <v>35</v>
      </c>
      <c r="G1429">
        <v>38340</v>
      </c>
      <c r="H1429">
        <v>360</v>
      </c>
      <c r="I1429" t="str">
        <f t="shared" si="66"/>
        <v>AAA BBB</v>
      </c>
      <c r="J1429" t="str">
        <f t="shared" si="67"/>
        <v>XXX</v>
      </c>
      <c r="K1429" t="str">
        <f t="shared" si="68"/>
        <v>ZZZ, TN, 38340</v>
      </c>
    </row>
    <row r="1430" spans="1:11" x14ac:dyDescent="0.15">
      <c r="A1430">
        <v>1018918</v>
      </c>
      <c r="B1430" s="54" t="s">
        <v>94</v>
      </c>
      <c r="C1430" s="54" t="s">
        <v>95</v>
      </c>
      <c r="D1430" s="54" t="s">
        <v>96</v>
      </c>
      <c r="E1430" s="54" t="s">
        <v>97</v>
      </c>
      <c r="F1430" t="s">
        <v>35</v>
      </c>
      <c r="G1430">
        <v>38340</v>
      </c>
      <c r="H1430">
        <v>360</v>
      </c>
      <c r="I1430" t="str">
        <f t="shared" si="66"/>
        <v>AAA BBB</v>
      </c>
      <c r="J1430" t="str">
        <f t="shared" si="67"/>
        <v>XXX</v>
      </c>
      <c r="K1430" t="str">
        <f t="shared" si="68"/>
        <v>ZZZ, TN, 38340</v>
      </c>
    </row>
    <row r="1431" spans="1:11" x14ac:dyDescent="0.15">
      <c r="A1431">
        <v>1018918</v>
      </c>
      <c r="B1431" s="54" t="s">
        <v>94</v>
      </c>
      <c r="C1431" s="54" t="s">
        <v>95</v>
      </c>
      <c r="D1431" s="54" t="s">
        <v>96</v>
      </c>
      <c r="E1431" s="54" t="s">
        <v>97</v>
      </c>
      <c r="F1431" t="s">
        <v>35</v>
      </c>
      <c r="G1431">
        <v>38340</v>
      </c>
      <c r="H1431">
        <v>360</v>
      </c>
      <c r="I1431" t="str">
        <f t="shared" si="66"/>
        <v>AAA BBB</v>
      </c>
      <c r="J1431" t="str">
        <f t="shared" si="67"/>
        <v>XXX</v>
      </c>
      <c r="K1431" t="str">
        <f t="shared" si="68"/>
        <v>ZZZ, TN, 38340</v>
      </c>
    </row>
    <row r="1432" spans="1:11" x14ac:dyDescent="0.15">
      <c r="A1432">
        <v>1018918</v>
      </c>
      <c r="B1432" s="54" t="s">
        <v>94</v>
      </c>
      <c r="C1432" s="54" t="s">
        <v>95</v>
      </c>
      <c r="D1432" s="54" t="s">
        <v>96</v>
      </c>
      <c r="E1432" s="54" t="s">
        <v>97</v>
      </c>
      <c r="F1432" t="s">
        <v>35</v>
      </c>
      <c r="G1432">
        <v>38340</v>
      </c>
      <c r="H1432">
        <v>360</v>
      </c>
      <c r="I1432" t="str">
        <f t="shared" si="66"/>
        <v>AAA BBB</v>
      </c>
      <c r="J1432" t="str">
        <f t="shared" si="67"/>
        <v>XXX</v>
      </c>
      <c r="K1432" t="str">
        <f t="shared" si="68"/>
        <v>ZZZ, TN, 38340</v>
      </c>
    </row>
    <row r="1433" spans="1:11" x14ac:dyDescent="0.15">
      <c r="A1433">
        <v>1018918</v>
      </c>
      <c r="B1433" s="54" t="s">
        <v>94</v>
      </c>
      <c r="C1433" s="54" t="s">
        <v>95</v>
      </c>
      <c r="D1433" s="54" t="s">
        <v>96</v>
      </c>
      <c r="E1433" s="54" t="s">
        <v>97</v>
      </c>
      <c r="F1433" t="s">
        <v>35</v>
      </c>
      <c r="G1433">
        <v>38340</v>
      </c>
      <c r="H1433">
        <v>360</v>
      </c>
      <c r="I1433" t="str">
        <f t="shared" si="66"/>
        <v>AAA BBB</v>
      </c>
      <c r="J1433" t="str">
        <f t="shared" si="67"/>
        <v>XXX</v>
      </c>
      <c r="K1433" t="str">
        <f t="shared" si="68"/>
        <v>ZZZ, TN, 38340</v>
      </c>
    </row>
    <row r="1434" spans="1:11" x14ac:dyDescent="0.15">
      <c r="A1434">
        <v>1018918</v>
      </c>
      <c r="B1434" s="54" t="s">
        <v>94</v>
      </c>
      <c r="C1434" s="54" t="s">
        <v>95</v>
      </c>
      <c r="D1434" s="54" t="s">
        <v>96</v>
      </c>
      <c r="E1434" s="54" t="s">
        <v>97</v>
      </c>
      <c r="F1434" t="s">
        <v>35</v>
      </c>
      <c r="G1434">
        <v>38340</v>
      </c>
      <c r="H1434">
        <v>360</v>
      </c>
      <c r="I1434" t="str">
        <f t="shared" si="66"/>
        <v>AAA BBB</v>
      </c>
      <c r="J1434" t="str">
        <f t="shared" si="67"/>
        <v>XXX</v>
      </c>
      <c r="K1434" t="str">
        <f t="shared" si="68"/>
        <v>ZZZ, TN, 38340</v>
      </c>
    </row>
    <row r="1435" spans="1:11" x14ac:dyDescent="0.15">
      <c r="A1435">
        <v>1018918</v>
      </c>
      <c r="B1435" s="54" t="s">
        <v>94</v>
      </c>
      <c r="C1435" s="54" t="s">
        <v>95</v>
      </c>
      <c r="D1435" s="54" t="s">
        <v>96</v>
      </c>
      <c r="E1435" s="54" t="s">
        <v>97</v>
      </c>
      <c r="F1435" t="s">
        <v>35</v>
      </c>
      <c r="G1435">
        <v>38340</v>
      </c>
      <c r="H1435">
        <v>360</v>
      </c>
      <c r="I1435" t="str">
        <f t="shared" si="66"/>
        <v>AAA BBB</v>
      </c>
      <c r="J1435" t="str">
        <f t="shared" si="67"/>
        <v>XXX</v>
      </c>
      <c r="K1435" t="str">
        <f t="shared" si="68"/>
        <v>ZZZ, TN, 38340</v>
      </c>
    </row>
    <row r="1436" spans="1:11" x14ac:dyDescent="0.15">
      <c r="A1436">
        <v>1018918</v>
      </c>
      <c r="B1436" s="54" t="s">
        <v>94</v>
      </c>
      <c r="C1436" s="54" t="s">
        <v>95</v>
      </c>
      <c r="D1436" s="54" t="s">
        <v>96</v>
      </c>
      <c r="E1436" s="54" t="s">
        <v>97</v>
      </c>
      <c r="F1436" t="s">
        <v>35</v>
      </c>
      <c r="G1436">
        <v>38340</v>
      </c>
      <c r="H1436">
        <v>360</v>
      </c>
      <c r="I1436" t="str">
        <f t="shared" si="66"/>
        <v>AAA BBB</v>
      </c>
      <c r="J1436" t="str">
        <f t="shared" si="67"/>
        <v>XXX</v>
      </c>
      <c r="K1436" t="str">
        <f t="shared" si="68"/>
        <v>ZZZ, TN, 38340</v>
      </c>
    </row>
    <row r="1437" spans="1:11" x14ac:dyDescent="0.15">
      <c r="A1437">
        <v>1018918</v>
      </c>
      <c r="B1437" s="54" t="s">
        <v>94</v>
      </c>
      <c r="C1437" s="54" t="s">
        <v>95</v>
      </c>
      <c r="D1437" s="54" t="s">
        <v>96</v>
      </c>
      <c r="E1437" s="54" t="s">
        <v>97</v>
      </c>
      <c r="F1437" t="s">
        <v>35</v>
      </c>
      <c r="G1437">
        <v>38340</v>
      </c>
      <c r="H1437">
        <v>360</v>
      </c>
      <c r="I1437" t="str">
        <f t="shared" si="66"/>
        <v>AAA BBB</v>
      </c>
      <c r="J1437" t="str">
        <f t="shared" si="67"/>
        <v>XXX</v>
      </c>
      <c r="K1437" t="str">
        <f t="shared" si="68"/>
        <v>ZZZ, TN, 38340</v>
      </c>
    </row>
    <row r="1438" spans="1:11" x14ac:dyDescent="0.15">
      <c r="A1438">
        <v>1018918</v>
      </c>
      <c r="B1438" s="54" t="s">
        <v>94</v>
      </c>
      <c r="C1438" s="54" t="s">
        <v>95</v>
      </c>
      <c r="D1438" s="54" t="s">
        <v>96</v>
      </c>
      <c r="E1438" s="54" t="s">
        <v>97</v>
      </c>
      <c r="F1438" t="s">
        <v>35</v>
      </c>
      <c r="G1438">
        <v>38340</v>
      </c>
      <c r="H1438">
        <v>360</v>
      </c>
      <c r="I1438" t="str">
        <f t="shared" si="66"/>
        <v>AAA BBB</v>
      </c>
      <c r="J1438" t="str">
        <f t="shared" si="67"/>
        <v>XXX</v>
      </c>
      <c r="K1438" t="str">
        <f t="shared" si="68"/>
        <v>ZZZ, TN, 38340</v>
      </c>
    </row>
    <row r="1439" spans="1:11" x14ac:dyDescent="0.15">
      <c r="A1439">
        <v>1018918</v>
      </c>
      <c r="B1439" s="54" t="s">
        <v>94</v>
      </c>
      <c r="C1439" s="54" t="s">
        <v>95</v>
      </c>
      <c r="D1439" s="54" t="s">
        <v>96</v>
      </c>
      <c r="E1439" s="54" t="s">
        <v>97</v>
      </c>
      <c r="F1439" t="s">
        <v>35</v>
      </c>
      <c r="G1439">
        <v>38340</v>
      </c>
      <c r="H1439">
        <v>360</v>
      </c>
      <c r="I1439" t="str">
        <f t="shared" si="66"/>
        <v>AAA BBB</v>
      </c>
      <c r="J1439" t="str">
        <f t="shared" si="67"/>
        <v>XXX</v>
      </c>
      <c r="K1439" t="str">
        <f t="shared" si="68"/>
        <v>ZZZ, TN, 38340</v>
      </c>
    </row>
    <row r="1440" spans="1:11" x14ac:dyDescent="0.15">
      <c r="A1440">
        <v>1018918</v>
      </c>
      <c r="B1440" s="54" t="s">
        <v>94</v>
      </c>
      <c r="C1440" s="54" t="s">
        <v>95</v>
      </c>
      <c r="D1440" s="54" t="s">
        <v>96</v>
      </c>
      <c r="E1440" s="54" t="s">
        <v>97</v>
      </c>
      <c r="F1440" t="s">
        <v>35</v>
      </c>
      <c r="G1440">
        <v>38340</v>
      </c>
      <c r="H1440">
        <v>360</v>
      </c>
      <c r="I1440" t="str">
        <f t="shared" si="66"/>
        <v>AAA BBB</v>
      </c>
      <c r="J1440" t="str">
        <f t="shared" si="67"/>
        <v>XXX</v>
      </c>
      <c r="K1440" t="str">
        <f t="shared" si="68"/>
        <v>ZZZ, TN, 38340</v>
      </c>
    </row>
    <row r="1441" spans="1:11" x14ac:dyDescent="0.15">
      <c r="A1441">
        <v>1018918</v>
      </c>
      <c r="B1441" s="54" t="s">
        <v>94</v>
      </c>
      <c r="C1441" s="54" t="s">
        <v>95</v>
      </c>
      <c r="D1441" s="54" t="s">
        <v>96</v>
      </c>
      <c r="E1441" s="54" t="s">
        <v>97</v>
      </c>
      <c r="F1441" t="s">
        <v>35</v>
      </c>
      <c r="G1441">
        <v>38340</v>
      </c>
      <c r="H1441">
        <v>360</v>
      </c>
      <c r="I1441" t="str">
        <f t="shared" si="66"/>
        <v>AAA BBB</v>
      </c>
      <c r="J1441" t="str">
        <f t="shared" si="67"/>
        <v>XXX</v>
      </c>
      <c r="K1441" t="str">
        <f t="shared" si="68"/>
        <v>ZZZ, TN, 38340</v>
      </c>
    </row>
    <row r="1442" spans="1:11" x14ac:dyDescent="0.15">
      <c r="A1442">
        <v>1018918</v>
      </c>
      <c r="B1442" s="54" t="s">
        <v>94</v>
      </c>
      <c r="C1442" s="54" t="s">
        <v>95</v>
      </c>
      <c r="D1442" s="54" t="s">
        <v>96</v>
      </c>
      <c r="E1442" s="54" t="s">
        <v>97</v>
      </c>
      <c r="F1442" t="s">
        <v>35</v>
      </c>
      <c r="G1442">
        <v>38340</v>
      </c>
      <c r="H1442">
        <v>360</v>
      </c>
      <c r="I1442" t="str">
        <f t="shared" si="66"/>
        <v>AAA BBB</v>
      </c>
      <c r="J1442" t="str">
        <f t="shared" si="67"/>
        <v>XXX</v>
      </c>
      <c r="K1442" t="str">
        <f t="shared" si="68"/>
        <v>ZZZ, TN, 38340</v>
      </c>
    </row>
    <row r="1443" spans="1:11" x14ac:dyDescent="0.15">
      <c r="A1443">
        <v>1018918</v>
      </c>
      <c r="B1443" s="54" t="s">
        <v>94</v>
      </c>
      <c r="C1443" s="54" t="s">
        <v>95</v>
      </c>
      <c r="D1443" s="54" t="s">
        <v>96</v>
      </c>
      <c r="E1443" s="54" t="s">
        <v>97</v>
      </c>
      <c r="F1443" t="s">
        <v>35</v>
      </c>
      <c r="G1443">
        <v>38340</v>
      </c>
      <c r="H1443">
        <v>360</v>
      </c>
      <c r="I1443" t="str">
        <f t="shared" si="66"/>
        <v>AAA BBB</v>
      </c>
      <c r="J1443" t="str">
        <f t="shared" si="67"/>
        <v>XXX</v>
      </c>
      <c r="K1443" t="str">
        <f t="shared" si="68"/>
        <v>ZZZ, TN, 38340</v>
      </c>
    </row>
    <row r="1444" spans="1:11" x14ac:dyDescent="0.15">
      <c r="A1444">
        <v>1018918</v>
      </c>
      <c r="B1444" s="54" t="s">
        <v>94</v>
      </c>
      <c r="C1444" s="54" t="s">
        <v>95</v>
      </c>
      <c r="D1444" s="54" t="s">
        <v>96</v>
      </c>
      <c r="E1444" s="54" t="s">
        <v>97</v>
      </c>
      <c r="F1444" t="s">
        <v>35</v>
      </c>
      <c r="G1444">
        <v>38340</v>
      </c>
      <c r="H1444">
        <v>360</v>
      </c>
      <c r="I1444" t="str">
        <f t="shared" si="66"/>
        <v>AAA BBB</v>
      </c>
      <c r="J1444" t="str">
        <f t="shared" si="67"/>
        <v>XXX</v>
      </c>
      <c r="K1444" t="str">
        <f t="shared" si="68"/>
        <v>ZZZ, TN, 38340</v>
      </c>
    </row>
    <row r="1445" spans="1:11" x14ac:dyDescent="0.15">
      <c r="A1445">
        <v>1018918</v>
      </c>
      <c r="B1445" s="54" t="s">
        <v>94</v>
      </c>
      <c r="C1445" s="54" t="s">
        <v>95</v>
      </c>
      <c r="D1445" s="54" t="s">
        <v>96</v>
      </c>
      <c r="E1445" s="54" t="s">
        <v>97</v>
      </c>
      <c r="F1445" t="s">
        <v>35</v>
      </c>
      <c r="G1445">
        <v>38340</v>
      </c>
      <c r="H1445">
        <v>360</v>
      </c>
      <c r="I1445" t="str">
        <f t="shared" si="66"/>
        <v>AAA BBB</v>
      </c>
      <c r="J1445" t="str">
        <f t="shared" si="67"/>
        <v>XXX</v>
      </c>
      <c r="K1445" t="str">
        <f t="shared" si="68"/>
        <v>ZZZ, TN, 38340</v>
      </c>
    </row>
    <row r="1446" spans="1:11" x14ac:dyDescent="0.15">
      <c r="A1446">
        <v>1018918</v>
      </c>
      <c r="B1446" s="54" t="s">
        <v>94</v>
      </c>
      <c r="C1446" s="54" t="s">
        <v>95</v>
      </c>
      <c r="D1446" s="54" t="s">
        <v>96</v>
      </c>
      <c r="E1446" s="54" t="s">
        <v>97</v>
      </c>
      <c r="F1446" t="s">
        <v>35</v>
      </c>
      <c r="G1446">
        <v>38340</v>
      </c>
      <c r="H1446">
        <v>360</v>
      </c>
      <c r="I1446" t="str">
        <f t="shared" si="66"/>
        <v>AAA BBB</v>
      </c>
      <c r="J1446" t="str">
        <f t="shared" si="67"/>
        <v>XXX</v>
      </c>
      <c r="K1446" t="str">
        <f t="shared" si="68"/>
        <v>ZZZ, TN, 38340</v>
      </c>
    </row>
    <row r="1447" spans="1:11" x14ac:dyDescent="0.15">
      <c r="A1447">
        <v>1018918</v>
      </c>
      <c r="B1447" s="54" t="s">
        <v>94</v>
      </c>
      <c r="C1447" s="54" t="s">
        <v>95</v>
      </c>
      <c r="D1447" s="54" t="s">
        <v>96</v>
      </c>
      <c r="E1447" s="54" t="s">
        <v>97</v>
      </c>
      <c r="F1447" t="s">
        <v>35</v>
      </c>
      <c r="G1447">
        <v>38340</v>
      </c>
      <c r="H1447">
        <v>360</v>
      </c>
      <c r="I1447" t="str">
        <f t="shared" si="66"/>
        <v>AAA BBB</v>
      </c>
      <c r="J1447" t="str">
        <f t="shared" si="67"/>
        <v>XXX</v>
      </c>
      <c r="K1447" t="str">
        <f t="shared" si="68"/>
        <v>ZZZ, TN, 38340</v>
      </c>
    </row>
    <row r="1448" spans="1:11" x14ac:dyDescent="0.15">
      <c r="A1448">
        <v>1018918</v>
      </c>
      <c r="B1448" s="54" t="s">
        <v>94</v>
      </c>
      <c r="C1448" s="54" t="s">
        <v>95</v>
      </c>
      <c r="D1448" s="54" t="s">
        <v>96</v>
      </c>
      <c r="E1448" s="54" t="s">
        <v>97</v>
      </c>
      <c r="F1448" t="s">
        <v>35</v>
      </c>
      <c r="G1448">
        <v>38340</v>
      </c>
      <c r="H1448">
        <v>360</v>
      </c>
      <c r="I1448" t="str">
        <f t="shared" si="66"/>
        <v>AAA BBB</v>
      </c>
      <c r="J1448" t="str">
        <f t="shared" si="67"/>
        <v>XXX</v>
      </c>
      <c r="K1448" t="str">
        <f t="shared" si="68"/>
        <v>ZZZ, TN, 38340</v>
      </c>
    </row>
    <row r="1449" spans="1:11" x14ac:dyDescent="0.15">
      <c r="A1449">
        <v>1018918</v>
      </c>
      <c r="B1449" s="54" t="s">
        <v>94</v>
      </c>
      <c r="C1449" s="54" t="s">
        <v>95</v>
      </c>
      <c r="D1449" s="54" t="s">
        <v>96</v>
      </c>
      <c r="E1449" s="54" t="s">
        <v>97</v>
      </c>
      <c r="F1449" t="s">
        <v>35</v>
      </c>
      <c r="G1449">
        <v>38340</v>
      </c>
      <c r="H1449">
        <v>360</v>
      </c>
      <c r="I1449" t="str">
        <f t="shared" si="66"/>
        <v>AAA BBB</v>
      </c>
      <c r="J1449" t="str">
        <f t="shared" si="67"/>
        <v>XXX</v>
      </c>
      <c r="K1449" t="str">
        <f t="shared" si="68"/>
        <v>ZZZ, TN, 38340</v>
      </c>
    </row>
    <row r="1450" spans="1:11" x14ac:dyDescent="0.15">
      <c r="A1450">
        <v>1018918</v>
      </c>
      <c r="B1450" s="54" t="s">
        <v>94</v>
      </c>
      <c r="C1450" s="54" t="s">
        <v>95</v>
      </c>
      <c r="D1450" s="54" t="s">
        <v>96</v>
      </c>
      <c r="E1450" s="54" t="s">
        <v>97</v>
      </c>
      <c r="F1450" t="s">
        <v>35</v>
      </c>
      <c r="G1450">
        <v>38340</v>
      </c>
      <c r="H1450">
        <v>360</v>
      </c>
      <c r="I1450" t="str">
        <f t="shared" si="66"/>
        <v>AAA BBB</v>
      </c>
      <c r="J1450" t="str">
        <f t="shared" si="67"/>
        <v>XXX</v>
      </c>
      <c r="K1450" t="str">
        <f t="shared" si="68"/>
        <v>ZZZ, TN, 38340</v>
      </c>
    </row>
    <row r="1451" spans="1:11" x14ac:dyDescent="0.15">
      <c r="A1451">
        <v>1018918</v>
      </c>
      <c r="B1451" s="54" t="s">
        <v>94</v>
      </c>
      <c r="C1451" s="54" t="s">
        <v>95</v>
      </c>
      <c r="D1451" s="54" t="s">
        <v>96</v>
      </c>
      <c r="E1451" s="54" t="s">
        <v>97</v>
      </c>
      <c r="F1451" t="s">
        <v>35</v>
      </c>
      <c r="G1451">
        <v>38340</v>
      </c>
      <c r="H1451">
        <v>360</v>
      </c>
      <c r="I1451" t="str">
        <f t="shared" si="66"/>
        <v>AAA BBB</v>
      </c>
      <c r="J1451" t="str">
        <f t="shared" si="67"/>
        <v>XXX</v>
      </c>
      <c r="K1451" t="str">
        <f t="shared" si="68"/>
        <v>ZZZ, TN, 38340</v>
      </c>
    </row>
    <row r="1452" spans="1:11" x14ac:dyDescent="0.15">
      <c r="A1452">
        <v>1018918</v>
      </c>
      <c r="B1452" s="54" t="s">
        <v>94</v>
      </c>
      <c r="C1452" s="54" t="s">
        <v>95</v>
      </c>
      <c r="D1452" s="54" t="s">
        <v>96</v>
      </c>
      <c r="E1452" s="54" t="s">
        <v>97</v>
      </c>
      <c r="F1452" t="s">
        <v>35</v>
      </c>
      <c r="G1452">
        <v>38340</v>
      </c>
      <c r="H1452">
        <v>360</v>
      </c>
      <c r="I1452" t="str">
        <f t="shared" si="66"/>
        <v>AAA BBB</v>
      </c>
      <c r="J1452" t="str">
        <f t="shared" si="67"/>
        <v>XXX</v>
      </c>
      <c r="K1452" t="str">
        <f t="shared" si="68"/>
        <v>ZZZ, TN, 38340</v>
      </c>
    </row>
    <row r="1453" spans="1:11" x14ac:dyDescent="0.15">
      <c r="A1453">
        <v>1018918</v>
      </c>
      <c r="B1453" s="54" t="s">
        <v>94</v>
      </c>
      <c r="C1453" s="54" t="s">
        <v>95</v>
      </c>
      <c r="D1453" s="54" t="s">
        <v>96</v>
      </c>
      <c r="E1453" s="54" t="s">
        <v>97</v>
      </c>
      <c r="F1453" t="s">
        <v>35</v>
      </c>
      <c r="G1453">
        <v>38340</v>
      </c>
      <c r="H1453">
        <v>360</v>
      </c>
      <c r="I1453" t="str">
        <f t="shared" si="66"/>
        <v>AAA BBB</v>
      </c>
      <c r="J1453" t="str">
        <f t="shared" si="67"/>
        <v>XXX</v>
      </c>
      <c r="K1453" t="str">
        <f t="shared" si="68"/>
        <v>ZZZ, TN, 38340</v>
      </c>
    </row>
    <row r="1454" spans="1:11" x14ac:dyDescent="0.15">
      <c r="A1454">
        <v>1018918</v>
      </c>
      <c r="B1454" s="54" t="s">
        <v>94</v>
      </c>
      <c r="C1454" s="54" t="s">
        <v>95</v>
      </c>
      <c r="D1454" s="54" t="s">
        <v>96</v>
      </c>
      <c r="E1454" s="54" t="s">
        <v>97</v>
      </c>
      <c r="F1454" t="s">
        <v>35</v>
      </c>
      <c r="G1454">
        <v>38340</v>
      </c>
      <c r="H1454">
        <v>360</v>
      </c>
      <c r="I1454" t="str">
        <f t="shared" si="66"/>
        <v>AAA BBB</v>
      </c>
      <c r="J1454" t="str">
        <f t="shared" si="67"/>
        <v>XXX</v>
      </c>
      <c r="K1454" t="str">
        <f t="shared" si="68"/>
        <v>ZZZ, TN, 38340</v>
      </c>
    </row>
    <row r="1455" spans="1:11" x14ac:dyDescent="0.15">
      <c r="A1455">
        <v>1018918</v>
      </c>
      <c r="B1455" s="54" t="s">
        <v>94</v>
      </c>
      <c r="C1455" s="54" t="s">
        <v>95</v>
      </c>
      <c r="D1455" s="54" t="s">
        <v>96</v>
      </c>
      <c r="E1455" s="54" t="s">
        <v>97</v>
      </c>
      <c r="F1455" t="s">
        <v>35</v>
      </c>
      <c r="G1455">
        <v>38340</v>
      </c>
      <c r="H1455">
        <v>360</v>
      </c>
      <c r="I1455" t="str">
        <f t="shared" si="66"/>
        <v>AAA BBB</v>
      </c>
      <c r="J1455" t="str">
        <f t="shared" si="67"/>
        <v>XXX</v>
      </c>
      <c r="K1455" t="str">
        <f t="shared" si="68"/>
        <v>ZZZ, TN, 38340</v>
      </c>
    </row>
    <row r="1456" spans="1:11" x14ac:dyDescent="0.15">
      <c r="A1456">
        <v>1018918</v>
      </c>
      <c r="B1456" s="54" t="s">
        <v>94</v>
      </c>
      <c r="C1456" s="54" t="s">
        <v>95</v>
      </c>
      <c r="D1456" s="54" t="s">
        <v>96</v>
      </c>
      <c r="E1456" s="54" t="s">
        <v>97</v>
      </c>
      <c r="F1456" t="s">
        <v>35</v>
      </c>
      <c r="G1456">
        <v>38340</v>
      </c>
      <c r="H1456">
        <v>360</v>
      </c>
      <c r="I1456" t="str">
        <f t="shared" si="66"/>
        <v>AAA BBB</v>
      </c>
      <c r="J1456" t="str">
        <f t="shared" si="67"/>
        <v>XXX</v>
      </c>
      <c r="K1456" t="str">
        <f t="shared" si="68"/>
        <v>ZZZ, TN, 38340</v>
      </c>
    </row>
    <row r="1457" spans="1:11" x14ac:dyDescent="0.15">
      <c r="A1457">
        <v>1018918</v>
      </c>
      <c r="B1457" s="54" t="s">
        <v>94</v>
      </c>
      <c r="C1457" s="54" t="s">
        <v>95</v>
      </c>
      <c r="D1457" s="54" t="s">
        <v>96</v>
      </c>
      <c r="E1457" s="54" t="s">
        <v>97</v>
      </c>
      <c r="F1457" t="s">
        <v>35</v>
      </c>
      <c r="G1457">
        <v>38340</v>
      </c>
      <c r="H1457">
        <v>360</v>
      </c>
      <c r="I1457" t="str">
        <f t="shared" si="66"/>
        <v>AAA BBB</v>
      </c>
      <c r="J1457" t="str">
        <f t="shared" si="67"/>
        <v>XXX</v>
      </c>
      <c r="K1457" t="str">
        <f t="shared" si="68"/>
        <v>ZZZ, TN, 38340</v>
      </c>
    </row>
    <row r="1458" spans="1:11" x14ac:dyDescent="0.15">
      <c r="A1458">
        <v>1018918</v>
      </c>
      <c r="B1458" s="54" t="s">
        <v>94</v>
      </c>
      <c r="C1458" s="54" t="s">
        <v>95</v>
      </c>
      <c r="D1458" s="54" t="s">
        <v>96</v>
      </c>
      <c r="E1458" s="54" t="s">
        <v>97</v>
      </c>
      <c r="F1458" t="s">
        <v>35</v>
      </c>
      <c r="G1458">
        <v>38340</v>
      </c>
      <c r="H1458">
        <v>360</v>
      </c>
      <c r="I1458" t="str">
        <f t="shared" si="66"/>
        <v>AAA BBB</v>
      </c>
      <c r="J1458" t="str">
        <f t="shared" si="67"/>
        <v>XXX</v>
      </c>
      <c r="K1458" t="str">
        <f t="shared" si="68"/>
        <v>ZZZ, TN, 38340</v>
      </c>
    </row>
    <row r="1459" spans="1:11" x14ac:dyDescent="0.15">
      <c r="A1459">
        <v>1018918</v>
      </c>
      <c r="B1459" s="54" t="s">
        <v>94</v>
      </c>
      <c r="C1459" s="54" t="s">
        <v>95</v>
      </c>
      <c r="D1459" s="54" t="s">
        <v>96</v>
      </c>
      <c r="E1459" s="54" t="s">
        <v>97</v>
      </c>
      <c r="F1459" t="s">
        <v>35</v>
      </c>
      <c r="G1459">
        <v>38340</v>
      </c>
      <c r="H1459">
        <v>360</v>
      </c>
      <c r="I1459" t="str">
        <f t="shared" si="66"/>
        <v>AAA BBB</v>
      </c>
      <c r="J1459" t="str">
        <f t="shared" si="67"/>
        <v>XXX</v>
      </c>
      <c r="K1459" t="str">
        <f t="shared" si="68"/>
        <v>ZZZ, TN, 38340</v>
      </c>
    </row>
    <row r="1460" spans="1:11" x14ac:dyDescent="0.15">
      <c r="A1460">
        <v>1018918</v>
      </c>
      <c r="B1460" s="54" t="s">
        <v>94</v>
      </c>
      <c r="C1460" s="54" t="s">
        <v>95</v>
      </c>
      <c r="D1460" s="54" t="s">
        <v>96</v>
      </c>
      <c r="E1460" s="54" t="s">
        <v>97</v>
      </c>
      <c r="F1460" t="s">
        <v>35</v>
      </c>
      <c r="G1460">
        <v>38340</v>
      </c>
      <c r="H1460">
        <v>360</v>
      </c>
      <c r="I1460" t="str">
        <f t="shared" si="66"/>
        <v>AAA BBB</v>
      </c>
      <c r="J1460" t="str">
        <f t="shared" si="67"/>
        <v>XXX</v>
      </c>
      <c r="K1460" t="str">
        <f t="shared" si="68"/>
        <v>ZZZ, TN, 38340</v>
      </c>
    </row>
    <row r="1461" spans="1:11" x14ac:dyDescent="0.15">
      <c r="A1461">
        <v>1018918</v>
      </c>
      <c r="B1461" s="54" t="s">
        <v>94</v>
      </c>
      <c r="C1461" s="54" t="s">
        <v>95</v>
      </c>
      <c r="D1461" s="54" t="s">
        <v>96</v>
      </c>
      <c r="E1461" s="54" t="s">
        <v>97</v>
      </c>
      <c r="F1461" t="s">
        <v>35</v>
      </c>
      <c r="G1461">
        <v>38340</v>
      </c>
      <c r="H1461">
        <v>360</v>
      </c>
      <c r="I1461" t="str">
        <f t="shared" si="66"/>
        <v>AAA BBB</v>
      </c>
      <c r="J1461" t="str">
        <f t="shared" si="67"/>
        <v>XXX</v>
      </c>
      <c r="K1461" t="str">
        <f t="shared" si="68"/>
        <v>ZZZ, TN, 38340</v>
      </c>
    </row>
    <row r="1462" spans="1:11" x14ac:dyDescent="0.15">
      <c r="A1462">
        <v>1018918</v>
      </c>
      <c r="B1462" s="54" t="s">
        <v>94</v>
      </c>
      <c r="C1462" s="54" t="s">
        <v>95</v>
      </c>
      <c r="D1462" s="54" t="s">
        <v>96</v>
      </c>
      <c r="E1462" s="54" t="s">
        <v>97</v>
      </c>
      <c r="F1462" t="s">
        <v>35</v>
      </c>
      <c r="G1462">
        <v>38340</v>
      </c>
      <c r="H1462">
        <v>360</v>
      </c>
      <c r="I1462" t="str">
        <f t="shared" si="66"/>
        <v>AAA BBB</v>
      </c>
      <c r="J1462" t="str">
        <f t="shared" si="67"/>
        <v>XXX</v>
      </c>
      <c r="K1462" t="str">
        <f t="shared" si="68"/>
        <v>ZZZ, TN, 38340</v>
      </c>
    </row>
    <row r="1463" spans="1:11" x14ac:dyDescent="0.15">
      <c r="A1463">
        <v>1018918</v>
      </c>
      <c r="B1463" s="54" t="s">
        <v>94</v>
      </c>
      <c r="C1463" s="54" t="s">
        <v>95</v>
      </c>
      <c r="D1463" s="54" t="s">
        <v>96</v>
      </c>
      <c r="E1463" s="54" t="s">
        <v>97</v>
      </c>
      <c r="F1463" t="s">
        <v>35</v>
      </c>
      <c r="G1463">
        <v>38340</v>
      </c>
      <c r="H1463">
        <v>360</v>
      </c>
      <c r="I1463" t="str">
        <f t="shared" si="66"/>
        <v>AAA BBB</v>
      </c>
      <c r="J1463" t="str">
        <f t="shared" si="67"/>
        <v>XXX</v>
      </c>
      <c r="K1463" t="str">
        <f t="shared" si="68"/>
        <v>ZZZ, TN, 38340</v>
      </c>
    </row>
    <row r="1464" spans="1:11" x14ac:dyDescent="0.15">
      <c r="A1464">
        <v>1018918</v>
      </c>
      <c r="B1464" s="54" t="s">
        <v>94</v>
      </c>
      <c r="C1464" s="54" t="s">
        <v>95</v>
      </c>
      <c r="D1464" s="54" t="s">
        <v>96</v>
      </c>
      <c r="E1464" s="54" t="s">
        <v>97</v>
      </c>
      <c r="F1464" t="s">
        <v>35</v>
      </c>
      <c r="G1464">
        <v>38340</v>
      </c>
      <c r="H1464">
        <v>360</v>
      </c>
      <c r="I1464" t="str">
        <f t="shared" si="66"/>
        <v>AAA BBB</v>
      </c>
      <c r="J1464" t="str">
        <f t="shared" si="67"/>
        <v>XXX</v>
      </c>
      <c r="K1464" t="str">
        <f t="shared" si="68"/>
        <v>ZZZ, TN, 38340</v>
      </c>
    </row>
    <row r="1465" spans="1:11" x14ac:dyDescent="0.15">
      <c r="A1465">
        <v>1018918</v>
      </c>
      <c r="B1465" s="54" t="s">
        <v>94</v>
      </c>
      <c r="C1465" s="54" t="s">
        <v>95</v>
      </c>
      <c r="D1465" s="54" t="s">
        <v>96</v>
      </c>
      <c r="E1465" s="54" t="s">
        <v>97</v>
      </c>
      <c r="F1465" t="s">
        <v>35</v>
      </c>
      <c r="G1465">
        <v>38340</v>
      </c>
      <c r="H1465">
        <v>360</v>
      </c>
      <c r="I1465" t="str">
        <f t="shared" si="66"/>
        <v>AAA BBB</v>
      </c>
      <c r="J1465" t="str">
        <f t="shared" si="67"/>
        <v>XXX</v>
      </c>
      <c r="K1465" t="str">
        <f t="shared" si="68"/>
        <v>ZZZ, TN, 38340</v>
      </c>
    </row>
    <row r="1466" spans="1:11" x14ac:dyDescent="0.15">
      <c r="A1466">
        <v>1018918</v>
      </c>
      <c r="B1466" s="54" t="s">
        <v>94</v>
      </c>
      <c r="C1466" s="54" t="s">
        <v>95</v>
      </c>
      <c r="D1466" s="54" t="s">
        <v>96</v>
      </c>
      <c r="E1466" s="54" t="s">
        <v>97</v>
      </c>
      <c r="F1466" t="s">
        <v>35</v>
      </c>
      <c r="G1466">
        <v>38340</v>
      </c>
      <c r="H1466">
        <v>360</v>
      </c>
      <c r="I1466" t="str">
        <f t="shared" si="66"/>
        <v>AAA BBB</v>
      </c>
      <c r="J1466" t="str">
        <f t="shared" si="67"/>
        <v>XXX</v>
      </c>
      <c r="K1466" t="str">
        <f t="shared" si="68"/>
        <v>ZZZ, TN, 38340</v>
      </c>
    </row>
    <row r="1467" spans="1:11" x14ac:dyDescent="0.15">
      <c r="A1467">
        <v>1018918</v>
      </c>
      <c r="B1467" s="54" t="s">
        <v>94</v>
      </c>
      <c r="C1467" s="54" t="s">
        <v>95</v>
      </c>
      <c r="D1467" s="54" t="s">
        <v>96</v>
      </c>
      <c r="E1467" s="54" t="s">
        <v>97</v>
      </c>
      <c r="F1467" t="s">
        <v>35</v>
      </c>
      <c r="G1467">
        <v>38340</v>
      </c>
      <c r="H1467">
        <v>360</v>
      </c>
      <c r="I1467" t="str">
        <f t="shared" si="66"/>
        <v>AAA BBB</v>
      </c>
      <c r="J1467" t="str">
        <f t="shared" si="67"/>
        <v>XXX</v>
      </c>
      <c r="K1467" t="str">
        <f t="shared" si="68"/>
        <v>ZZZ, TN, 38340</v>
      </c>
    </row>
    <row r="1468" spans="1:11" x14ac:dyDescent="0.15">
      <c r="A1468">
        <v>1018918</v>
      </c>
      <c r="B1468" s="54" t="s">
        <v>94</v>
      </c>
      <c r="C1468" s="54" t="s">
        <v>95</v>
      </c>
      <c r="D1468" s="54" t="s">
        <v>96</v>
      </c>
      <c r="E1468" s="54" t="s">
        <v>97</v>
      </c>
      <c r="F1468" t="s">
        <v>35</v>
      </c>
      <c r="G1468">
        <v>38340</v>
      </c>
      <c r="H1468">
        <v>360</v>
      </c>
      <c r="I1468" t="str">
        <f t="shared" si="66"/>
        <v>AAA BBB</v>
      </c>
      <c r="J1468" t="str">
        <f t="shared" si="67"/>
        <v>XXX</v>
      </c>
      <c r="K1468" t="str">
        <f t="shared" si="68"/>
        <v>ZZZ, TN, 38340</v>
      </c>
    </row>
    <row r="1469" spans="1:11" x14ac:dyDescent="0.15">
      <c r="A1469">
        <v>1018918</v>
      </c>
      <c r="B1469" s="54" t="s">
        <v>94</v>
      </c>
      <c r="C1469" s="54" t="s">
        <v>95</v>
      </c>
      <c r="D1469" s="54" t="s">
        <v>96</v>
      </c>
      <c r="E1469" s="54" t="s">
        <v>97</v>
      </c>
      <c r="F1469" t="s">
        <v>35</v>
      </c>
      <c r="G1469">
        <v>38340</v>
      </c>
      <c r="H1469">
        <v>360</v>
      </c>
      <c r="I1469" t="str">
        <f t="shared" si="66"/>
        <v>AAA BBB</v>
      </c>
      <c r="J1469" t="str">
        <f t="shared" si="67"/>
        <v>XXX</v>
      </c>
      <c r="K1469" t="str">
        <f t="shared" si="68"/>
        <v>ZZZ, TN, 38340</v>
      </c>
    </row>
    <row r="1470" spans="1:11" x14ac:dyDescent="0.15">
      <c r="A1470">
        <v>1018918</v>
      </c>
      <c r="B1470" s="54" t="s">
        <v>94</v>
      </c>
      <c r="C1470" s="54" t="s">
        <v>95</v>
      </c>
      <c r="D1470" s="54" t="s">
        <v>96</v>
      </c>
      <c r="E1470" s="54" t="s">
        <v>97</v>
      </c>
      <c r="F1470" t="s">
        <v>35</v>
      </c>
      <c r="G1470">
        <v>38340</v>
      </c>
      <c r="H1470">
        <v>360</v>
      </c>
      <c r="I1470" t="str">
        <f t="shared" si="66"/>
        <v>AAA BBB</v>
      </c>
      <c r="J1470" t="str">
        <f t="shared" si="67"/>
        <v>XXX</v>
      </c>
      <c r="K1470" t="str">
        <f t="shared" si="68"/>
        <v>ZZZ, TN, 38340</v>
      </c>
    </row>
    <row r="1471" spans="1:11" x14ac:dyDescent="0.15">
      <c r="A1471">
        <v>1018918</v>
      </c>
      <c r="B1471" s="54" t="s">
        <v>94</v>
      </c>
      <c r="C1471" s="54" t="s">
        <v>95</v>
      </c>
      <c r="D1471" s="54" t="s">
        <v>96</v>
      </c>
      <c r="E1471" s="54" t="s">
        <v>97</v>
      </c>
      <c r="F1471" t="s">
        <v>35</v>
      </c>
      <c r="G1471">
        <v>38340</v>
      </c>
      <c r="H1471">
        <v>360</v>
      </c>
      <c r="I1471" t="str">
        <f t="shared" si="66"/>
        <v>AAA BBB</v>
      </c>
      <c r="J1471" t="str">
        <f t="shared" si="67"/>
        <v>XXX</v>
      </c>
      <c r="K1471" t="str">
        <f t="shared" si="68"/>
        <v>ZZZ, TN, 38340</v>
      </c>
    </row>
    <row r="1472" spans="1:11" x14ac:dyDescent="0.15">
      <c r="A1472">
        <v>1018918</v>
      </c>
      <c r="B1472" s="54" t="s">
        <v>94</v>
      </c>
      <c r="C1472" s="54" t="s">
        <v>95</v>
      </c>
      <c r="D1472" s="54" t="s">
        <v>96</v>
      </c>
      <c r="E1472" s="54" t="s">
        <v>97</v>
      </c>
      <c r="F1472" t="s">
        <v>35</v>
      </c>
      <c r="G1472">
        <v>38340</v>
      </c>
      <c r="H1472">
        <v>360</v>
      </c>
      <c r="I1472" t="str">
        <f t="shared" si="66"/>
        <v>AAA BBB</v>
      </c>
      <c r="J1472" t="str">
        <f t="shared" si="67"/>
        <v>XXX</v>
      </c>
      <c r="K1472" t="str">
        <f t="shared" si="68"/>
        <v>ZZZ, TN, 38340</v>
      </c>
    </row>
    <row r="1473" spans="1:11" x14ac:dyDescent="0.15">
      <c r="A1473">
        <v>1018918</v>
      </c>
      <c r="B1473" s="54" t="s">
        <v>94</v>
      </c>
      <c r="C1473" s="54" t="s">
        <v>95</v>
      </c>
      <c r="D1473" s="54" t="s">
        <v>96</v>
      </c>
      <c r="E1473" s="54" t="s">
        <v>97</v>
      </c>
      <c r="F1473" t="s">
        <v>35</v>
      </c>
      <c r="G1473">
        <v>38340</v>
      </c>
      <c r="H1473">
        <v>360</v>
      </c>
      <c r="I1473" t="str">
        <f t="shared" si="66"/>
        <v>AAA BBB</v>
      </c>
      <c r="J1473" t="str">
        <f t="shared" si="67"/>
        <v>XXX</v>
      </c>
      <c r="K1473" t="str">
        <f t="shared" si="68"/>
        <v>ZZZ, TN, 38340</v>
      </c>
    </row>
    <row r="1474" spans="1:11" x14ac:dyDescent="0.15">
      <c r="A1474">
        <v>1018918</v>
      </c>
      <c r="B1474" s="54" t="s">
        <v>94</v>
      </c>
      <c r="C1474" s="54" t="s">
        <v>95</v>
      </c>
      <c r="D1474" s="54" t="s">
        <v>96</v>
      </c>
      <c r="E1474" s="54" t="s">
        <v>97</v>
      </c>
      <c r="F1474" t="s">
        <v>35</v>
      </c>
      <c r="G1474">
        <v>38340</v>
      </c>
      <c r="H1474">
        <v>360</v>
      </c>
      <c r="I1474" t="str">
        <f t="shared" si="66"/>
        <v>AAA BBB</v>
      </c>
      <c r="J1474" t="str">
        <f t="shared" si="67"/>
        <v>XXX</v>
      </c>
      <c r="K1474" t="str">
        <f t="shared" si="68"/>
        <v>ZZZ, TN, 38340</v>
      </c>
    </row>
    <row r="1475" spans="1:11" x14ac:dyDescent="0.15">
      <c r="A1475">
        <v>1018918</v>
      </c>
      <c r="B1475" s="54" t="s">
        <v>94</v>
      </c>
      <c r="C1475" s="54" t="s">
        <v>95</v>
      </c>
      <c r="D1475" s="54" t="s">
        <v>96</v>
      </c>
      <c r="E1475" s="54" t="s">
        <v>97</v>
      </c>
      <c r="F1475" t="s">
        <v>35</v>
      </c>
      <c r="G1475">
        <v>38340</v>
      </c>
      <c r="H1475">
        <v>360</v>
      </c>
      <c r="I1475" t="str">
        <f t="shared" ref="I1475:I1493" si="69">CONCATENATE(B1475," ",C1475)</f>
        <v>AAA BBB</v>
      </c>
      <c r="J1475" t="str">
        <f t="shared" ref="J1475:J1493" si="70">D1475</f>
        <v>XXX</v>
      </c>
      <c r="K1475" t="str">
        <f t="shared" ref="K1475:K1493" si="71">CONCATENATE(E1475,","," ",F1475,","," ",G1475)</f>
        <v>ZZZ, TN, 38340</v>
      </c>
    </row>
    <row r="1476" spans="1:11" x14ac:dyDescent="0.15">
      <c r="A1476">
        <v>1018918</v>
      </c>
      <c r="B1476" s="54" t="s">
        <v>94</v>
      </c>
      <c r="C1476" s="54" t="s">
        <v>95</v>
      </c>
      <c r="D1476" s="54" t="s">
        <v>96</v>
      </c>
      <c r="E1476" s="54" t="s">
        <v>97</v>
      </c>
      <c r="F1476" t="s">
        <v>35</v>
      </c>
      <c r="G1476">
        <v>38340</v>
      </c>
      <c r="H1476">
        <v>360</v>
      </c>
      <c r="I1476" t="str">
        <f t="shared" si="69"/>
        <v>AAA BBB</v>
      </c>
      <c r="J1476" t="str">
        <f t="shared" si="70"/>
        <v>XXX</v>
      </c>
      <c r="K1476" t="str">
        <f t="shared" si="71"/>
        <v>ZZZ, TN, 38340</v>
      </c>
    </row>
    <row r="1477" spans="1:11" x14ac:dyDescent="0.15">
      <c r="A1477">
        <v>1018918</v>
      </c>
      <c r="B1477" s="54" t="s">
        <v>94</v>
      </c>
      <c r="C1477" s="54" t="s">
        <v>95</v>
      </c>
      <c r="D1477" s="54" t="s">
        <v>96</v>
      </c>
      <c r="E1477" s="54" t="s">
        <v>97</v>
      </c>
      <c r="F1477" t="s">
        <v>35</v>
      </c>
      <c r="G1477">
        <v>38340</v>
      </c>
      <c r="H1477">
        <v>360</v>
      </c>
      <c r="I1477" t="str">
        <f t="shared" si="69"/>
        <v>AAA BBB</v>
      </c>
      <c r="J1477" t="str">
        <f t="shared" si="70"/>
        <v>XXX</v>
      </c>
      <c r="K1477" t="str">
        <f t="shared" si="71"/>
        <v>ZZZ, TN, 38340</v>
      </c>
    </row>
    <row r="1478" spans="1:11" x14ac:dyDescent="0.15">
      <c r="A1478">
        <v>1018918</v>
      </c>
      <c r="B1478" s="54" t="s">
        <v>94</v>
      </c>
      <c r="C1478" s="54" t="s">
        <v>95</v>
      </c>
      <c r="D1478" s="54" t="s">
        <v>96</v>
      </c>
      <c r="E1478" s="54" t="s">
        <v>97</v>
      </c>
      <c r="F1478" t="s">
        <v>35</v>
      </c>
      <c r="G1478">
        <v>38340</v>
      </c>
      <c r="H1478">
        <v>360</v>
      </c>
      <c r="I1478" t="str">
        <f t="shared" si="69"/>
        <v>AAA BBB</v>
      </c>
      <c r="J1478" t="str">
        <f t="shared" si="70"/>
        <v>XXX</v>
      </c>
      <c r="K1478" t="str">
        <f t="shared" si="71"/>
        <v>ZZZ, TN, 38340</v>
      </c>
    </row>
    <row r="1479" spans="1:11" x14ac:dyDescent="0.15">
      <c r="A1479">
        <v>1018918</v>
      </c>
      <c r="B1479" s="54" t="s">
        <v>94</v>
      </c>
      <c r="C1479" s="54" t="s">
        <v>95</v>
      </c>
      <c r="D1479" s="54" t="s">
        <v>96</v>
      </c>
      <c r="E1479" s="54" t="s">
        <v>97</v>
      </c>
      <c r="F1479" t="s">
        <v>35</v>
      </c>
      <c r="G1479">
        <v>38340</v>
      </c>
      <c r="H1479">
        <v>360</v>
      </c>
      <c r="I1479" t="str">
        <f t="shared" si="69"/>
        <v>AAA BBB</v>
      </c>
      <c r="J1479" t="str">
        <f t="shared" si="70"/>
        <v>XXX</v>
      </c>
      <c r="K1479" t="str">
        <f t="shared" si="71"/>
        <v>ZZZ, TN, 38340</v>
      </c>
    </row>
    <row r="1480" spans="1:11" x14ac:dyDescent="0.15">
      <c r="A1480">
        <v>1018918</v>
      </c>
      <c r="B1480" s="54" t="s">
        <v>94</v>
      </c>
      <c r="C1480" s="54" t="s">
        <v>95</v>
      </c>
      <c r="D1480" s="54" t="s">
        <v>96</v>
      </c>
      <c r="E1480" s="54" t="s">
        <v>97</v>
      </c>
      <c r="F1480" t="s">
        <v>35</v>
      </c>
      <c r="G1480">
        <v>38340</v>
      </c>
      <c r="H1480">
        <v>360</v>
      </c>
      <c r="I1480" t="str">
        <f t="shared" si="69"/>
        <v>AAA BBB</v>
      </c>
      <c r="J1480" t="str">
        <f t="shared" si="70"/>
        <v>XXX</v>
      </c>
      <c r="K1480" t="str">
        <f t="shared" si="71"/>
        <v>ZZZ, TN, 38340</v>
      </c>
    </row>
    <row r="1481" spans="1:11" x14ac:dyDescent="0.15">
      <c r="A1481">
        <v>1018918</v>
      </c>
      <c r="B1481" s="54" t="s">
        <v>94</v>
      </c>
      <c r="C1481" s="54" t="s">
        <v>95</v>
      </c>
      <c r="D1481" s="54" t="s">
        <v>96</v>
      </c>
      <c r="E1481" s="54" t="s">
        <v>97</v>
      </c>
      <c r="F1481" t="s">
        <v>35</v>
      </c>
      <c r="G1481">
        <v>38340</v>
      </c>
      <c r="H1481">
        <v>360</v>
      </c>
      <c r="I1481" t="str">
        <f t="shared" si="69"/>
        <v>AAA BBB</v>
      </c>
      <c r="J1481" t="str">
        <f t="shared" si="70"/>
        <v>XXX</v>
      </c>
      <c r="K1481" t="str">
        <f t="shared" si="71"/>
        <v>ZZZ, TN, 38340</v>
      </c>
    </row>
    <row r="1482" spans="1:11" x14ac:dyDescent="0.15">
      <c r="A1482">
        <v>1018918</v>
      </c>
      <c r="B1482" s="54" t="s">
        <v>94</v>
      </c>
      <c r="C1482" s="54" t="s">
        <v>95</v>
      </c>
      <c r="D1482" s="54" t="s">
        <v>96</v>
      </c>
      <c r="E1482" s="54" t="s">
        <v>97</v>
      </c>
      <c r="F1482" t="s">
        <v>35</v>
      </c>
      <c r="G1482">
        <v>38340</v>
      </c>
      <c r="H1482">
        <v>360</v>
      </c>
      <c r="I1482" t="str">
        <f t="shared" si="69"/>
        <v>AAA BBB</v>
      </c>
      <c r="J1482" t="str">
        <f t="shared" si="70"/>
        <v>XXX</v>
      </c>
      <c r="K1482" t="str">
        <f t="shared" si="71"/>
        <v>ZZZ, TN, 38340</v>
      </c>
    </row>
    <row r="1483" spans="1:11" x14ac:dyDescent="0.15">
      <c r="A1483">
        <v>1018918</v>
      </c>
      <c r="B1483" s="54" t="s">
        <v>94</v>
      </c>
      <c r="C1483" s="54" t="s">
        <v>95</v>
      </c>
      <c r="D1483" s="54" t="s">
        <v>96</v>
      </c>
      <c r="E1483" s="54" t="s">
        <v>97</v>
      </c>
      <c r="F1483" t="s">
        <v>35</v>
      </c>
      <c r="G1483">
        <v>38340</v>
      </c>
      <c r="H1483">
        <v>360</v>
      </c>
      <c r="I1483" t="str">
        <f t="shared" si="69"/>
        <v>AAA BBB</v>
      </c>
      <c r="J1483" t="str">
        <f t="shared" si="70"/>
        <v>XXX</v>
      </c>
      <c r="K1483" t="str">
        <f t="shared" si="71"/>
        <v>ZZZ, TN, 38340</v>
      </c>
    </row>
    <row r="1484" spans="1:11" x14ac:dyDescent="0.15">
      <c r="A1484">
        <v>1018918</v>
      </c>
      <c r="B1484" s="54" t="s">
        <v>94</v>
      </c>
      <c r="C1484" s="54" t="s">
        <v>95</v>
      </c>
      <c r="D1484" s="54" t="s">
        <v>96</v>
      </c>
      <c r="E1484" s="54" t="s">
        <v>97</v>
      </c>
      <c r="F1484" t="s">
        <v>35</v>
      </c>
      <c r="G1484">
        <v>38340</v>
      </c>
      <c r="H1484">
        <v>360</v>
      </c>
      <c r="I1484" t="str">
        <f t="shared" si="69"/>
        <v>AAA BBB</v>
      </c>
      <c r="J1484" t="str">
        <f t="shared" si="70"/>
        <v>XXX</v>
      </c>
      <c r="K1484" t="str">
        <f t="shared" si="71"/>
        <v>ZZZ, TN, 38340</v>
      </c>
    </row>
    <row r="1485" spans="1:11" x14ac:dyDescent="0.15">
      <c r="A1485">
        <v>1018918</v>
      </c>
      <c r="B1485" s="54" t="s">
        <v>94</v>
      </c>
      <c r="C1485" s="54" t="s">
        <v>95</v>
      </c>
      <c r="D1485" s="54" t="s">
        <v>96</v>
      </c>
      <c r="E1485" s="54" t="s">
        <v>97</v>
      </c>
      <c r="F1485" t="s">
        <v>35</v>
      </c>
      <c r="G1485">
        <v>38340</v>
      </c>
      <c r="H1485">
        <v>360</v>
      </c>
      <c r="I1485" t="str">
        <f t="shared" si="69"/>
        <v>AAA BBB</v>
      </c>
      <c r="J1485" t="str">
        <f t="shared" si="70"/>
        <v>XXX</v>
      </c>
      <c r="K1485" t="str">
        <f t="shared" si="71"/>
        <v>ZZZ, TN, 38340</v>
      </c>
    </row>
    <row r="1486" spans="1:11" x14ac:dyDescent="0.15">
      <c r="A1486">
        <v>1018918</v>
      </c>
      <c r="B1486" s="54" t="s">
        <v>94</v>
      </c>
      <c r="C1486" s="54" t="s">
        <v>95</v>
      </c>
      <c r="D1486" s="54" t="s">
        <v>96</v>
      </c>
      <c r="E1486" s="54" t="s">
        <v>97</v>
      </c>
      <c r="F1486" t="s">
        <v>35</v>
      </c>
      <c r="G1486">
        <v>38340</v>
      </c>
      <c r="H1486">
        <v>360</v>
      </c>
      <c r="I1486" t="str">
        <f t="shared" si="69"/>
        <v>AAA BBB</v>
      </c>
      <c r="J1486" t="str">
        <f t="shared" si="70"/>
        <v>XXX</v>
      </c>
      <c r="K1486" t="str">
        <f t="shared" si="71"/>
        <v>ZZZ, TN, 38340</v>
      </c>
    </row>
    <row r="1487" spans="1:11" x14ac:dyDescent="0.15">
      <c r="A1487">
        <v>1018918</v>
      </c>
      <c r="B1487" s="54" t="s">
        <v>94</v>
      </c>
      <c r="C1487" s="54" t="s">
        <v>95</v>
      </c>
      <c r="D1487" s="54" t="s">
        <v>96</v>
      </c>
      <c r="E1487" s="54" t="s">
        <v>97</v>
      </c>
      <c r="F1487" t="s">
        <v>35</v>
      </c>
      <c r="G1487">
        <v>38340</v>
      </c>
      <c r="H1487">
        <v>360</v>
      </c>
      <c r="I1487" t="str">
        <f t="shared" si="69"/>
        <v>AAA BBB</v>
      </c>
      <c r="J1487" t="str">
        <f t="shared" si="70"/>
        <v>XXX</v>
      </c>
      <c r="K1487" t="str">
        <f t="shared" si="71"/>
        <v>ZZZ, TN, 38340</v>
      </c>
    </row>
    <row r="1488" spans="1:11" x14ac:dyDescent="0.15">
      <c r="A1488">
        <v>1018918</v>
      </c>
      <c r="B1488" s="54" t="s">
        <v>94</v>
      </c>
      <c r="C1488" s="54" t="s">
        <v>95</v>
      </c>
      <c r="D1488" s="54" t="s">
        <v>96</v>
      </c>
      <c r="E1488" s="54" t="s">
        <v>97</v>
      </c>
      <c r="F1488" t="s">
        <v>35</v>
      </c>
      <c r="G1488">
        <v>38340</v>
      </c>
      <c r="H1488">
        <v>360</v>
      </c>
      <c r="I1488" t="str">
        <f t="shared" si="69"/>
        <v>AAA BBB</v>
      </c>
      <c r="J1488" t="str">
        <f t="shared" si="70"/>
        <v>XXX</v>
      </c>
      <c r="K1488" t="str">
        <f t="shared" si="71"/>
        <v>ZZZ, TN, 38340</v>
      </c>
    </row>
    <row r="1489" spans="1:11" x14ac:dyDescent="0.15">
      <c r="A1489">
        <v>1018918</v>
      </c>
      <c r="B1489" s="54" t="s">
        <v>94</v>
      </c>
      <c r="C1489" s="54" t="s">
        <v>95</v>
      </c>
      <c r="D1489" s="54" t="s">
        <v>96</v>
      </c>
      <c r="E1489" s="54" t="s">
        <v>97</v>
      </c>
      <c r="F1489" t="s">
        <v>35</v>
      </c>
      <c r="G1489">
        <v>38340</v>
      </c>
      <c r="H1489">
        <v>360</v>
      </c>
      <c r="I1489" t="str">
        <f t="shared" si="69"/>
        <v>AAA BBB</v>
      </c>
      <c r="J1489" t="str">
        <f t="shared" si="70"/>
        <v>XXX</v>
      </c>
      <c r="K1489" t="str">
        <f t="shared" si="71"/>
        <v>ZZZ, TN, 38340</v>
      </c>
    </row>
    <row r="1490" spans="1:11" x14ac:dyDescent="0.15">
      <c r="A1490">
        <v>1018918</v>
      </c>
      <c r="B1490" s="54" t="s">
        <v>94</v>
      </c>
      <c r="C1490" s="54" t="s">
        <v>95</v>
      </c>
      <c r="D1490" s="54" t="s">
        <v>96</v>
      </c>
      <c r="E1490" s="54" t="s">
        <v>97</v>
      </c>
      <c r="F1490" t="s">
        <v>35</v>
      </c>
      <c r="G1490">
        <v>38340</v>
      </c>
      <c r="H1490">
        <v>360</v>
      </c>
      <c r="I1490" t="str">
        <f t="shared" si="69"/>
        <v>AAA BBB</v>
      </c>
      <c r="J1490" t="str">
        <f t="shared" si="70"/>
        <v>XXX</v>
      </c>
      <c r="K1490" t="str">
        <f t="shared" si="71"/>
        <v>ZZZ, TN, 38340</v>
      </c>
    </row>
    <row r="1491" spans="1:11" x14ac:dyDescent="0.15">
      <c r="A1491">
        <v>1018918</v>
      </c>
      <c r="B1491" s="54" t="s">
        <v>94</v>
      </c>
      <c r="C1491" s="54" t="s">
        <v>95</v>
      </c>
      <c r="D1491" s="54" t="s">
        <v>96</v>
      </c>
      <c r="E1491" s="54" t="s">
        <v>97</v>
      </c>
      <c r="F1491" t="s">
        <v>35</v>
      </c>
      <c r="G1491">
        <v>38340</v>
      </c>
      <c r="H1491">
        <v>360</v>
      </c>
      <c r="I1491" t="str">
        <f t="shared" si="69"/>
        <v>AAA BBB</v>
      </c>
      <c r="J1491" t="str">
        <f t="shared" si="70"/>
        <v>XXX</v>
      </c>
      <c r="K1491" t="str">
        <f t="shared" si="71"/>
        <v>ZZZ, TN, 38340</v>
      </c>
    </row>
    <row r="1492" spans="1:11" x14ac:dyDescent="0.15">
      <c r="A1492">
        <v>1018918</v>
      </c>
      <c r="B1492" s="54" t="s">
        <v>94</v>
      </c>
      <c r="C1492" s="54" t="s">
        <v>95</v>
      </c>
      <c r="D1492" s="54" t="s">
        <v>96</v>
      </c>
      <c r="E1492" s="54" t="s">
        <v>97</v>
      </c>
      <c r="F1492" t="s">
        <v>35</v>
      </c>
      <c r="G1492">
        <v>38340</v>
      </c>
      <c r="H1492">
        <v>360</v>
      </c>
      <c r="I1492" t="str">
        <f t="shared" si="69"/>
        <v>AAA BBB</v>
      </c>
      <c r="J1492" t="str">
        <f t="shared" si="70"/>
        <v>XXX</v>
      </c>
      <c r="K1492" t="str">
        <f t="shared" si="71"/>
        <v>ZZZ, TN, 38340</v>
      </c>
    </row>
    <row r="1493" spans="1:11" x14ac:dyDescent="0.15">
      <c r="A1493">
        <v>1018918</v>
      </c>
      <c r="B1493" s="54" t="s">
        <v>94</v>
      </c>
      <c r="C1493" s="54" t="s">
        <v>95</v>
      </c>
      <c r="D1493" s="54" t="s">
        <v>96</v>
      </c>
      <c r="E1493" s="54" t="s">
        <v>97</v>
      </c>
      <c r="F1493" t="s">
        <v>35</v>
      </c>
      <c r="G1493">
        <v>38340</v>
      </c>
      <c r="H1493">
        <v>360</v>
      </c>
      <c r="I1493" t="str">
        <f t="shared" si="69"/>
        <v>AAA BBB</v>
      </c>
      <c r="J1493" t="str">
        <f t="shared" si="70"/>
        <v>XXX</v>
      </c>
      <c r="K1493" t="str">
        <f t="shared" si="71"/>
        <v>ZZZ, TN, 38340</v>
      </c>
    </row>
  </sheetData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3269108651334A86CD39C1975141AF" ma:contentTypeVersion="0" ma:contentTypeDescription="Create a new document." ma:contentTypeScope="" ma:versionID="8d17c17a53278cbc5bad1198fd7cca75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BA933A80-1F9B-467C-991D-8F508607A9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BB59FE-E97E-416F-8798-2176A1699B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Individual Loans</vt:lpstr>
      <vt:lpstr>All Data</vt:lpstr>
      <vt:lpstr>Rate Temp</vt:lpstr>
      <vt:lpstr>Data Dump</vt:lpstr>
      <vt:lpstr>Loan List</vt:lpstr>
      <vt:lpstr>Borrower Details</vt:lpstr>
      <vt:lpstr>Loan_Id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tanupam</dc:creator>
  <cp:lastModifiedBy>Anupam Tripathi</cp:lastModifiedBy>
  <dcterms:created xsi:type="dcterms:W3CDTF">2008-06-05T15:46:01Z</dcterms:created>
  <dcterms:modified xsi:type="dcterms:W3CDTF">2025-06-03T20:54:42Z</dcterms:modified>
</cp:coreProperties>
</file>